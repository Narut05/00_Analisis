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paredes\Documents\"/>
    </mc:Choice>
  </mc:AlternateContent>
  <xr:revisionPtr revIDLastSave="0" documentId="13_ncr:1_{49000095-8F47-4A8F-9576-3116A60ED3A7}" xr6:coauthVersionLast="47" xr6:coauthVersionMax="47" xr10:uidLastSave="{00000000-0000-0000-0000-000000000000}"/>
  <bookViews>
    <workbookView xWindow="-108" yWindow="-108" windowWidth="30936" windowHeight="16776" xr2:uid="{9B0C1A18-F201-4609-AA65-99436250C120}"/>
  </bookViews>
  <sheets>
    <sheet name="resumen" sheetId="2" r:id="rId1"/>
    <sheet name="jeq" sheetId="5" r:id="rId2"/>
    <sheet name="dataset" sheetId="7" r:id="rId3"/>
  </sheets>
  <calcPr calcId="191029"/>
  <pivotCaches>
    <pivotCache cacheId="1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8" i="2" l="1"/>
  <c r="P68" i="2"/>
  <c r="P67" i="2"/>
  <c r="N71" i="2"/>
  <c r="N70" i="2"/>
  <c r="S46" i="2"/>
  <c r="S47" i="2"/>
  <c r="S48" i="2"/>
  <c r="S49" i="2"/>
  <c r="S50" i="2"/>
  <c r="S45" i="2"/>
  <c r="N77" i="2"/>
  <c r="Q77" i="2" s="1"/>
  <c r="N76" i="2"/>
  <c r="Q76" i="2" s="1"/>
  <c r="P62" i="2"/>
  <c r="O62" i="2"/>
  <c r="N62" i="2"/>
  <c r="W12" i="2"/>
  <c r="W13" i="2"/>
  <c r="W14" i="2"/>
  <c r="W15" i="2"/>
  <c r="W16" i="2"/>
  <c r="W11" i="2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V12" i="2"/>
  <c r="V13" i="2"/>
  <c r="V14" i="2"/>
  <c r="V15" i="2"/>
  <c r="V16" i="2"/>
  <c r="V11" i="2"/>
  <c r="U12" i="2"/>
  <c r="U13" i="2"/>
  <c r="U14" i="2"/>
  <c r="U15" i="2"/>
  <c r="U16" i="2"/>
  <c r="U11" i="2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2" i="2"/>
  <c r="T12" i="2"/>
  <c r="T13" i="2"/>
  <c r="T14" i="2"/>
  <c r="T15" i="2"/>
  <c r="T16" i="2"/>
  <c r="T11" i="2"/>
  <c r="S12" i="2"/>
  <c r="S13" i="2"/>
  <c r="S14" i="2"/>
  <c r="S15" i="2"/>
  <c r="S16" i="2"/>
  <c r="S11" i="2"/>
  <c r="O76" i="2" l="1"/>
  <c r="O77" i="2"/>
</calcChain>
</file>

<file path=xl/sharedStrings.xml><?xml version="1.0" encoding="utf-8"?>
<sst xmlns="http://schemas.openxmlformats.org/spreadsheetml/2006/main" count="1252" uniqueCount="214">
  <si>
    <t>nombre</t>
  </si>
  <si>
    <t>Year</t>
  </si>
  <si>
    <t>Mes_Num</t>
  </si>
  <si>
    <t>Suma de MT2_2</t>
  </si>
  <si>
    <t># cajas</t>
  </si>
  <si>
    <t>venta</t>
  </si>
  <si>
    <t>CAPO</t>
  </si>
  <si>
    <t>CAPE</t>
  </si>
  <si>
    <t>Asia - VIV</t>
  </si>
  <si>
    <t>Benavides - VIV</t>
  </si>
  <si>
    <t>Dos de Mayo - VIV</t>
  </si>
  <si>
    <t>Javier Prado - VIV</t>
  </si>
  <si>
    <t>Libertadores - VIV</t>
  </si>
  <si>
    <t>Monterrico - VIV</t>
  </si>
  <si>
    <t>Pardo - VIV</t>
  </si>
  <si>
    <t>Pezet - VIV</t>
  </si>
  <si>
    <t>Etiquetas de fila</t>
  </si>
  <si>
    <t>Total general</t>
  </si>
  <si>
    <t>Promedio de venta</t>
  </si>
  <si>
    <t>Promedio de Suma de MT2_2</t>
  </si>
  <si>
    <t>Promedio de CAPO</t>
  </si>
  <si>
    <t>Promedio de CAPE</t>
  </si>
  <si>
    <t>venta / m2</t>
  </si>
  <si>
    <t>m2/cape</t>
  </si>
  <si>
    <t>Ano</t>
  </si>
  <si>
    <t>NroMes</t>
  </si>
  <si>
    <t>KPI_JEq</t>
  </si>
  <si>
    <t>63,9</t>
  </si>
  <si>
    <t>63,3</t>
  </si>
  <si>
    <t>58,8</t>
  </si>
  <si>
    <t>57,2</t>
  </si>
  <si>
    <t>59,9</t>
  </si>
  <si>
    <t>99,4</t>
  </si>
  <si>
    <t>95,7</t>
  </si>
  <si>
    <t>90,6</t>
  </si>
  <si>
    <t>30,6</t>
  </si>
  <si>
    <t>21,0</t>
  </si>
  <si>
    <t>57,8</t>
  </si>
  <si>
    <t>57,7</t>
  </si>
  <si>
    <t>60,4</t>
  </si>
  <si>
    <t>56,8</t>
  </si>
  <si>
    <t>47,0</t>
  </si>
  <si>
    <t>Back Office Vivanda</t>
  </si>
  <si>
    <t>55,7</t>
  </si>
  <si>
    <t>50,8</t>
  </si>
  <si>
    <t>65,1</t>
  </si>
  <si>
    <t>57,1</t>
  </si>
  <si>
    <t>56,0</t>
  </si>
  <si>
    <t>56,6</t>
  </si>
  <si>
    <t>54,6</t>
  </si>
  <si>
    <t>50,0</t>
  </si>
  <si>
    <t>49,2</t>
  </si>
  <si>
    <t>52,3</t>
  </si>
  <si>
    <t>52,6</t>
  </si>
  <si>
    <t>50,5</t>
  </si>
  <si>
    <t>82,0</t>
  </si>
  <si>
    <t>51,5</t>
  </si>
  <si>
    <t>55,1</t>
  </si>
  <si>
    <t>49,0</t>
  </si>
  <si>
    <t>60,7</t>
  </si>
  <si>
    <t>59,5</t>
  </si>
  <si>
    <t>48,8</t>
  </si>
  <si>
    <t>44,9</t>
  </si>
  <si>
    <t>51,2</t>
  </si>
  <si>
    <t>51,4</t>
  </si>
  <si>
    <t>55,9</t>
  </si>
  <si>
    <t>53,8</t>
  </si>
  <si>
    <t>48,0</t>
  </si>
  <si>
    <t>61,5</t>
  </si>
  <si>
    <t>80,9</t>
  </si>
  <si>
    <t>Destinos del Sabor - VIV</t>
  </si>
  <si>
    <t>50,1</t>
  </si>
  <si>
    <t>52,4</t>
  </si>
  <si>
    <t>52,1</t>
  </si>
  <si>
    <t>49,6</t>
  </si>
  <si>
    <t>53,6</t>
  </si>
  <si>
    <t>61,6</t>
  </si>
  <si>
    <t>57,6</t>
  </si>
  <si>
    <t>60,1</t>
  </si>
  <si>
    <t>1,6</t>
  </si>
  <si>
    <t>58,1</t>
  </si>
  <si>
    <t>64,8</t>
  </si>
  <si>
    <t>80,3</t>
  </si>
  <si>
    <t>75,1</t>
  </si>
  <si>
    <t>45,6</t>
  </si>
  <si>
    <t>51,3</t>
  </si>
  <si>
    <t>58,5</t>
  </si>
  <si>
    <t>61,3</t>
  </si>
  <si>
    <t>77,2</t>
  </si>
  <si>
    <t>80,0</t>
  </si>
  <si>
    <t>78,1</t>
  </si>
  <si>
    <t>76,3</t>
  </si>
  <si>
    <t>64,4</t>
  </si>
  <si>
    <t>53,4</t>
  </si>
  <si>
    <t>17,0</t>
  </si>
  <si>
    <t>46,8</t>
  </si>
  <si>
    <t>59,1</t>
  </si>
  <si>
    <t>58,4</t>
  </si>
  <si>
    <t>58,3</t>
  </si>
  <si>
    <t>54,9</t>
  </si>
  <si>
    <t>49,1</t>
  </si>
  <si>
    <t>79,0</t>
  </si>
  <si>
    <t>76,2</t>
  </si>
  <si>
    <t>55,5</t>
  </si>
  <si>
    <t>52,8</t>
  </si>
  <si>
    <t>49,4</t>
  </si>
  <si>
    <t>47,8</t>
  </si>
  <si>
    <t>80,8</t>
  </si>
  <si>
    <t>91,0</t>
  </si>
  <si>
    <t>79,3</t>
  </si>
  <si>
    <t>85,3</t>
  </si>
  <si>
    <t>57,3</t>
  </si>
  <si>
    <t>84,7</t>
  </si>
  <si>
    <t>59,7</t>
  </si>
  <si>
    <t>llave</t>
  </si>
  <si>
    <t>jeq</t>
  </si>
  <si>
    <t>60,6</t>
  </si>
  <si>
    <t>60,0</t>
  </si>
  <si>
    <t>47,5</t>
  </si>
  <si>
    <t>46,1</t>
  </si>
  <si>
    <t>47,2</t>
  </si>
  <si>
    <t>43,2</t>
  </si>
  <si>
    <t>63,1</t>
  </si>
  <si>
    <t>63,7</t>
  </si>
  <si>
    <t>65,3</t>
  </si>
  <si>
    <t>89,5</t>
  </si>
  <si>
    <t>78,6</t>
  </si>
  <si>
    <t>21,9</t>
  </si>
  <si>
    <t>19,4</t>
  </si>
  <si>
    <t>19,2</t>
  </si>
  <si>
    <t>20,3</t>
  </si>
  <si>
    <t>19,9</t>
  </si>
  <si>
    <t>18,8</t>
  </si>
  <si>
    <t>18,5</t>
  </si>
  <si>
    <t>35,0</t>
  </si>
  <si>
    <t>98,9</t>
  </si>
  <si>
    <t>96,1</t>
  </si>
  <si>
    <t>89,1</t>
  </si>
  <si>
    <t>18,7</t>
  </si>
  <si>
    <t>20,7</t>
  </si>
  <si>
    <t>16,6</t>
  </si>
  <si>
    <t>17,6</t>
  </si>
  <si>
    <t>17,9</t>
  </si>
  <si>
    <t>31,1</t>
  </si>
  <si>
    <t>96,7</t>
  </si>
  <si>
    <t>59,6</t>
  </si>
  <si>
    <t>56,4</t>
  </si>
  <si>
    <t>56,7</t>
  </si>
  <si>
    <t>44,6</t>
  </si>
  <si>
    <t>45,9</t>
  </si>
  <si>
    <t>58,0</t>
  </si>
  <si>
    <t>54,7</t>
  </si>
  <si>
    <t>57,9</t>
  </si>
  <si>
    <t>53,5</t>
  </si>
  <si>
    <t>51,8</t>
  </si>
  <si>
    <t>78,3</t>
  </si>
  <si>
    <t>56,5</t>
  </si>
  <si>
    <t>53,2</t>
  </si>
  <si>
    <t>52,9</t>
  </si>
  <si>
    <t>61,0</t>
  </si>
  <si>
    <t>48,2</t>
  </si>
  <si>
    <t>50,7</t>
  </si>
  <si>
    <t>48,6</t>
  </si>
  <si>
    <t>53,0</t>
  </si>
  <si>
    <t>75,0</t>
  </si>
  <si>
    <t>79,7</t>
  </si>
  <si>
    <t>76,6</t>
  </si>
  <si>
    <t>78,5</t>
  </si>
  <si>
    <t>47,6</t>
  </si>
  <si>
    <t>48,5</t>
  </si>
  <si>
    <t>58,7</t>
  </si>
  <si>
    <t>82,1</t>
  </si>
  <si>
    <t>49,3</t>
  </si>
  <si>
    <t>59,0</t>
  </si>
  <si>
    <t>52,5</t>
  </si>
  <si>
    <t>43,5</t>
  </si>
  <si>
    <t>45,5</t>
  </si>
  <si>
    <t>62,0</t>
  </si>
  <si>
    <t>88,9</t>
  </si>
  <si>
    <t>77,4</t>
  </si>
  <si>
    <t>83,1</t>
  </si>
  <si>
    <t>61,7</t>
  </si>
  <si>
    <t>Promedio de jeq</t>
  </si>
  <si>
    <t>Área</t>
  </si>
  <si>
    <t>Pardo</t>
  </si>
  <si>
    <t>Almacen</t>
  </si>
  <si>
    <t>Frescos</t>
  </si>
  <si>
    <t>Sala</t>
  </si>
  <si>
    <t>Almacen Frescos</t>
  </si>
  <si>
    <t>Cajas</t>
  </si>
  <si>
    <t>Recepción</t>
  </si>
  <si>
    <t>Inventario</t>
  </si>
  <si>
    <t>Monterico</t>
  </si>
  <si>
    <t>Diferencia</t>
  </si>
  <si>
    <t>JEQ</t>
  </si>
  <si>
    <t>SEGÚN MODELO</t>
  </si>
  <si>
    <t>Venta</t>
  </si>
  <si>
    <t>m2</t>
  </si>
  <si>
    <t>Jeq</t>
  </si>
  <si>
    <t>Incremento 15%</t>
  </si>
  <si>
    <t>Incremento 20%</t>
  </si>
  <si>
    <t>Jeq *</t>
  </si>
  <si>
    <t>Capo</t>
  </si>
  <si>
    <t>Product</t>
  </si>
  <si>
    <t>comparar con su ppto</t>
  </si>
  <si>
    <t>CAPO +15%</t>
  </si>
  <si>
    <t>LOS 3 PRIMEROS MESES</t>
  </si>
  <si>
    <t>NORMALIDAD</t>
  </si>
  <si>
    <t>REVISAR LA ESTRUCTURA</t>
  </si>
  <si>
    <t>sobrecarga operativa</t>
  </si>
  <si>
    <t>demoras en reposicion personal</t>
  </si>
  <si>
    <t>factor rotación y ausentismo</t>
  </si>
  <si>
    <t xml:space="preserve"> a nivel tienda los ultimos 3 tiendas</t>
  </si>
  <si>
    <t>recalcular el capo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</si>
</sst>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71" formatCode="0.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Inherit"/>
    </font>
    <font>
      <sz val="12"/>
      <color rgb="FF000000"/>
      <name val="Aptos"/>
      <family val="2"/>
    </font>
    <font>
      <b/>
      <sz val="12"/>
      <color rgb="FF000000"/>
      <name val="Aptos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75B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3" fontId="0" fillId="0" borderId="0" xfId="0" applyNumberFormat="1"/>
    <xf numFmtId="164" fontId="0" fillId="33" borderId="0" xfId="0" applyNumberFormat="1" applyFill="1"/>
    <xf numFmtId="0" fontId="0" fillId="0" borderId="10" xfId="0" applyBorder="1"/>
    <xf numFmtId="164" fontId="0" fillId="0" borderId="10" xfId="1" applyNumberFormat="1" applyFont="1" applyBorder="1"/>
    <xf numFmtId="164" fontId="0" fillId="0" borderId="0" xfId="0" applyNumberFormat="1" applyFill="1"/>
    <xf numFmtId="43" fontId="0" fillId="0" borderId="0" xfId="0" applyNumberFormat="1" applyFill="1"/>
    <xf numFmtId="0" fontId="0" fillId="0" borderId="0" xfId="0" applyFill="1" applyAlignment="1">
      <alignment horizontal="left"/>
    </xf>
    <xf numFmtId="0" fontId="16" fillId="33" borderId="0" xfId="0" applyFont="1" applyFill="1"/>
    <xf numFmtId="164" fontId="16" fillId="33" borderId="0" xfId="1" applyNumberFormat="1" applyFont="1" applyFill="1"/>
    <xf numFmtId="164" fontId="16" fillId="33" borderId="0" xfId="1" applyNumberFormat="1" applyFont="1" applyFill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10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16" fillId="33" borderId="0" xfId="0" applyNumberFormat="1" applyFont="1" applyFill="1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20" fillId="34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5" borderId="13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18" fillId="34" borderId="12" xfId="0" applyFont="1" applyFill="1" applyBorder="1" applyAlignment="1">
      <alignment horizontal="center" vertical="center"/>
    </xf>
    <xf numFmtId="43" fontId="0" fillId="0" borderId="0" xfId="1" applyFont="1"/>
    <xf numFmtId="171" fontId="0" fillId="0" borderId="0" xfId="0" applyNumberFormat="1"/>
    <xf numFmtId="171" fontId="0" fillId="0" borderId="0" xfId="0" applyNumberFormat="1" applyAlignment="1">
      <alignment horizontal="center" vertical="center"/>
    </xf>
    <xf numFmtId="0" fontId="19" fillId="33" borderId="15" xfId="0" applyFont="1" applyFill="1" applyBorder="1" applyAlignment="1">
      <alignment horizontal="center" vertical="center"/>
    </xf>
    <xf numFmtId="0" fontId="0" fillId="33" borderId="0" xfId="0" applyFill="1" applyAlignment="1">
      <alignment horizontal="left"/>
    </xf>
    <xf numFmtId="43" fontId="0" fillId="33" borderId="0" xfId="0" applyNumberFormat="1" applyFill="1"/>
    <xf numFmtId="43" fontId="16" fillId="33" borderId="10" xfId="0" applyNumberFormat="1" applyFont="1" applyFill="1" applyBorder="1"/>
    <xf numFmtId="165" fontId="16" fillId="33" borderId="0" xfId="1" applyNumberFormat="1" applyFont="1" applyFill="1" applyAlignment="1">
      <alignment horizontal="center" vertical="center"/>
    </xf>
    <xf numFmtId="171" fontId="16" fillId="0" borderId="0" xfId="0" applyNumberFormat="1" applyFont="1"/>
    <xf numFmtId="164" fontId="16" fillId="0" borderId="0" xfId="0" applyNumberFormat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44">
    <dxf>
      <numFmt numFmtId="35" formatCode="_-* #,##0.00_-;\-* #,##0.0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-* #,##0.00_-;\-* #,##0.00_-;_-* &quot;-&quot;??_-;_-@_-"/>
    </dxf>
    <dxf>
      <fill>
        <patternFill patternType="solid">
          <bgColor rgb="FFFFFF00"/>
        </patternFill>
      </fill>
    </dxf>
    <dxf>
      <font>
        <color rgb="FFFF0000"/>
      </font>
    </dxf>
    <dxf>
      <font>
        <b/>
      </font>
    </dxf>
    <dxf>
      <fill>
        <patternFill patternType="solid">
          <bgColor rgb="FFFFFF00"/>
        </patternFill>
      </fill>
    </dxf>
    <dxf>
      <font>
        <color rgb="FFFF0000"/>
      </font>
    </dxf>
    <dxf>
      <font>
        <b/>
      </font>
    </dxf>
    <dxf>
      <fill>
        <patternFill patternType="solid">
          <bgColor rgb="FFFFFF00"/>
        </patternFill>
      </fill>
    </dxf>
    <dxf>
      <font>
        <color rgb="FFFF0000"/>
      </font>
    </dxf>
    <dxf>
      <font>
        <b/>
      </font>
    </dxf>
    <dxf>
      <font>
        <b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b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b/>
      </font>
    </dxf>
    <dxf>
      <font>
        <color rgb="FFFF0000"/>
      </font>
    </dxf>
    <dxf>
      <fill>
        <patternFill patternType="solid">
          <bgColor rgb="FFFFFF00"/>
        </patternFill>
      </fill>
    </dxf>
    <dxf>
      <numFmt numFmtId="35" formatCode="_-* #,##0.00_-;\-* #,##0.0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-* #,##0.00_-;\-* #,##0.00_-;_-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5" formatCode="_-* #,##0.00_-;\-* #,##0.0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76.395514930555" createdVersion="8" refreshedVersion="8" minRefreshableVersion="3" recordCount="93" xr:uid="{6DC1A225-DDA7-49D8-8AB7-14096F6F2A70}">
  <cacheSource type="worksheet">
    <worksheetSource ref="A1:J94" sheet="resumen"/>
  </cacheSource>
  <cacheFields count="10">
    <cacheField name="nombre" numFmtId="0">
      <sharedItems count="6">
        <s v="Benavides - VIV"/>
        <s v="Dos de Mayo - VIV"/>
        <s v="Javier Prado - VIV"/>
        <s v="Libertadores - VIV"/>
        <s v="Monterrico - VIV"/>
        <s v="Pezet - VIV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Mes_Num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llave" numFmtId="0">
      <sharedItems/>
    </cacheField>
    <cacheField name="jeq" numFmtId="0">
      <sharedItems containsSemiMixedTypes="0" containsString="0" containsNumber="1" minValue="44.9" maxValue="85.3"/>
    </cacheField>
    <cacheField name="Suma de MT2_2" numFmtId="164">
      <sharedItems containsSemiMixedTypes="0" containsString="0" containsNumber="1" containsInteger="1" minValue="918" maxValue="1238"/>
    </cacheField>
    <cacheField name="# cajas" numFmtId="0">
      <sharedItems containsSemiMixedTypes="0" containsString="0" containsNumber="1" containsInteger="1" minValue="16" maxValue="23"/>
    </cacheField>
    <cacheField name="venta" numFmtId="164">
      <sharedItems containsSemiMixedTypes="0" containsString="0" containsNumber="1" containsInteger="1" minValue="1387612" maxValue="6248240"/>
    </cacheField>
    <cacheField name="CAPO" numFmtId="164">
      <sharedItems containsSemiMixedTypes="0" containsString="0" containsNumber="1" minValue="58.5" maxValue="99"/>
    </cacheField>
    <cacheField name="CAPE" numFmtId="164">
      <sharedItems containsSemiMixedTypes="0" containsString="0" containsNumber="1" minValue="50" maxValue="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x v="0"/>
    <x v="0"/>
    <x v="0"/>
    <s v="Benavides - VIV20251"/>
    <n v="54.6"/>
    <n v="1238"/>
    <n v="18"/>
    <n v="3197874"/>
    <n v="67"/>
    <n v="64"/>
  </r>
  <r>
    <x v="0"/>
    <x v="0"/>
    <x v="1"/>
    <s v="Benavides - VIV20252"/>
    <n v="52.8"/>
    <n v="1238"/>
    <n v="18"/>
    <n v="3045628"/>
    <n v="67"/>
    <n v="64"/>
  </r>
  <r>
    <x v="0"/>
    <x v="0"/>
    <x v="2"/>
    <s v="Benavides - VIV20253"/>
    <n v="51.4"/>
    <n v="1238"/>
    <n v="18"/>
    <n v="3335318"/>
    <n v="67"/>
    <n v="69.5"/>
  </r>
  <r>
    <x v="0"/>
    <x v="0"/>
    <x v="3"/>
    <s v="Benavides - VIV20254"/>
    <n v="57.6"/>
    <n v="1238"/>
    <n v="18"/>
    <n v="3165034"/>
    <n v="68"/>
    <n v="66.5"/>
  </r>
  <r>
    <x v="0"/>
    <x v="0"/>
    <x v="4"/>
    <s v="Benavides - VIV20255"/>
    <n v="57.8"/>
    <n v="1238"/>
    <n v="18"/>
    <n v="3181146"/>
    <n v="68"/>
    <n v="67.5"/>
  </r>
  <r>
    <x v="0"/>
    <x v="0"/>
    <x v="5"/>
    <s v="Benavides - VIV20256"/>
    <n v="58"/>
    <n v="1238"/>
    <n v="18"/>
    <n v="3113046"/>
    <n v="68"/>
    <n v="65"/>
  </r>
  <r>
    <x v="0"/>
    <x v="0"/>
    <x v="6"/>
    <s v="Benavides - VIV20257"/>
    <n v="56"/>
    <n v="1238"/>
    <n v="18"/>
    <n v="3163743"/>
    <n v="68"/>
    <n v="60.5"/>
  </r>
  <r>
    <x v="0"/>
    <x v="0"/>
    <x v="7"/>
    <s v="Benavides - VIV20258"/>
    <n v="54.7"/>
    <n v="1238"/>
    <n v="18"/>
    <n v="3195837"/>
    <n v="68"/>
    <n v="62"/>
  </r>
  <r>
    <x v="0"/>
    <x v="0"/>
    <x v="8"/>
    <s v="Benavides - VIV20259"/>
    <n v="54.9"/>
    <n v="1238"/>
    <n v="18"/>
    <n v="3015727"/>
    <n v="68"/>
    <n v="61"/>
  </r>
  <r>
    <x v="0"/>
    <x v="0"/>
    <x v="9"/>
    <s v="Benavides - VIV202510"/>
    <n v="60.6"/>
    <n v="1238"/>
    <n v="18"/>
    <n v="3131366"/>
    <n v="68"/>
    <n v="68.5"/>
  </r>
  <r>
    <x v="0"/>
    <x v="0"/>
    <x v="10"/>
    <s v="Benavides - VIV202511"/>
    <n v="59.5"/>
    <n v="1238"/>
    <n v="18"/>
    <n v="3117185"/>
    <n v="68"/>
    <n v="69"/>
  </r>
  <r>
    <x v="0"/>
    <x v="0"/>
    <x v="11"/>
    <s v="Benavides - VIV202512"/>
    <n v="64.400000000000006"/>
    <n v="1238"/>
    <n v="18"/>
    <n v="3697500"/>
    <n v="69.5"/>
    <n v="73"/>
  </r>
  <r>
    <x v="0"/>
    <x v="1"/>
    <x v="0"/>
    <s v="Benavides - VIV20261"/>
    <n v="55.7"/>
    <n v="1238"/>
    <n v="18"/>
    <n v="3274355"/>
    <n v="65.5"/>
    <n v="67"/>
  </r>
  <r>
    <x v="0"/>
    <x v="1"/>
    <x v="1"/>
    <s v="Benavides - VIV20262"/>
    <n v="50.8"/>
    <n v="1238"/>
    <n v="18"/>
    <n v="1387612"/>
    <n v="65.5"/>
    <n v="68"/>
  </r>
  <r>
    <x v="0"/>
    <x v="1"/>
    <x v="2"/>
    <s v="Benavides - VIV20263"/>
    <n v="63.3"/>
    <n v="1238"/>
    <n v="18"/>
    <n v="3225829"/>
    <n v="65.5"/>
    <n v="73"/>
  </r>
  <r>
    <x v="0"/>
    <x v="1"/>
    <x v="3"/>
    <s v="Benavides - VIV20264"/>
    <n v="65.099999999999994"/>
    <n v="1238"/>
    <n v="18"/>
    <n v="3209610"/>
    <n v="65.5"/>
    <n v="71.5"/>
  </r>
  <r>
    <x v="0"/>
    <x v="1"/>
    <x v="4"/>
    <s v="Benavides - VIV20265"/>
    <n v="57.1"/>
    <n v="1238"/>
    <n v="18"/>
    <n v="3379480"/>
    <n v="65.5"/>
    <n v="64"/>
  </r>
  <r>
    <x v="1"/>
    <x v="0"/>
    <x v="0"/>
    <s v="Dos de Mayo - VIV20251"/>
    <n v="56.8"/>
    <n v="1184"/>
    <n v="19"/>
    <n v="2511906"/>
    <n v="58.5"/>
    <n v="64"/>
  </r>
  <r>
    <x v="1"/>
    <x v="0"/>
    <x v="1"/>
    <s v="Dos de Mayo - VIV20252"/>
    <n v="55.9"/>
    <n v="1184"/>
    <n v="19"/>
    <n v="2559403"/>
    <n v="59.5"/>
    <n v="64.5"/>
  </r>
  <r>
    <x v="1"/>
    <x v="0"/>
    <x v="2"/>
    <s v="Dos de Mayo - VIV20253"/>
    <n v="58.7"/>
    <n v="1184"/>
    <n v="19"/>
    <n v="2762190"/>
    <n v="59.5"/>
    <n v="71"/>
  </r>
  <r>
    <x v="1"/>
    <x v="0"/>
    <x v="3"/>
    <s v="Dos de Mayo - VIV20254"/>
    <n v="53.5"/>
    <n v="1184"/>
    <n v="19"/>
    <n v="2565007"/>
    <n v="59"/>
    <n v="63"/>
  </r>
  <r>
    <x v="1"/>
    <x v="0"/>
    <x v="4"/>
    <s v="Dos de Mayo - VIV20255"/>
    <n v="53.2"/>
    <n v="1184"/>
    <n v="19"/>
    <n v="2640971"/>
    <n v="59"/>
    <n v="60"/>
  </r>
  <r>
    <x v="1"/>
    <x v="0"/>
    <x v="5"/>
    <s v="Dos de Mayo - VIV20256"/>
    <n v="48.2"/>
    <n v="1184"/>
    <n v="19"/>
    <n v="2482002"/>
    <n v="59"/>
    <n v="55"/>
  </r>
  <r>
    <x v="1"/>
    <x v="0"/>
    <x v="6"/>
    <s v="Dos de Mayo - VIV20257"/>
    <n v="47.8"/>
    <n v="1184"/>
    <n v="19"/>
    <n v="2573263"/>
    <n v="59"/>
    <n v="53.5"/>
  </r>
  <r>
    <x v="1"/>
    <x v="0"/>
    <x v="7"/>
    <s v="Dos de Mayo - VIV20258"/>
    <n v="44.9"/>
    <n v="1184"/>
    <n v="19"/>
    <n v="2669829"/>
    <n v="59.5"/>
    <n v="54"/>
  </r>
  <r>
    <x v="1"/>
    <x v="0"/>
    <x v="8"/>
    <s v="Dos de Mayo - VIV20259"/>
    <n v="45.9"/>
    <n v="1184"/>
    <n v="19"/>
    <n v="2492819"/>
    <n v="59.5"/>
    <n v="52"/>
  </r>
  <r>
    <x v="1"/>
    <x v="0"/>
    <x v="9"/>
    <s v="Dos de Mayo - VIV202510"/>
    <n v="48.8"/>
    <n v="1184"/>
    <n v="19"/>
    <n v="2662103"/>
    <n v="59.5"/>
    <n v="57.5"/>
  </r>
  <r>
    <x v="1"/>
    <x v="0"/>
    <x v="10"/>
    <s v="Dos de Mayo - VIV202511"/>
    <n v="50.7"/>
    <n v="1184"/>
    <n v="19"/>
    <n v="2609914"/>
    <n v="59.5"/>
    <n v="58.5"/>
  </r>
  <r>
    <x v="1"/>
    <x v="0"/>
    <x v="11"/>
    <s v="Dos de Mayo - VIV202512"/>
    <n v="52.1"/>
    <n v="1184"/>
    <n v="19"/>
    <n v="3354155"/>
    <n v="60.5"/>
    <n v="60"/>
  </r>
  <r>
    <x v="1"/>
    <x v="1"/>
    <x v="0"/>
    <s v="Dos de Mayo - VIV20261"/>
    <n v="50.1"/>
    <n v="1184"/>
    <n v="19"/>
    <n v="2681978"/>
    <n v="59"/>
    <n v="59"/>
  </r>
  <r>
    <x v="1"/>
    <x v="1"/>
    <x v="1"/>
    <s v="Dos de Mayo - VIV20262"/>
    <n v="52.4"/>
    <n v="1184"/>
    <n v="19"/>
    <n v="2571073"/>
    <n v="59"/>
    <n v="62"/>
  </r>
  <r>
    <x v="1"/>
    <x v="1"/>
    <x v="2"/>
    <s v="Dos de Mayo - VIV20263"/>
    <n v="52.1"/>
    <n v="1184"/>
    <n v="19"/>
    <n v="2853791"/>
    <n v="58.5"/>
    <n v="59"/>
  </r>
  <r>
    <x v="1"/>
    <x v="1"/>
    <x v="3"/>
    <s v="Dos de Mayo - VIV20264"/>
    <n v="49.6"/>
    <n v="1184"/>
    <n v="19"/>
    <n v="2733988"/>
    <n v="58.5"/>
    <n v="58"/>
  </r>
  <r>
    <x v="1"/>
    <x v="1"/>
    <x v="4"/>
    <s v="Dos de Mayo - VIV20265"/>
    <n v="49.2"/>
    <n v="1184"/>
    <n v="19"/>
    <n v="2772388"/>
    <n v="58.5"/>
    <n v="58.5"/>
  </r>
  <r>
    <x v="2"/>
    <x v="0"/>
    <x v="0"/>
    <s v="Javier Prado - VIV20251"/>
    <n v="52.9"/>
    <n v="1152"/>
    <n v="18"/>
    <n v="3268596"/>
    <n v="62.5"/>
    <n v="61.5"/>
  </r>
  <r>
    <x v="2"/>
    <x v="0"/>
    <x v="1"/>
    <s v="Javier Prado - VIV20252"/>
    <n v="53.4"/>
    <n v="1152"/>
    <n v="18"/>
    <n v="3074727"/>
    <n v="62.5"/>
    <n v="60.5"/>
  </r>
  <r>
    <x v="2"/>
    <x v="0"/>
    <x v="2"/>
    <s v="Javier Prado - VIV20253"/>
    <n v="51.3"/>
    <n v="1152"/>
    <n v="18"/>
    <n v="3466723"/>
    <n v="62.5"/>
    <n v="59.5"/>
  </r>
  <r>
    <x v="2"/>
    <x v="0"/>
    <x v="3"/>
    <s v="Javier Prado - VIV20254"/>
    <n v="50.7"/>
    <n v="1152"/>
    <n v="18"/>
    <n v="3286679"/>
    <n v="63"/>
    <n v="60"/>
  </r>
  <r>
    <x v="2"/>
    <x v="0"/>
    <x v="4"/>
    <s v="Javier Prado - VIV20255"/>
    <n v="52.3"/>
    <n v="1152"/>
    <n v="18"/>
    <n v="3402519"/>
    <n v="63"/>
    <n v="60.5"/>
  </r>
  <r>
    <x v="2"/>
    <x v="0"/>
    <x v="5"/>
    <s v="Javier Prado - VIV20256"/>
    <n v="53.4"/>
    <n v="1152"/>
    <n v="18"/>
    <n v="3244500"/>
    <n v="63"/>
    <n v="60.5"/>
  </r>
  <r>
    <x v="2"/>
    <x v="1"/>
    <x v="3"/>
    <s v="Javier Prado - VIV20264"/>
    <n v="64.8"/>
    <n v="1152"/>
    <n v="18"/>
    <n v="2948369"/>
    <n v="63"/>
    <n v="70"/>
  </r>
  <r>
    <x v="2"/>
    <x v="1"/>
    <x v="4"/>
    <s v="Javier Prado - VIV20265"/>
    <n v="55.1"/>
    <n v="1152"/>
    <n v="18"/>
    <n v="2960325"/>
    <n v="63"/>
    <n v="58"/>
  </r>
  <r>
    <x v="3"/>
    <x v="0"/>
    <x v="0"/>
    <s v="Libertadores - VIV20251"/>
    <n v="53.6"/>
    <n v="1167"/>
    <n v="23"/>
    <n v="2647542"/>
    <n v="60"/>
    <n v="61.5"/>
  </r>
  <r>
    <x v="3"/>
    <x v="0"/>
    <x v="1"/>
    <s v="Libertadores - VIV20252"/>
    <n v="53"/>
    <n v="1167"/>
    <n v="23"/>
    <n v="2424543"/>
    <n v="60"/>
    <n v="60.5"/>
  </r>
  <r>
    <x v="3"/>
    <x v="0"/>
    <x v="2"/>
    <s v="Libertadores - VIV20253"/>
    <n v="52.4"/>
    <n v="1167"/>
    <n v="23"/>
    <n v="2657199"/>
    <n v="60"/>
    <n v="60"/>
  </r>
  <r>
    <x v="3"/>
    <x v="0"/>
    <x v="3"/>
    <s v="Libertadores - VIV20254"/>
    <n v="52.5"/>
    <n v="1167"/>
    <n v="23"/>
    <n v="2724024"/>
    <n v="60"/>
    <n v="60"/>
  </r>
  <r>
    <x v="3"/>
    <x v="0"/>
    <x v="4"/>
    <s v="Libertadores - VIV20255"/>
    <n v="53.8"/>
    <n v="1167"/>
    <n v="23"/>
    <n v="2785143"/>
    <n v="60"/>
    <n v="58.5"/>
  </r>
  <r>
    <x v="3"/>
    <x v="0"/>
    <x v="5"/>
    <s v="Libertadores - VIV20256"/>
    <n v="50"/>
    <n v="1167"/>
    <n v="23"/>
    <n v="2630192"/>
    <n v="60"/>
    <n v="55.5"/>
  </r>
  <r>
    <x v="3"/>
    <x v="0"/>
    <x v="6"/>
    <s v="Libertadores - VIV20257"/>
    <n v="50.5"/>
    <n v="1167"/>
    <n v="23"/>
    <n v="2602056"/>
    <n v="60"/>
    <n v="54"/>
  </r>
  <r>
    <x v="3"/>
    <x v="0"/>
    <x v="7"/>
    <s v="Libertadores - VIV20258"/>
    <n v="45.5"/>
    <n v="1167"/>
    <n v="23"/>
    <n v="2722294"/>
    <n v="60"/>
    <n v="52.5"/>
  </r>
  <r>
    <x v="3"/>
    <x v="0"/>
    <x v="8"/>
    <s v="Libertadores - VIV20259"/>
    <n v="49.4"/>
    <n v="1167"/>
    <n v="23"/>
    <n v="2612982"/>
    <n v="60"/>
    <n v="50"/>
  </r>
  <r>
    <x v="3"/>
    <x v="0"/>
    <x v="9"/>
    <s v="Libertadores - VIV202510"/>
    <n v="51.5"/>
    <n v="1167"/>
    <n v="23"/>
    <n v="2690444"/>
    <n v="60"/>
    <n v="57"/>
  </r>
  <r>
    <x v="3"/>
    <x v="0"/>
    <x v="10"/>
    <s v="Libertadores - VIV202511"/>
    <n v="49.3"/>
    <n v="1167"/>
    <n v="23"/>
    <n v="2621750"/>
    <n v="60.5"/>
    <n v="53.5"/>
  </r>
  <r>
    <x v="3"/>
    <x v="0"/>
    <x v="11"/>
    <s v="Libertadores - VIV202512"/>
    <n v="49"/>
    <n v="1167"/>
    <n v="23"/>
    <n v="3066355"/>
    <n v="61.5"/>
    <n v="56.5"/>
  </r>
  <r>
    <x v="3"/>
    <x v="1"/>
    <x v="0"/>
    <s v="Libertadores - VIV20261"/>
    <n v="45.6"/>
    <n v="1167"/>
    <n v="23"/>
    <n v="2590418"/>
    <n v="59.5"/>
    <n v="52.5"/>
  </r>
  <r>
    <x v="3"/>
    <x v="1"/>
    <x v="1"/>
    <s v="Libertadores - VIV20262"/>
    <n v="49"/>
    <n v="1167"/>
    <n v="23"/>
    <n v="2534449"/>
    <n v="59.5"/>
    <n v="56"/>
  </r>
  <r>
    <x v="3"/>
    <x v="1"/>
    <x v="2"/>
    <s v="Libertadores - VIV20263"/>
    <n v="51.3"/>
    <n v="1167"/>
    <n v="23"/>
    <n v="2824445"/>
    <n v="59.5"/>
    <n v="58"/>
  </r>
  <r>
    <x v="3"/>
    <x v="1"/>
    <x v="3"/>
    <s v="Libertadores - VIV20264"/>
    <n v="50.1"/>
    <n v="1167"/>
    <n v="23"/>
    <n v="2791217"/>
    <n v="59.5"/>
    <n v="54.5"/>
  </r>
  <r>
    <x v="3"/>
    <x v="1"/>
    <x v="4"/>
    <s v="Libertadores - VIV20265"/>
    <n v="48"/>
    <n v="1167"/>
    <n v="23"/>
    <n v="2782428"/>
    <n v="59.5"/>
    <n v="53"/>
  </r>
  <r>
    <x v="4"/>
    <x v="0"/>
    <x v="0"/>
    <s v="Monterrico - VIV20251"/>
    <n v="76.2"/>
    <n v="918"/>
    <n v="18"/>
    <n v="5320582"/>
    <n v="94"/>
    <n v="90.5"/>
  </r>
  <r>
    <x v="4"/>
    <x v="0"/>
    <x v="1"/>
    <s v="Monterrico - VIV20252"/>
    <n v="78.5"/>
    <n v="918"/>
    <n v="18"/>
    <n v="4943060"/>
    <n v="95"/>
    <n v="91.5"/>
  </r>
  <r>
    <x v="4"/>
    <x v="0"/>
    <x v="2"/>
    <s v="Monterrico - VIV20253"/>
    <n v="78.3"/>
    <n v="918"/>
    <n v="18"/>
    <n v="5723821"/>
    <n v="95"/>
    <n v="91.5"/>
  </r>
  <r>
    <x v="4"/>
    <x v="0"/>
    <x v="3"/>
    <s v="Monterrico - VIV20254"/>
    <n v="75"/>
    <n v="918"/>
    <n v="18"/>
    <n v="5580877"/>
    <n v="95"/>
    <n v="87"/>
  </r>
  <r>
    <x v="4"/>
    <x v="0"/>
    <x v="4"/>
    <s v="Monterrico - VIV20255"/>
    <n v="78.099999999999994"/>
    <n v="918"/>
    <n v="18"/>
    <n v="5558760"/>
    <n v="95"/>
    <n v="91"/>
  </r>
  <r>
    <x v="4"/>
    <x v="0"/>
    <x v="5"/>
    <s v="Monterrico - VIV20256"/>
    <n v="82"/>
    <n v="918"/>
    <n v="18"/>
    <n v="5349573"/>
    <n v="95"/>
    <n v="90.5"/>
  </r>
  <r>
    <x v="4"/>
    <x v="0"/>
    <x v="6"/>
    <s v="Monterrico - VIV20257"/>
    <n v="82.1"/>
    <n v="918"/>
    <n v="18"/>
    <n v="5226859"/>
    <n v="95"/>
    <n v="88.5"/>
  </r>
  <r>
    <x v="4"/>
    <x v="0"/>
    <x v="7"/>
    <s v="Monterrico - VIV20258"/>
    <n v="77.400000000000006"/>
    <n v="918"/>
    <n v="18"/>
    <n v="5398976"/>
    <n v="95"/>
    <n v="91.5"/>
  </r>
  <r>
    <x v="4"/>
    <x v="0"/>
    <x v="8"/>
    <s v="Monterrico - VIV20259"/>
    <n v="79.3"/>
    <n v="918"/>
    <n v="18"/>
    <n v="5165049"/>
    <n v="95"/>
    <n v="90.5"/>
  </r>
  <r>
    <x v="4"/>
    <x v="0"/>
    <x v="9"/>
    <s v="Monterrico - VIV202510"/>
    <n v="83.1"/>
    <n v="918"/>
    <n v="18"/>
    <n v="5316395"/>
    <n v="96"/>
    <n v="95"/>
  </r>
  <r>
    <x v="4"/>
    <x v="0"/>
    <x v="10"/>
    <s v="Monterrico - VIV202511"/>
    <n v="79.7"/>
    <n v="918"/>
    <n v="18"/>
    <n v="5253336"/>
    <n v="96"/>
    <n v="93.5"/>
  </r>
  <r>
    <x v="4"/>
    <x v="0"/>
    <x v="11"/>
    <s v="Monterrico - VIV202512"/>
    <n v="85.3"/>
    <n v="918"/>
    <n v="18"/>
    <n v="6248240"/>
    <n v="99"/>
    <n v="99"/>
  </r>
  <r>
    <x v="4"/>
    <x v="1"/>
    <x v="0"/>
    <s v="Monterrico - VIV20261"/>
    <n v="75.099999999999994"/>
    <n v="918"/>
    <n v="18"/>
    <n v="5175743"/>
    <n v="95.5"/>
    <n v="97"/>
  </r>
  <r>
    <x v="4"/>
    <x v="1"/>
    <x v="1"/>
    <s v="Monterrico - VIV20262"/>
    <n v="77.2"/>
    <n v="918"/>
    <n v="18"/>
    <n v="4849465"/>
    <n v="95.5"/>
    <n v="97"/>
  </r>
  <r>
    <x v="4"/>
    <x v="1"/>
    <x v="2"/>
    <s v="Monterrico - VIV20263"/>
    <n v="80"/>
    <n v="918"/>
    <n v="18"/>
    <n v="5651567"/>
    <n v="95.5"/>
    <n v="92.5"/>
  </r>
  <r>
    <x v="4"/>
    <x v="1"/>
    <x v="3"/>
    <s v="Monterrico - VIV20264"/>
    <n v="78.099999999999994"/>
    <n v="918"/>
    <n v="18"/>
    <n v="5606053"/>
    <n v="95.5"/>
    <n v="86"/>
  </r>
  <r>
    <x v="4"/>
    <x v="1"/>
    <x v="4"/>
    <s v="Monterrico - VIV20265"/>
    <n v="76.3"/>
    <n v="918"/>
    <n v="18"/>
    <n v="5697147"/>
    <n v="95.5"/>
    <n v="87.5"/>
  </r>
  <r>
    <x v="5"/>
    <x v="0"/>
    <x v="0"/>
    <s v="Pezet - VIV20251"/>
    <n v="57.1"/>
    <n v="920"/>
    <n v="16"/>
    <n v="3307978"/>
    <n v="71.5"/>
    <n v="70"/>
  </r>
  <r>
    <x v="5"/>
    <x v="0"/>
    <x v="1"/>
    <s v="Pezet - VIV20252"/>
    <n v="60.1"/>
    <n v="920"/>
    <n v="16"/>
    <n v="2760968"/>
    <n v="70.5"/>
    <n v="69.5"/>
  </r>
  <r>
    <x v="5"/>
    <x v="0"/>
    <x v="2"/>
    <s v="Pezet - VIV20253"/>
    <n v="57.2"/>
    <n v="920"/>
    <n v="16"/>
    <n v="3631719"/>
    <n v="70.5"/>
    <n v="68"/>
  </r>
  <r>
    <x v="5"/>
    <x v="0"/>
    <x v="3"/>
    <s v="Pezet - VIV20254"/>
    <n v="57.3"/>
    <n v="920"/>
    <n v="16"/>
    <n v="3494282"/>
    <n v="68.5"/>
    <n v="66.5"/>
  </r>
  <r>
    <x v="5"/>
    <x v="0"/>
    <x v="4"/>
    <s v="Pezet - VIV20255"/>
    <n v="62"/>
    <n v="920"/>
    <n v="16"/>
    <n v="3486990"/>
    <n v="68.5"/>
    <n v="68"/>
  </r>
  <r>
    <x v="5"/>
    <x v="0"/>
    <x v="5"/>
    <s v="Pezet - VIV20256"/>
    <n v="61.6"/>
    <n v="920"/>
    <n v="16"/>
    <n v="3346172"/>
    <n v="68.5"/>
    <n v="69"/>
  </r>
  <r>
    <x v="5"/>
    <x v="0"/>
    <x v="6"/>
    <s v="Pezet - VIV20257"/>
    <n v="61.3"/>
    <n v="920"/>
    <n v="16"/>
    <n v="3540284"/>
    <n v="68.5"/>
    <n v="66"/>
  </r>
  <r>
    <x v="5"/>
    <x v="0"/>
    <x v="7"/>
    <s v="Pezet - VIV20258"/>
    <n v="61.7"/>
    <n v="920"/>
    <n v="16"/>
    <n v="3860930"/>
    <n v="68.5"/>
    <n v="68.5"/>
  </r>
  <r>
    <x v="5"/>
    <x v="0"/>
    <x v="8"/>
    <s v="Pezet - VIV20259"/>
    <n v="59"/>
    <n v="920"/>
    <n v="16"/>
    <n v="3628906"/>
    <n v="68.5"/>
    <n v="67"/>
  </r>
  <r>
    <x v="5"/>
    <x v="0"/>
    <x v="9"/>
    <s v="Pezet - VIV202510"/>
    <n v="63.7"/>
    <n v="920"/>
    <n v="16"/>
    <n v="3755725"/>
    <n v="67"/>
    <n v="71.5"/>
  </r>
  <r>
    <x v="5"/>
    <x v="0"/>
    <x v="10"/>
    <s v="Pezet - VIV202511"/>
    <n v="59.7"/>
    <n v="920"/>
    <n v="16"/>
    <n v="3732556"/>
    <n v="67.5"/>
    <n v="69.5"/>
  </r>
  <r>
    <x v="5"/>
    <x v="0"/>
    <x v="11"/>
    <s v="Pezet - VIV202512"/>
    <n v="63.9"/>
    <n v="920"/>
    <n v="16"/>
    <n v="4322796"/>
    <n v="69"/>
    <n v="72.5"/>
  </r>
  <r>
    <x v="5"/>
    <x v="1"/>
    <x v="0"/>
    <s v="Pezet - VIV20261"/>
    <n v="57.6"/>
    <n v="920"/>
    <n v="16"/>
    <n v="3719663"/>
    <n v="67.5"/>
    <n v="67"/>
  </r>
  <r>
    <x v="5"/>
    <x v="1"/>
    <x v="1"/>
    <s v="Pezet - VIV20262"/>
    <n v="59.1"/>
    <n v="920"/>
    <n v="16"/>
    <n v="3462166"/>
    <n v="67.5"/>
    <n v="67"/>
  </r>
  <r>
    <x v="5"/>
    <x v="1"/>
    <x v="2"/>
    <s v="Pezet - VIV20263"/>
    <n v="58.4"/>
    <n v="920"/>
    <n v="16"/>
    <n v="3979052"/>
    <n v="67.5"/>
    <n v="66.5"/>
  </r>
  <r>
    <x v="5"/>
    <x v="1"/>
    <x v="3"/>
    <s v="Pezet - VIV20264"/>
    <n v="58.4"/>
    <n v="920"/>
    <n v="16"/>
    <n v="3673070"/>
    <n v="67.5"/>
    <n v="66"/>
  </r>
  <r>
    <x v="5"/>
    <x v="1"/>
    <x v="4"/>
    <s v="Pezet - VIV20265"/>
    <n v="58.3"/>
    <n v="920"/>
    <n v="16"/>
    <n v="3684960"/>
    <n v="67.5"/>
    <n v="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4131A-4E37-4B63-8FAD-7DBC9F01F8E9}" name="TablaDinámica3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44:R51" firstHeaderRow="0" firstDataRow="1" firstDataCol="1"/>
  <pivotFields count="10"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dataField="1" numFmtId="164" showAll="0"/>
    <pivotField showAll="0"/>
    <pivotField dataField="1" numFmtId="164" showAll="0"/>
    <pivotField dataField="1" showAll="0"/>
    <pivotField dataField="1" showAll="0"/>
  </pivotFields>
  <rowFields count="3">
    <field x="0"/>
    <field x="1"/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Promedio de venta" fld="7" subtotal="average" baseField="0" baseItem="0" numFmtId="164"/>
    <dataField name="Promedio de Suma de MT2_2" fld="5" subtotal="average" baseField="0" baseItem="0" numFmtId="164"/>
    <dataField name="Promedio de CAPO" fld="8" subtotal="average" baseField="0" baseItem="1"/>
    <dataField name="Promedio de CAPE" fld="9" subtotal="average" baseField="0" baseItem="1"/>
    <dataField name="Promedio de jeq" fld="4" subtotal="average" baseField="2" baseItem="2"/>
  </dataFields>
  <formats count="6">
    <format dxfId="36">
      <pivotArea dataOnly="0" outline="0" fieldPosition="0">
        <references count="1">
          <reference field="4294967294" count="2">
            <x v="2"/>
            <x v="3"/>
          </reference>
        </references>
      </pivotArea>
    </format>
    <format dxfId="37">
      <pivotArea collapsedLevelsAreSubtotals="1" fieldPosition="0">
        <references count="1">
          <reference field="0" count="1">
            <x v="2"/>
          </reference>
        </references>
      </pivotArea>
    </format>
    <format dxfId="38">
      <pivotArea dataOnly="0" labelOnly="1" fieldPosition="0">
        <references count="1">
          <reference field="0" count="1">
            <x v="2"/>
          </reference>
        </references>
      </pivotArea>
    </format>
    <format dxfId="39">
      <pivotArea dataOnly="0" outline="0" fieldPosition="0">
        <references count="1">
          <reference field="4294967294" count="1">
            <x v="4"/>
          </reference>
        </references>
      </pivotArea>
    </format>
    <format dxfId="27">
      <pivotArea collapsedLevelsAreSubtotals="1" fieldPosition="0">
        <references count="1">
          <reference field="0" count="1">
            <x v="4"/>
          </reference>
        </references>
      </pivotArea>
    </format>
    <format dxfId="26">
      <pivotArea dataOnly="0" labelOnly="1" fieldPosition="0">
        <references count="1">
          <reference field="0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6A35C-F57D-4C5E-ACA1-F86C1F150464}" name="TablaDinámica1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10:R17" firstHeaderRow="0" firstDataRow="1" firstDataCol="1"/>
  <pivotFields count="10"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dataField="1" numFmtId="164" showAll="0"/>
    <pivotField showAll="0"/>
    <pivotField dataField="1" numFmtId="164" showAll="0"/>
    <pivotField dataField="1" showAll="0"/>
    <pivotField dataField="1" showAll="0"/>
  </pivotFields>
  <rowFields count="3">
    <field x="0"/>
    <field x="1"/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Promedio de venta" fld="7" subtotal="average" baseField="0" baseItem="0" numFmtId="164"/>
    <dataField name="Promedio de Suma de MT2_2" fld="5" subtotal="average" baseField="0" baseItem="0" numFmtId="164"/>
    <dataField name="Promedio de CAPO" fld="8" subtotal="average" baseField="0" baseItem="1"/>
    <dataField name="Promedio de CAPE" fld="9" subtotal="average" baseField="0" baseItem="1"/>
    <dataField name="Promedio de jeq" fld="4" subtotal="average" baseField="2" baseItem="2"/>
  </dataFields>
  <formats count="13">
    <format dxfId="40">
      <pivotArea dataOnly="0" outline="0" fieldPosition="0">
        <references count="1">
          <reference field="4294967294" count="2">
            <x v="2"/>
            <x v="3"/>
          </reference>
        </references>
      </pivotArea>
    </format>
    <format dxfId="41">
      <pivotArea collapsedLevelsAreSubtotals="1" fieldPosition="0">
        <references count="1">
          <reference field="0" count="1">
            <x v="2"/>
          </reference>
        </references>
      </pivotArea>
    </format>
    <format dxfId="42">
      <pivotArea dataOnly="0" labelOnly="1" fieldPosition="0">
        <references count="1">
          <reference field="0" count="1">
            <x v="2"/>
          </reference>
        </references>
      </pivotArea>
    </format>
    <format dxfId="43">
      <pivotArea dataOnly="0" outline="0" fieldPosition="0">
        <references count="1">
          <reference field="4294967294" count="1">
            <x v="4"/>
          </reference>
        </references>
      </pivotArea>
    </format>
    <format dxfId="21">
      <pivotArea collapsedLevelsAreSubtotals="1" fieldPosition="0">
        <references count="4">
          <reference field="4294967294" count="1" selected="0">
            <x v="3"/>
          </reference>
          <reference field="0" count="1" selected="0">
            <x v="4"/>
          </reference>
          <reference field="1" count="1" selected="0">
            <x v="1"/>
          </reference>
          <reference field="2" count="1">
            <x v="4"/>
          </reference>
        </references>
      </pivotArea>
    </format>
    <format dxfId="20">
      <pivotArea collapsedLevelsAreSubtotals="1" fieldPosition="0">
        <references count="4">
          <reference field="4294967294" count="1" selected="0">
            <x v="3"/>
          </reference>
          <reference field="0" count="1" selected="0">
            <x v="4"/>
          </reference>
          <reference field="1" count="1" selected="0">
            <x v="1"/>
          </reference>
          <reference field="2" count="1">
            <x v="4"/>
          </reference>
        </references>
      </pivotArea>
    </format>
    <format dxfId="19">
      <pivotArea collapsedLevelsAreSubtotals="1" fieldPosition="0">
        <references count="4">
          <reference field="4294967294" count="1" selected="0">
            <x v="3"/>
          </reference>
          <reference field="0" count="1" selected="0">
            <x v="4"/>
          </reference>
          <reference field="1" count="1" selected="0">
            <x v="1"/>
          </reference>
          <reference field="2" count="1">
            <x v="4"/>
          </reference>
        </references>
      </pivotArea>
    </format>
    <format dxfId="18">
      <pivotArea collapsedLevelsAreSubtotals="1" fieldPosition="0">
        <references count="4">
          <reference field="4294967294" count="1" selected="0">
            <x v="3"/>
          </reference>
          <reference field="0" count="1" selected="0">
            <x v="4"/>
          </reference>
          <reference field="1" count="1" selected="0">
            <x v="1"/>
          </reference>
          <reference field="2" count="1">
            <x v="3"/>
          </reference>
        </references>
      </pivotArea>
    </format>
    <format dxfId="17">
      <pivotArea collapsedLevelsAreSubtotals="1" fieldPosition="0">
        <references count="4">
          <reference field="4294967294" count="1" selected="0">
            <x v="3"/>
          </reference>
          <reference field="0" count="1" selected="0">
            <x v="4"/>
          </reference>
          <reference field="1" count="1" selected="0">
            <x v="1"/>
          </reference>
          <reference field="2" count="1">
            <x v="3"/>
          </reference>
        </references>
      </pivotArea>
    </format>
    <format dxfId="16">
      <pivotArea collapsedLevelsAreSubtotals="1" fieldPosition="0">
        <references count="4">
          <reference field="4294967294" count="1" selected="0">
            <x v="3"/>
          </reference>
          <reference field="0" count="1" selected="0">
            <x v="4"/>
          </reference>
          <reference field="1" count="1" selected="0">
            <x v="1"/>
          </reference>
          <reference field="2" count="1">
            <x v="3"/>
          </reference>
        </references>
      </pivotArea>
    </format>
    <format dxfId="15">
      <pivotArea collapsedLevelsAreSubtotals="1" fieldPosition="0">
        <references count="4">
          <reference field="4294967294" count="1" selected="0">
            <x v="3"/>
          </reference>
          <reference field="0" count="1" selected="0">
            <x v="4"/>
          </reference>
          <reference field="1" count="1" selected="0">
            <x v="0"/>
          </reference>
          <reference field="2" count="1">
            <x v="3"/>
          </reference>
        </references>
      </pivotArea>
    </format>
    <format dxfId="14">
      <pivotArea collapsedLevelsAreSubtotals="1" fieldPosition="0">
        <references count="4">
          <reference field="4294967294" count="1" selected="0">
            <x v="3"/>
          </reference>
          <reference field="0" count="1" selected="0">
            <x v="4"/>
          </reference>
          <reference field="1" count="1" selected="0">
            <x v="0"/>
          </reference>
          <reference field="2" count="1">
            <x v="3"/>
          </reference>
        </references>
      </pivotArea>
    </format>
    <format dxfId="13">
      <pivotArea collapsedLevelsAreSubtotals="1" fieldPosition="0">
        <references count="4">
          <reference field="4294967294" count="1" selected="0">
            <x v="3"/>
          </reference>
          <reference field="0" count="1" selected="0">
            <x v="4"/>
          </reference>
          <reference field="1" count="1" selected="0">
            <x v="0"/>
          </reference>
          <reference field="2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4888-60A8-470A-B2B2-CFC64886FDC6}">
  <dimension ref="A1:W122"/>
  <sheetViews>
    <sheetView tabSelected="1" topLeftCell="K49" zoomScale="130" zoomScaleNormal="130" workbookViewId="0">
      <selection activeCell="P67" sqref="P67:Q67"/>
    </sheetView>
  </sheetViews>
  <sheetFormatPr baseColWidth="10" defaultRowHeight="14.4"/>
  <cols>
    <col min="1" max="1" width="26.109375" customWidth="1"/>
    <col min="6" max="6" width="16.5546875" style="1" customWidth="1"/>
    <col min="8" max="8" width="12.77734375" style="1" bestFit="1" customWidth="1"/>
    <col min="9" max="10" width="11.5546875" style="1"/>
    <col min="13" max="13" width="18.6640625" bestFit="1" customWidth="1"/>
    <col min="14" max="14" width="17.109375" bestFit="1" customWidth="1"/>
    <col min="15" max="15" width="26.109375" bestFit="1" customWidth="1"/>
    <col min="16" max="16" width="18.44140625" bestFit="1" customWidth="1"/>
    <col min="17" max="17" width="18.109375" bestFit="1" customWidth="1"/>
    <col min="18" max="18" width="16.33203125" bestFit="1" customWidth="1"/>
    <col min="19" max="19" width="17.44140625" customWidth="1"/>
  </cols>
  <sheetData>
    <row r="1" spans="1:23">
      <c r="A1" t="s">
        <v>0</v>
      </c>
      <c r="B1" t="s">
        <v>1</v>
      </c>
      <c r="C1" t="s">
        <v>2</v>
      </c>
      <c r="D1" t="s">
        <v>114</v>
      </c>
      <c r="E1" t="s">
        <v>115</v>
      </c>
      <c r="F1" s="1" t="s">
        <v>3</v>
      </c>
      <c r="G1" t="s">
        <v>4</v>
      </c>
      <c r="H1" s="1" t="s">
        <v>5</v>
      </c>
      <c r="I1" s="1" t="s">
        <v>6</v>
      </c>
      <c r="J1" s="1" t="s">
        <v>7</v>
      </c>
      <c r="K1" s="1"/>
    </row>
    <row r="2" spans="1:23">
      <c r="A2" t="s">
        <v>9</v>
      </c>
      <c r="B2">
        <v>2025</v>
      </c>
      <c r="C2">
        <v>1</v>
      </c>
      <c r="D2" t="str">
        <f>+A2&amp;B2&amp;C2</f>
        <v>Benavides - VIV20251</v>
      </c>
      <c r="E2">
        <v>54.6</v>
      </c>
      <c r="F2" s="1">
        <v>1238</v>
      </c>
      <c r="G2">
        <v>18</v>
      </c>
      <c r="H2" s="1">
        <v>3197874</v>
      </c>
      <c r="I2" s="1">
        <v>67</v>
      </c>
      <c r="J2" s="1">
        <v>64</v>
      </c>
    </row>
    <row r="3" spans="1:23">
      <c r="A3" t="s">
        <v>9</v>
      </c>
      <c r="B3">
        <v>2025</v>
      </c>
      <c r="C3">
        <v>2</v>
      </c>
      <c r="D3" t="str">
        <f t="shared" ref="D3:D66" si="0">+A3&amp;B3&amp;C3</f>
        <v>Benavides - VIV20252</v>
      </c>
      <c r="E3">
        <v>52.8</v>
      </c>
      <c r="F3" s="1">
        <v>1238</v>
      </c>
      <c r="G3">
        <v>18</v>
      </c>
      <c r="H3" s="1">
        <v>3045628</v>
      </c>
      <c r="I3" s="1">
        <v>67</v>
      </c>
      <c r="J3" s="1">
        <v>64</v>
      </c>
    </row>
    <row r="4" spans="1:23">
      <c r="A4" t="s">
        <v>9</v>
      </c>
      <c r="B4">
        <v>2025</v>
      </c>
      <c r="C4">
        <v>3</v>
      </c>
      <c r="D4" t="str">
        <f t="shared" si="0"/>
        <v>Benavides - VIV20253</v>
      </c>
      <c r="E4">
        <v>51.4</v>
      </c>
      <c r="F4" s="1">
        <v>1238</v>
      </c>
      <c r="G4">
        <v>18</v>
      </c>
      <c r="H4" s="1">
        <v>3335318</v>
      </c>
      <c r="I4" s="1">
        <v>67</v>
      </c>
      <c r="J4" s="1">
        <v>69.5</v>
      </c>
    </row>
    <row r="5" spans="1:23">
      <c r="A5" t="s">
        <v>9</v>
      </c>
      <c r="B5">
        <v>2025</v>
      </c>
      <c r="C5">
        <v>4</v>
      </c>
      <c r="D5" t="str">
        <f t="shared" si="0"/>
        <v>Benavides - VIV20254</v>
      </c>
      <c r="E5">
        <v>57.6</v>
      </c>
      <c r="F5" s="1">
        <v>1238</v>
      </c>
      <c r="G5">
        <v>18</v>
      </c>
      <c r="H5" s="1">
        <v>3165034</v>
      </c>
      <c r="I5" s="1">
        <v>68</v>
      </c>
      <c r="J5" s="1">
        <v>66.5</v>
      </c>
    </row>
    <row r="6" spans="1:23">
      <c r="A6" t="s">
        <v>9</v>
      </c>
      <c r="B6">
        <v>2025</v>
      </c>
      <c r="C6">
        <v>5</v>
      </c>
      <c r="D6" t="str">
        <f t="shared" si="0"/>
        <v>Benavides - VIV20255</v>
      </c>
      <c r="E6">
        <v>57.8</v>
      </c>
      <c r="F6" s="1">
        <v>1238</v>
      </c>
      <c r="G6">
        <v>18</v>
      </c>
      <c r="H6" s="1">
        <v>3181146</v>
      </c>
      <c r="I6" s="1">
        <v>68</v>
      </c>
      <c r="J6" s="1">
        <v>67.5</v>
      </c>
    </row>
    <row r="7" spans="1:23">
      <c r="A7" t="s">
        <v>9</v>
      </c>
      <c r="B7">
        <v>2025</v>
      </c>
      <c r="C7">
        <v>6</v>
      </c>
      <c r="D7" t="str">
        <f t="shared" si="0"/>
        <v>Benavides - VIV20256</v>
      </c>
      <c r="E7">
        <v>58</v>
      </c>
      <c r="F7" s="1">
        <v>1238</v>
      </c>
      <c r="G7">
        <v>18</v>
      </c>
      <c r="H7" s="1">
        <v>3113046</v>
      </c>
      <c r="I7" s="1">
        <v>68</v>
      </c>
      <c r="J7" s="1">
        <v>65</v>
      </c>
    </row>
    <row r="8" spans="1:23">
      <c r="A8" t="s">
        <v>9</v>
      </c>
      <c r="B8">
        <v>2025</v>
      </c>
      <c r="C8">
        <v>7</v>
      </c>
      <c r="D8" t="str">
        <f t="shared" si="0"/>
        <v>Benavides - VIV20257</v>
      </c>
      <c r="E8">
        <v>56</v>
      </c>
      <c r="F8" s="1">
        <v>1238</v>
      </c>
      <c r="G8">
        <v>18</v>
      </c>
      <c r="H8" s="1">
        <v>3163743</v>
      </c>
      <c r="I8" s="1">
        <v>68</v>
      </c>
      <c r="J8" s="1">
        <v>60.5</v>
      </c>
    </row>
    <row r="9" spans="1:23">
      <c r="A9" t="s">
        <v>9</v>
      </c>
      <c r="B9">
        <v>2025</v>
      </c>
      <c r="C9">
        <v>8</v>
      </c>
      <c r="D9" t="str">
        <f t="shared" si="0"/>
        <v>Benavides - VIV20258</v>
      </c>
      <c r="E9">
        <v>54.7</v>
      </c>
      <c r="F9" s="1">
        <v>1238</v>
      </c>
      <c r="G9">
        <v>18</v>
      </c>
      <c r="H9" s="1">
        <v>3195837</v>
      </c>
      <c r="I9" s="1">
        <v>68</v>
      </c>
      <c r="J9" s="1">
        <v>62</v>
      </c>
    </row>
    <row r="10" spans="1:23">
      <c r="A10" t="s">
        <v>9</v>
      </c>
      <c r="B10">
        <v>2025</v>
      </c>
      <c r="C10">
        <v>9</v>
      </c>
      <c r="D10" t="str">
        <f t="shared" si="0"/>
        <v>Benavides - VIV20259</v>
      </c>
      <c r="E10">
        <v>54.9</v>
      </c>
      <c r="F10" s="1">
        <v>1238</v>
      </c>
      <c r="G10">
        <v>18</v>
      </c>
      <c r="H10" s="1">
        <v>3015727</v>
      </c>
      <c r="I10" s="1">
        <v>68</v>
      </c>
      <c r="J10" s="1">
        <v>61</v>
      </c>
      <c r="M10" s="2" t="s">
        <v>16</v>
      </c>
      <c r="N10" t="s">
        <v>18</v>
      </c>
      <c r="O10" t="s">
        <v>19</v>
      </c>
      <c r="P10" s="5" t="s">
        <v>20</v>
      </c>
      <c r="Q10" s="5" t="s">
        <v>21</v>
      </c>
      <c r="R10" s="5" t="s">
        <v>182</v>
      </c>
      <c r="S10" t="s">
        <v>22</v>
      </c>
      <c r="T10" t="s">
        <v>23</v>
      </c>
    </row>
    <row r="11" spans="1:23">
      <c r="A11" t="s">
        <v>9</v>
      </c>
      <c r="B11">
        <v>2025</v>
      </c>
      <c r="C11">
        <v>10</v>
      </c>
      <c r="D11" t="str">
        <f t="shared" si="0"/>
        <v>Benavides - VIV202510</v>
      </c>
      <c r="E11">
        <v>60.6</v>
      </c>
      <c r="F11" s="1">
        <v>1238</v>
      </c>
      <c r="G11">
        <v>18</v>
      </c>
      <c r="H11" s="1">
        <v>3131366</v>
      </c>
      <c r="I11" s="1">
        <v>68</v>
      </c>
      <c r="J11" s="1">
        <v>68.5</v>
      </c>
      <c r="M11" s="3" t="s">
        <v>9</v>
      </c>
      <c r="N11" s="4">
        <v>3108017.0588235296</v>
      </c>
      <c r="O11" s="4">
        <v>1238</v>
      </c>
      <c r="P11" s="5">
        <v>67.17647058823529</v>
      </c>
      <c r="Q11" s="5">
        <v>66.705882352941174</v>
      </c>
      <c r="R11" s="5">
        <v>57.311764705882354</v>
      </c>
      <c r="S11" s="20">
        <f>+N11/O11</f>
        <v>2510.514587094935</v>
      </c>
      <c r="T11">
        <f>O11/Q11</f>
        <v>18.559082892416228</v>
      </c>
      <c r="U11" s="5">
        <f>+N11/R11</f>
        <v>54230.001026377919</v>
      </c>
      <c r="V11">
        <f>O11/R11</f>
        <v>21.60114954326183</v>
      </c>
      <c r="W11" s="5">
        <f>+Q11/R11</f>
        <v>1.1639125526018679</v>
      </c>
    </row>
    <row r="12" spans="1:23">
      <c r="A12" t="s">
        <v>9</v>
      </c>
      <c r="B12">
        <v>2025</v>
      </c>
      <c r="C12">
        <v>11</v>
      </c>
      <c r="D12" t="str">
        <f t="shared" si="0"/>
        <v>Benavides - VIV202511</v>
      </c>
      <c r="E12">
        <v>59.5</v>
      </c>
      <c r="F12" s="1">
        <v>1238</v>
      </c>
      <c r="G12">
        <v>18</v>
      </c>
      <c r="H12" s="1">
        <v>3117185</v>
      </c>
      <c r="I12" s="1">
        <v>68</v>
      </c>
      <c r="J12" s="1">
        <v>69</v>
      </c>
      <c r="M12" s="3" t="s">
        <v>10</v>
      </c>
      <c r="N12" s="4">
        <v>2676281.1764705884</v>
      </c>
      <c r="O12" s="4">
        <v>1184</v>
      </c>
      <c r="P12" s="5">
        <v>59.147058823529413</v>
      </c>
      <c r="Q12" s="5">
        <v>59.382352941176471</v>
      </c>
      <c r="R12" s="5">
        <v>51.170588235294126</v>
      </c>
      <c r="S12" s="20">
        <f>+N12/O12</f>
        <v>2260.3726152623212</v>
      </c>
      <c r="T12">
        <f>O12/Q12</f>
        <v>19.938583457157009</v>
      </c>
      <c r="U12" s="5">
        <f>+N12/R12</f>
        <v>52301.16105299459</v>
      </c>
      <c r="V12">
        <f>O12/R12</f>
        <v>23.138291757673294</v>
      </c>
      <c r="W12" s="5">
        <f t="shared" ref="W12:W16" si="1">+Q12/R12</f>
        <v>1.1604782158868834</v>
      </c>
    </row>
    <row r="13" spans="1:23">
      <c r="A13" t="s">
        <v>9</v>
      </c>
      <c r="B13">
        <v>2025</v>
      </c>
      <c r="C13">
        <v>12</v>
      </c>
      <c r="D13" t="str">
        <f t="shared" si="0"/>
        <v>Benavides - VIV202512</v>
      </c>
      <c r="E13">
        <v>64.400000000000006</v>
      </c>
      <c r="F13" s="1">
        <v>1238</v>
      </c>
      <c r="G13">
        <v>18</v>
      </c>
      <c r="H13" s="1">
        <v>3697500</v>
      </c>
      <c r="I13" s="1">
        <v>69.5</v>
      </c>
      <c r="J13" s="1">
        <v>73</v>
      </c>
      <c r="M13" s="11" t="s">
        <v>11</v>
      </c>
      <c r="N13" s="9">
        <v>3206554.75</v>
      </c>
      <c r="O13" s="9">
        <v>1152</v>
      </c>
      <c r="P13" s="10">
        <v>62.8125</v>
      </c>
      <c r="Q13" s="10">
        <v>61.3125</v>
      </c>
      <c r="R13" s="10">
        <v>54.237500000000004</v>
      </c>
      <c r="S13" s="20">
        <f>+N13/O13</f>
        <v>2783.4676649305557</v>
      </c>
      <c r="T13">
        <f>O13/Q13</f>
        <v>18.788990825688074</v>
      </c>
      <c r="U13" s="5">
        <f>+N13/R13</f>
        <v>59120.62226319428</v>
      </c>
      <c r="V13">
        <f>O13/R13</f>
        <v>21.239917031574095</v>
      </c>
      <c r="W13" s="5">
        <f t="shared" si="1"/>
        <v>1.1304448029499883</v>
      </c>
    </row>
    <row r="14" spans="1:23">
      <c r="A14" t="s">
        <v>9</v>
      </c>
      <c r="B14">
        <v>2026</v>
      </c>
      <c r="C14">
        <v>1</v>
      </c>
      <c r="D14" t="str">
        <f t="shared" si="0"/>
        <v>Benavides - VIV20261</v>
      </c>
      <c r="E14">
        <v>55.7</v>
      </c>
      <c r="F14" s="1">
        <v>1238</v>
      </c>
      <c r="G14">
        <v>18</v>
      </c>
      <c r="H14" s="1">
        <v>3274355</v>
      </c>
      <c r="I14" s="1">
        <v>65.5</v>
      </c>
      <c r="J14" s="1">
        <v>67</v>
      </c>
      <c r="M14" s="3" t="s">
        <v>12</v>
      </c>
      <c r="N14" s="4">
        <v>2688675.3529411764</v>
      </c>
      <c r="O14" s="4">
        <v>1167</v>
      </c>
      <c r="P14" s="5">
        <v>59.970588235294116</v>
      </c>
      <c r="Q14" s="5">
        <v>56.088235294117645</v>
      </c>
      <c r="R14" s="5">
        <v>50.264705882352942</v>
      </c>
      <c r="S14" s="20">
        <f>+N14/O14</f>
        <v>2303.920610917889</v>
      </c>
      <c r="T14">
        <f>O14/Q14</f>
        <v>20.806502359727322</v>
      </c>
      <c r="U14" s="5">
        <f>+N14/R14</f>
        <v>53490.322995904033</v>
      </c>
      <c r="V14">
        <f>O14/R14</f>
        <v>23.217086015213575</v>
      </c>
      <c r="W14" s="5">
        <f t="shared" si="1"/>
        <v>1.1158572264482152</v>
      </c>
    </row>
    <row r="15" spans="1:23">
      <c r="A15" t="s">
        <v>9</v>
      </c>
      <c r="B15">
        <v>2026</v>
      </c>
      <c r="C15">
        <v>2</v>
      </c>
      <c r="D15" t="str">
        <f t="shared" si="0"/>
        <v>Benavides - VIV20262</v>
      </c>
      <c r="E15">
        <v>50.8</v>
      </c>
      <c r="F15" s="1">
        <v>1238</v>
      </c>
      <c r="G15">
        <v>18</v>
      </c>
      <c r="H15" s="1">
        <v>1387612</v>
      </c>
      <c r="I15" s="1">
        <v>65.5</v>
      </c>
      <c r="J15" s="1">
        <v>68</v>
      </c>
      <c r="M15" s="3" t="s">
        <v>13</v>
      </c>
      <c r="N15" s="4">
        <v>5415617.823529412</v>
      </c>
      <c r="O15" s="4">
        <v>918</v>
      </c>
      <c r="P15" s="5">
        <v>95.441176470588232</v>
      </c>
      <c r="Q15" s="5">
        <v>91.764705882352942</v>
      </c>
      <c r="R15" s="5">
        <v>78.92352941176469</v>
      </c>
      <c r="S15" s="41">
        <f>+N15/O15</f>
        <v>5899.3658208381394</v>
      </c>
      <c r="T15">
        <f>O15/Q15</f>
        <v>10.003846153846153</v>
      </c>
      <c r="U15" s="5">
        <f>+N15/R15</f>
        <v>68618.545874636678</v>
      </c>
      <c r="V15">
        <f>O15/R15</f>
        <v>11.631512260564957</v>
      </c>
      <c r="W15" s="5">
        <f t="shared" si="1"/>
        <v>1.162704032197958</v>
      </c>
    </row>
    <row r="16" spans="1:23">
      <c r="A16" t="s">
        <v>9</v>
      </c>
      <c r="B16">
        <v>2026</v>
      </c>
      <c r="C16">
        <v>3</v>
      </c>
      <c r="D16" t="str">
        <f t="shared" si="0"/>
        <v>Benavides - VIV20263</v>
      </c>
      <c r="E16">
        <v>63.3</v>
      </c>
      <c r="F16" s="1">
        <v>1238</v>
      </c>
      <c r="G16">
        <v>18</v>
      </c>
      <c r="H16" s="1">
        <v>3225829</v>
      </c>
      <c r="I16" s="1">
        <v>65.5</v>
      </c>
      <c r="J16" s="1">
        <v>73</v>
      </c>
      <c r="M16" s="3" t="s">
        <v>15</v>
      </c>
      <c r="N16" s="4">
        <v>3611071.588235294</v>
      </c>
      <c r="O16" s="4">
        <v>920</v>
      </c>
      <c r="P16" s="5">
        <v>68.5</v>
      </c>
      <c r="Q16" s="5">
        <v>68.32352941176471</v>
      </c>
      <c r="R16" s="5">
        <v>59.788235294117648</v>
      </c>
      <c r="S16" s="41">
        <f>+N16/O16</f>
        <v>3925.0778132992327</v>
      </c>
      <c r="T16">
        <f>O16/Q16</f>
        <v>13.465346534653465</v>
      </c>
      <c r="U16" s="5">
        <f>+N16/R16</f>
        <v>60397.694805194806</v>
      </c>
      <c r="V16">
        <f>O16/R16</f>
        <v>15.387642660369933</v>
      </c>
      <c r="W16" s="5">
        <f t="shared" si="1"/>
        <v>1.14275875639512</v>
      </c>
    </row>
    <row r="17" spans="1:21">
      <c r="A17" t="s">
        <v>9</v>
      </c>
      <c r="B17">
        <v>2026</v>
      </c>
      <c r="C17">
        <v>4</v>
      </c>
      <c r="D17" t="str">
        <f t="shared" si="0"/>
        <v>Benavides - VIV20264</v>
      </c>
      <c r="E17">
        <v>65.099999999999994</v>
      </c>
      <c r="F17" s="1">
        <v>1238</v>
      </c>
      <c r="G17">
        <v>18</v>
      </c>
      <c r="H17" s="1">
        <v>3209610</v>
      </c>
      <c r="I17" s="1">
        <v>65.5</v>
      </c>
      <c r="J17" s="1">
        <v>71.5</v>
      </c>
      <c r="M17" s="3" t="s">
        <v>17</v>
      </c>
      <c r="N17" s="4">
        <v>3474695.7956989249</v>
      </c>
      <c r="O17" s="4">
        <v>1091.1290322580646</v>
      </c>
      <c r="P17" s="5">
        <v>69.424731182795696</v>
      </c>
      <c r="Q17" s="5">
        <v>67.838709677419359</v>
      </c>
      <c r="R17" s="5">
        <v>59.03978494623658</v>
      </c>
      <c r="S17" s="5"/>
      <c r="U17" s="5"/>
    </row>
    <row r="18" spans="1:21">
      <c r="A18" t="s">
        <v>9</v>
      </c>
      <c r="B18">
        <v>2026</v>
      </c>
      <c r="C18">
        <v>5</v>
      </c>
      <c r="D18" t="str">
        <f t="shared" si="0"/>
        <v>Benavides - VIV20265</v>
      </c>
      <c r="E18">
        <v>57.1</v>
      </c>
      <c r="F18" s="1">
        <v>1238</v>
      </c>
      <c r="G18">
        <v>18</v>
      </c>
      <c r="H18" s="1">
        <v>3379480</v>
      </c>
      <c r="I18" s="1">
        <v>65.5</v>
      </c>
      <c r="J18" s="1">
        <v>64</v>
      </c>
      <c r="S18" s="5"/>
      <c r="U18" s="5"/>
    </row>
    <row r="19" spans="1:21">
      <c r="A19" t="s">
        <v>10</v>
      </c>
      <c r="B19">
        <v>2025</v>
      </c>
      <c r="C19">
        <v>1</v>
      </c>
      <c r="D19" t="str">
        <f t="shared" si="0"/>
        <v>Dos de Mayo - VIV20251</v>
      </c>
      <c r="E19">
        <v>56.8</v>
      </c>
      <c r="F19" s="1">
        <v>1184</v>
      </c>
      <c r="G19">
        <v>19</v>
      </c>
      <c r="H19" s="1">
        <v>2511906</v>
      </c>
      <c r="I19" s="1">
        <v>58.5</v>
      </c>
      <c r="J19" s="1">
        <v>64</v>
      </c>
      <c r="S19" s="5"/>
      <c r="U19" s="5"/>
    </row>
    <row r="20" spans="1:21">
      <c r="A20" t="s">
        <v>10</v>
      </c>
      <c r="B20">
        <v>2025</v>
      </c>
      <c r="C20">
        <v>2</v>
      </c>
      <c r="D20" t="str">
        <f t="shared" si="0"/>
        <v>Dos de Mayo - VIV20252</v>
      </c>
      <c r="E20">
        <v>55.9</v>
      </c>
      <c r="F20" s="1">
        <v>1184</v>
      </c>
      <c r="G20">
        <v>19</v>
      </c>
      <c r="H20" s="1">
        <v>2559403</v>
      </c>
      <c r="I20" s="1">
        <v>59.5</v>
      </c>
      <c r="J20" s="1">
        <v>64.5</v>
      </c>
      <c r="S20" s="5"/>
      <c r="U20" s="5"/>
    </row>
    <row r="21" spans="1:21">
      <c r="A21" t="s">
        <v>10</v>
      </c>
      <c r="B21">
        <v>2025</v>
      </c>
      <c r="C21">
        <v>3</v>
      </c>
      <c r="D21" t="str">
        <f t="shared" si="0"/>
        <v>Dos de Mayo - VIV20253</v>
      </c>
      <c r="E21">
        <v>58.7</v>
      </c>
      <c r="F21" s="1">
        <v>1184</v>
      </c>
      <c r="G21">
        <v>19</v>
      </c>
      <c r="H21" s="1">
        <v>2762190</v>
      </c>
      <c r="I21" s="1">
        <v>59.5</v>
      </c>
      <c r="J21" s="1">
        <v>71</v>
      </c>
      <c r="S21" s="5"/>
      <c r="U21" s="5"/>
    </row>
    <row r="22" spans="1:21">
      <c r="A22" t="s">
        <v>10</v>
      </c>
      <c r="B22">
        <v>2025</v>
      </c>
      <c r="C22">
        <v>4</v>
      </c>
      <c r="D22" t="str">
        <f t="shared" si="0"/>
        <v>Dos de Mayo - VIV20254</v>
      </c>
      <c r="E22">
        <v>53.5</v>
      </c>
      <c r="F22" s="1">
        <v>1184</v>
      </c>
      <c r="G22">
        <v>19</v>
      </c>
      <c r="H22" s="1">
        <v>2565007</v>
      </c>
      <c r="I22" s="1">
        <v>59</v>
      </c>
      <c r="J22" s="1">
        <v>63</v>
      </c>
      <c r="S22" s="5"/>
      <c r="U22" s="5"/>
    </row>
    <row r="23" spans="1:21">
      <c r="A23" t="s">
        <v>10</v>
      </c>
      <c r="B23">
        <v>2025</v>
      </c>
      <c r="C23">
        <v>5</v>
      </c>
      <c r="D23" t="str">
        <f t="shared" si="0"/>
        <v>Dos de Mayo - VIV20255</v>
      </c>
      <c r="E23">
        <v>53.2</v>
      </c>
      <c r="F23" s="1">
        <v>1184</v>
      </c>
      <c r="G23">
        <v>19</v>
      </c>
      <c r="H23" s="1">
        <v>2640971</v>
      </c>
      <c r="I23" s="1">
        <v>59</v>
      </c>
      <c r="J23" s="1">
        <v>60</v>
      </c>
      <c r="S23" s="5"/>
      <c r="U23" s="5"/>
    </row>
    <row r="24" spans="1:21">
      <c r="A24" t="s">
        <v>10</v>
      </c>
      <c r="B24">
        <v>2025</v>
      </c>
      <c r="C24">
        <v>6</v>
      </c>
      <c r="D24" t="str">
        <f t="shared" si="0"/>
        <v>Dos de Mayo - VIV20256</v>
      </c>
      <c r="E24">
        <v>48.2</v>
      </c>
      <c r="F24" s="1">
        <v>1184</v>
      </c>
      <c r="G24">
        <v>19</v>
      </c>
      <c r="H24" s="1">
        <v>2482002</v>
      </c>
      <c r="I24" s="1">
        <v>59</v>
      </c>
      <c r="J24" s="1">
        <v>55</v>
      </c>
      <c r="S24" s="5"/>
      <c r="U24" s="5"/>
    </row>
    <row r="25" spans="1:21">
      <c r="A25" t="s">
        <v>10</v>
      </c>
      <c r="B25">
        <v>2025</v>
      </c>
      <c r="C25">
        <v>7</v>
      </c>
      <c r="D25" t="str">
        <f t="shared" si="0"/>
        <v>Dos de Mayo - VIV20257</v>
      </c>
      <c r="E25">
        <v>47.8</v>
      </c>
      <c r="F25" s="1">
        <v>1184</v>
      </c>
      <c r="G25">
        <v>19</v>
      </c>
      <c r="H25" s="1">
        <v>2573263</v>
      </c>
      <c r="I25" s="1">
        <v>59</v>
      </c>
      <c r="J25" s="1">
        <v>53.5</v>
      </c>
      <c r="S25" s="5"/>
      <c r="U25" s="5"/>
    </row>
    <row r="26" spans="1:21">
      <c r="A26" t="s">
        <v>10</v>
      </c>
      <c r="B26">
        <v>2025</v>
      </c>
      <c r="C26">
        <v>8</v>
      </c>
      <c r="D26" t="str">
        <f t="shared" si="0"/>
        <v>Dos de Mayo - VIV20258</v>
      </c>
      <c r="E26">
        <v>44.9</v>
      </c>
      <c r="F26" s="1">
        <v>1184</v>
      </c>
      <c r="G26">
        <v>19</v>
      </c>
      <c r="H26" s="1">
        <v>2669829</v>
      </c>
      <c r="I26" s="1">
        <v>59.5</v>
      </c>
      <c r="J26" s="1">
        <v>54</v>
      </c>
      <c r="S26" s="5"/>
      <c r="U26" s="5"/>
    </row>
    <row r="27" spans="1:21">
      <c r="A27" t="s">
        <v>10</v>
      </c>
      <c r="B27">
        <v>2025</v>
      </c>
      <c r="C27">
        <v>9</v>
      </c>
      <c r="D27" t="str">
        <f t="shared" si="0"/>
        <v>Dos de Mayo - VIV20259</v>
      </c>
      <c r="E27">
        <v>45.9</v>
      </c>
      <c r="F27" s="1">
        <v>1184</v>
      </c>
      <c r="G27">
        <v>19</v>
      </c>
      <c r="H27" s="1">
        <v>2492819</v>
      </c>
      <c r="I27" s="1">
        <v>59.5</v>
      </c>
      <c r="J27" s="1">
        <v>52</v>
      </c>
      <c r="S27" s="5"/>
      <c r="U27" s="5"/>
    </row>
    <row r="28" spans="1:21">
      <c r="A28" t="s">
        <v>10</v>
      </c>
      <c r="B28">
        <v>2025</v>
      </c>
      <c r="C28">
        <v>10</v>
      </c>
      <c r="D28" t="str">
        <f t="shared" si="0"/>
        <v>Dos de Mayo - VIV202510</v>
      </c>
      <c r="E28">
        <v>48.8</v>
      </c>
      <c r="F28" s="1">
        <v>1184</v>
      </c>
      <c r="G28">
        <v>19</v>
      </c>
      <c r="H28" s="1">
        <v>2662103</v>
      </c>
      <c r="I28" s="1">
        <v>59.5</v>
      </c>
      <c r="J28" s="1">
        <v>57.5</v>
      </c>
      <c r="S28" s="5"/>
      <c r="U28" s="5"/>
    </row>
    <row r="29" spans="1:21">
      <c r="A29" t="s">
        <v>10</v>
      </c>
      <c r="B29">
        <v>2025</v>
      </c>
      <c r="C29">
        <v>11</v>
      </c>
      <c r="D29" t="str">
        <f t="shared" si="0"/>
        <v>Dos de Mayo - VIV202511</v>
      </c>
      <c r="E29">
        <v>50.7</v>
      </c>
      <c r="F29" s="1">
        <v>1184</v>
      </c>
      <c r="G29">
        <v>19</v>
      </c>
      <c r="H29" s="1">
        <v>2609914</v>
      </c>
      <c r="I29" s="1">
        <v>59.5</v>
      </c>
      <c r="J29" s="1">
        <v>58.5</v>
      </c>
      <c r="S29" s="5"/>
      <c r="U29" s="5"/>
    </row>
    <row r="30" spans="1:21">
      <c r="A30" t="s">
        <v>10</v>
      </c>
      <c r="B30">
        <v>2025</v>
      </c>
      <c r="C30">
        <v>12</v>
      </c>
      <c r="D30" t="str">
        <f t="shared" si="0"/>
        <v>Dos de Mayo - VIV202512</v>
      </c>
      <c r="E30">
        <v>52.1</v>
      </c>
      <c r="F30" s="1">
        <v>1184</v>
      </c>
      <c r="G30">
        <v>19</v>
      </c>
      <c r="H30" s="1">
        <v>3354155</v>
      </c>
      <c r="I30" s="1">
        <v>60.5</v>
      </c>
      <c r="J30" s="1">
        <v>60</v>
      </c>
      <c r="S30" s="5"/>
      <c r="U30" s="5"/>
    </row>
    <row r="31" spans="1:21">
      <c r="A31" t="s">
        <v>10</v>
      </c>
      <c r="B31">
        <v>2026</v>
      </c>
      <c r="C31">
        <v>1</v>
      </c>
      <c r="D31" t="str">
        <f t="shared" si="0"/>
        <v>Dos de Mayo - VIV20261</v>
      </c>
      <c r="E31">
        <v>50.1</v>
      </c>
      <c r="F31" s="1">
        <v>1184</v>
      </c>
      <c r="G31">
        <v>19</v>
      </c>
      <c r="H31" s="1">
        <v>2681978</v>
      </c>
      <c r="I31" s="1">
        <v>59</v>
      </c>
      <c r="J31" s="1">
        <v>59</v>
      </c>
      <c r="S31" s="5"/>
      <c r="U31" s="5"/>
    </row>
    <row r="32" spans="1:21">
      <c r="A32" t="s">
        <v>10</v>
      </c>
      <c r="B32">
        <v>2026</v>
      </c>
      <c r="C32">
        <v>2</v>
      </c>
      <c r="D32" t="str">
        <f t="shared" si="0"/>
        <v>Dos de Mayo - VIV20262</v>
      </c>
      <c r="E32">
        <v>52.4</v>
      </c>
      <c r="F32" s="1">
        <v>1184</v>
      </c>
      <c r="G32">
        <v>19</v>
      </c>
      <c r="H32" s="1">
        <v>2571073</v>
      </c>
      <c r="I32" s="1">
        <v>59</v>
      </c>
      <c r="J32" s="1">
        <v>62</v>
      </c>
      <c r="S32" s="5"/>
      <c r="U32" s="5"/>
    </row>
    <row r="33" spans="1:21">
      <c r="A33" t="s">
        <v>10</v>
      </c>
      <c r="B33">
        <v>2026</v>
      </c>
      <c r="C33">
        <v>3</v>
      </c>
      <c r="D33" t="str">
        <f t="shared" si="0"/>
        <v>Dos de Mayo - VIV20263</v>
      </c>
      <c r="E33">
        <v>52.1</v>
      </c>
      <c r="F33" s="1">
        <v>1184</v>
      </c>
      <c r="G33">
        <v>19</v>
      </c>
      <c r="H33" s="1">
        <v>2853791</v>
      </c>
      <c r="I33" s="1">
        <v>58.5</v>
      </c>
      <c r="J33" s="1">
        <v>59</v>
      </c>
      <c r="S33" s="5"/>
      <c r="U33" s="5"/>
    </row>
    <row r="34" spans="1:21">
      <c r="A34" t="s">
        <v>10</v>
      </c>
      <c r="B34">
        <v>2026</v>
      </c>
      <c r="C34">
        <v>4</v>
      </c>
      <c r="D34" t="str">
        <f t="shared" si="0"/>
        <v>Dos de Mayo - VIV20264</v>
      </c>
      <c r="E34">
        <v>49.6</v>
      </c>
      <c r="F34" s="1">
        <v>1184</v>
      </c>
      <c r="G34">
        <v>19</v>
      </c>
      <c r="H34" s="1">
        <v>2733988</v>
      </c>
      <c r="I34" s="1">
        <v>58.5</v>
      </c>
      <c r="J34" s="1">
        <v>58</v>
      </c>
      <c r="S34" s="5"/>
      <c r="U34" s="5"/>
    </row>
    <row r="35" spans="1:21">
      <c r="A35" t="s">
        <v>10</v>
      </c>
      <c r="B35">
        <v>2026</v>
      </c>
      <c r="C35">
        <v>5</v>
      </c>
      <c r="D35" t="str">
        <f t="shared" si="0"/>
        <v>Dos de Mayo - VIV20265</v>
      </c>
      <c r="E35">
        <v>49.2</v>
      </c>
      <c r="F35" s="1">
        <v>1184</v>
      </c>
      <c r="G35">
        <v>19</v>
      </c>
      <c r="H35" s="1">
        <v>2772388</v>
      </c>
      <c r="I35" s="1">
        <v>58.5</v>
      </c>
      <c r="J35" s="1">
        <v>58.5</v>
      </c>
      <c r="S35" s="5"/>
      <c r="U35" s="5"/>
    </row>
    <row r="36" spans="1:21">
      <c r="A36" t="s">
        <v>11</v>
      </c>
      <c r="B36">
        <v>2025</v>
      </c>
      <c r="C36">
        <v>1</v>
      </c>
      <c r="D36" t="str">
        <f t="shared" si="0"/>
        <v>Javier Prado - VIV20251</v>
      </c>
      <c r="E36">
        <v>52.9</v>
      </c>
      <c r="F36" s="1">
        <v>1152</v>
      </c>
      <c r="G36">
        <v>18</v>
      </c>
      <c r="H36" s="1">
        <v>3268596</v>
      </c>
      <c r="I36" s="1">
        <v>62.5</v>
      </c>
      <c r="J36" s="1">
        <v>61.5</v>
      </c>
      <c r="S36" s="5"/>
      <c r="U36" s="5"/>
    </row>
    <row r="37" spans="1:21">
      <c r="A37" t="s">
        <v>11</v>
      </c>
      <c r="B37">
        <v>2025</v>
      </c>
      <c r="C37">
        <v>2</v>
      </c>
      <c r="D37" t="str">
        <f t="shared" si="0"/>
        <v>Javier Prado - VIV20252</v>
      </c>
      <c r="E37">
        <v>53.4</v>
      </c>
      <c r="F37" s="1">
        <v>1152</v>
      </c>
      <c r="G37">
        <v>18</v>
      </c>
      <c r="H37" s="1">
        <v>3074727</v>
      </c>
      <c r="I37" s="1">
        <v>62.5</v>
      </c>
      <c r="J37" s="1">
        <v>60.5</v>
      </c>
      <c r="S37" s="5"/>
      <c r="U37" s="5"/>
    </row>
    <row r="38" spans="1:21">
      <c r="A38" t="s">
        <v>11</v>
      </c>
      <c r="B38">
        <v>2025</v>
      </c>
      <c r="C38">
        <v>3</v>
      </c>
      <c r="D38" t="str">
        <f t="shared" si="0"/>
        <v>Javier Prado - VIV20253</v>
      </c>
      <c r="E38">
        <v>51.3</v>
      </c>
      <c r="F38" s="1">
        <v>1152</v>
      </c>
      <c r="G38">
        <v>18</v>
      </c>
      <c r="H38" s="1">
        <v>3466723</v>
      </c>
      <c r="I38" s="1">
        <v>62.5</v>
      </c>
      <c r="J38" s="1">
        <v>59.5</v>
      </c>
      <c r="Q38" t="s">
        <v>204</v>
      </c>
      <c r="S38" s="5"/>
      <c r="U38" s="5"/>
    </row>
    <row r="39" spans="1:21">
      <c r="A39" t="s">
        <v>11</v>
      </c>
      <c r="B39">
        <v>2025</v>
      </c>
      <c r="C39">
        <v>4</v>
      </c>
      <c r="D39" t="str">
        <f t="shared" si="0"/>
        <v>Javier Prado - VIV20254</v>
      </c>
      <c r="E39">
        <v>50.7</v>
      </c>
      <c r="F39" s="1">
        <v>1152</v>
      </c>
      <c r="G39">
        <v>18</v>
      </c>
      <c r="H39" s="1">
        <v>3286679</v>
      </c>
      <c r="I39" s="1">
        <v>63</v>
      </c>
      <c r="J39" s="1">
        <v>60</v>
      </c>
      <c r="S39" s="5"/>
      <c r="U39" s="5"/>
    </row>
    <row r="40" spans="1:21">
      <c r="A40" t="s">
        <v>11</v>
      </c>
      <c r="B40">
        <v>2025</v>
      </c>
      <c r="C40">
        <v>5</v>
      </c>
      <c r="D40" t="str">
        <f t="shared" si="0"/>
        <v>Javier Prado - VIV20255</v>
      </c>
      <c r="E40">
        <v>52.3</v>
      </c>
      <c r="F40" s="1">
        <v>1152</v>
      </c>
      <c r="G40">
        <v>18</v>
      </c>
      <c r="H40" s="1">
        <v>3402519</v>
      </c>
      <c r="I40" s="1">
        <v>63</v>
      </c>
      <c r="J40" s="1">
        <v>60.5</v>
      </c>
      <c r="S40" s="5"/>
      <c r="U40" s="5"/>
    </row>
    <row r="41" spans="1:21">
      <c r="A41" t="s">
        <v>11</v>
      </c>
      <c r="B41">
        <v>2025</v>
      </c>
      <c r="C41">
        <v>6</v>
      </c>
      <c r="D41" t="str">
        <f t="shared" si="0"/>
        <v>Javier Prado - VIV20256</v>
      </c>
      <c r="E41">
        <v>53.4</v>
      </c>
      <c r="F41" s="1">
        <v>1152</v>
      </c>
      <c r="G41">
        <v>18</v>
      </c>
      <c r="H41" s="1">
        <v>3244500</v>
      </c>
      <c r="I41" s="1">
        <v>63</v>
      </c>
      <c r="J41" s="1">
        <v>60.5</v>
      </c>
      <c r="S41" s="5"/>
      <c r="U41" s="5"/>
    </row>
    <row r="42" spans="1:21">
      <c r="A42" t="s">
        <v>11</v>
      </c>
      <c r="B42">
        <v>2026</v>
      </c>
      <c r="C42">
        <v>4</v>
      </c>
      <c r="D42" t="str">
        <f t="shared" si="0"/>
        <v>Javier Prado - VIV20264</v>
      </c>
      <c r="E42">
        <v>64.8</v>
      </c>
      <c r="F42" s="1">
        <v>1152</v>
      </c>
      <c r="G42">
        <v>18</v>
      </c>
      <c r="H42" s="1">
        <v>2948369</v>
      </c>
      <c r="I42" s="1">
        <v>63</v>
      </c>
      <c r="J42" s="1">
        <v>70</v>
      </c>
      <c r="S42" s="5"/>
      <c r="U42" s="5"/>
    </row>
    <row r="43" spans="1:21">
      <c r="A43" t="s">
        <v>11</v>
      </c>
      <c r="B43">
        <v>2026</v>
      </c>
      <c r="C43">
        <v>5</v>
      </c>
      <c r="D43" t="str">
        <f t="shared" si="0"/>
        <v>Javier Prado - VIV20265</v>
      </c>
      <c r="E43">
        <v>55.1</v>
      </c>
      <c r="F43" s="1">
        <v>1152</v>
      </c>
      <c r="G43">
        <v>18</v>
      </c>
      <c r="H43" s="1">
        <v>2960325</v>
      </c>
      <c r="I43" s="1">
        <v>63</v>
      </c>
      <c r="J43" s="1">
        <v>58</v>
      </c>
      <c r="S43" s="5"/>
      <c r="U43" s="5"/>
    </row>
    <row r="44" spans="1:21">
      <c r="A44" t="s">
        <v>12</v>
      </c>
      <c r="B44">
        <v>2025</v>
      </c>
      <c r="C44">
        <v>1</v>
      </c>
      <c r="D44" t="str">
        <f t="shared" si="0"/>
        <v>Libertadores - VIV20251</v>
      </c>
      <c r="E44">
        <v>53.6</v>
      </c>
      <c r="F44" s="1">
        <v>1167</v>
      </c>
      <c r="G44">
        <v>23</v>
      </c>
      <c r="H44" s="1">
        <v>2647542</v>
      </c>
      <c r="I44" s="1">
        <v>60</v>
      </c>
      <c r="J44" s="1">
        <v>61.5</v>
      </c>
      <c r="M44" s="2" t="s">
        <v>16</v>
      </c>
      <c r="N44" t="s">
        <v>18</v>
      </c>
      <c r="O44" t="s">
        <v>19</v>
      </c>
      <c r="P44" s="5" t="s">
        <v>20</v>
      </c>
      <c r="Q44" s="5" t="s">
        <v>21</v>
      </c>
      <c r="R44" s="5" t="s">
        <v>182</v>
      </c>
      <c r="S44" s="5"/>
      <c r="U44" s="5"/>
    </row>
    <row r="45" spans="1:21">
      <c r="A45" t="s">
        <v>12</v>
      </c>
      <c r="B45">
        <v>2025</v>
      </c>
      <c r="C45">
        <v>2</v>
      </c>
      <c r="D45" t="str">
        <f t="shared" si="0"/>
        <v>Libertadores - VIV20252</v>
      </c>
      <c r="E45">
        <v>53</v>
      </c>
      <c r="F45" s="1">
        <v>1167</v>
      </c>
      <c r="G45">
        <v>23</v>
      </c>
      <c r="H45" s="1">
        <v>2424543</v>
      </c>
      <c r="I45" s="1">
        <v>60</v>
      </c>
      <c r="J45" s="1">
        <v>60.5</v>
      </c>
      <c r="M45" s="3" t="s">
        <v>9</v>
      </c>
      <c r="N45" s="4">
        <v>3108017.0588235296</v>
      </c>
      <c r="O45" s="4">
        <v>1238</v>
      </c>
      <c r="P45" s="5">
        <v>67.17647058823529</v>
      </c>
      <c r="Q45" s="5">
        <v>66.705882352941174</v>
      </c>
      <c r="R45" s="5">
        <v>57.311764705882354</v>
      </c>
      <c r="S45" s="5">
        <f>+N45/R45</f>
        <v>54230.001026377919</v>
      </c>
      <c r="U45" s="5"/>
    </row>
    <row r="46" spans="1:21">
      <c r="A46" t="s">
        <v>12</v>
      </c>
      <c r="B46">
        <v>2025</v>
      </c>
      <c r="C46">
        <v>3</v>
      </c>
      <c r="D46" t="str">
        <f t="shared" si="0"/>
        <v>Libertadores - VIV20253</v>
      </c>
      <c r="E46">
        <v>52.4</v>
      </c>
      <c r="F46" s="1">
        <v>1167</v>
      </c>
      <c r="G46">
        <v>23</v>
      </c>
      <c r="H46" s="1">
        <v>2657199</v>
      </c>
      <c r="I46" s="1">
        <v>60</v>
      </c>
      <c r="J46" s="1">
        <v>60</v>
      </c>
      <c r="M46" s="3" t="s">
        <v>10</v>
      </c>
      <c r="N46" s="4">
        <v>2676281.1764705884</v>
      </c>
      <c r="O46" s="4">
        <v>1184</v>
      </c>
      <c r="P46" s="5">
        <v>59.147058823529413</v>
      </c>
      <c r="Q46" s="5">
        <v>59.382352941176471</v>
      </c>
      <c r="R46" s="5">
        <v>51.170588235294126</v>
      </c>
      <c r="S46" s="5">
        <f t="shared" ref="S46:S50" si="2">+N46/R46</f>
        <v>52301.16105299459</v>
      </c>
      <c r="U46" s="5"/>
    </row>
    <row r="47" spans="1:21">
      <c r="A47" t="s">
        <v>12</v>
      </c>
      <c r="B47">
        <v>2025</v>
      </c>
      <c r="C47">
        <v>4</v>
      </c>
      <c r="D47" t="str">
        <f t="shared" si="0"/>
        <v>Libertadores - VIV20254</v>
      </c>
      <c r="E47">
        <v>52.5</v>
      </c>
      <c r="F47" s="1">
        <v>1167</v>
      </c>
      <c r="G47">
        <v>23</v>
      </c>
      <c r="H47" s="1">
        <v>2724024</v>
      </c>
      <c r="I47" s="1">
        <v>60</v>
      </c>
      <c r="J47" s="1">
        <v>60</v>
      </c>
      <c r="M47" s="11" t="s">
        <v>11</v>
      </c>
      <c r="N47" s="9">
        <v>3206554.75</v>
      </c>
      <c r="O47" s="9">
        <v>1152</v>
      </c>
      <c r="P47" s="10">
        <v>62.8125</v>
      </c>
      <c r="Q47" s="10">
        <v>61.3125</v>
      </c>
      <c r="R47" s="10">
        <v>54.237500000000004</v>
      </c>
      <c r="S47" s="5">
        <f t="shared" si="2"/>
        <v>59120.62226319428</v>
      </c>
      <c r="U47" s="5"/>
    </row>
    <row r="48" spans="1:21">
      <c r="A48" t="s">
        <v>12</v>
      </c>
      <c r="B48">
        <v>2025</v>
      </c>
      <c r="C48">
        <v>5</v>
      </c>
      <c r="D48" t="str">
        <f t="shared" si="0"/>
        <v>Libertadores - VIV20255</v>
      </c>
      <c r="E48">
        <v>53.8</v>
      </c>
      <c r="F48" s="1">
        <v>1167</v>
      </c>
      <c r="G48">
        <v>23</v>
      </c>
      <c r="H48" s="1">
        <v>2785143</v>
      </c>
      <c r="I48" s="1">
        <v>60</v>
      </c>
      <c r="J48" s="1">
        <v>58.5</v>
      </c>
      <c r="M48" s="3" t="s">
        <v>12</v>
      </c>
      <c r="N48" s="4">
        <v>2688675.3529411764</v>
      </c>
      <c r="O48" s="4">
        <v>1167</v>
      </c>
      <c r="P48" s="5">
        <v>59.970588235294116</v>
      </c>
      <c r="Q48" s="5">
        <v>56.088235294117645</v>
      </c>
      <c r="R48" s="5">
        <v>50.264705882352942</v>
      </c>
      <c r="S48" s="5">
        <f t="shared" si="2"/>
        <v>53490.322995904033</v>
      </c>
      <c r="U48" s="5"/>
    </row>
    <row r="49" spans="1:21">
      <c r="A49" t="s">
        <v>12</v>
      </c>
      <c r="B49">
        <v>2025</v>
      </c>
      <c r="C49">
        <v>6</v>
      </c>
      <c r="D49" t="str">
        <f t="shared" si="0"/>
        <v>Libertadores - VIV20256</v>
      </c>
      <c r="E49">
        <v>50</v>
      </c>
      <c r="F49" s="1">
        <v>1167</v>
      </c>
      <c r="G49">
        <v>23</v>
      </c>
      <c r="H49" s="1">
        <v>2630192</v>
      </c>
      <c r="I49" s="1">
        <v>60</v>
      </c>
      <c r="J49" s="1">
        <v>55.5</v>
      </c>
      <c r="M49" s="36" t="s">
        <v>13</v>
      </c>
      <c r="N49" s="6">
        <v>5415617.823529412</v>
      </c>
      <c r="O49" s="6">
        <v>918</v>
      </c>
      <c r="P49" s="37">
        <v>95.441176470588232</v>
      </c>
      <c r="Q49" s="37">
        <v>91.764705882352942</v>
      </c>
      <c r="R49" s="37">
        <v>78.92352941176469</v>
      </c>
      <c r="S49" s="5">
        <f t="shared" si="2"/>
        <v>68618.545874636678</v>
      </c>
      <c r="U49" s="5"/>
    </row>
    <row r="50" spans="1:21">
      <c r="A50" t="s">
        <v>12</v>
      </c>
      <c r="B50">
        <v>2025</v>
      </c>
      <c r="C50">
        <v>7</v>
      </c>
      <c r="D50" t="str">
        <f t="shared" si="0"/>
        <v>Libertadores - VIV20257</v>
      </c>
      <c r="E50">
        <v>50.5</v>
      </c>
      <c r="F50" s="1">
        <v>1167</v>
      </c>
      <c r="G50">
        <v>23</v>
      </c>
      <c r="H50" s="1">
        <v>2602056</v>
      </c>
      <c r="I50" s="1">
        <v>60</v>
      </c>
      <c r="J50" s="1">
        <v>54</v>
      </c>
      <c r="M50" s="3" t="s">
        <v>15</v>
      </c>
      <c r="N50" s="4">
        <v>3611071.588235294</v>
      </c>
      <c r="O50" s="4">
        <v>920</v>
      </c>
      <c r="P50" s="5">
        <v>68.5</v>
      </c>
      <c r="Q50" s="5">
        <v>68.32352941176471</v>
      </c>
      <c r="R50" s="5">
        <v>59.788235294117648</v>
      </c>
      <c r="S50" s="5">
        <f t="shared" si="2"/>
        <v>60397.694805194806</v>
      </c>
      <c r="U50" s="5"/>
    </row>
    <row r="51" spans="1:21">
      <c r="A51" t="s">
        <v>12</v>
      </c>
      <c r="B51">
        <v>2025</v>
      </c>
      <c r="C51">
        <v>8</v>
      </c>
      <c r="D51" t="str">
        <f t="shared" si="0"/>
        <v>Libertadores - VIV20258</v>
      </c>
      <c r="E51">
        <v>45.5</v>
      </c>
      <c r="F51" s="1">
        <v>1167</v>
      </c>
      <c r="G51">
        <v>23</v>
      </c>
      <c r="H51" s="1">
        <v>2722294</v>
      </c>
      <c r="I51" s="1">
        <v>60</v>
      </c>
      <c r="J51" s="1">
        <v>52.5</v>
      </c>
      <c r="M51" s="3" t="s">
        <v>17</v>
      </c>
      <c r="N51" s="4">
        <v>3474695.7956989249</v>
      </c>
      <c r="O51" s="4">
        <v>1091.1290322580646</v>
      </c>
      <c r="P51" s="5">
        <v>69.424731182795696</v>
      </c>
      <c r="Q51" s="5">
        <v>67.838709677419359</v>
      </c>
      <c r="R51" s="5">
        <v>59.03978494623658</v>
      </c>
      <c r="S51" s="5"/>
      <c r="U51" s="5"/>
    </row>
    <row r="52" spans="1:21">
      <c r="A52" t="s">
        <v>12</v>
      </c>
      <c r="B52">
        <v>2025</v>
      </c>
      <c r="C52">
        <v>9</v>
      </c>
      <c r="D52" t="str">
        <f t="shared" si="0"/>
        <v>Libertadores - VIV20259</v>
      </c>
      <c r="E52">
        <v>49.4</v>
      </c>
      <c r="F52" s="1">
        <v>1167</v>
      </c>
      <c r="G52">
        <v>23</v>
      </c>
      <c r="H52" s="1">
        <v>2612982</v>
      </c>
      <c r="I52" s="1">
        <v>60</v>
      </c>
      <c r="J52" s="1">
        <v>50</v>
      </c>
      <c r="S52" s="5"/>
      <c r="U52" s="5"/>
    </row>
    <row r="53" spans="1:21">
      <c r="A53" t="s">
        <v>12</v>
      </c>
      <c r="B53">
        <v>2025</v>
      </c>
      <c r="C53">
        <v>10</v>
      </c>
      <c r="D53" t="str">
        <f t="shared" si="0"/>
        <v>Libertadores - VIV202510</v>
      </c>
      <c r="E53">
        <v>51.5</v>
      </c>
      <c r="F53" s="1">
        <v>1167</v>
      </c>
      <c r="G53">
        <v>23</v>
      </c>
      <c r="H53" s="1">
        <v>2690444</v>
      </c>
      <c r="I53" s="1">
        <v>60</v>
      </c>
      <c r="J53" s="1">
        <v>57</v>
      </c>
      <c r="N53" s="22" t="s">
        <v>6</v>
      </c>
      <c r="O53" s="22" t="s">
        <v>194</v>
      </c>
      <c r="R53" s="5">
        <v>1.1499999999999999</v>
      </c>
      <c r="S53" s="5"/>
      <c r="U53" s="5"/>
    </row>
    <row r="54" spans="1:21" ht="15.6">
      <c r="A54" t="s">
        <v>12</v>
      </c>
      <c r="B54">
        <v>2025</v>
      </c>
      <c r="C54">
        <v>11</v>
      </c>
      <c r="D54" t="str">
        <f t="shared" si="0"/>
        <v>Libertadores - VIV202511</v>
      </c>
      <c r="E54">
        <v>49.3</v>
      </c>
      <c r="F54" s="1">
        <v>1167</v>
      </c>
      <c r="G54">
        <v>23</v>
      </c>
      <c r="H54" s="1">
        <v>2621750</v>
      </c>
      <c r="I54" s="1">
        <v>60.5</v>
      </c>
      <c r="J54" s="1">
        <v>53.5</v>
      </c>
      <c r="M54" s="27" t="s">
        <v>183</v>
      </c>
      <c r="N54" s="28" t="s">
        <v>184</v>
      </c>
      <c r="O54" s="28" t="s">
        <v>192</v>
      </c>
      <c r="P54" s="28" t="s">
        <v>193</v>
      </c>
      <c r="S54" s="5"/>
      <c r="U54" s="5"/>
    </row>
    <row r="55" spans="1:21" ht="15.6">
      <c r="A55" t="s">
        <v>12</v>
      </c>
      <c r="B55">
        <v>2025</v>
      </c>
      <c r="C55">
        <v>12</v>
      </c>
      <c r="D55" t="str">
        <f t="shared" si="0"/>
        <v>Libertadores - VIV202512</v>
      </c>
      <c r="E55">
        <v>49</v>
      </c>
      <c r="F55" s="1">
        <v>1167</v>
      </c>
      <c r="G55">
        <v>23</v>
      </c>
      <c r="H55" s="1">
        <v>3066355</v>
      </c>
      <c r="I55" s="1">
        <v>61.5</v>
      </c>
      <c r="J55" s="1">
        <v>56.5</v>
      </c>
      <c r="M55" s="29" t="s">
        <v>185</v>
      </c>
      <c r="N55" s="23">
        <v>4.5</v>
      </c>
      <c r="O55" s="23">
        <v>4.5</v>
      </c>
      <c r="P55" s="23">
        <v>0</v>
      </c>
      <c r="S55" s="5"/>
      <c r="U55" s="5"/>
    </row>
    <row r="56" spans="1:21" ht="15.6">
      <c r="A56" t="s">
        <v>12</v>
      </c>
      <c r="B56">
        <v>2026</v>
      </c>
      <c r="C56">
        <v>1</v>
      </c>
      <c r="D56" t="str">
        <f t="shared" si="0"/>
        <v>Libertadores - VIV20261</v>
      </c>
      <c r="E56">
        <v>45.6</v>
      </c>
      <c r="F56" s="1">
        <v>1167</v>
      </c>
      <c r="G56">
        <v>23</v>
      </c>
      <c r="H56" s="1">
        <v>2590418</v>
      </c>
      <c r="I56" s="1">
        <v>59.5</v>
      </c>
      <c r="J56" s="1">
        <v>52.5</v>
      </c>
      <c r="M56" s="35" t="s">
        <v>186</v>
      </c>
      <c r="N56" s="24">
        <v>20</v>
      </c>
      <c r="O56" s="24">
        <v>33.5</v>
      </c>
      <c r="P56" s="23">
        <v>-13.5</v>
      </c>
      <c r="S56" s="5"/>
      <c r="U56" s="5"/>
    </row>
    <row r="57" spans="1:21" ht="15.6">
      <c r="A57" t="s">
        <v>12</v>
      </c>
      <c r="B57">
        <v>2026</v>
      </c>
      <c r="C57">
        <v>2</v>
      </c>
      <c r="D57" t="str">
        <f t="shared" si="0"/>
        <v>Libertadores - VIV20262</v>
      </c>
      <c r="E57">
        <v>49</v>
      </c>
      <c r="F57" s="1">
        <v>1167</v>
      </c>
      <c r="G57">
        <v>23</v>
      </c>
      <c r="H57" s="1">
        <v>2534449</v>
      </c>
      <c r="I57" s="1">
        <v>59.5</v>
      </c>
      <c r="J57" s="1">
        <v>56</v>
      </c>
      <c r="M57" s="35" t="s">
        <v>187</v>
      </c>
      <c r="N57" s="24">
        <v>8</v>
      </c>
      <c r="O57" s="24">
        <v>10.5</v>
      </c>
      <c r="P57" s="23">
        <v>-2.5</v>
      </c>
      <c r="S57" s="5"/>
      <c r="U57" s="5"/>
    </row>
    <row r="58" spans="1:21" ht="15.6">
      <c r="A58" t="s">
        <v>12</v>
      </c>
      <c r="B58">
        <v>2026</v>
      </c>
      <c r="C58">
        <v>3</v>
      </c>
      <c r="D58" t="str">
        <f t="shared" si="0"/>
        <v>Libertadores - VIV20263</v>
      </c>
      <c r="E58">
        <v>51.3</v>
      </c>
      <c r="F58" s="1">
        <v>1167</v>
      </c>
      <c r="G58">
        <v>23</v>
      </c>
      <c r="H58" s="1">
        <v>2824445</v>
      </c>
      <c r="I58" s="1">
        <v>59.5</v>
      </c>
      <c r="J58" s="1">
        <v>58</v>
      </c>
      <c r="M58" s="29" t="s">
        <v>188</v>
      </c>
      <c r="N58" s="24">
        <v>7.5</v>
      </c>
      <c r="O58" s="24">
        <v>0</v>
      </c>
      <c r="P58" s="23">
        <v>7.5</v>
      </c>
      <c r="S58" s="5"/>
      <c r="U58" s="5"/>
    </row>
    <row r="59" spans="1:21" ht="15.6">
      <c r="A59" t="s">
        <v>12</v>
      </c>
      <c r="B59">
        <v>2026</v>
      </c>
      <c r="C59">
        <v>4</v>
      </c>
      <c r="D59" t="str">
        <f t="shared" si="0"/>
        <v>Libertadores - VIV20264</v>
      </c>
      <c r="E59">
        <v>50.1</v>
      </c>
      <c r="F59" s="1">
        <v>1167</v>
      </c>
      <c r="G59">
        <v>23</v>
      </c>
      <c r="H59" s="1">
        <v>2791217</v>
      </c>
      <c r="I59" s="1">
        <v>59.5</v>
      </c>
      <c r="J59" s="1">
        <v>54.5</v>
      </c>
      <c r="M59" s="29" t="s">
        <v>189</v>
      </c>
      <c r="N59" s="25">
        <v>26.5</v>
      </c>
      <c r="O59" s="24">
        <v>25</v>
      </c>
      <c r="P59" s="23">
        <v>1.5</v>
      </c>
      <c r="S59" s="5"/>
      <c r="U59" s="5"/>
    </row>
    <row r="60" spans="1:21" ht="15.6">
      <c r="A60" t="s">
        <v>12</v>
      </c>
      <c r="B60">
        <v>2026</v>
      </c>
      <c r="C60">
        <v>5</v>
      </c>
      <c r="D60" t="str">
        <f t="shared" si="0"/>
        <v>Libertadores - VIV20265</v>
      </c>
      <c r="E60">
        <v>48</v>
      </c>
      <c r="F60" s="1">
        <v>1167</v>
      </c>
      <c r="G60">
        <v>23</v>
      </c>
      <c r="H60" s="1">
        <v>2782428</v>
      </c>
      <c r="I60" s="1">
        <v>59.5</v>
      </c>
      <c r="J60" s="1">
        <v>53</v>
      </c>
      <c r="M60" s="35" t="s">
        <v>190</v>
      </c>
      <c r="N60" s="24">
        <v>2</v>
      </c>
      <c r="O60" s="24">
        <v>3</v>
      </c>
      <c r="P60" s="23">
        <v>-1</v>
      </c>
      <c r="S60" s="5"/>
      <c r="U60" s="5"/>
    </row>
    <row r="61" spans="1:21" ht="15.6">
      <c r="A61" t="s">
        <v>13</v>
      </c>
      <c r="B61">
        <v>2025</v>
      </c>
      <c r="C61">
        <v>1</v>
      </c>
      <c r="D61" t="str">
        <f t="shared" si="0"/>
        <v>Monterrico - VIV20251</v>
      </c>
      <c r="E61">
        <v>76.2</v>
      </c>
      <c r="F61" s="1">
        <v>918</v>
      </c>
      <c r="G61">
        <v>18</v>
      </c>
      <c r="H61" s="1">
        <v>5320582</v>
      </c>
      <c r="I61" s="1">
        <v>94</v>
      </c>
      <c r="J61" s="1">
        <v>90.5</v>
      </c>
      <c r="M61" s="29" t="s">
        <v>191</v>
      </c>
      <c r="N61" s="26">
        <v>1</v>
      </c>
      <c r="O61" s="26">
        <v>1</v>
      </c>
      <c r="P61" s="31">
        <v>0</v>
      </c>
      <c r="S61" s="5"/>
      <c r="U61" s="5"/>
    </row>
    <row r="62" spans="1:21">
      <c r="A62" t="s">
        <v>13</v>
      </c>
      <c r="B62">
        <v>2025</v>
      </c>
      <c r="C62">
        <v>2</v>
      </c>
      <c r="D62" t="str">
        <f t="shared" si="0"/>
        <v>Monterrico - VIV20252</v>
      </c>
      <c r="E62">
        <v>78.5</v>
      </c>
      <c r="F62" s="1">
        <v>918</v>
      </c>
      <c r="G62">
        <v>18</v>
      </c>
      <c r="H62" s="1">
        <v>4943060</v>
      </c>
      <c r="I62" s="1">
        <v>95</v>
      </c>
      <c r="J62" s="1">
        <v>91.5</v>
      </c>
      <c r="N62" s="30">
        <f>SUM(N55:N61)</f>
        <v>69.5</v>
      </c>
      <c r="O62" s="30">
        <f>SUM(O55:O61)</f>
        <v>77.5</v>
      </c>
      <c r="P62" s="19">
        <f>SUM(P55:P61)</f>
        <v>-8</v>
      </c>
      <c r="Q62" s="38">
        <v>91.764705882352942</v>
      </c>
      <c r="S62" s="5"/>
      <c r="U62" s="5"/>
    </row>
    <row r="63" spans="1:21">
      <c r="A63" t="s">
        <v>13</v>
      </c>
      <c r="B63">
        <v>2025</v>
      </c>
      <c r="C63">
        <v>3</v>
      </c>
      <c r="D63" t="str">
        <f t="shared" si="0"/>
        <v>Monterrico - VIV20253</v>
      </c>
      <c r="E63">
        <v>78.3</v>
      </c>
      <c r="F63" s="1">
        <v>918</v>
      </c>
      <c r="G63">
        <v>18</v>
      </c>
      <c r="H63" s="1">
        <v>5723821</v>
      </c>
      <c r="I63" s="1">
        <v>95</v>
      </c>
      <c r="J63" s="1">
        <v>91.5</v>
      </c>
      <c r="S63" s="5"/>
      <c r="U63" s="5"/>
    </row>
    <row r="64" spans="1:21">
      <c r="A64" t="s">
        <v>13</v>
      </c>
      <c r="B64">
        <v>2025</v>
      </c>
      <c r="C64">
        <v>4</v>
      </c>
      <c r="D64" t="str">
        <f t="shared" si="0"/>
        <v>Monterrico - VIV20254</v>
      </c>
      <c r="E64">
        <v>75</v>
      </c>
      <c r="F64" s="1">
        <v>918</v>
      </c>
      <c r="G64">
        <v>18</v>
      </c>
      <c r="H64" s="1">
        <v>5580877</v>
      </c>
      <c r="I64" s="1">
        <v>95</v>
      </c>
      <c r="J64" s="1">
        <v>87</v>
      </c>
      <c r="S64" s="5"/>
      <c r="U64" s="5"/>
    </row>
    <row r="65" spans="1:21">
      <c r="A65" t="s">
        <v>13</v>
      </c>
      <c r="B65">
        <v>2025</v>
      </c>
      <c r="C65">
        <v>5</v>
      </c>
      <c r="D65" t="str">
        <f t="shared" si="0"/>
        <v>Monterrico - VIV20255</v>
      </c>
      <c r="E65">
        <v>78.099999999999994</v>
      </c>
      <c r="F65" s="1">
        <v>918</v>
      </c>
      <c r="G65">
        <v>18</v>
      </c>
      <c r="H65" s="1">
        <v>5558760</v>
      </c>
      <c r="I65" s="1">
        <v>95</v>
      </c>
      <c r="J65" s="1">
        <v>91</v>
      </c>
      <c r="M65" s="21" t="s">
        <v>195</v>
      </c>
      <c r="P65" t="s">
        <v>206</v>
      </c>
      <c r="Q65" t="s">
        <v>207</v>
      </c>
      <c r="S65" s="5" t="s">
        <v>209</v>
      </c>
      <c r="U65" s="5"/>
    </row>
    <row r="66" spans="1:21">
      <c r="A66" t="s">
        <v>13</v>
      </c>
      <c r="B66">
        <v>2025</v>
      </c>
      <c r="C66">
        <v>6</v>
      </c>
      <c r="D66" t="str">
        <f t="shared" si="0"/>
        <v>Monterrico - VIV20256</v>
      </c>
      <c r="E66">
        <v>82</v>
      </c>
      <c r="F66" s="1">
        <v>918</v>
      </c>
      <c r="G66">
        <v>18</v>
      </c>
      <c r="H66" s="1">
        <v>5349573</v>
      </c>
      <c r="I66" s="1">
        <v>95</v>
      </c>
      <c r="J66" s="1">
        <v>90.5</v>
      </c>
      <c r="M66" s="21" t="s">
        <v>196</v>
      </c>
      <c r="N66" s="1">
        <v>3400000</v>
      </c>
      <c r="P66" s="1">
        <v>3400000</v>
      </c>
      <c r="Q66" s="1">
        <v>2800000</v>
      </c>
      <c r="S66" s="5" t="s">
        <v>210</v>
      </c>
      <c r="U66" s="5"/>
    </row>
    <row r="67" spans="1:21">
      <c r="A67" t="s">
        <v>13</v>
      </c>
      <c r="B67">
        <v>2025</v>
      </c>
      <c r="C67">
        <v>7</v>
      </c>
      <c r="D67" t="str">
        <f t="shared" ref="D67:D94" si="3">+A67&amp;B67&amp;C67</f>
        <v>Monterrico - VIV20257</v>
      </c>
      <c r="E67">
        <v>82.1</v>
      </c>
      <c r="F67" s="1">
        <v>918</v>
      </c>
      <c r="G67">
        <v>18</v>
      </c>
      <c r="H67" s="1">
        <v>5226859</v>
      </c>
      <c r="I67" s="1">
        <v>95</v>
      </c>
      <c r="J67" s="1">
        <v>88.5</v>
      </c>
      <c r="M67" s="21" t="s">
        <v>197</v>
      </c>
      <c r="N67" s="1">
        <v>1111</v>
      </c>
      <c r="O67" t="s">
        <v>194</v>
      </c>
      <c r="P67" s="32">
        <f>+N69*1.15</f>
        <v>67.320999999999998</v>
      </c>
      <c r="Q67" s="32">
        <v>51.63</v>
      </c>
      <c r="S67" s="5" t="s">
        <v>211</v>
      </c>
      <c r="U67" s="5"/>
    </row>
    <row r="68" spans="1:21">
      <c r="A68" t="s">
        <v>13</v>
      </c>
      <c r="B68">
        <v>2025</v>
      </c>
      <c r="C68">
        <v>8</v>
      </c>
      <c r="D68" t="str">
        <f t="shared" si="3"/>
        <v>Monterrico - VIV20258</v>
      </c>
      <c r="E68">
        <v>77.400000000000006</v>
      </c>
      <c r="F68" s="1">
        <v>918</v>
      </c>
      <c r="G68">
        <v>18</v>
      </c>
      <c r="H68" s="1">
        <v>5398976</v>
      </c>
      <c r="I68" s="1">
        <v>95</v>
      </c>
      <c r="J68" s="1">
        <v>91.5</v>
      </c>
      <c r="M68" s="21"/>
      <c r="P68" s="1">
        <f>+P66/P67</f>
        <v>50504.300292627857</v>
      </c>
      <c r="Q68" s="1">
        <f>+Q66/Q67</f>
        <v>54232.035638194844</v>
      </c>
      <c r="S68" s="5" t="s">
        <v>212</v>
      </c>
      <c r="U68" s="5"/>
    </row>
    <row r="69" spans="1:21">
      <c r="A69" t="s">
        <v>13</v>
      </c>
      <c r="B69">
        <v>2025</v>
      </c>
      <c r="C69">
        <v>9</v>
      </c>
      <c r="D69" t="str">
        <f t="shared" si="3"/>
        <v>Monterrico - VIV20259</v>
      </c>
      <c r="E69">
        <v>79.3</v>
      </c>
      <c r="F69" s="1">
        <v>918</v>
      </c>
      <c r="G69">
        <v>18</v>
      </c>
      <c r="H69" s="1">
        <v>5165049</v>
      </c>
      <c r="I69" s="1">
        <v>95</v>
      </c>
      <c r="J69" s="1">
        <v>90.5</v>
      </c>
      <c r="M69" s="21" t="s">
        <v>198</v>
      </c>
      <c r="N69" s="39">
        <v>58.54</v>
      </c>
      <c r="O69" s="1"/>
      <c r="S69" s="5"/>
      <c r="U69" s="5"/>
    </row>
    <row r="70" spans="1:21">
      <c r="A70" t="s">
        <v>13</v>
      </c>
      <c r="B70">
        <v>2025</v>
      </c>
      <c r="C70">
        <v>10</v>
      </c>
      <c r="D70" t="str">
        <f t="shared" si="3"/>
        <v>Monterrico - VIV202510</v>
      </c>
      <c r="E70">
        <v>83.1</v>
      </c>
      <c r="F70" s="1">
        <v>918</v>
      </c>
      <c r="G70">
        <v>18</v>
      </c>
      <c r="H70" s="1">
        <v>5316395</v>
      </c>
      <c r="I70" s="1">
        <v>96</v>
      </c>
      <c r="J70" s="1">
        <v>95</v>
      </c>
      <c r="M70" s="21" t="s">
        <v>6</v>
      </c>
      <c r="N70" s="33">
        <f>+N69*1.15</f>
        <v>67.320999999999998</v>
      </c>
      <c r="P70" t="s">
        <v>208</v>
      </c>
      <c r="S70" s="5" t="s">
        <v>213</v>
      </c>
      <c r="U70" s="5"/>
    </row>
    <row r="71" spans="1:21">
      <c r="A71" t="s">
        <v>13</v>
      </c>
      <c r="B71">
        <v>2025</v>
      </c>
      <c r="C71">
        <v>11</v>
      </c>
      <c r="D71" t="str">
        <f t="shared" si="3"/>
        <v>Monterrico - VIV202511</v>
      </c>
      <c r="E71">
        <v>79.7</v>
      </c>
      <c r="F71" s="1">
        <v>918</v>
      </c>
      <c r="G71">
        <v>18</v>
      </c>
      <c r="H71" s="1">
        <v>5253336</v>
      </c>
      <c r="I71" s="1">
        <v>96</v>
      </c>
      <c r="J71" s="1">
        <v>93.5</v>
      </c>
      <c r="M71" s="21" t="s">
        <v>205</v>
      </c>
      <c r="N71" s="40">
        <f>+N70*1.15</f>
        <v>77.419149999999988</v>
      </c>
      <c r="O71" s="1"/>
      <c r="S71" s="5"/>
      <c r="U71" s="5"/>
    </row>
    <row r="72" spans="1:21">
      <c r="A72" t="s">
        <v>13</v>
      </c>
      <c r="B72">
        <v>2025</v>
      </c>
      <c r="C72">
        <v>12</v>
      </c>
      <c r="D72" t="str">
        <f t="shared" si="3"/>
        <v>Monterrico - VIV202512</v>
      </c>
      <c r="E72">
        <v>85.3</v>
      </c>
      <c r="F72" s="1">
        <v>918</v>
      </c>
      <c r="G72">
        <v>18</v>
      </c>
      <c r="H72" s="1">
        <v>6248240</v>
      </c>
      <c r="I72" s="1">
        <v>99</v>
      </c>
      <c r="J72" s="1">
        <v>99</v>
      </c>
      <c r="S72" s="5"/>
      <c r="U72" s="5"/>
    </row>
    <row r="73" spans="1:21">
      <c r="A73" t="s">
        <v>13</v>
      </c>
      <c r="B73">
        <v>2026</v>
      </c>
      <c r="C73">
        <v>1</v>
      </c>
      <c r="D73" t="str">
        <f t="shared" si="3"/>
        <v>Monterrico - VIV20261</v>
      </c>
      <c r="E73">
        <v>75.099999999999994</v>
      </c>
      <c r="F73" s="1">
        <v>918</v>
      </c>
      <c r="G73">
        <v>18</v>
      </c>
      <c r="H73" s="1">
        <v>5175743</v>
      </c>
      <c r="I73" s="1">
        <v>95.5</v>
      </c>
      <c r="J73" s="1">
        <v>97</v>
      </c>
      <c r="S73" s="5"/>
      <c r="U73" s="5"/>
    </row>
    <row r="74" spans="1:21">
      <c r="A74" t="s">
        <v>13</v>
      </c>
      <c r="B74">
        <v>2026</v>
      </c>
      <c r="C74">
        <v>2</v>
      </c>
      <c r="D74" t="str">
        <f t="shared" si="3"/>
        <v>Monterrico - VIV20262</v>
      </c>
      <c r="E74">
        <v>77.2</v>
      </c>
      <c r="F74" s="1">
        <v>918</v>
      </c>
      <c r="G74">
        <v>18</v>
      </c>
      <c r="H74" s="1">
        <v>4849465</v>
      </c>
      <c r="I74" s="1">
        <v>95.5</v>
      </c>
      <c r="J74" s="1">
        <v>97</v>
      </c>
      <c r="S74" s="5"/>
      <c r="U74" s="5"/>
    </row>
    <row r="75" spans="1:21">
      <c r="A75" t="s">
        <v>13</v>
      </c>
      <c r="B75">
        <v>2026</v>
      </c>
      <c r="C75">
        <v>3</v>
      </c>
      <c r="D75" t="str">
        <f t="shared" si="3"/>
        <v>Monterrico - VIV20263</v>
      </c>
      <c r="E75">
        <v>80</v>
      </c>
      <c r="F75" s="1">
        <v>918</v>
      </c>
      <c r="G75">
        <v>18</v>
      </c>
      <c r="H75" s="1">
        <v>5651567</v>
      </c>
      <c r="I75" s="1">
        <v>95.5</v>
      </c>
      <c r="J75" s="1">
        <v>92.5</v>
      </c>
      <c r="N75" s="22" t="s">
        <v>201</v>
      </c>
      <c r="O75" s="21" t="s">
        <v>202</v>
      </c>
      <c r="Q75" t="s">
        <v>203</v>
      </c>
      <c r="S75" s="5"/>
      <c r="U75" s="5"/>
    </row>
    <row r="76" spans="1:21">
      <c r="A76" t="s">
        <v>13</v>
      </c>
      <c r="B76">
        <v>2026</v>
      </c>
      <c r="C76">
        <v>4</v>
      </c>
      <c r="D76" t="str">
        <f t="shared" si="3"/>
        <v>Monterrico - VIV20264</v>
      </c>
      <c r="E76">
        <v>78.099999999999994</v>
      </c>
      <c r="F76" s="1">
        <v>918</v>
      </c>
      <c r="G76">
        <v>18</v>
      </c>
      <c r="H76" s="1">
        <v>5606053</v>
      </c>
      <c r="I76" s="1">
        <v>95.5</v>
      </c>
      <c r="J76" s="1">
        <v>86</v>
      </c>
      <c r="M76" t="s">
        <v>199</v>
      </c>
      <c r="N76" s="17">
        <f>+N69*1.15</f>
        <v>67.320999999999998</v>
      </c>
      <c r="O76" s="34">
        <f>+N76*1.15</f>
        <v>77.419149999999988</v>
      </c>
      <c r="P76" s="17">
        <v>2</v>
      </c>
      <c r="Q76" s="1">
        <f>+N66/N76</f>
        <v>50504.300292627857</v>
      </c>
      <c r="S76" s="5"/>
      <c r="U76" s="5"/>
    </row>
    <row r="77" spans="1:21">
      <c r="A77" t="s">
        <v>13</v>
      </c>
      <c r="B77">
        <v>2026</v>
      </c>
      <c r="C77">
        <v>5</v>
      </c>
      <c r="D77" t="str">
        <f t="shared" si="3"/>
        <v>Monterrico - VIV20265</v>
      </c>
      <c r="E77">
        <v>76.3</v>
      </c>
      <c r="F77" s="1">
        <v>918</v>
      </c>
      <c r="G77">
        <v>18</v>
      </c>
      <c r="H77" s="1">
        <v>5697147</v>
      </c>
      <c r="I77" s="1">
        <v>95.5</v>
      </c>
      <c r="J77" s="1">
        <v>87.5</v>
      </c>
      <c r="M77" t="s">
        <v>200</v>
      </c>
      <c r="N77" s="17">
        <f>+N69*1.2</f>
        <v>70.24799999999999</v>
      </c>
      <c r="O77" s="34">
        <f>+N77*1.15</f>
        <v>80.785199999999989</v>
      </c>
      <c r="P77" s="17">
        <v>5</v>
      </c>
      <c r="Q77" s="1">
        <f>+N66/N77</f>
        <v>48399.954447101707</v>
      </c>
      <c r="S77" s="5"/>
      <c r="U77" s="5"/>
    </row>
    <row r="78" spans="1:21">
      <c r="A78" t="s">
        <v>15</v>
      </c>
      <c r="B78">
        <v>2025</v>
      </c>
      <c r="C78">
        <v>1</v>
      </c>
      <c r="D78" t="str">
        <f t="shared" si="3"/>
        <v>Pezet - VIV20251</v>
      </c>
      <c r="E78">
        <v>57.1</v>
      </c>
      <c r="F78" s="1">
        <v>920</v>
      </c>
      <c r="G78">
        <v>16</v>
      </c>
      <c r="H78" s="1">
        <v>3307978</v>
      </c>
      <c r="I78" s="1">
        <v>71.5</v>
      </c>
      <c r="J78" s="1">
        <v>70</v>
      </c>
      <c r="S78" s="5"/>
      <c r="U78" s="5"/>
    </row>
    <row r="79" spans="1:21">
      <c r="A79" t="s">
        <v>15</v>
      </c>
      <c r="B79">
        <v>2025</v>
      </c>
      <c r="C79">
        <v>2</v>
      </c>
      <c r="D79" t="str">
        <f t="shared" si="3"/>
        <v>Pezet - VIV20252</v>
      </c>
      <c r="E79">
        <v>60.1</v>
      </c>
      <c r="F79" s="1">
        <v>920</v>
      </c>
      <c r="G79">
        <v>16</v>
      </c>
      <c r="H79" s="1">
        <v>2760968</v>
      </c>
      <c r="I79" s="1">
        <v>70.5</v>
      </c>
      <c r="J79" s="1">
        <v>69.5</v>
      </c>
      <c r="S79" s="5"/>
      <c r="U79" s="5"/>
    </row>
    <row r="80" spans="1:21">
      <c r="A80" t="s">
        <v>15</v>
      </c>
      <c r="B80">
        <v>2025</v>
      </c>
      <c r="C80">
        <v>3</v>
      </c>
      <c r="D80" t="str">
        <f t="shared" si="3"/>
        <v>Pezet - VIV20253</v>
      </c>
      <c r="E80">
        <v>57.2</v>
      </c>
      <c r="F80" s="1">
        <v>920</v>
      </c>
      <c r="G80">
        <v>16</v>
      </c>
      <c r="H80" s="1">
        <v>3631719</v>
      </c>
      <c r="I80" s="1">
        <v>70.5</v>
      </c>
      <c r="J80" s="1">
        <v>68</v>
      </c>
      <c r="S80" s="5"/>
      <c r="U80" s="5"/>
    </row>
    <row r="81" spans="1:21">
      <c r="A81" t="s">
        <v>15</v>
      </c>
      <c r="B81">
        <v>2025</v>
      </c>
      <c r="C81">
        <v>4</v>
      </c>
      <c r="D81" t="str">
        <f t="shared" si="3"/>
        <v>Pezet - VIV20254</v>
      </c>
      <c r="E81">
        <v>57.3</v>
      </c>
      <c r="F81" s="1">
        <v>920</v>
      </c>
      <c r="G81">
        <v>16</v>
      </c>
      <c r="H81" s="1">
        <v>3494282</v>
      </c>
      <c r="I81" s="1">
        <v>68.5</v>
      </c>
      <c r="J81" s="1">
        <v>66.5</v>
      </c>
      <c r="S81" s="5"/>
      <c r="U81" s="5"/>
    </row>
    <row r="82" spans="1:21">
      <c r="A82" t="s">
        <v>15</v>
      </c>
      <c r="B82">
        <v>2025</v>
      </c>
      <c r="C82">
        <v>5</v>
      </c>
      <c r="D82" t="str">
        <f t="shared" si="3"/>
        <v>Pezet - VIV20255</v>
      </c>
      <c r="E82">
        <v>62</v>
      </c>
      <c r="F82" s="1">
        <v>920</v>
      </c>
      <c r="G82">
        <v>16</v>
      </c>
      <c r="H82" s="1">
        <v>3486990</v>
      </c>
      <c r="I82" s="1">
        <v>68.5</v>
      </c>
      <c r="J82" s="1">
        <v>68</v>
      </c>
      <c r="S82" s="5"/>
      <c r="U82" s="5"/>
    </row>
    <row r="83" spans="1:21">
      <c r="A83" t="s">
        <v>15</v>
      </c>
      <c r="B83">
        <v>2025</v>
      </c>
      <c r="C83">
        <v>6</v>
      </c>
      <c r="D83" t="str">
        <f t="shared" si="3"/>
        <v>Pezet - VIV20256</v>
      </c>
      <c r="E83">
        <v>61.6</v>
      </c>
      <c r="F83" s="1">
        <v>920</v>
      </c>
      <c r="G83">
        <v>16</v>
      </c>
      <c r="H83" s="1">
        <v>3346172</v>
      </c>
      <c r="I83" s="1">
        <v>68.5</v>
      </c>
      <c r="J83" s="1">
        <v>69</v>
      </c>
      <c r="S83" s="5"/>
      <c r="U83" s="5"/>
    </row>
    <row r="84" spans="1:21">
      <c r="A84" t="s">
        <v>15</v>
      </c>
      <c r="B84">
        <v>2025</v>
      </c>
      <c r="C84">
        <v>7</v>
      </c>
      <c r="D84" t="str">
        <f t="shared" si="3"/>
        <v>Pezet - VIV20257</v>
      </c>
      <c r="E84">
        <v>61.3</v>
      </c>
      <c r="F84" s="1">
        <v>920</v>
      </c>
      <c r="G84">
        <v>16</v>
      </c>
      <c r="H84" s="1">
        <v>3540284</v>
      </c>
      <c r="I84" s="1">
        <v>68.5</v>
      </c>
      <c r="J84" s="1">
        <v>66</v>
      </c>
      <c r="S84" s="5"/>
      <c r="U84" s="5"/>
    </row>
    <row r="85" spans="1:21">
      <c r="A85" t="s">
        <v>15</v>
      </c>
      <c r="B85">
        <v>2025</v>
      </c>
      <c r="C85">
        <v>8</v>
      </c>
      <c r="D85" t="str">
        <f t="shared" si="3"/>
        <v>Pezet - VIV20258</v>
      </c>
      <c r="E85">
        <v>61.7</v>
      </c>
      <c r="F85" s="1">
        <v>920</v>
      </c>
      <c r="G85">
        <v>16</v>
      </c>
      <c r="H85" s="1">
        <v>3860930</v>
      </c>
      <c r="I85" s="1">
        <v>68.5</v>
      </c>
      <c r="J85" s="1">
        <v>68.5</v>
      </c>
      <c r="S85" s="5"/>
      <c r="U85" s="5"/>
    </row>
    <row r="86" spans="1:21">
      <c r="A86" t="s">
        <v>15</v>
      </c>
      <c r="B86">
        <v>2025</v>
      </c>
      <c r="C86">
        <v>9</v>
      </c>
      <c r="D86" t="str">
        <f t="shared" si="3"/>
        <v>Pezet - VIV20259</v>
      </c>
      <c r="E86">
        <v>59</v>
      </c>
      <c r="F86" s="1">
        <v>920</v>
      </c>
      <c r="G86">
        <v>16</v>
      </c>
      <c r="H86" s="1">
        <v>3628906</v>
      </c>
      <c r="I86" s="1">
        <v>68.5</v>
      </c>
      <c r="J86" s="1">
        <v>67</v>
      </c>
      <c r="S86" s="5"/>
      <c r="U86" s="5"/>
    </row>
    <row r="87" spans="1:21">
      <c r="A87" t="s">
        <v>15</v>
      </c>
      <c r="B87">
        <v>2025</v>
      </c>
      <c r="C87">
        <v>10</v>
      </c>
      <c r="D87" t="str">
        <f t="shared" si="3"/>
        <v>Pezet - VIV202510</v>
      </c>
      <c r="E87">
        <v>63.7</v>
      </c>
      <c r="F87" s="1">
        <v>920</v>
      </c>
      <c r="G87">
        <v>16</v>
      </c>
      <c r="H87" s="1">
        <v>3755725</v>
      </c>
      <c r="I87" s="1">
        <v>67</v>
      </c>
      <c r="J87" s="1">
        <v>71.5</v>
      </c>
      <c r="S87" s="5"/>
      <c r="U87" s="5"/>
    </row>
    <row r="88" spans="1:21">
      <c r="A88" t="s">
        <v>15</v>
      </c>
      <c r="B88">
        <v>2025</v>
      </c>
      <c r="C88">
        <v>11</v>
      </c>
      <c r="D88" t="str">
        <f t="shared" si="3"/>
        <v>Pezet - VIV202511</v>
      </c>
      <c r="E88">
        <v>59.7</v>
      </c>
      <c r="F88" s="1">
        <v>920</v>
      </c>
      <c r="G88">
        <v>16</v>
      </c>
      <c r="H88" s="1">
        <v>3732556</v>
      </c>
      <c r="I88" s="1">
        <v>67.5</v>
      </c>
      <c r="J88" s="1">
        <v>69.5</v>
      </c>
      <c r="S88" s="5"/>
      <c r="U88" s="5"/>
    </row>
    <row r="89" spans="1:21">
      <c r="A89" t="s">
        <v>15</v>
      </c>
      <c r="B89">
        <v>2025</v>
      </c>
      <c r="C89">
        <v>12</v>
      </c>
      <c r="D89" t="str">
        <f t="shared" si="3"/>
        <v>Pezet - VIV202512</v>
      </c>
      <c r="E89">
        <v>63.9</v>
      </c>
      <c r="F89" s="1">
        <v>920</v>
      </c>
      <c r="G89">
        <v>16</v>
      </c>
      <c r="H89" s="1">
        <v>4322796</v>
      </c>
      <c r="I89" s="1">
        <v>69</v>
      </c>
      <c r="J89" s="1">
        <v>72.5</v>
      </c>
      <c r="S89" s="5"/>
      <c r="U89" s="5"/>
    </row>
    <row r="90" spans="1:21">
      <c r="A90" t="s">
        <v>15</v>
      </c>
      <c r="B90">
        <v>2026</v>
      </c>
      <c r="C90">
        <v>1</v>
      </c>
      <c r="D90" t="str">
        <f t="shared" si="3"/>
        <v>Pezet - VIV20261</v>
      </c>
      <c r="E90">
        <v>57.6</v>
      </c>
      <c r="F90" s="1">
        <v>920</v>
      </c>
      <c r="G90">
        <v>16</v>
      </c>
      <c r="H90" s="1">
        <v>3719663</v>
      </c>
      <c r="I90" s="1">
        <v>67.5</v>
      </c>
      <c r="J90" s="1">
        <v>67</v>
      </c>
      <c r="S90" s="5"/>
      <c r="U90" s="5"/>
    </row>
    <row r="91" spans="1:21">
      <c r="A91" t="s">
        <v>15</v>
      </c>
      <c r="B91">
        <v>2026</v>
      </c>
      <c r="C91">
        <v>2</v>
      </c>
      <c r="D91" t="str">
        <f t="shared" si="3"/>
        <v>Pezet - VIV20262</v>
      </c>
      <c r="E91">
        <v>59.1</v>
      </c>
      <c r="F91" s="1">
        <v>920</v>
      </c>
      <c r="G91">
        <v>16</v>
      </c>
      <c r="H91" s="1">
        <v>3462166</v>
      </c>
      <c r="I91" s="1">
        <v>67.5</v>
      </c>
      <c r="J91" s="1">
        <v>67</v>
      </c>
      <c r="S91" s="5"/>
      <c r="U91" s="5"/>
    </row>
    <row r="92" spans="1:21">
      <c r="A92" t="s">
        <v>15</v>
      </c>
      <c r="B92">
        <v>2026</v>
      </c>
      <c r="C92">
        <v>3</v>
      </c>
      <c r="D92" t="str">
        <f t="shared" si="3"/>
        <v>Pezet - VIV20263</v>
      </c>
      <c r="E92">
        <v>58.4</v>
      </c>
      <c r="F92" s="1">
        <v>920</v>
      </c>
      <c r="G92">
        <v>16</v>
      </c>
      <c r="H92" s="1">
        <v>3979052</v>
      </c>
      <c r="I92" s="1">
        <v>67.5</v>
      </c>
      <c r="J92" s="1">
        <v>66.5</v>
      </c>
      <c r="S92" s="5"/>
      <c r="U92" s="5"/>
    </row>
    <row r="93" spans="1:21">
      <c r="A93" t="s">
        <v>15</v>
      </c>
      <c r="B93">
        <v>2026</v>
      </c>
      <c r="C93">
        <v>4</v>
      </c>
      <c r="D93" t="str">
        <f t="shared" si="3"/>
        <v>Pezet - VIV20264</v>
      </c>
      <c r="E93">
        <v>58.4</v>
      </c>
      <c r="F93" s="1">
        <v>920</v>
      </c>
      <c r="G93">
        <v>16</v>
      </c>
      <c r="H93" s="1">
        <v>3673070</v>
      </c>
      <c r="I93" s="1">
        <v>67.5</v>
      </c>
      <c r="J93" s="1">
        <v>66</v>
      </c>
      <c r="S93" s="5"/>
      <c r="U93" s="5"/>
    </row>
    <row r="94" spans="1:21">
      <c r="A94" t="s">
        <v>15</v>
      </c>
      <c r="B94">
        <v>2026</v>
      </c>
      <c r="C94">
        <v>5</v>
      </c>
      <c r="D94" t="str">
        <f t="shared" si="3"/>
        <v>Pezet - VIV20265</v>
      </c>
      <c r="E94">
        <v>58.3</v>
      </c>
      <c r="F94" s="1">
        <v>920</v>
      </c>
      <c r="G94">
        <v>16</v>
      </c>
      <c r="H94" s="1">
        <v>3684960</v>
      </c>
      <c r="I94" s="1">
        <v>67.5</v>
      </c>
      <c r="J94" s="1">
        <v>69</v>
      </c>
      <c r="S94" s="5"/>
      <c r="U94" s="5"/>
    </row>
    <row r="95" spans="1:21">
      <c r="S95" s="5"/>
      <c r="U95" s="5"/>
    </row>
    <row r="96" spans="1:21">
      <c r="S96" s="5"/>
      <c r="U96" s="5"/>
    </row>
    <row r="97" spans="19:21">
      <c r="S97" s="5"/>
      <c r="U97" s="5"/>
    </row>
    <row r="98" spans="19:21">
      <c r="S98" s="5"/>
      <c r="U98" s="5"/>
    </row>
    <row r="99" spans="19:21">
      <c r="S99" s="5"/>
      <c r="U99" s="5"/>
    </row>
    <row r="100" spans="19:21">
      <c r="S100" s="5"/>
      <c r="U100" s="5"/>
    </row>
    <row r="101" spans="19:21">
      <c r="S101" s="5"/>
      <c r="U101" s="5"/>
    </row>
    <row r="102" spans="19:21">
      <c r="S102" s="5"/>
      <c r="U102" s="5"/>
    </row>
    <row r="103" spans="19:21">
      <c r="S103" s="5"/>
      <c r="U103" s="5"/>
    </row>
    <row r="104" spans="19:21">
      <c r="S104" s="5"/>
      <c r="U104" s="5"/>
    </row>
    <row r="105" spans="19:21">
      <c r="S105" s="5"/>
      <c r="U105" s="5"/>
    </row>
    <row r="106" spans="19:21">
      <c r="S106" s="5"/>
      <c r="U106" s="5"/>
    </row>
    <row r="107" spans="19:21">
      <c r="S107" s="5"/>
      <c r="U107" s="5"/>
    </row>
    <row r="108" spans="19:21">
      <c r="S108" s="5"/>
      <c r="U108" s="5"/>
    </row>
    <row r="109" spans="19:21">
      <c r="S109" s="5"/>
      <c r="U109" s="5"/>
    </row>
    <row r="110" spans="19:21">
      <c r="S110" s="5"/>
      <c r="U110" s="5"/>
    </row>
    <row r="111" spans="19:21">
      <c r="S111" s="5"/>
      <c r="U111" s="5"/>
    </row>
    <row r="112" spans="19:21">
      <c r="S112" s="5"/>
      <c r="U112" s="5"/>
    </row>
    <row r="113" spans="19:21">
      <c r="S113" s="5"/>
      <c r="U113" s="5"/>
    </row>
    <row r="114" spans="19:21">
      <c r="S114" s="5"/>
      <c r="U114" s="5"/>
    </row>
    <row r="115" spans="19:21">
      <c r="S115" s="5"/>
      <c r="U115" s="5"/>
    </row>
    <row r="116" spans="19:21">
      <c r="S116" s="5"/>
      <c r="U116" s="5"/>
    </row>
    <row r="117" spans="19:21">
      <c r="S117" s="5"/>
      <c r="U117" s="5"/>
    </row>
    <row r="118" spans="19:21">
      <c r="S118" s="5"/>
      <c r="U118" s="5"/>
    </row>
    <row r="119" spans="19:21">
      <c r="S119" s="5"/>
      <c r="U119" s="5"/>
    </row>
    <row r="120" spans="19:21">
      <c r="S120" s="5"/>
      <c r="U120" s="5"/>
    </row>
    <row r="121" spans="19:21">
      <c r="S121" s="5"/>
      <c r="U121" s="5"/>
    </row>
    <row r="122" spans="19:21">
      <c r="S122" s="5"/>
      <c r="U122" s="5"/>
    </row>
  </sheetData>
  <conditionalFormatting sqref="S11:S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{684E18B2-4475-44F3-B678-577DB6E44F27}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4E18B2-4475-44F3-B678-577DB6E44F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S11:S16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7D025-7F98-44E4-AD8D-BE1E7359F3C6}">
  <dimension ref="A1:L290"/>
  <sheetViews>
    <sheetView topLeftCell="A258" workbookViewId="0">
      <selection activeCell="D290" sqref="D290"/>
    </sheetView>
  </sheetViews>
  <sheetFormatPr baseColWidth="10" defaultRowHeight="14.4"/>
  <sheetData>
    <row r="1" spans="1:12">
      <c r="A1" t="s">
        <v>0</v>
      </c>
      <c r="B1" t="s">
        <v>24</v>
      </c>
      <c r="C1" t="s">
        <v>25</v>
      </c>
      <c r="E1" t="s">
        <v>26</v>
      </c>
      <c r="I1" t="s">
        <v>0</v>
      </c>
      <c r="J1" t="s">
        <v>24</v>
      </c>
      <c r="K1" t="s">
        <v>25</v>
      </c>
      <c r="L1" t="s">
        <v>26</v>
      </c>
    </row>
    <row r="2" spans="1:12">
      <c r="A2" t="s">
        <v>8</v>
      </c>
      <c r="B2">
        <v>2024</v>
      </c>
      <c r="C2">
        <v>1</v>
      </c>
      <c r="D2" t="str">
        <f>+A2&amp;B2&amp;C2</f>
        <v>Asia - VIV20241</v>
      </c>
      <c r="E2" t="s">
        <v>108</v>
      </c>
      <c r="I2" t="s">
        <v>8</v>
      </c>
      <c r="J2">
        <v>2024</v>
      </c>
      <c r="K2">
        <v>1</v>
      </c>
      <c r="L2" t="s">
        <v>108</v>
      </c>
    </row>
    <row r="3" spans="1:12">
      <c r="A3" t="s">
        <v>8</v>
      </c>
      <c r="B3">
        <v>2024</v>
      </c>
      <c r="C3">
        <v>2</v>
      </c>
      <c r="D3" t="str">
        <f t="shared" ref="D3:D66" si="0">+A3&amp;B3&amp;C3</f>
        <v>Asia - VIV20242</v>
      </c>
      <c r="E3" t="s">
        <v>125</v>
      </c>
      <c r="I3" t="s">
        <v>8</v>
      </c>
      <c r="J3">
        <v>2024</v>
      </c>
      <c r="K3">
        <v>2</v>
      </c>
      <c r="L3" t="s">
        <v>125</v>
      </c>
    </row>
    <row r="4" spans="1:12">
      <c r="A4" t="s">
        <v>8</v>
      </c>
      <c r="B4">
        <v>2024</v>
      </c>
      <c r="C4">
        <v>3</v>
      </c>
      <c r="D4" t="str">
        <f t="shared" si="0"/>
        <v>Asia - VIV20243</v>
      </c>
      <c r="E4" t="s">
        <v>126</v>
      </c>
      <c r="I4" t="s">
        <v>8</v>
      </c>
      <c r="J4">
        <v>2024</v>
      </c>
      <c r="K4">
        <v>3</v>
      </c>
      <c r="L4" t="s">
        <v>126</v>
      </c>
    </row>
    <row r="5" spans="1:12">
      <c r="A5" t="s">
        <v>8</v>
      </c>
      <c r="B5">
        <v>2024</v>
      </c>
      <c r="C5">
        <v>4</v>
      </c>
      <c r="D5" t="str">
        <f t="shared" si="0"/>
        <v>Asia - VIV20244</v>
      </c>
      <c r="E5" t="s">
        <v>127</v>
      </c>
      <c r="I5" t="s">
        <v>8</v>
      </c>
      <c r="J5">
        <v>2024</v>
      </c>
      <c r="K5">
        <v>4</v>
      </c>
      <c r="L5" t="s">
        <v>127</v>
      </c>
    </row>
    <row r="6" spans="1:12">
      <c r="A6" t="s">
        <v>8</v>
      </c>
      <c r="B6">
        <v>2024</v>
      </c>
      <c r="C6">
        <v>5</v>
      </c>
      <c r="D6" t="str">
        <f t="shared" si="0"/>
        <v>Asia - VIV20245</v>
      </c>
      <c r="E6" t="s">
        <v>128</v>
      </c>
      <c r="I6" t="s">
        <v>8</v>
      </c>
      <c r="J6">
        <v>2024</v>
      </c>
      <c r="K6">
        <v>5</v>
      </c>
      <c r="L6" t="s">
        <v>128</v>
      </c>
    </row>
    <row r="7" spans="1:12">
      <c r="A7" t="s">
        <v>8</v>
      </c>
      <c r="B7">
        <v>2024</v>
      </c>
      <c r="C7">
        <v>6</v>
      </c>
      <c r="D7" t="str">
        <f t="shared" si="0"/>
        <v>Asia - VIV20246</v>
      </c>
      <c r="E7" t="s">
        <v>129</v>
      </c>
      <c r="I7" t="s">
        <v>8</v>
      </c>
      <c r="J7">
        <v>2024</v>
      </c>
      <c r="K7">
        <v>6</v>
      </c>
      <c r="L7" t="s">
        <v>129</v>
      </c>
    </row>
    <row r="8" spans="1:12">
      <c r="A8" t="s">
        <v>8</v>
      </c>
      <c r="B8">
        <v>2024</v>
      </c>
      <c r="C8">
        <v>7</v>
      </c>
      <c r="D8" t="str">
        <f t="shared" si="0"/>
        <v>Asia - VIV20247</v>
      </c>
      <c r="E8" t="s">
        <v>130</v>
      </c>
      <c r="I8" t="s">
        <v>8</v>
      </c>
      <c r="J8">
        <v>2024</v>
      </c>
      <c r="K8">
        <v>7</v>
      </c>
      <c r="L8" t="s">
        <v>130</v>
      </c>
    </row>
    <row r="9" spans="1:12">
      <c r="A9" t="s">
        <v>8</v>
      </c>
      <c r="B9">
        <v>2024</v>
      </c>
      <c r="C9">
        <v>8</v>
      </c>
      <c r="D9" t="str">
        <f t="shared" si="0"/>
        <v>Asia - VIV20248</v>
      </c>
      <c r="E9" t="s">
        <v>131</v>
      </c>
      <c r="I9" t="s">
        <v>8</v>
      </c>
      <c r="J9">
        <v>2024</v>
      </c>
      <c r="K9">
        <v>8</v>
      </c>
      <c r="L9" t="s">
        <v>131</v>
      </c>
    </row>
    <row r="10" spans="1:12">
      <c r="A10" t="s">
        <v>8</v>
      </c>
      <c r="B10">
        <v>2024</v>
      </c>
      <c r="C10">
        <v>9</v>
      </c>
      <c r="D10" t="str">
        <f t="shared" si="0"/>
        <v>Asia - VIV20249</v>
      </c>
      <c r="E10" t="s">
        <v>132</v>
      </c>
      <c r="I10" t="s">
        <v>8</v>
      </c>
      <c r="J10">
        <v>2024</v>
      </c>
      <c r="K10">
        <v>9</v>
      </c>
      <c r="L10" t="s">
        <v>132</v>
      </c>
    </row>
    <row r="11" spans="1:12">
      <c r="A11" t="s">
        <v>8</v>
      </c>
      <c r="B11">
        <v>2024</v>
      </c>
      <c r="C11">
        <v>10</v>
      </c>
      <c r="D11" t="str">
        <f t="shared" si="0"/>
        <v>Asia - VIV202410</v>
      </c>
      <c r="E11" t="s">
        <v>133</v>
      </c>
      <c r="I11" t="s">
        <v>8</v>
      </c>
      <c r="J11">
        <v>2024</v>
      </c>
      <c r="K11">
        <v>10</v>
      </c>
      <c r="L11" t="s">
        <v>133</v>
      </c>
    </row>
    <row r="12" spans="1:12">
      <c r="A12" t="s">
        <v>8</v>
      </c>
      <c r="B12">
        <v>2024</v>
      </c>
      <c r="C12">
        <v>11</v>
      </c>
      <c r="D12" t="str">
        <f t="shared" si="0"/>
        <v>Asia - VIV202411</v>
      </c>
      <c r="E12" t="s">
        <v>134</v>
      </c>
      <c r="I12" t="s">
        <v>8</v>
      </c>
      <c r="J12">
        <v>2024</v>
      </c>
      <c r="K12">
        <v>11</v>
      </c>
      <c r="L12" t="s">
        <v>134</v>
      </c>
    </row>
    <row r="13" spans="1:12">
      <c r="A13" t="s">
        <v>8</v>
      </c>
      <c r="B13">
        <v>2024</v>
      </c>
      <c r="C13">
        <v>12</v>
      </c>
      <c r="D13" t="str">
        <f t="shared" si="0"/>
        <v>Asia - VIV202412</v>
      </c>
      <c r="E13" t="s">
        <v>135</v>
      </c>
      <c r="I13" t="s">
        <v>8</v>
      </c>
      <c r="J13">
        <v>2024</v>
      </c>
      <c r="K13">
        <v>12</v>
      </c>
      <c r="L13" t="s">
        <v>135</v>
      </c>
    </row>
    <row r="14" spans="1:12">
      <c r="A14" t="s">
        <v>8</v>
      </c>
      <c r="B14">
        <v>2025</v>
      </c>
      <c r="C14">
        <v>1</v>
      </c>
      <c r="D14" t="str">
        <f t="shared" si="0"/>
        <v>Asia - VIV20251</v>
      </c>
      <c r="E14" t="s">
        <v>136</v>
      </c>
      <c r="I14" t="s">
        <v>8</v>
      </c>
      <c r="J14">
        <v>2025</v>
      </c>
      <c r="K14">
        <v>1</v>
      </c>
      <c r="L14" t="s">
        <v>136</v>
      </c>
    </row>
    <row r="15" spans="1:12">
      <c r="A15" t="s">
        <v>8</v>
      </c>
      <c r="B15">
        <v>2025</v>
      </c>
      <c r="C15">
        <v>2</v>
      </c>
      <c r="D15" t="str">
        <f t="shared" si="0"/>
        <v>Asia - VIV20252</v>
      </c>
      <c r="E15" t="s">
        <v>137</v>
      </c>
      <c r="I15" t="s">
        <v>8</v>
      </c>
      <c r="J15">
        <v>2025</v>
      </c>
      <c r="K15">
        <v>2</v>
      </c>
      <c r="L15" t="s">
        <v>137</v>
      </c>
    </row>
    <row r="16" spans="1:12">
      <c r="A16" t="s">
        <v>8</v>
      </c>
      <c r="B16">
        <v>2025</v>
      </c>
      <c r="C16">
        <v>3</v>
      </c>
      <c r="D16" t="str">
        <f t="shared" si="0"/>
        <v>Asia - VIV20253</v>
      </c>
      <c r="E16" t="s">
        <v>101</v>
      </c>
      <c r="I16" t="s">
        <v>8</v>
      </c>
      <c r="J16">
        <v>2025</v>
      </c>
      <c r="K16">
        <v>3</v>
      </c>
      <c r="L16" t="s">
        <v>101</v>
      </c>
    </row>
    <row r="17" spans="1:12">
      <c r="A17" t="s">
        <v>8</v>
      </c>
      <c r="B17">
        <v>2025</v>
      </c>
      <c r="C17">
        <v>4</v>
      </c>
      <c r="D17" t="str">
        <f t="shared" si="0"/>
        <v>Asia - VIV20254</v>
      </c>
      <c r="E17" t="s">
        <v>56</v>
      </c>
      <c r="I17" t="s">
        <v>8</v>
      </c>
      <c r="J17">
        <v>2025</v>
      </c>
      <c r="K17">
        <v>4</v>
      </c>
      <c r="L17" t="s">
        <v>56</v>
      </c>
    </row>
    <row r="18" spans="1:12">
      <c r="A18" t="s">
        <v>8</v>
      </c>
      <c r="B18">
        <v>2025</v>
      </c>
      <c r="C18">
        <v>5</v>
      </c>
      <c r="D18" t="str">
        <f t="shared" si="0"/>
        <v>Asia - VIV20255</v>
      </c>
      <c r="E18" t="s">
        <v>36</v>
      </c>
      <c r="I18" t="s">
        <v>8</v>
      </c>
      <c r="J18">
        <v>2025</v>
      </c>
      <c r="K18">
        <v>5</v>
      </c>
      <c r="L18" t="s">
        <v>36</v>
      </c>
    </row>
    <row r="19" spans="1:12">
      <c r="A19" t="s">
        <v>8</v>
      </c>
      <c r="B19">
        <v>2025</v>
      </c>
      <c r="C19">
        <v>6</v>
      </c>
      <c r="D19" t="str">
        <f t="shared" si="0"/>
        <v>Asia - VIV20256</v>
      </c>
      <c r="E19" t="s">
        <v>138</v>
      </c>
      <c r="I19" t="s">
        <v>8</v>
      </c>
      <c r="J19">
        <v>2025</v>
      </c>
      <c r="K19">
        <v>6</v>
      </c>
      <c r="L19" t="s">
        <v>138</v>
      </c>
    </row>
    <row r="20" spans="1:12">
      <c r="A20" t="s">
        <v>8</v>
      </c>
      <c r="B20">
        <v>2025</v>
      </c>
      <c r="C20">
        <v>7</v>
      </c>
      <c r="D20" t="str">
        <f t="shared" si="0"/>
        <v>Asia - VIV20257</v>
      </c>
      <c r="E20" t="s">
        <v>139</v>
      </c>
      <c r="I20" t="s">
        <v>8</v>
      </c>
      <c r="J20">
        <v>2025</v>
      </c>
      <c r="K20">
        <v>7</v>
      </c>
      <c r="L20" t="s">
        <v>139</v>
      </c>
    </row>
    <row r="21" spans="1:12">
      <c r="A21" t="s">
        <v>8</v>
      </c>
      <c r="B21">
        <v>2025</v>
      </c>
      <c r="C21">
        <v>8</v>
      </c>
      <c r="D21" t="str">
        <f t="shared" si="0"/>
        <v>Asia - VIV20258</v>
      </c>
      <c r="E21" t="s">
        <v>140</v>
      </c>
      <c r="I21" t="s">
        <v>8</v>
      </c>
      <c r="J21">
        <v>2025</v>
      </c>
      <c r="K21">
        <v>8</v>
      </c>
      <c r="L21" t="s">
        <v>140</v>
      </c>
    </row>
    <row r="22" spans="1:12">
      <c r="A22" t="s">
        <v>8</v>
      </c>
      <c r="B22">
        <v>2025</v>
      </c>
      <c r="C22">
        <v>9</v>
      </c>
      <c r="D22" t="str">
        <f t="shared" si="0"/>
        <v>Asia - VIV20259</v>
      </c>
      <c r="E22" t="s">
        <v>141</v>
      </c>
      <c r="I22" t="s">
        <v>8</v>
      </c>
      <c r="J22">
        <v>2025</v>
      </c>
      <c r="K22">
        <v>9</v>
      </c>
      <c r="L22" t="s">
        <v>141</v>
      </c>
    </row>
    <row r="23" spans="1:12">
      <c r="A23" t="s">
        <v>8</v>
      </c>
      <c r="B23">
        <v>2025</v>
      </c>
      <c r="C23">
        <v>10</v>
      </c>
      <c r="D23" t="str">
        <f t="shared" si="0"/>
        <v>Asia - VIV202510</v>
      </c>
      <c r="E23" t="s">
        <v>142</v>
      </c>
      <c r="I23" t="s">
        <v>8</v>
      </c>
      <c r="J23">
        <v>2025</v>
      </c>
      <c r="K23">
        <v>10</v>
      </c>
      <c r="L23" t="s">
        <v>142</v>
      </c>
    </row>
    <row r="24" spans="1:12">
      <c r="A24" t="s">
        <v>8</v>
      </c>
      <c r="B24">
        <v>2025</v>
      </c>
      <c r="C24">
        <v>11</v>
      </c>
      <c r="D24" t="str">
        <f t="shared" si="0"/>
        <v>Asia - VIV202511</v>
      </c>
      <c r="E24" t="s">
        <v>143</v>
      </c>
      <c r="I24" t="s">
        <v>8</v>
      </c>
      <c r="J24">
        <v>2025</v>
      </c>
      <c r="K24">
        <v>11</v>
      </c>
      <c r="L24" t="s">
        <v>143</v>
      </c>
    </row>
    <row r="25" spans="1:12">
      <c r="A25" t="s">
        <v>8</v>
      </c>
      <c r="B25">
        <v>2025</v>
      </c>
      <c r="C25">
        <v>12</v>
      </c>
      <c r="D25" t="str">
        <f t="shared" si="0"/>
        <v>Asia - VIV202512</v>
      </c>
      <c r="E25" t="s">
        <v>144</v>
      </c>
      <c r="I25" t="s">
        <v>8</v>
      </c>
      <c r="J25">
        <v>2025</v>
      </c>
      <c r="K25">
        <v>12</v>
      </c>
      <c r="L25" t="s">
        <v>144</v>
      </c>
    </row>
    <row r="26" spans="1:12">
      <c r="A26" t="s">
        <v>8</v>
      </c>
      <c r="B26">
        <v>2026</v>
      </c>
      <c r="C26">
        <v>1</v>
      </c>
      <c r="D26" t="str">
        <f t="shared" si="0"/>
        <v>Asia - VIV20261</v>
      </c>
      <c r="E26" t="s">
        <v>32</v>
      </c>
      <c r="I26" t="s">
        <v>8</v>
      </c>
      <c r="J26">
        <v>2026</v>
      </c>
      <c r="K26">
        <v>1</v>
      </c>
      <c r="L26" t="s">
        <v>32</v>
      </c>
    </row>
    <row r="27" spans="1:12">
      <c r="A27" t="s">
        <v>8</v>
      </c>
      <c r="B27">
        <v>2026</v>
      </c>
      <c r="C27">
        <v>2</v>
      </c>
      <c r="D27" t="str">
        <f t="shared" si="0"/>
        <v>Asia - VIV20262</v>
      </c>
      <c r="E27" t="s">
        <v>33</v>
      </c>
      <c r="I27" t="s">
        <v>8</v>
      </c>
      <c r="J27">
        <v>2026</v>
      </c>
      <c r="K27">
        <v>2</v>
      </c>
      <c r="L27" t="s">
        <v>33</v>
      </c>
    </row>
    <row r="28" spans="1:12">
      <c r="A28" t="s">
        <v>8</v>
      </c>
      <c r="B28">
        <v>2026</v>
      </c>
      <c r="C28">
        <v>3</v>
      </c>
      <c r="D28" t="str">
        <f t="shared" si="0"/>
        <v>Asia - VIV20263</v>
      </c>
      <c r="E28" t="s">
        <v>34</v>
      </c>
      <c r="I28" t="s">
        <v>8</v>
      </c>
      <c r="J28">
        <v>2026</v>
      </c>
      <c r="K28">
        <v>3</v>
      </c>
      <c r="L28" t="s">
        <v>34</v>
      </c>
    </row>
    <row r="29" spans="1:12">
      <c r="A29" t="s">
        <v>8</v>
      </c>
      <c r="B29">
        <v>2026</v>
      </c>
      <c r="C29">
        <v>4</v>
      </c>
      <c r="D29" t="str">
        <f t="shared" si="0"/>
        <v>Asia - VIV20264</v>
      </c>
      <c r="E29" t="s">
        <v>35</v>
      </c>
      <c r="I29" t="s">
        <v>8</v>
      </c>
      <c r="J29">
        <v>2026</v>
      </c>
      <c r="K29">
        <v>4</v>
      </c>
      <c r="L29" t="s">
        <v>35</v>
      </c>
    </row>
    <row r="30" spans="1:12">
      <c r="A30" t="s">
        <v>8</v>
      </c>
      <c r="B30">
        <v>2026</v>
      </c>
      <c r="C30">
        <v>5</v>
      </c>
      <c r="D30" t="str">
        <f t="shared" si="0"/>
        <v>Asia - VIV20265</v>
      </c>
      <c r="E30" t="s">
        <v>36</v>
      </c>
      <c r="I30" t="s">
        <v>8</v>
      </c>
      <c r="J30">
        <v>2026</v>
      </c>
      <c r="K30">
        <v>5</v>
      </c>
      <c r="L30" t="s">
        <v>36</v>
      </c>
    </row>
    <row r="31" spans="1:12">
      <c r="A31" t="s">
        <v>42</v>
      </c>
      <c r="B31">
        <v>2024</v>
      </c>
      <c r="C31">
        <v>1</v>
      </c>
      <c r="D31" t="str">
        <f t="shared" si="0"/>
        <v>Back Office Vivanda20241</v>
      </c>
      <c r="I31" t="s">
        <v>42</v>
      </c>
      <c r="J31">
        <v>2024</v>
      </c>
      <c r="K31">
        <v>1</v>
      </c>
    </row>
    <row r="32" spans="1:12">
      <c r="A32" t="s">
        <v>42</v>
      </c>
      <c r="B32">
        <v>2024</v>
      </c>
      <c r="C32">
        <v>2</v>
      </c>
      <c r="D32" t="str">
        <f t="shared" si="0"/>
        <v>Back Office Vivanda20242</v>
      </c>
      <c r="I32" t="s">
        <v>42</v>
      </c>
      <c r="J32">
        <v>2024</v>
      </c>
      <c r="K32">
        <v>2</v>
      </c>
    </row>
    <row r="33" spans="1:11">
      <c r="A33" t="s">
        <v>42</v>
      </c>
      <c r="B33">
        <v>2024</v>
      </c>
      <c r="C33">
        <v>3</v>
      </c>
      <c r="D33" t="str">
        <f t="shared" si="0"/>
        <v>Back Office Vivanda20243</v>
      </c>
      <c r="I33" t="s">
        <v>42</v>
      </c>
      <c r="J33">
        <v>2024</v>
      </c>
      <c r="K33">
        <v>3</v>
      </c>
    </row>
    <row r="34" spans="1:11">
      <c r="A34" t="s">
        <v>42</v>
      </c>
      <c r="B34">
        <v>2024</v>
      </c>
      <c r="C34">
        <v>4</v>
      </c>
      <c r="D34" t="str">
        <f t="shared" si="0"/>
        <v>Back Office Vivanda20244</v>
      </c>
      <c r="I34" t="s">
        <v>42</v>
      </c>
      <c r="J34">
        <v>2024</v>
      </c>
      <c r="K34">
        <v>4</v>
      </c>
    </row>
    <row r="35" spans="1:11">
      <c r="A35" t="s">
        <v>42</v>
      </c>
      <c r="B35">
        <v>2024</v>
      </c>
      <c r="C35">
        <v>5</v>
      </c>
      <c r="D35" t="str">
        <f t="shared" si="0"/>
        <v>Back Office Vivanda20245</v>
      </c>
      <c r="I35" t="s">
        <v>42</v>
      </c>
      <c r="J35">
        <v>2024</v>
      </c>
      <c r="K35">
        <v>5</v>
      </c>
    </row>
    <row r="36" spans="1:11">
      <c r="A36" t="s">
        <v>42</v>
      </c>
      <c r="B36">
        <v>2024</v>
      </c>
      <c r="C36">
        <v>6</v>
      </c>
      <c r="D36" t="str">
        <f t="shared" si="0"/>
        <v>Back Office Vivanda20246</v>
      </c>
      <c r="I36" t="s">
        <v>42</v>
      </c>
      <c r="J36">
        <v>2024</v>
      </c>
      <c r="K36">
        <v>6</v>
      </c>
    </row>
    <row r="37" spans="1:11">
      <c r="A37" t="s">
        <v>42</v>
      </c>
      <c r="B37">
        <v>2024</v>
      </c>
      <c r="C37">
        <v>7</v>
      </c>
      <c r="D37" t="str">
        <f t="shared" si="0"/>
        <v>Back Office Vivanda20247</v>
      </c>
      <c r="I37" t="s">
        <v>42</v>
      </c>
      <c r="J37">
        <v>2024</v>
      </c>
      <c r="K37">
        <v>7</v>
      </c>
    </row>
    <row r="38" spans="1:11">
      <c r="A38" t="s">
        <v>42</v>
      </c>
      <c r="B38">
        <v>2024</v>
      </c>
      <c r="C38">
        <v>8</v>
      </c>
      <c r="D38" t="str">
        <f t="shared" si="0"/>
        <v>Back Office Vivanda20248</v>
      </c>
      <c r="I38" t="s">
        <v>42</v>
      </c>
      <c r="J38">
        <v>2024</v>
      </c>
      <c r="K38">
        <v>8</v>
      </c>
    </row>
    <row r="39" spans="1:11">
      <c r="A39" t="s">
        <v>42</v>
      </c>
      <c r="B39">
        <v>2024</v>
      </c>
      <c r="C39">
        <v>9</v>
      </c>
      <c r="D39" t="str">
        <f t="shared" si="0"/>
        <v>Back Office Vivanda20249</v>
      </c>
      <c r="I39" t="s">
        <v>42</v>
      </c>
      <c r="J39">
        <v>2024</v>
      </c>
      <c r="K39">
        <v>9</v>
      </c>
    </row>
    <row r="40" spans="1:11">
      <c r="A40" t="s">
        <v>42</v>
      </c>
      <c r="B40">
        <v>2024</v>
      </c>
      <c r="C40">
        <v>10</v>
      </c>
      <c r="D40" t="str">
        <f t="shared" si="0"/>
        <v>Back Office Vivanda202410</v>
      </c>
      <c r="I40" t="s">
        <v>42</v>
      </c>
      <c r="J40">
        <v>2024</v>
      </c>
      <c r="K40">
        <v>10</v>
      </c>
    </row>
    <row r="41" spans="1:11">
      <c r="A41" t="s">
        <v>42</v>
      </c>
      <c r="B41">
        <v>2024</v>
      </c>
      <c r="C41">
        <v>11</v>
      </c>
      <c r="D41" t="str">
        <f t="shared" si="0"/>
        <v>Back Office Vivanda202411</v>
      </c>
      <c r="I41" t="s">
        <v>42</v>
      </c>
      <c r="J41">
        <v>2024</v>
      </c>
      <c r="K41">
        <v>11</v>
      </c>
    </row>
    <row r="42" spans="1:11">
      <c r="A42" t="s">
        <v>42</v>
      </c>
      <c r="B42">
        <v>2024</v>
      </c>
      <c r="C42">
        <v>12</v>
      </c>
      <c r="D42" t="str">
        <f t="shared" si="0"/>
        <v>Back Office Vivanda202412</v>
      </c>
      <c r="I42" t="s">
        <v>42</v>
      </c>
      <c r="J42">
        <v>2024</v>
      </c>
      <c r="K42">
        <v>12</v>
      </c>
    </row>
    <row r="43" spans="1:11">
      <c r="A43" t="s">
        <v>42</v>
      </c>
      <c r="B43">
        <v>2025</v>
      </c>
      <c r="C43">
        <v>1</v>
      </c>
      <c r="D43" t="str">
        <f t="shared" si="0"/>
        <v>Back Office Vivanda20251</v>
      </c>
      <c r="I43" t="s">
        <v>42</v>
      </c>
      <c r="J43">
        <v>2025</v>
      </c>
      <c r="K43">
        <v>1</v>
      </c>
    </row>
    <row r="44" spans="1:11">
      <c r="A44" t="s">
        <v>42</v>
      </c>
      <c r="B44">
        <v>2025</v>
      </c>
      <c r="C44">
        <v>2</v>
      </c>
      <c r="D44" t="str">
        <f t="shared" si="0"/>
        <v>Back Office Vivanda20252</v>
      </c>
      <c r="I44" t="s">
        <v>42</v>
      </c>
      <c r="J44">
        <v>2025</v>
      </c>
      <c r="K44">
        <v>2</v>
      </c>
    </row>
    <row r="45" spans="1:11">
      <c r="A45" t="s">
        <v>42</v>
      </c>
      <c r="B45">
        <v>2025</v>
      </c>
      <c r="C45">
        <v>3</v>
      </c>
      <c r="D45" t="str">
        <f t="shared" si="0"/>
        <v>Back Office Vivanda20253</v>
      </c>
      <c r="I45" t="s">
        <v>42</v>
      </c>
      <c r="J45">
        <v>2025</v>
      </c>
      <c r="K45">
        <v>3</v>
      </c>
    </row>
    <row r="46" spans="1:11">
      <c r="A46" t="s">
        <v>42</v>
      </c>
      <c r="B46">
        <v>2025</v>
      </c>
      <c r="C46">
        <v>4</v>
      </c>
      <c r="D46" t="str">
        <f t="shared" si="0"/>
        <v>Back Office Vivanda20254</v>
      </c>
      <c r="I46" t="s">
        <v>42</v>
      </c>
      <c r="J46">
        <v>2025</v>
      </c>
      <c r="K46">
        <v>4</v>
      </c>
    </row>
    <row r="47" spans="1:11">
      <c r="A47" t="s">
        <v>42</v>
      </c>
      <c r="B47">
        <v>2025</v>
      </c>
      <c r="C47">
        <v>5</v>
      </c>
      <c r="D47" t="str">
        <f t="shared" si="0"/>
        <v>Back Office Vivanda20255</v>
      </c>
      <c r="I47" t="s">
        <v>42</v>
      </c>
      <c r="J47">
        <v>2025</v>
      </c>
      <c r="K47">
        <v>5</v>
      </c>
    </row>
    <row r="48" spans="1:11">
      <c r="A48" t="s">
        <v>42</v>
      </c>
      <c r="B48">
        <v>2025</v>
      </c>
      <c r="C48">
        <v>6</v>
      </c>
      <c r="D48" t="str">
        <f t="shared" si="0"/>
        <v>Back Office Vivanda20256</v>
      </c>
      <c r="I48" t="s">
        <v>42</v>
      </c>
      <c r="J48">
        <v>2025</v>
      </c>
      <c r="K48">
        <v>6</v>
      </c>
    </row>
    <row r="49" spans="1:12">
      <c r="A49" t="s">
        <v>42</v>
      </c>
      <c r="B49">
        <v>2025</v>
      </c>
      <c r="C49">
        <v>7</v>
      </c>
      <c r="D49" t="str">
        <f t="shared" si="0"/>
        <v>Back Office Vivanda20257</v>
      </c>
      <c r="I49" t="s">
        <v>42</v>
      </c>
      <c r="J49">
        <v>2025</v>
      </c>
      <c r="K49">
        <v>7</v>
      </c>
    </row>
    <row r="50" spans="1:12">
      <c r="A50" t="s">
        <v>42</v>
      </c>
      <c r="B50">
        <v>2025</v>
      </c>
      <c r="C50">
        <v>8</v>
      </c>
      <c r="D50" t="str">
        <f t="shared" si="0"/>
        <v>Back Office Vivanda20258</v>
      </c>
      <c r="I50" t="s">
        <v>42</v>
      </c>
      <c r="J50">
        <v>2025</v>
      </c>
      <c r="K50">
        <v>8</v>
      </c>
    </row>
    <row r="51" spans="1:12">
      <c r="A51" t="s">
        <v>42</v>
      </c>
      <c r="B51">
        <v>2025</v>
      </c>
      <c r="C51">
        <v>9</v>
      </c>
      <c r="D51" t="str">
        <f t="shared" si="0"/>
        <v>Back Office Vivanda20259</v>
      </c>
      <c r="I51" t="s">
        <v>42</v>
      </c>
      <c r="J51">
        <v>2025</v>
      </c>
      <c r="K51">
        <v>9</v>
      </c>
    </row>
    <row r="52" spans="1:12">
      <c r="A52" t="s">
        <v>42</v>
      </c>
      <c r="B52">
        <v>2025</v>
      </c>
      <c r="C52">
        <v>10</v>
      </c>
      <c r="D52" t="str">
        <f t="shared" si="0"/>
        <v>Back Office Vivanda202510</v>
      </c>
      <c r="I52" t="s">
        <v>42</v>
      </c>
      <c r="J52">
        <v>2025</v>
      </c>
      <c r="K52">
        <v>10</v>
      </c>
    </row>
    <row r="53" spans="1:12">
      <c r="A53" t="s">
        <v>42</v>
      </c>
      <c r="B53">
        <v>2025</v>
      </c>
      <c r="C53">
        <v>11</v>
      </c>
      <c r="D53" t="str">
        <f t="shared" si="0"/>
        <v>Back Office Vivanda202511</v>
      </c>
      <c r="I53" t="s">
        <v>42</v>
      </c>
      <c r="J53">
        <v>2025</v>
      </c>
      <c r="K53">
        <v>11</v>
      </c>
    </row>
    <row r="54" spans="1:12">
      <c r="A54" t="s">
        <v>42</v>
      </c>
      <c r="B54">
        <v>2025</v>
      </c>
      <c r="C54">
        <v>12</v>
      </c>
      <c r="D54" t="str">
        <f t="shared" si="0"/>
        <v>Back Office Vivanda202512</v>
      </c>
      <c r="I54" t="s">
        <v>42</v>
      </c>
      <c r="J54">
        <v>2025</v>
      </c>
      <c r="K54">
        <v>12</v>
      </c>
    </row>
    <row r="55" spans="1:12">
      <c r="A55" t="s">
        <v>42</v>
      </c>
      <c r="B55">
        <v>2026</v>
      </c>
      <c r="C55">
        <v>1</v>
      </c>
      <c r="D55" t="str">
        <f t="shared" si="0"/>
        <v>Back Office Vivanda20261</v>
      </c>
      <c r="I55" t="s">
        <v>42</v>
      </c>
      <c r="J55">
        <v>2026</v>
      </c>
      <c r="K55">
        <v>1</v>
      </c>
    </row>
    <row r="56" spans="1:12">
      <c r="A56" t="s">
        <v>42</v>
      </c>
      <c r="B56">
        <v>2026</v>
      </c>
      <c r="C56">
        <v>2</v>
      </c>
      <c r="D56" t="str">
        <f t="shared" si="0"/>
        <v>Back Office Vivanda20262</v>
      </c>
      <c r="I56" t="s">
        <v>42</v>
      </c>
      <c r="J56">
        <v>2026</v>
      </c>
      <c r="K56">
        <v>2</v>
      </c>
    </row>
    <row r="57" spans="1:12">
      <c r="A57" t="s">
        <v>42</v>
      </c>
      <c r="B57">
        <v>2026</v>
      </c>
      <c r="C57">
        <v>3</v>
      </c>
      <c r="D57" t="str">
        <f t="shared" si="0"/>
        <v>Back Office Vivanda20263</v>
      </c>
      <c r="I57" t="s">
        <v>42</v>
      </c>
      <c r="J57">
        <v>2026</v>
      </c>
      <c r="K57">
        <v>3</v>
      </c>
    </row>
    <row r="58" spans="1:12">
      <c r="A58" t="s">
        <v>42</v>
      </c>
      <c r="B58">
        <v>2026</v>
      </c>
      <c r="C58">
        <v>4</v>
      </c>
      <c r="D58" t="str">
        <f t="shared" si="0"/>
        <v>Back Office Vivanda20264</v>
      </c>
      <c r="I58" t="s">
        <v>42</v>
      </c>
      <c r="J58">
        <v>2026</v>
      </c>
      <c r="K58">
        <v>4</v>
      </c>
    </row>
    <row r="59" spans="1:12">
      <c r="A59" t="s">
        <v>42</v>
      </c>
      <c r="B59">
        <v>2026</v>
      </c>
      <c r="C59">
        <v>5</v>
      </c>
      <c r="D59" t="str">
        <f t="shared" si="0"/>
        <v>Back Office Vivanda20265</v>
      </c>
      <c r="I59" t="s">
        <v>42</v>
      </c>
      <c r="J59">
        <v>2026</v>
      </c>
      <c r="K59">
        <v>5</v>
      </c>
    </row>
    <row r="60" spans="1:12">
      <c r="A60" t="s">
        <v>9</v>
      </c>
      <c r="B60">
        <v>2024</v>
      </c>
      <c r="C60">
        <v>1</v>
      </c>
      <c r="D60" t="str">
        <f t="shared" si="0"/>
        <v>Benavides - VIV20241</v>
      </c>
      <c r="E60" t="s">
        <v>48</v>
      </c>
      <c r="I60" t="s">
        <v>9</v>
      </c>
      <c r="J60">
        <v>2024</v>
      </c>
      <c r="K60">
        <v>1</v>
      </c>
      <c r="L60" t="s">
        <v>48</v>
      </c>
    </row>
    <row r="61" spans="1:12">
      <c r="A61" t="s">
        <v>9</v>
      </c>
      <c r="B61">
        <v>2024</v>
      </c>
      <c r="C61">
        <v>2</v>
      </c>
      <c r="D61" t="str">
        <f t="shared" si="0"/>
        <v>Benavides - VIV20242</v>
      </c>
      <c r="E61" t="s">
        <v>145</v>
      </c>
      <c r="I61" t="s">
        <v>9</v>
      </c>
      <c r="J61">
        <v>2024</v>
      </c>
      <c r="K61">
        <v>2</v>
      </c>
      <c r="L61" t="s">
        <v>145</v>
      </c>
    </row>
    <row r="62" spans="1:12">
      <c r="A62" t="s">
        <v>9</v>
      </c>
      <c r="B62">
        <v>2024</v>
      </c>
      <c r="C62">
        <v>3</v>
      </c>
      <c r="D62" t="str">
        <f t="shared" si="0"/>
        <v>Benavides - VIV20243</v>
      </c>
      <c r="E62" t="s">
        <v>113</v>
      </c>
      <c r="I62" t="s">
        <v>9</v>
      </c>
      <c r="J62">
        <v>2024</v>
      </c>
      <c r="K62">
        <v>3</v>
      </c>
      <c r="L62" t="s">
        <v>113</v>
      </c>
    </row>
    <row r="63" spans="1:12">
      <c r="A63" t="s">
        <v>9</v>
      </c>
      <c r="B63">
        <v>2024</v>
      </c>
      <c r="C63">
        <v>4</v>
      </c>
      <c r="D63" t="str">
        <f t="shared" si="0"/>
        <v>Benavides - VIV20244</v>
      </c>
      <c r="E63" t="s">
        <v>122</v>
      </c>
      <c r="I63" t="s">
        <v>9</v>
      </c>
      <c r="J63">
        <v>2024</v>
      </c>
      <c r="K63">
        <v>4</v>
      </c>
      <c r="L63" t="s">
        <v>122</v>
      </c>
    </row>
    <row r="64" spans="1:12">
      <c r="A64" t="s">
        <v>9</v>
      </c>
      <c r="B64">
        <v>2024</v>
      </c>
      <c r="C64">
        <v>5</v>
      </c>
      <c r="D64" t="str">
        <f t="shared" si="0"/>
        <v>Benavides - VIV20245</v>
      </c>
      <c r="E64" t="s">
        <v>117</v>
      </c>
      <c r="I64" t="s">
        <v>9</v>
      </c>
      <c r="J64">
        <v>2024</v>
      </c>
      <c r="K64">
        <v>5</v>
      </c>
      <c r="L64" t="s">
        <v>117</v>
      </c>
    </row>
    <row r="65" spans="1:12">
      <c r="A65" t="s">
        <v>9</v>
      </c>
      <c r="B65">
        <v>2024</v>
      </c>
      <c r="C65">
        <v>6</v>
      </c>
      <c r="D65" t="str">
        <f t="shared" si="0"/>
        <v>Benavides - VIV20246</v>
      </c>
      <c r="E65" t="s">
        <v>111</v>
      </c>
      <c r="I65" t="s">
        <v>9</v>
      </c>
      <c r="J65">
        <v>2024</v>
      </c>
      <c r="K65">
        <v>6</v>
      </c>
      <c r="L65" t="s">
        <v>111</v>
      </c>
    </row>
    <row r="66" spans="1:12">
      <c r="A66" t="s">
        <v>9</v>
      </c>
      <c r="B66">
        <v>2024</v>
      </c>
      <c r="C66">
        <v>7</v>
      </c>
      <c r="D66" t="str">
        <f t="shared" si="0"/>
        <v>Benavides - VIV20247</v>
      </c>
      <c r="E66" t="s">
        <v>97</v>
      </c>
      <c r="I66" t="s">
        <v>9</v>
      </c>
      <c r="J66">
        <v>2024</v>
      </c>
      <c r="K66">
        <v>7</v>
      </c>
      <c r="L66" t="s">
        <v>97</v>
      </c>
    </row>
    <row r="67" spans="1:12">
      <c r="A67" t="s">
        <v>9</v>
      </c>
      <c r="B67">
        <v>2024</v>
      </c>
      <c r="C67">
        <v>8</v>
      </c>
      <c r="D67" t="str">
        <f t="shared" ref="D67:D130" si="1">+A67&amp;B67&amp;C67</f>
        <v>Benavides - VIV20248</v>
      </c>
      <c r="E67" t="s">
        <v>146</v>
      </c>
      <c r="I67" t="s">
        <v>9</v>
      </c>
      <c r="J67">
        <v>2024</v>
      </c>
      <c r="K67">
        <v>8</v>
      </c>
      <c r="L67" t="s">
        <v>146</v>
      </c>
    </row>
    <row r="68" spans="1:12">
      <c r="A68" t="s">
        <v>9</v>
      </c>
      <c r="B68">
        <v>2024</v>
      </c>
      <c r="C68">
        <v>9</v>
      </c>
      <c r="D68" t="str">
        <f t="shared" si="1"/>
        <v>Benavides - VIV20249</v>
      </c>
      <c r="E68" t="s">
        <v>29</v>
      </c>
      <c r="I68" t="s">
        <v>9</v>
      </c>
      <c r="J68">
        <v>2024</v>
      </c>
      <c r="K68">
        <v>9</v>
      </c>
      <c r="L68" t="s">
        <v>29</v>
      </c>
    </row>
    <row r="69" spans="1:12">
      <c r="A69" t="s">
        <v>9</v>
      </c>
      <c r="B69">
        <v>2024</v>
      </c>
      <c r="C69">
        <v>10</v>
      </c>
      <c r="D69" t="str">
        <f t="shared" si="1"/>
        <v>Benavides - VIV202410</v>
      </c>
      <c r="E69" t="s">
        <v>46</v>
      </c>
      <c r="I69" t="s">
        <v>9</v>
      </c>
      <c r="J69">
        <v>2024</v>
      </c>
      <c r="K69">
        <v>10</v>
      </c>
      <c r="L69" t="s">
        <v>46</v>
      </c>
    </row>
    <row r="70" spans="1:12">
      <c r="A70" t="s">
        <v>9</v>
      </c>
      <c r="B70">
        <v>2024</v>
      </c>
      <c r="C70">
        <v>11</v>
      </c>
      <c r="D70" t="str">
        <f t="shared" si="1"/>
        <v>Benavides - VIV202411</v>
      </c>
      <c r="E70" t="s">
        <v>146</v>
      </c>
      <c r="I70" t="s">
        <v>9</v>
      </c>
      <c r="J70">
        <v>2024</v>
      </c>
      <c r="K70">
        <v>11</v>
      </c>
      <c r="L70" t="s">
        <v>146</v>
      </c>
    </row>
    <row r="71" spans="1:12">
      <c r="A71" t="s">
        <v>9</v>
      </c>
      <c r="B71">
        <v>2024</v>
      </c>
      <c r="C71">
        <v>12</v>
      </c>
      <c r="D71" t="str">
        <f t="shared" si="1"/>
        <v>Benavides - VIV202412</v>
      </c>
      <c r="E71" t="s">
        <v>39</v>
      </c>
      <c r="I71" t="s">
        <v>9</v>
      </c>
      <c r="J71">
        <v>2024</v>
      </c>
      <c r="K71">
        <v>12</v>
      </c>
      <c r="L71" t="s">
        <v>39</v>
      </c>
    </row>
    <row r="72" spans="1:12">
      <c r="A72" t="s">
        <v>9</v>
      </c>
      <c r="B72">
        <v>2025</v>
      </c>
      <c r="C72">
        <v>1</v>
      </c>
      <c r="D72" t="str">
        <f t="shared" si="1"/>
        <v>Benavides - VIV20251</v>
      </c>
      <c r="E72" t="s">
        <v>49</v>
      </c>
      <c r="I72" t="s">
        <v>9</v>
      </c>
      <c r="J72">
        <v>2025</v>
      </c>
      <c r="K72">
        <v>1</v>
      </c>
      <c r="L72" t="s">
        <v>49</v>
      </c>
    </row>
    <row r="73" spans="1:12">
      <c r="A73" t="s">
        <v>9</v>
      </c>
      <c r="B73">
        <v>2025</v>
      </c>
      <c r="C73">
        <v>2</v>
      </c>
      <c r="D73" t="str">
        <f t="shared" si="1"/>
        <v>Benavides - VIV20252</v>
      </c>
      <c r="E73" t="s">
        <v>104</v>
      </c>
      <c r="I73" t="s">
        <v>9</v>
      </c>
      <c r="J73">
        <v>2025</v>
      </c>
      <c r="K73">
        <v>2</v>
      </c>
      <c r="L73" t="s">
        <v>104</v>
      </c>
    </row>
    <row r="74" spans="1:12">
      <c r="A74" t="s">
        <v>9</v>
      </c>
      <c r="B74">
        <v>2025</v>
      </c>
      <c r="C74">
        <v>3</v>
      </c>
      <c r="D74" t="str">
        <f t="shared" si="1"/>
        <v>Benavides - VIV20253</v>
      </c>
      <c r="E74" t="s">
        <v>64</v>
      </c>
      <c r="I74" t="s">
        <v>9</v>
      </c>
      <c r="J74">
        <v>2025</v>
      </c>
      <c r="K74">
        <v>3</v>
      </c>
      <c r="L74" t="s">
        <v>64</v>
      </c>
    </row>
    <row r="75" spans="1:12">
      <c r="A75" t="s">
        <v>9</v>
      </c>
      <c r="B75">
        <v>2025</v>
      </c>
      <c r="C75">
        <v>4</v>
      </c>
      <c r="D75" t="str">
        <f t="shared" si="1"/>
        <v>Benavides - VIV20254</v>
      </c>
      <c r="E75" t="s">
        <v>77</v>
      </c>
      <c r="I75" t="s">
        <v>9</v>
      </c>
      <c r="J75">
        <v>2025</v>
      </c>
      <c r="K75">
        <v>4</v>
      </c>
      <c r="L75" t="s">
        <v>77</v>
      </c>
    </row>
    <row r="76" spans="1:12">
      <c r="A76" t="s">
        <v>9</v>
      </c>
      <c r="B76">
        <v>2025</v>
      </c>
      <c r="C76">
        <v>5</v>
      </c>
      <c r="D76" t="str">
        <f t="shared" si="1"/>
        <v>Benavides - VIV20255</v>
      </c>
      <c r="E76" t="s">
        <v>37</v>
      </c>
      <c r="I76" t="s">
        <v>9</v>
      </c>
      <c r="J76">
        <v>2025</v>
      </c>
      <c r="K76">
        <v>5</v>
      </c>
      <c r="L76" t="s">
        <v>37</v>
      </c>
    </row>
    <row r="77" spans="1:12">
      <c r="A77" t="s">
        <v>9</v>
      </c>
      <c r="B77">
        <v>2025</v>
      </c>
      <c r="C77">
        <v>6</v>
      </c>
      <c r="D77" t="str">
        <f t="shared" si="1"/>
        <v>Benavides - VIV20256</v>
      </c>
      <c r="E77" t="s">
        <v>150</v>
      </c>
      <c r="I77" t="s">
        <v>9</v>
      </c>
      <c r="J77">
        <v>2025</v>
      </c>
      <c r="K77">
        <v>6</v>
      </c>
      <c r="L77" t="s">
        <v>150</v>
      </c>
    </row>
    <row r="78" spans="1:12">
      <c r="A78" t="s">
        <v>9</v>
      </c>
      <c r="B78">
        <v>2025</v>
      </c>
      <c r="C78">
        <v>7</v>
      </c>
      <c r="D78" t="str">
        <f t="shared" si="1"/>
        <v>Benavides - VIV20257</v>
      </c>
      <c r="E78" t="s">
        <v>47</v>
      </c>
      <c r="I78" t="s">
        <v>9</v>
      </c>
      <c r="J78">
        <v>2025</v>
      </c>
      <c r="K78">
        <v>7</v>
      </c>
      <c r="L78" t="s">
        <v>47</v>
      </c>
    </row>
    <row r="79" spans="1:12">
      <c r="A79" t="s">
        <v>9</v>
      </c>
      <c r="B79">
        <v>2025</v>
      </c>
      <c r="C79">
        <v>8</v>
      </c>
      <c r="D79" t="str">
        <f t="shared" si="1"/>
        <v>Benavides - VIV20258</v>
      </c>
      <c r="E79" t="s">
        <v>151</v>
      </c>
      <c r="I79" t="s">
        <v>9</v>
      </c>
      <c r="J79">
        <v>2025</v>
      </c>
      <c r="K79">
        <v>8</v>
      </c>
      <c r="L79" t="s">
        <v>151</v>
      </c>
    </row>
    <row r="80" spans="1:12">
      <c r="A80" t="s">
        <v>9</v>
      </c>
      <c r="B80">
        <v>2025</v>
      </c>
      <c r="C80">
        <v>9</v>
      </c>
      <c r="D80" t="str">
        <f t="shared" si="1"/>
        <v>Benavides - VIV20259</v>
      </c>
      <c r="E80" t="s">
        <v>99</v>
      </c>
      <c r="I80" t="s">
        <v>9</v>
      </c>
      <c r="J80">
        <v>2025</v>
      </c>
      <c r="K80">
        <v>9</v>
      </c>
      <c r="L80" t="s">
        <v>99</v>
      </c>
    </row>
    <row r="81" spans="1:12">
      <c r="A81" t="s">
        <v>9</v>
      </c>
      <c r="B81">
        <v>2025</v>
      </c>
      <c r="C81">
        <v>10</v>
      </c>
      <c r="D81" t="str">
        <f t="shared" si="1"/>
        <v>Benavides - VIV202510</v>
      </c>
      <c r="E81" t="s">
        <v>116</v>
      </c>
      <c r="I81" t="s">
        <v>9</v>
      </c>
      <c r="J81">
        <v>2025</v>
      </c>
      <c r="K81">
        <v>10</v>
      </c>
      <c r="L81" t="s">
        <v>116</v>
      </c>
    </row>
    <row r="82" spans="1:12">
      <c r="A82" t="s">
        <v>9</v>
      </c>
      <c r="B82">
        <v>2025</v>
      </c>
      <c r="C82">
        <v>11</v>
      </c>
      <c r="D82" t="str">
        <f t="shared" si="1"/>
        <v>Benavides - VIV202511</v>
      </c>
      <c r="E82" t="s">
        <v>60</v>
      </c>
      <c r="I82" t="s">
        <v>9</v>
      </c>
      <c r="J82">
        <v>2025</v>
      </c>
      <c r="K82">
        <v>11</v>
      </c>
      <c r="L82" t="s">
        <v>60</v>
      </c>
    </row>
    <row r="83" spans="1:12">
      <c r="A83" t="s">
        <v>9</v>
      </c>
      <c r="B83">
        <v>2025</v>
      </c>
      <c r="C83">
        <v>12</v>
      </c>
      <c r="D83" t="str">
        <f t="shared" si="1"/>
        <v>Benavides - VIV202512</v>
      </c>
      <c r="E83" t="s">
        <v>92</v>
      </c>
      <c r="I83" t="s">
        <v>9</v>
      </c>
      <c r="J83">
        <v>2025</v>
      </c>
      <c r="K83">
        <v>12</v>
      </c>
      <c r="L83" t="s">
        <v>92</v>
      </c>
    </row>
    <row r="84" spans="1:12">
      <c r="A84" t="s">
        <v>9</v>
      </c>
      <c r="B84">
        <v>2026</v>
      </c>
      <c r="C84">
        <v>1</v>
      </c>
      <c r="D84" t="str">
        <f t="shared" si="1"/>
        <v>Benavides - VIV20261</v>
      </c>
      <c r="E84" t="s">
        <v>43</v>
      </c>
      <c r="I84" t="s">
        <v>9</v>
      </c>
      <c r="J84">
        <v>2026</v>
      </c>
      <c r="K84">
        <v>1</v>
      </c>
      <c r="L84" t="s">
        <v>43</v>
      </c>
    </row>
    <row r="85" spans="1:12">
      <c r="A85" t="s">
        <v>9</v>
      </c>
      <c r="B85">
        <v>2026</v>
      </c>
      <c r="C85">
        <v>2</v>
      </c>
      <c r="D85" t="str">
        <f t="shared" si="1"/>
        <v>Benavides - VIV20262</v>
      </c>
      <c r="E85" t="s">
        <v>44</v>
      </c>
      <c r="I85" t="s">
        <v>9</v>
      </c>
      <c r="J85">
        <v>2026</v>
      </c>
      <c r="K85">
        <v>2</v>
      </c>
      <c r="L85" t="s">
        <v>44</v>
      </c>
    </row>
    <row r="86" spans="1:12">
      <c r="A86" t="s">
        <v>9</v>
      </c>
      <c r="B86">
        <v>2026</v>
      </c>
      <c r="C86">
        <v>3</v>
      </c>
      <c r="D86" t="str">
        <f t="shared" si="1"/>
        <v>Benavides - VIV20263</v>
      </c>
      <c r="E86" t="s">
        <v>28</v>
      </c>
      <c r="I86" t="s">
        <v>9</v>
      </c>
      <c r="J86">
        <v>2026</v>
      </c>
      <c r="K86">
        <v>3</v>
      </c>
      <c r="L86" t="s">
        <v>28</v>
      </c>
    </row>
    <row r="87" spans="1:12">
      <c r="A87" t="s">
        <v>9</v>
      </c>
      <c r="B87">
        <v>2026</v>
      </c>
      <c r="C87">
        <v>4</v>
      </c>
      <c r="D87" t="str">
        <f t="shared" si="1"/>
        <v>Benavides - VIV20264</v>
      </c>
      <c r="E87" t="s">
        <v>45</v>
      </c>
      <c r="I87" t="s">
        <v>9</v>
      </c>
      <c r="J87">
        <v>2026</v>
      </c>
      <c r="K87">
        <v>4</v>
      </c>
      <c r="L87" t="s">
        <v>45</v>
      </c>
    </row>
    <row r="88" spans="1:12">
      <c r="A88" t="s">
        <v>9</v>
      </c>
      <c r="B88">
        <v>2026</v>
      </c>
      <c r="C88">
        <v>5</v>
      </c>
      <c r="D88" t="str">
        <f t="shared" si="1"/>
        <v>Benavides - VIV20265</v>
      </c>
      <c r="E88" t="s">
        <v>46</v>
      </c>
      <c r="I88" t="s">
        <v>9</v>
      </c>
      <c r="J88">
        <v>2026</v>
      </c>
      <c r="K88">
        <v>5</v>
      </c>
      <c r="L88" t="s">
        <v>46</v>
      </c>
    </row>
    <row r="89" spans="1:12">
      <c r="A89" t="s">
        <v>70</v>
      </c>
      <c r="B89">
        <v>2024</v>
      </c>
      <c r="C89">
        <v>1</v>
      </c>
      <c r="D89" t="str">
        <f t="shared" si="1"/>
        <v>Destinos del Sabor - VIV20241</v>
      </c>
      <c r="I89" t="s">
        <v>70</v>
      </c>
      <c r="J89">
        <v>2024</v>
      </c>
      <c r="K89">
        <v>1</v>
      </c>
    </row>
    <row r="90" spans="1:12">
      <c r="A90" t="s">
        <v>70</v>
      </c>
      <c r="B90">
        <v>2024</v>
      </c>
      <c r="C90">
        <v>2</v>
      </c>
      <c r="D90" t="str">
        <f t="shared" si="1"/>
        <v>Destinos del Sabor - VIV20242</v>
      </c>
      <c r="I90" t="s">
        <v>70</v>
      </c>
      <c r="J90">
        <v>2024</v>
      </c>
      <c r="K90">
        <v>2</v>
      </c>
    </row>
    <row r="91" spans="1:12">
      <c r="A91" t="s">
        <v>70</v>
      </c>
      <c r="B91">
        <v>2024</v>
      </c>
      <c r="C91">
        <v>3</v>
      </c>
      <c r="D91" t="str">
        <f t="shared" si="1"/>
        <v>Destinos del Sabor - VIV20243</v>
      </c>
      <c r="I91" t="s">
        <v>70</v>
      </c>
      <c r="J91">
        <v>2024</v>
      </c>
      <c r="K91">
        <v>3</v>
      </c>
    </row>
    <row r="92" spans="1:12">
      <c r="A92" t="s">
        <v>70</v>
      </c>
      <c r="B92">
        <v>2024</v>
      </c>
      <c r="C92">
        <v>4</v>
      </c>
      <c r="D92" t="str">
        <f t="shared" si="1"/>
        <v>Destinos del Sabor - VIV20244</v>
      </c>
      <c r="I92" t="s">
        <v>70</v>
      </c>
      <c r="J92">
        <v>2024</v>
      </c>
      <c r="K92">
        <v>4</v>
      </c>
    </row>
    <row r="93" spans="1:12">
      <c r="A93" t="s">
        <v>70</v>
      </c>
      <c r="B93">
        <v>2024</v>
      </c>
      <c r="C93">
        <v>5</v>
      </c>
      <c r="D93" t="str">
        <f t="shared" si="1"/>
        <v>Destinos del Sabor - VIV20245</v>
      </c>
      <c r="I93" t="s">
        <v>70</v>
      </c>
      <c r="J93">
        <v>2024</v>
      </c>
      <c r="K93">
        <v>5</v>
      </c>
    </row>
    <row r="94" spans="1:12">
      <c r="A94" t="s">
        <v>70</v>
      </c>
      <c r="B94">
        <v>2024</v>
      </c>
      <c r="C94">
        <v>6</v>
      </c>
      <c r="D94" t="str">
        <f t="shared" si="1"/>
        <v>Destinos del Sabor - VIV20246</v>
      </c>
      <c r="I94" t="s">
        <v>70</v>
      </c>
      <c r="J94">
        <v>2024</v>
      </c>
      <c r="K94">
        <v>6</v>
      </c>
    </row>
    <row r="95" spans="1:12">
      <c r="A95" t="s">
        <v>70</v>
      </c>
      <c r="B95">
        <v>2024</v>
      </c>
      <c r="C95">
        <v>7</v>
      </c>
      <c r="D95" t="str">
        <f t="shared" si="1"/>
        <v>Destinos del Sabor - VIV20247</v>
      </c>
      <c r="I95" t="s">
        <v>70</v>
      </c>
      <c r="J95">
        <v>2024</v>
      </c>
      <c r="K95">
        <v>7</v>
      </c>
    </row>
    <row r="96" spans="1:12">
      <c r="A96" t="s">
        <v>70</v>
      </c>
      <c r="B96">
        <v>2024</v>
      </c>
      <c r="C96">
        <v>8</v>
      </c>
      <c r="D96" t="str">
        <f t="shared" si="1"/>
        <v>Destinos del Sabor - VIV20248</v>
      </c>
      <c r="I96" t="s">
        <v>70</v>
      </c>
      <c r="J96">
        <v>2024</v>
      </c>
      <c r="K96">
        <v>8</v>
      </c>
    </row>
    <row r="97" spans="1:11">
      <c r="A97" t="s">
        <v>70</v>
      </c>
      <c r="B97">
        <v>2024</v>
      </c>
      <c r="C97">
        <v>9</v>
      </c>
      <c r="D97" t="str">
        <f t="shared" si="1"/>
        <v>Destinos del Sabor - VIV20249</v>
      </c>
      <c r="I97" t="s">
        <v>70</v>
      </c>
      <c r="J97">
        <v>2024</v>
      </c>
      <c r="K97">
        <v>9</v>
      </c>
    </row>
    <row r="98" spans="1:11">
      <c r="A98" t="s">
        <v>70</v>
      </c>
      <c r="B98">
        <v>2024</v>
      </c>
      <c r="C98">
        <v>10</v>
      </c>
      <c r="D98" t="str">
        <f t="shared" si="1"/>
        <v>Destinos del Sabor - VIV202410</v>
      </c>
      <c r="I98" t="s">
        <v>70</v>
      </c>
      <c r="J98">
        <v>2024</v>
      </c>
      <c r="K98">
        <v>10</v>
      </c>
    </row>
    <row r="99" spans="1:11">
      <c r="A99" t="s">
        <v>70</v>
      </c>
      <c r="B99">
        <v>2024</v>
      </c>
      <c r="C99">
        <v>11</v>
      </c>
      <c r="D99" t="str">
        <f t="shared" si="1"/>
        <v>Destinos del Sabor - VIV202411</v>
      </c>
      <c r="I99" t="s">
        <v>70</v>
      </c>
      <c r="J99">
        <v>2024</v>
      </c>
      <c r="K99">
        <v>11</v>
      </c>
    </row>
    <row r="100" spans="1:11">
      <c r="A100" t="s">
        <v>70</v>
      </c>
      <c r="B100">
        <v>2024</v>
      </c>
      <c r="C100">
        <v>12</v>
      </c>
      <c r="D100" t="str">
        <f t="shared" si="1"/>
        <v>Destinos del Sabor - VIV202412</v>
      </c>
      <c r="I100" t="s">
        <v>70</v>
      </c>
      <c r="J100">
        <v>2024</v>
      </c>
      <c r="K100">
        <v>12</v>
      </c>
    </row>
    <row r="101" spans="1:11">
      <c r="A101" t="s">
        <v>70</v>
      </c>
      <c r="B101">
        <v>2025</v>
      </c>
      <c r="C101">
        <v>1</v>
      </c>
      <c r="D101" t="str">
        <f t="shared" si="1"/>
        <v>Destinos del Sabor - VIV20251</v>
      </c>
      <c r="I101" t="s">
        <v>70</v>
      </c>
      <c r="J101">
        <v>2025</v>
      </c>
      <c r="K101">
        <v>1</v>
      </c>
    </row>
    <row r="102" spans="1:11">
      <c r="A102" t="s">
        <v>70</v>
      </c>
      <c r="B102">
        <v>2025</v>
      </c>
      <c r="C102">
        <v>2</v>
      </c>
      <c r="D102" t="str">
        <f t="shared" si="1"/>
        <v>Destinos del Sabor - VIV20252</v>
      </c>
      <c r="I102" t="s">
        <v>70</v>
      </c>
      <c r="J102">
        <v>2025</v>
      </c>
      <c r="K102">
        <v>2</v>
      </c>
    </row>
    <row r="103" spans="1:11">
      <c r="A103" t="s">
        <v>70</v>
      </c>
      <c r="B103">
        <v>2025</v>
      </c>
      <c r="C103">
        <v>3</v>
      </c>
      <c r="D103" t="str">
        <f t="shared" si="1"/>
        <v>Destinos del Sabor - VIV20253</v>
      </c>
      <c r="I103" t="s">
        <v>70</v>
      </c>
      <c r="J103">
        <v>2025</v>
      </c>
      <c r="K103">
        <v>3</v>
      </c>
    </row>
    <row r="104" spans="1:11">
      <c r="A104" t="s">
        <v>70</v>
      </c>
      <c r="B104">
        <v>2025</v>
      </c>
      <c r="C104">
        <v>4</v>
      </c>
      <c r="D104" t="str">
        <f t="shared" si="1"/>
        <v>Destinos del Sabor - VIV20254</v>
      </c>
      <c r="I104" t="s">
        <v>70</v>
      </c>
      <c r="J104">
        <v>2025</v>
      </c>
      <c r="K104">
        <v>4</v>
      </c>
    </row>
    <row r="105" spans="1:11">
      <c r="A105" t="s">
        <v>70</v>
      </c>
      <c r="B105">
        <v>2025</v>
      </c>
      <c r="C105">
        <v>5</v>
      </c>
      <c r="D105" t="str">
        <f t="shared" si="1"/>
        <v>Destinos del Sabor - VIV20255</v>
      </c>
      <c r="I105" t="s">
        <v>70</v>
      </c>
      <c r="J105">
        <v>2025</v>
      </c>
      <c r="K105">
        <v>5</v>
      </c>
    </row>
    <row r="106" spans="1:11">
      <c r="A106" t="s">
        <v>70</v>
      </c>
      <c r="B106">
        <v>2025</v>
      </c>
      <c r="C106">
        <v>6</v>
      </c>
      <c r="D106" t="str">
        <f t="shared" si="1"/>
        <v>Destinos del Sabor - VIV20256</v>
      </c>
      <c r="I106" t="s">
        <v>70</v>
      </c>
      <c r="J106">
        <v>2025</v>
      </c>
      <c r="K106">
        <v>6</v>
      </c>
    </row>
    <row r="107" spans="1:11">
      <c r="A107" t="s">
        <v>70</v>
      </c>
      <c r="B107">
        <v>2025</v>
      </c>
      <c r="C107">
        <v>7</v>
      </c>
      <c r="D107" t="str">
        <f t="shared" si="1"/>
        <v>Destinos del Sabor - VIV20257</v>
      </c>
      <c r="I107" t="s">
        <v>70</v>
      </c>
      <c r="J107">
        <v>2025</v>
      </c>
      <c r="K107">
        <v>7</v>
      </c>
    </row>
    <row r="108" spans="1:11">
      <c r="A108" t="s">
        <v>70</v>
      </c>
      <c r="B108">
        <v>2025</v>
      </c>
      <c r="C108">
        <v>8</v>
      </c>
      <c r="D108" t="str">
        <f t="shared" si="1"/>
        <v>Destinos del Sabor - VIV20258</v>
      </c>
      <c r="I108" t="s">
        <v>70</v>
      </c>
      <c r="J108">
        <v>2025</v>
      </c>
      <c r="K108">
        <v>8</v>
      </c>
    </row>
    <row r="109" spans="1:11">
      <c r="A109" t="s">
        <v>70</v>
      </c>
      <c r="B109">
        <v>2025</v>
      </c>
      <c r="C109">
        <v>9</v>
      </c>
      <c r="D109" t="str">
        <f t="shared" si="1"/>
        <v>Destinos del Sabor - VIV20259</v>
      </c>
      <c r="I109" t="s">
        <v>70</v>
      </c>
      <c r="J109">
        <v>2025</v>
      </c>
      <c r="K109">
        <v>9</v>
      </c>
    </row>
    <row r="110" spans="1:11">
      <c r="A110" t="s">
        <v>70</v>
      </c>
      <c r="B110">
        <v>2025</v>
      </c>
      <c r="C110">
        <v>10</v>
      </c>
      <c r="D110" t="str">
        <f t="shared" si="1"/>
        <v>Destinos del Sabor - VIV202510</v>
      </c>
      <c r="I110" t="s">
        <v>70</v>
      </c>
      <c r="J110">
        <v>2025</v>
      </c>
      <c r="K110">
        <v>10</v>
      </c>
    </row>
    <row r="111" spans="1:11">
      <c r="A111" t="s">
        <v>70</v>
      </c>
      <c r="B111">
        <v>2025</v>
      </c>
      <c r="C111">
        <v>11</v>
      </c>
      <c r="D111" t="str">
        <f t="shared" si="1"/>
        <v>Destinos del Sabor - VIV202511</v>
      </c>
      <c r="I111" t="s">
        <v>70</v>
      </c>
      <c r="J111">
        <v>2025</v>
      </c>
      <c r="K111">
        <v>11</v>
      </c>
    </row>
    <row r="112" spans="1:11">
      <c r="A112" t="s">
        <v>70</v>
      </c>
      <c r="B112">
        <v>2025</v>
      </c>
      <c r="C112">
        <v>12</v>
      </c>
      <c r="D112" t="str">
        <f t="shared" si="1"/>
        <v>Destinos del Sabor - VIV202512</v>
      </c>
      <c r="I112" t="s">
        <v>70</v>
      </c>
      <c r="J112">
        <v>2025</v>
      </c>
      <c r="K112">
        <v>12</v>
      </c>
    </row>
    <row r="113" spans="1:12">
      <c r="A113" t="s">
        <v>70</v>
      </c>
      <c r="B113">
        <v>2026</v>
      </c>
      <c r="C113">
        <v>1</v>
      </c>
      <c r="D113" t="str">
        <f t="shared" si="1"/>
        <v>Destinos del Sabor - VIV20261</v>
      </c>
      <c r="I113" t="s">
        <v>70</v>
      </c>
      <c r="J113">
        <v>2026</v>
      </c>
      <c r="K113">
        <v>1</v>
      </c>
    </row>
    <row r="114" spans="1:12">
      <c r="A114" t="s">
        <v>70</v>
      </c>
      <c r="B114">
        <v>2026</v>
      </c>
      <c r="C114">
        <v>2</v>
      </c>
      <c r="D114" t="str">
        <f t="shared" si="1"/>
        <v>Destinos del Sabor - VIV20262</v>
      </c>
      <c r="I114" t="s">
        <v>70</v>
      </c>
      <c r="J114">
        <v>2026</v>
      </c>
      <c r="K114">
        <v>2</v>
      </c>
    </row>
    <row r="115" spans="1:12">
      <c r="A115" t="s">
        <v>70</v>
      </c>
      <c r="B115">
        <v>2026</v>
      </c>
      <c r="C115">
        <v>3</v>
      </c>
      <c r="D115" t="str">
        <f t="shared" si="1"/>
        <v>Destinos del Sabor - VIV20263</v>
      </c>
      <c r="I115" t="s">
        <v>70</v>
      </c>
      <c r="J115">
        <v>2026</v>
      </c>
      <c r="K115">
        <v>3</v>
      </c>
    </row>
    <row r="116" spans="1:12">
      <c r="A116" t="s">
        <v>70</v>
      </c>
      <c r="B116">
        <v>2026</v>
      </c>
      <c r="C116">
        <v>4</v>
      </c>
      <c r="D116" t="str">
        <f t="shared" si="1"/>
        <v>Destinos del Sabor - VIV20264</v>
      </c>
      <c r="I116" t="s">
        <v>70</v>
      </c>
      <c r="J116">
        <v>2026</v>
      </c>
      <c r="K116">
        <v>4</v>
      </c>
    </row>
    <row r="117" spans="1:12">
      <c r="A117" t="s">
        <v>70</v>
      </c>
      <c r="B117">
        <v>2026</v>
      </c>
      <c r="C117">
        <v>5</v>
      </c>
      <c r="D117" t="str">
        <f t="shared" si="1"/>
        <v>Destinos del Sabor - VIV20265</v>
      </c>
      <c r="I117" t="s">
        <v>70</v>
      </c>
      <c r="J117">
        <v>2026</v>
      </c>
      <c r="K117">
        <v>5</v>
      </c>
    </row>
    <row r="118" spans="1:12">
      <c r="A118" t="s">
        <v>10</v>
      </c>
      <c r="B118">
        <v>2024</v>
      </c>
      <c r="C118">
        <v>1</v>
      </c>
      <c r="D118" t="str">
        <f t="shared" si="1"/>
        <v>Dos de Mayo - VIV20241</v>
      </c>
      <c r="E118" t="s">
        <v>121</v>
      </c>
      <c r="I118" t="s">
        <v>10</v>
      </c>
      <c r="J118">
        <v>2024</v>
      </c>
      <c r="K118">
        <v>1</v>
      </c>
      <c r="L118" t="s">
        <v>121</v>
      </c>
    </row>
    <row r="119" spans="1:12">
      <c r="A119" t="s">
        <v>10</v>
      </c>
      <c r="B119">
        <v>2024</v>
      </c>
      <c r="C119">
        <v>2</v>
      </c>
      <c r="D119" t="str">
        <f t="shared" si="1"/>
        <v>Dos de Mayo - VIV20242</v>
      </c>
      <c r="E119" t="s">
        <v>63</v>
      </c>
      <c r="I119" t="s">
        <v>10</v>
      </c>
      <c r="J119">
        <v>2024</v>
      </c>
      <c r="K119">
        <v>2</v>
      </c>
      <c r="L119" t="s">
        <v>63</v>
      </c>
    </row>
    <row r="120" spans="1:12">
      <c r="A120" t="s">
        <v>10</v>
      </c>
      <c r="B120">
        <v>2024</v>
      </c>
      <c r="C120">
        <v>3</v>
      </c>
      <c r="D120" t="str">
        <f t="shared" si="1"/>
        <v>Dos de Mayo - VIV20243</v>
      </c>
      <c r="E120" t="s">
        <v>153</v>
      </c>
      <c r="I120" t="s">
        <v>10</v>
      </c>
      <c r="J120">
        <v>2024</v>
      </c>
      <c r="K120">
        <v>3</v>
      </c>
      <c r="L120" t="s">
        <v>153</v>
      </c>
    </row>
    <row r="121" spans="1:12">
      <c r="A121" t="s">
        <v>10</v>
      </c>
      <c r="B121">
        <v>2024</v>
      </c>
      <c r="C121">
        <v>4</v>
      </c>
      <c r="D121" t="str">
        <f t="shared" si="1"/>
        <v>Dos de Mayo - VIV20244</v>
      </c>
      <c r="E121" t="s">
        <v>53</v>
      </c>
      <c r="I121" t="s">
        <v>10</v>
      </c>
      <c r="J121">
        <v>2024</v>
      </c>
      <c r="K121">
        <v>4</v>
      </c>
      <c r="L121" t="s">
        <v>53</v>
      </c>
    </row>
    <row r="122" spans="1:12">
      <c r="A122" t="s">
        <v>10</v>
      </c>
      <c r="B122">
        <v>2024</v>
      </c>
      <c r="C122">
        <v>5</v>
      </c>
      <c r="D122" t="str">
        <f t="shared" si="1"/>
        <v>Dos de Mayo - VIV20245</v>
      </c>
      <c r="E122" t="s">
        <v>56</v>
      </c>
      <c r="I122" t="s">
        <v>10</v>
      </c>
      <c r="J122">
        <v>2024</v>
      </c>
      <c r="K122">
        <v>5</v>
      </c>
      <c r="L122" t="s">
        <v>56</v>
      </c>
    </row>
    <row r="123" spans="1:12">
      <c r="A123" t="s">
        <v>10</v>
      </c>
      <c r="B123">
        <v>2024</v>
      </c>
      <c r="C123">
        <v>6</v>
      </c>
      <c r="D123" t="str">
        <f t="shared" si="1"/>
        <v>Dos de Mayo - VIV20246</v>
      </c>
      <c r="E123" t="s">
        <v>100</v>
      </c>
      <c r="I123" t="s">
        <v>10</v>
      </c>
      <c r="J123">
        <v>2024</v>
      </c>
      <c r="K123">
        <v>6</v>
      </c>
      <c r="L123" t="s">
        <v>100</v>
      </c>
    </row>
    <row r="124" spans="1:12">
      <c r="A124" t="s">
        <v>10</v>
      </c>
      <c r="B124">
        <v>2024</v>
      </c>
      <c r="C124">
        <v>7</v>
      </c>
      <c r="D124" t="str">
        <f t="shared" si="1"/>
        <v>Dos de Mayo - VIV20247</v>
      </c>
      <c r="E124" t="s">
        <v>168</v>
      </c>
      <c r="I124" t="s">
        <v>10</v>
      </c>
      <c r="J124">
        <v>2024</v>
      </c>
      <c r="K124">
        <v>7</v>
      </c>
      <c r="L124" t="s">
        <v>168</v>
      </c>
    </row>
    <row r="125" spans="1:12">
      <c r="A125" t="s">
        <v>10</v>
      </c>
      <c r="B125">
        <v>2024</v>
      </c>
      <c r="C125">
        <v>8</v>
      </c>
      <c r="D125" t="str">
        <f t="shared" si="1"/>
        <v>Dos de Mayo - VIV20248</v>
      </c>
      <c r="E125" t="s">
        <v>162</v>
      </c>
      <c r="I125" t="s">
        <v>10</v>
      </c>
      <c r="J125">
        <v>2024</v>
      </c>
      <c r="K125">
        <v>8</v>
      </c>
      <c r="L125" t="s">
        <v>162</v>
      </c>
    </row>
    <row r="126" spans="1:12">
      <c r="A126" t="s">
        <v>10</v>
      </c>
      <c r="B126">
        <v>2024</v>
      </c>
      <c r="C126">
        <v>9</v>
      </c>
      <c r="D126" t="str">
        <f t="shared" si="1"/>
        <v>Dos de Mayo - VIV20249</v>
      </c>
      <c r="E126" t="s">
        <v>106</v>
      </c>
      <c r="I126" t="s">
        <v>10</v>
      </c>
      <c r="J126">
        <v>2024</v>
      </c>
      <c r="K126">
        <v>9</v>
      </c>
      <c r="L126" t="s">
        <v>106</v>
      </c>
    </row>
    <row r="127" spans="1:12">
      <c r="A127" t="s">
        <v>10</v>
      </c>
      <c r="B127">
        <v>2024</v>
      </c>
      <c r="C127">
        <v>10</v>
      </c>
      <c r="D127" t="str">
        <f t="shared" si="1"/>
        <v>Dos de Mayo - VIV202410</v>
      </c>
      <c r="E127" t="s">
        <v>169</v>
      </c>
      <c r="I127" t="s">
        <v>10</v>
      </c>
      <c r="J127">
        <v>2024</v>
      </c>
      <c r="K127">
        <v>10</v>
      </c>
      <c r="L127" t="s">
        <v>169</v>
      </c>
    </row>
    <row r="128" spans="1:12">
      <c r="A128" t="s">
        <v>10</v>
      </c>
      <c r="B128">
        <v>2024</v>
      </c>
      <c r="C128">
        <v>11</v>
      </c>
      <c r="D128" t="str">
        <f t="shared" si="1"/>
        <v>Dos de Mayo - VIV202411</v>
      </c>
      <c r="E128" t="s">
        <v>118</v>
      </c>
      <c r="I128" t="s">
        <v>10</v>
      </c>
      <c r="J128">
        <v>2024</v>
      </c>
      <c r="K128">
        <v>11</v>
      </c>
      <c r="L128" t="s">
        <v>118</v>
      </c>
    </row>
    <row r="129" spans="1:12">
      <c r="A129" t="s">
        <v>10</v>
      </c>
      <c r="B129">
        <v>2024</v>
      </c>
      <c r="C129">
        <v>12</v>
      </c>
      <c r="D129" t="str">
        <f t="shared" si="1"/>
        <v>Dos de Mayo - VIV202412</v>
      </c>
      <c r="E129" t="s">
        <v>111</v>
      </c>
      <c r="I129" t="s">
        <v>10</v>
      </c>
      <c r="J129">
        <v>2024</v>
      </c>
      <c r="K129">
        <v>12</v>
      </c>
      <c r="L129" t="s">
        <v>111</v>
      </c>
    </row>
    <row r="130" spans="1:12">
      <c r="A130" t="s">
        <v>10</v>
      </c>
      <c r="B130">
        <v>2025</v>
      </c>
      <c r="C130">
        <v>1</v>
      </c>
      <c r="D130" t="str">
        <f t="shared" si="1"/>
        <v>Dos de Mayo - VIV20251</v>
      </c>
      <c r="E130" t="s">
        <v>40</v>
      </c>
      <c r="I130" t="s">
        <v>10</v>
      </c>
      <c r="J130">
        <v>2025</v>
      </c>
      <c r="K130">
        <v>1</v>
      </c>
      <c r="L130" t="s">
        <v>40</v>
      </c>
    </row>
    <row r="131" spans="1:12">
      <c r="A131" t="s">
        <v>10</v>
      </c>
      <c r="B131">
        <v>2025</v>
      </c>
      <c r="C131">
        <v>2</v>
      </c>
      <c r="D131" t="str">
        <f t="shared" ref="D131:D194" si="2">+A131&amp;B131&amp;C131</f>
        <v>Dos de Mayo - VIV20252</v>
      </c>
      <c r="E131" t="s">
        <v>65</v>
      </c>
      <c r="I131" t="s">
        <v>10</v>
      </c>
      <c r="J131">
        <v>2025</v>
      </c>
      <c r="K131">
        <v>2</v>
      </c>
      <c r="L131" t="s">
        <v>65</v>
      </c>
    </row>
    <row r="132" spans="1:12">
      <c r="A132" t="s">
        <v>10</v>
      </c>
      <c r="B132">
        <v>2025</v>
      </c>
      <c r="C132">
        <v>3</v>
      </c>
      <c r="D132" t="str">
        <f t="shared" si="2"/>
        <v>Dos de Mayo - VIV20253</v>
      </c>
      <c r="E132" t="s">
        <v>170</v>
      </c>
      <c r="I132" t="s">
        <v>10</v>
      </c>
      <c r="J132">
        <v>2025</v>
      </c>
      <c r="K132">
        <v>3</v>
      </c>
      <c r="L132" t="s">
        <v>170</v>
      </c>
    </row>
    <row r="133" spans="1:12">
      <c r="A133" t="s">
        <v>10</v>
      </c>
      <c r="B133">
        <v>2025</v>
      </c>
      <c r="C133">
        <v>4</v>
      </c>
      <c r="D133" t="str">
        <f t="shared" si="2"/>
        <v>Dos de Mayo - VIV20254</v>
      </c>
      <c r="E133" t="s">
        <v>153</v>
      </c>
      <c r="I133" t="s">
        <v>10</v>
      </c>
      <c r="J133">
        <v>2025</v>
      </c>
      <c r="K133">
        <v>4</v>
      </c>
      <c r="L133" t="s">
        <v>153</v>
      </c>
    </row>
    <row r="134" spans="1:12">
      <c r="A134" t="s">
        <v>10</v>
      </c>
      <c r="B134">
        <v>2025</v>
      </c>
      <c r="C134">
        <v>5</v>
      </c>
      <c r="D134" t="str">
        <f t="shared" si="2"/>
        <v>Dos de Mayo - VIV20255</v>
      </c>
      <c r="E134" t="s">
        <v>157</v>
      </c>
      <c r="I134" t="s">
        <v>10</v>
      </c>
      <c r="J134">
        <v>2025</v>
      </c>
      <c r="K134">
        <v>5</v>
      </c>
      <c r="L134" t="s">
        <v>157</v>
      </c>
    </row>
    <row r="135" spans="1:12">
      <c r="A135" t="s">
        <v>10</v>
      </c>
      <c r="B135">
        <v>2025</v>
      </c>
      <c r="C135">
        <v>6</v>
      </c>
      <c r="D135" t="str">
        <f t="shared" si="2"/>
        <v>Dos de Mayo - VIV20256</v>
      </c>
      <c r="E135" t="s">
        <v>160</v>
      </c>
      <c r="I135" t="s">
        <v>10</v>
      </c>
      <c r="J135">
        <v>2025</v>
      </c>
      <c r="K135">
        <v>6</v>
      </c>
      <c r="L135" t="s">
        <v>160</v>
      </c>
    </row>
    <row r="136" spans="1:12">
      <c r="A136" t="s">
        <v>10</v>
      </c>
      <c r="B136">
        <v>2025</v>
      </c>
      <c r="C136">
        <v>7</v>
      </c>
      <c r="D136" t="str">
        <f t="shared" si="2"/>
        <v>Dos de Mayo - VIV20257</v>
      </c>
      <c r="E136" t="s">
        <v>106</v>
      </c>
      <c r="I136" t="s">
        <v>10</v>
      </c>
      <c r="J136">
        <v>2025</v>
      </c>
      <c r="K136">
        <v>7</v>
      </c>
      <c r="L136" t="s">
        <v>106</v>
      </c>
    </row>
    <row r="137" spans="1:12">
      <c r="A137" t="s">
        <v>10</v>
      </c>
      <c r="B137">
        <v>2025</v>
      </c>
      <c r="C137">
        <v>8</v>
      </c>
      <c r="D137" t="str">
        <f t="shared" si="2"/>
        <v>Dos de Mayo - VIV20258</v>
      </c>
      <c r="E137" t="s">
        <v>62</v>
      </c>
      <c r="I137" t="s">
        <v>10</v>
      </c>
      <c r="J137">
        <v>2025</v>
      </c>
      <c r="K137">
        <v>8</v>
      </c>
      <c r="L137" t="s">
        <v>62</v>
      </c>
    </row>
    <row r="138" spans="1:12">
      <c r="A138" t="s">
        <v>10</v>
      </c>
      <c r="B138">
        <v>2025</v>
      </c>
      <c r="C138">
        <v>9</v>
      </c>
      <c r="D138" t="str">
        <f t="shared" si="2"/>
        <v>Dos de Mayo - VIV20259</v>
      </c>
      <c r="E138" t="s">
        <v>149</v>
      </c>
      <c r="I138" t="s">
        <v>10</v>
      </c>
      <c r="J138">
        <v>2025</v>
      </c>
      <c r="K138">
        <v>9</v>
      </c>
      <c r="L138" t="s">
        <v>149</v>
      </c>
    </row>
    <row r="139" spans="1:12">
      <c r="A139" t="s">
        <v>10</v>
      </c>
      <c r="B139">
        <v>2025</v>
      </c>
      <c r="C139">
        <v>10</v>
      </c>
      <c r="D139" t="str">
        <f t="shared" si="2"/>
        <v>Dos de Mayo - VIV202510</v>
      </c>
      <c r="E139" t="s">
        <v>61</v>
      </c>
      <c r="I139" t="s">
        <v>10</v>
      </c>
      <c r="J139">
        <v>2025</v>
      </c>
      <c r="K139">
        <v>10</v>
      </c>
      <c r="L139" t="s">
        <v>61</v>
      </c>
    </row>
    <row r="140" spans="1:12">
      <c r="A140" t="s">
        <v>10</v>
      </c>
      <c r="B140">
        <v>2025</v>
      </c>
      <c r="C140">
        <v>11</v>
      </c>
      <c r="D140" t="str">
        <f t="shared" si="2"/>
        <v>Dos de Mayo - VIV202511</v>
      </c>
      <c r="E140" t="s">
        <v>161</v>
      </c>
      <c r="I140" t="s">
        <v>10</v>
      </c>
      <c r="J140">
        <v>2025</v>
      </c>
      <c r="K140">
        <v>11</v>
      </c>
      <c r="L140" t="s">
        <v>161</v>
      </c>
    </row>
    <row r="141" spans="1:12">
      <c r="A141" t="s">
        <v>10</v>
      </c>
      <c r="B141">
        <v>2025</v>
      </c>
      <c r="C141">
        <v>12</v>
      </c>
      <c r="D141" t="str">
        <f t="shared" si="2"/>
        <v>Dos de Mayo - VIV202512</v>
      </c>
      <c r="E141" t="s">
        <v>73</v>
      </c>
      <c r="I141" t="s">
        <v>10</v>
      </c>
      <c r="J141">
        <v>2025</v>
      </c>
      <c r="K141">
        <v>12</v>
      </c>
      <c r="L141" t="s">
        <v>73</v>
      </c>
    </row>
    <row r="142" spans="1:12">
      <c r="A142" t="s">
        <v>10</v>
      </c>
      <c r="B142">
        <v>2026</v>
      </c>
      <c r="C142">
        <v>1</v>
      </c>
      <c r="D142" t="str">
        <f t="shared" si="2"/>
        <v>Dos de Mayo - VIV20261</v>
      </c>
      <c r="E142" t="s">
        <v>71</v>
      </c>
      <c r="I142" t="s">
        <v>10</v>
      </c>
      <c r="J142">
        <v>2026</v>
      </c>
      <c r="K142">
        <v>1</v>
      </c>
      <c r="L142" t="s">
        <v>71</v>
      </c>
    </row>
    <row r="143" spans="1:12">
      <c r="A143" t="s">
        <v>10</v>
      </c>
      <c r="B143">
        <v>2026</v>
      </c>
      <c r="C143">
        <v>2</v>
      </c>
      <c r="D143" t="str">
        <f t="shared" si="2"/>
        <v>Dos de Mayo - VIV20262</v>
      </c>
      <c r="E143" t="s">
        <v>72</v>
      </c>
      <c r="I143" t="s">
        <v>10</v>
      </c>
      <c r="J143">
        <v>2026</v>
      </c>
      <c r="K143">
        <v>2</v>
      </c>
      <c r="L143" t="s">
        <v>72</v>
      </c>
    </row>
    <row r="144" spans="1:12">
      <c r="A144" t="s">
        <v>10</v>
      </c>
      <c r="B144">
        <v>2026</v>
      </c>
      <c r="C144">
        <v>3</v>
      </c>
      <c r="D144" t="str">
        <f t="shared" si="2"/>
        <v>Dos de Mayo - VIV20263</v>
      </c>
      <c r="E144" t="s">
        <v>73</v>
      </c>
      <c r="I144" t="s">
        <v>10</v>
      </c>
      <c r="J144">
        <v>2026</v>
      </c>
      <c r="K144">
        <v>3</v>
      </c>
      <c r="L144" t="s">
        <v>73</v>
      </c>
    </row>
    <row r="145" spans="1:12">
      <c r="A145" t="s">
        <v>10</v>
      </c>
      <c r="B145">
        <v>2026</v>
      </c>
      <c r="C145">
        <v>4</v>
      </c>
      <c r="D145" t="str">
        <f t="shared" si="2"/>
        <v>Dos de Mayo - VIV20264</v>
      </c>
      <c r="E145" t="s">
        <v>74</v>
      </c>
      <c r="I145" t="s">
        <v>10</v>
      </c>
      <c r="J145">
        <v>2026</v>
      </c>
      <c r="K145">
        <v>4</v>
      </c>
      <c r="L145" t="s">
        <v>74</v>
      </c>
    </row>
    <row r="146" spans="1:12">
      <c r="A146" t="s">
        <v>10</v>
      </c>
      <c r="B146">
        <v>2026</v>
      </c>
      <c r="C146">
        <v>5</v>
      </c>
      <c r="D146" t="str">
        <f t="shared" si="2"/>
        <v>Dos de Mayo - VIV20265</v>
      </c>
      <c r="E146" t="s">
        <v>51</v>
      </c>
      <c r="I146" t="s">
        <v>10</v>
      </c>
      <c r="J146">
        <v>2026</v>
      </c>
      <c r="K146">
        <v>5</v>
      </c>
      <c r="L146" t="s">
        <v>51</v>
      </c>
    </row>
    <row r="147" spans="1:12">
      <c r="A147" t="s">
        <v>11</v>
      </c>
      <c r="B147">
        <v>2024</v>
      </c>
      <c r="C147">
        <v>1</v>
      </c>
      <c r="D147" t="str">
        <f t="shared" si="2"/>
        <v>Javier Prado - VIV20241</v>
      </c>
      <c r="E147" t="s">
        <v>103</v>
      </c>
      <c r="I147" t="s">
        <v>11</v>
      </c>
      <c r="J147">
        <v>2024</v>
      </c>
      <c r="K147">
        <v>1</v>
      </c>
      <c r="L147" t="s">
        <v>103</v>
      </c>
    </row>
    <row r="148" spans="1:12">
      <c r="A148" t="s">
        <v>11</v>
      </c>
      <c r="B148">
        <v>2024</v>
      </c>
      <c r="C148">
        <v>2</v>
      </c>
      <c r="D148" t="str">
        <f t="shared" si="2"/>
        <v>Javier Prado - VIV20242</v>
      </c>
      <c r="E148" t="s">
        <v>147</v>
      </c>
      <c r="I148" t="s">
        <v>11</v>
      </c>
      <c r="J148">
        <v>2024</v>
      </c>
      <c r="K148">
        <v>2</v>
      </c>
      <c r="L148" t="s">
        <v>147</v>
      </c>
    </row>
    <row r="149" spans="1:12">
      <c r="A149" t="s">
        <v>11</v>
      </c>
      <c r="B149">
        <v>2024</v>
      </c>
      <c r="C149">
        <v>3</v>
      </c>
      <c r="D149" t="str">
        <f t="shared" si="2"/>
        <v>Javier Prado - VIV20243</v>
      </c>
      <c r="E149" t="s">
        <v>38</v>
      </c>
      <c r="I149" t="s">
        <v>11</v>
      </c>
      <c r="J149">
        <v>2024</v>
      </c>
      <c r="K149">
        <v>3</v>
      </c>
      <c r="L149" t="s">
        <v>38</v>
      </c>
    </row>
    <row r="150" spans="1:12">
      <c r="A150" t="s">
        <v>11</v>
      </c>
      <c r="B150">
        <v>2024</v>
      </c>
      <c r="C150">
        <v>4</v>
      </c>
      <c r="D150" t="str">
        <f t="shared" si="2"/>
        <v>Javier Prado - VIV20244</v>
      </c>
      <c r="E150" t="s">
        <v>86</v>
      </c>
      <c r="I150" t="s">
        <v>11</v>
      </c>
      <c r="J150">
        <v>2024</v>
      </c>
      <c r="K150">
        <v>4</v>
      </c>
      <c r="L150" t="s">
        <v>86</v>
      </c>
    </row>
    <row r="151" spans="1:12">
      <c r="A151" t="s">
        <v>11</v>
      </c>
      <c r="B151">
        <v>2024</v>
      </c>
      <c r="C151">
        <v>5</v>
      </c>
      <c r="D151" t="str">
        <f t="shared" si="2"/>
        <v>Javier Prado - VIV20245</v>
      </c>
      <c r="E151" t="s">
        <v>159</v>
      </c>
      <c r="I151" t="s">
        <v>11</v>
      </c>
      <c r="J151">
        <v>2024</v>
      </c>
      <c r="K151">
        <v>5</v>
      </c>
      <c r="L151" t="s">
        <v>159</v>
      </c>
    </row>
    <row r="152" spans="1:12">
      <c r="A152" t="s">
        <v>11</v>
      </c>
      <c r="B152">
        <v>2024</v>
      </c>
      <c r="C152">
        <v>6</v>
      </c>
      <c r="D152" t="str">
        <f t="shared" si="2"/>
        <v>Javier Prado - VIV20246</v>
      </c>
      <c r="E152" t="s">
        <v>78</v>
      </c>
      <c r="I152" t="s">
        <v>11</v>
      </c>
      <c r="J152">
        <v>2024</v>
      </c>
      <c r="K152">
        <v>6</v>
      </c>
      <c r="L152" t="s">
        <v>78</v>
      </c>
    </row>
    <row r="153" spans="1:12">
      <c r="A153" t="s">
        <v>11</v>
      </c>
      <c r="B153">
        <v>2024</v>
      </c>
      <c r="C153">
        <v>7</v>
      </c>
      <c r="D153" t="str">
        <f t="shared" si="2"/>
        <v>Javier Prado - VIV20247</v>
      </c>
      <c r="E153" t="s">
        <v>38</v>
      </c>
      <c r="I153" t="s">
        <v>11</v>
      </c>
      <c r="J153">
        <v>2024</v>
      </c>
      <c r="K153">
        <v>7</v>
      </c>
      <c r="L153" t="s">
        <v>38</v>
      </c>
    </row>
    <row r="154" spans="1:12">
      <c r="A154" t="s">
        <v>11</v>
      </c>
      <c r="B154">
        <v>2024</v>
      </c>
      <c r="C154">
        <v>8</v>
      </c>
      <c r="D154" t="str">
        <f t="shared" si="2"/>
        <v>Javier Prado - VIV20248</v>
      </c>
      <c r="E154" t="s">
        <v>48</v>
      </c>
      <c r="I154" t="s">
        <v>11</v>
      </c>
      <c r="J154">
        <v>2024</v>
      </c>
      <c r="K154">
        <v>8</v>
      </c>
      <c r="L154" t="s">
        <v>48</v>
      </c>
    </row>
    <row r="155" spans="1:12">
      <c r="A155" t="s">
        <v>11</v>
      </c>
      <c r="B155">
        <v>2024</v>
      </c>
      <c r="C155">
        <v>9</v>
      </c>
      <c r="D155" t="str">
        <f t="shared" si="2"/>
        <v>Javier Prado - VIV20249</v>
      </c>
      <c r="E155" t="s">
        <v>60</v>
      </c>
      <c r="I155" t="s">
        <v>11</v>
      </c>
      <c r="J155">
        <v>2024</v>
      </c>
      <c r="K155">
        <v>9</v>
      </c>
      <c r="L155" t="s">
        <v>60</v>
      </c>
    </row>
    <row r="156" spans="1:12">
      <c r="A156" t="s">
        <v>11</v>
      </c>
      <c r="B156">
        <v>2024</v>
      </c>
      <c r="C156">
        <v>10</v>
      </c>
      <c r="D156" t="str">
        <f t="shared" si="2"/>
        <v>Javier Prado - VIV202410</v>
      </c>
      <c r="E156" t="s">
        <v>170</v>
      </c>
      <c r="I156" t="s">
        <v>11</v>
      </c>
      <c r="J156">
        <v>2024</v>
      </c>
      <c r="K156">
        <v>10</v>
      </c>
      <c r="L156" t="s">
        <v>170</v>
      </c>
    </row>
    <row r="157" spans="1:12">
      <c r="A157" t="s">
        <v>11</v>
      </c>
      <c r="B157">
        <v>2024</v>
      </c>
      <c r="C157">
        <v>11</v>
      </c>
      <c r="D157" t="str">
        <f t="shared" si="2"/>
        <v>Javier Prado - VIV202411</v>
      </c>
      <c r="E157" t="s">
        <v>152</v>
      </c>
      <c r="I157" t="s">
        <v>11</v>
      </c>
      <c r="J157">
        <v>2024</v>
      </c>
      <c r="K157">
        <v>11</v>
      </c>
      <c r="L157" t="s">
        <v>152</v>
      </c>
    </row>
    <row r="158" spans="1:12">
      <c r="A158" t="s">
        <v>11</v>
      </c>
      <c r="B158">
        <v>2024</v>
      </c>
      <c r="C158">
        <v>12</v>
      </c>
      <c r="D158" t="str">
        <f t="shared" si="2"/>
        <v>Javier Prado - VIV202412</v>
      </c>
      <c r="E158" t="s">
        <v>31</v>
      </c>
      <c r="I158" t="s">
        <v>11</v>
      </c>
      <c r="J158">
        <v>2024</v>
      </c>
      <c r="K158">
        <v>12</v>
      </c>
      <c r="L158" t="s">
        <v>31</v>
      </c>
    </row>
    <row r="159" spans="1:12">
      <c r="A159" t="s">
        <v>11</v>
      </c>
      <c r="B159">
        <v>2025</v>
      </c>
      <c r="C159">
        <v>1</v>
      </c>
      <c r="D159" t="str">
        <f t="shared" si="2"/>
        <v>Javier Prado - VIV20251</v>
      </c>
      <c r="E159" t="s">
        <v>158</v>
      </c>
      <c r="I159" t="s">
        <v>11</v>
      </c>
      <c r="J159">
        <v>2025</v>
      </c>
      <c r="K159">
        <v>1</v>
      </c>
      <c r="L159" t="s">
        <v>158</v>
      </c>
    </row>
    <row r="160" spans="1:12">
      <c r="A160" t="s">
        <v>11</v>
      </c>
      <c r="B160">
        <v>2025</v>
      </c>
      <c r="C160">
        <v>2</v>
      </c>
      <c r="D160" t="str">
        <f t="shared" si="2"/>
        <v>Javier Prado - VIV20252</v>
      </c>
      <c r="E160" t="s">
        <v>93</v>
      </c>
      <c r="I160" t="s">
        <v>11</v>
      </c>
      <c r="J160">
        <v>2025</v>
      </c>
      <c r="K160">
        <v>2</v>
      </c>
      <c r="L160" t="s">
        <v>93</v>
      </c>
    </row>
    <row r="161" spans="1:12">
      <c r="A161" t="s">
        <v>11</v>
      </c>
      <c r="B161">
        <v>2025</v>
      </c>
      <c r="C161">
        <v>3</v>
      </c>
      <c r="D161" t="str">
        <f t="shared" si="2"/>
        <v>Javier Prado - VIV20253</v>
      </c>
      <c r="E161" t="s">
        <v>85</v>
      </c>
      <c r="I161" t="s">
        <v>11</v>
      </c>
      <c r="J161">
        <v>2025</v>
      </c>
      <c r="K161">
        <v>3</v>
      </c>
      <c r="L161" t="s">
        <v>85</v>
      </c>
    </row>
    <row r="162" spans="1:12">
      <c r="A162" t="s">
        <v>11</v>
      </c>
      <c r="B162">
        <v>2025</v>
      </c>
      <c r="C162">
        <v>4</v>
      </c>
      <c r="D162" t="str">
        <f t="shared" si="2"/>
        <v>Javier Prado - VIV20254</v>
      </c>
      <c r="E162" t="s">
        <v>161</v>
      </c>
      <c r="I162" t="s">
        <v>11</v>
      </c>
      <c r="J162">
        <v>2025</v>
      </c>
      <c r="K162">
        <v>4</v>
      </c>
      <c r="L162" t="s">
        <v>161</v>
      </c>
    </row>
    <row r="163" spans="1:12">
      <c r="A163" t="s">
        <v>11</v>
      </c>
      <c r="B163">
        <v>2025</v>
      </c>
      <c r="C163">
        <v>5</v>
      </c>
      <c r="D163" t="str">
        <f t="shared" si="2"/>
        <v>Javier Prado - VIV20255</v>
      </c>
      <c r="E163" t="s">
        <v>52</v>
      </c>
      <c r="I163" t="s">
        <v>11</v>
      </c>
      <c r="J163">
        <v>2025</v>
      </c>
      <c r="K163">
        <v>5</v>
      </c>
      <c r="L163" t="s">
        <v>52</v>
      </c>
    </row>
    <row r="164" spans="1:12">
      <c r="A164" t="s">
        <v>11</v>
      </c>
      <c r="B164">
        <v>2025</v>
      </c>
      <c r="C164">
        <v>6</v>
      </c>
      <c r="D164" t="str">
        <f t="shared" si="2"/>
        <v>Javier Prado - VIV20256</v>
      </c>
      <c r="E164" t="s">
        <v>93</v>
      </c>
      <c r="I164" t="s">
        <v>11</v>
      </c>
      <c r="J164">
        <v>2025</v>
      </c>
      <c r="K164">
        <v>6</v>
      </c>
      <c r="L164" t="s">
        <v>93</v>
      </c>
    </row>
    <row r="165" spans="1:12">
      <c r="A165" t="s">
        <v>11</v>
      </c>
      <c r="B165">
        <v>2025</v>
      </c>
      <c r="C165">
        <v>7</v>
      </c>
      <c r="D165" t="str">
        <f t="shared" si="2"/>
        <v>Javier Prado - VIV20257</v>
      </c>
      <c r="E165" t="s">
        <v>175</v>
      </c>
      <c r="I165" t="s">
        <v>11</v>
      </c>
      <c r="J165">
        <v>2025</v>
      </c>
      <c r="K165">
        <v>7</v>
      </c>
      <c r="L165" t="s">
        <v>175</v>
      </c>
    </row>
    <row r="166" spans="1:12">
      <c r="A166" t="s">
        <v>11</v>
      </c>
      <c r="B166">
        <v>2025</v>
      </c>
      <c r="C166">
        <v>9</v>
      </c>
      <c r="D166" t="str">
        <f t="shared" si="2"/>
        <v>Javier Prado - VIV20259</v>
      </c>
      <c r="I166" t="s">
        <v>11</v>
      </c>
      <c r="J166">
        <v>2025</v>
      </c>
      <c r="K166">
        <v>9</v>
      </c>
    </row>
    <row r="167" spans="1:12">
      <c r="A167" t="s">
        <v>11</v>
      </c>
      <c r="B167">
        <v>2025</v>
      </c>
      <c r="C167">
        <v>10</v>
      </c>
      <c r="D167" t="str">
        <f t="shared" si="2"/>
        <v>Javier Prado - VIV202510</v>
      </c>
      <c r="I167" t="s">
        <v>11</v>
      </c>
      <c r="J167">
        <v>2025</v>
      </c>
      <c r="K167">
        <v>10</v>
      </c>
    </row>
    <row r="168" spans="1:12">
      <c r="A168" t="s">
        <v>11</v>
      </c>
      <c r="B168">
        <v>2025</v>
      </c>
      <c r="C168">
        <v>11</v>
      </c>
      <c r="D168" t="str">
        <f t="shared" si="2"/>
        <v>Javier Prado - VIV202511</v>
      </c>
      <c r="I168" t="s">
        <v>11</v>
      </c>
      <c r="J168">
        <v>2025</v>
      </c>
      <c r="K168">
        <v>11</v>
      </c>
    </row>
    <row r="169" spans="1:12">
      <c r="A169" t="s">
        <v>11</v>
      </c>
      <c r="B169">
        <v>2025</v>
      </c>
      <c r="C169">
        <v>12</v>
      </c>
      <c r="D169" t="str">
        <f t="shared" si="2"/>
        <v>Javier Prado - VIV202512</v>
      </c>
      <c r="I169" t="s">
        <v>11</v>
      </c>
      <c r="J169">
        <v>2025</v>
      </c>
      <c r="K169">
        <v>12</v>
      </c>
    </row>
    <row r="170" spans="1:12">
      <c r="A170" t="s">
        <v>11</v>
      </c>
      <c r="B170">
        <v>2026</v>
      </c>
      <c r="C170">
        <v>1</v>
      </c>
      <c r="D170" t="str">
        <f t="shared" si="2"/>
        <v>Javier Prado - VIV20261</v>
      </c>
      <c r="I170" t="s">
        <v>11</v>
      </c>
      <c r="J170">
        <v>2026</v>
      </c>
      <c r="K170">
        <v>1</v>
      </c>
    </row>
    <row r="171" spans="1:12">
      <c r="A171" t="s">
        <v>11</v>
      </c>
      <c r="B171">
        <v>2026</v>
      </c>
      <c r="C171">
        <v>2</v>
      </c>
      <c r="D171" t="str">
        <f t="shared" si="2"/>
        <v>Javier Prado - VIV20262</v>
      </c>
      <c r="E171" t="s">
        <v>79</v>
      </c>
      <c r="I171" t="s">
        <v>11</v>
      </c>
      <c r="J171">
        <v>2026</v>
      </c>
      <c r="K171">
        <v>2</v>
      </c>
      <c r="L171" t="s">
        <v>79</v>
      </c>
    </row>
    <row r="172" spans="1:12">
      <c r="A172" t="s">
        <v>11</v>
      </c>
      <c r="B172">
        <v>2026</v>
      </c>
      <c r="C172">
        <v>3</v>
      </c>
      <c r="D172" t="str">
        <f t="shared" si="2"/>
        <v>Javier Prado - VIV20263</v>
      </c>
      <c r="E172" t="s">
        <v>80</v>
      </c>
      <c r="I172" t="s">
        <v>11</v>
      </c>
      <c r="J172">
        <v>2026</v>
      </c>
      <c r="K172">
        <v>3</v>
      </c>
      <c r="L172" t="s">
        <v>80</v>
      </c>
    </row>
    <row r="173" spans="1:12">
      <c r="A173" t="s">
        <v>11</v>
      </c>
      <c r="B173">
        <v>2026</v>
      </c>
      <c r="C173">
        <v>4</v>
      </c>
      <c r="D173" t="str">
        <f t="shared" si="2"/>
        <v>Javier Prado - VIV20264</v>
      </c>
      <c r="E173" t="s">
        <v>81</v>
      </c>
      <c r="I173" t="s">
        <v>11</v>
      </c>
      <c r="J173">
        <v>2026</v>
      </c>
      <c r="K173">
        <v>4</v>
      </c>
      <c r="L173" t="s">
        <v>81</v>
      </c>
    </row>
    <row r="174" spans="1:12">
      <c r="A174" t="s">
        <v>11</v>
      </c>
      <c r="B174">
        <v>2026</v>
      </c>
      <c r="C174">
        <v>5</v>
      </c>
      <c r="D174" t="str">
        <f t="shared" si="2"/>
        <v>Javier Prado - VIV20265</v>
      </c>
      <c r="E174" t="s">
        <v>57</v>
      </c>
      <c r="I174" t="s">
        <v>11</v>
      </c>
      <c r="J174">
        <v>2026</v>
      </c>
      <c r="K174">
        <v>5</v>
      </c>
      <c r="L174" t="s">
        <v>57</v>
      </c>
    </row>
    <row r="175" spans="1:12">
      <c r="A175" t="s">
        <v>12</v>
      </c>
      <c r="B175">
        <v>2024</v>
      </c>
      <c r="C175">
        <v>1</v>
      </c>
      <c r="D175" t="str">
        <f t="shared" si="2"/>
        <v>Libertadores - VIV20241</v>
      </c>
      <c r="E175" t="s">
        <v>148</v>
      </c>
      <c r="I175" t="s">
        <v>12</v>
      </c>
      <c r="J175">
        <v>2024</v>
      </c>
      <c r="K175">
        <v>1</v>
      </c>
      <c r="L175" t="s">
        <v>148</v>
      </c>
    </row>
    <row r="176" spans="1:12">
      <c r="A176" t="s">
        <v>12</v>
      </c>
      <c r="B176">
        <v>2024</v>
      </c>
      <c r="C176">
        <v>2</v>
      </c>
      <c r="D176" t="str">
        <f t="shared" si="2"/>
        <v>Libertadores - VIV20242</v>
      </c>
      <c r="E176" t="s">
        <v>119</v>
      </c>
      <c r="I176" t="s">
        <v>12</v>
      </c>
      <c r="J176">
        <v>2024</v>
      </c>
      <c r="K176">
        <v>2</v>
      </c>
      <c r="L176" t="s">
        <v>119</v>
      </c>
    </row>
    <row r="177" spans="1:12">
      <c r="A177" t="s">
        <v>12</v>
      </c>
      <c r="B177">
        <v>2024</v>
      </c>
      <c r="C177">
        <v>3</v>
      </c>
      <c r="D177" t="str">
        <f t="shared" si="2"/>
        <v>Libertadores - VIV20243</v>
      </c>
      <c r="E177" t="s">
        <v>41</v>
      </c>
      <c r="I177" t="s">
        <v>12</v>
      </c>
      <c r="J177">
        <v>2024</v>
      </c>
      <c r="K177">
        <v>3</v>
      </c>
      <c r="L177" t="s">
        <v>41</v>
      </c>
    </row>
    <row r="178" spans="1:12">
      <c r="A178" t="s">
        <v>12</v>
      </c>
      <c r="B178">
        <v>2024</v>
      </c>
      <c r="C178">
        <v>4</v>
      </c>
      <c r="D178" t="str">
        <f t="shared" si="2"/>
        <v>Libertadores - VIV20244</v>
      </c>
      <c r="E178" t="s">
        <v>120</v>
      </c>
      <c r="I178" t="s">
        <v>12</v>
      </c>
      <c r="J178">
        <v>2024</v>
      </c>
      <c r="K178">
        <v>4</v>
      </c>
      <c r="L178" t="s">
        <v>120</v>
      </c>
    </row>
    <row r="179" spans="1:12">
      <c r="A179" t="s">
        <v>12</v>
      </c>
      <c r="B179">
        <v>2024</v>
      </c>
      <c r="C179">
        <v>5</v>
      </c>
      <c r="D179" t="str">
        <f t="shared" si="2"/>
        <v>Libertadores - VIV20245</v>
      </c>
      <c r="E179" t="s">
        <v>105</v>
      </c>
      <c r="I179" t="s">
        <v>12</v>
      </c>
      <c r="J179">
        <v>2024</v>
      </c>
      <c r="K179">
        <v>5</v>
      </c>
      <c r="L179" t="s">
        <v>105</v>
      </c>
    </row>
    <row r="180" spans="1:12">
      <c r="A180" t="s">
        <v>12</v>
      </c>
      <c r="B180">
        <v>2024</v>
      </c>
      <c r="C180">
        <v>6</v>
      </c>
      <c r="D180" t="str">
        <f t="shared" si="2"/>
        <v>Libertadores - VIV20246</v>
      </c>
      <c r="E180" t="s">
        <v>95</v>
      </c>
      <c r="I180" t="s">
        <v>12</v>
      </c>
      <c r="J180">
        <v>2024</v>
      </c>
      <c r="K180">
        <v>6</v>
      </c>
      <c r="L180" t="s">
        <v>95</v>
      </c>
    </row>
    <row r="181" spans="1:12">
      <c r="A181" t="s">
        <v>12</v>
      </c>
      <c r="B181">
        <v>2024</v>
      </c>
      <c r="C181">
        <v>7</v>
      </c>
      <c r="D181" t="str">
        <f t="shared" si="2"/>
        <v>Libertadores - VIV20247</v>
      </c>
      <c r="E181" t="s">
        <v>169</v>
      </c>
      <c r="I181" t="s">
        <v>12</v>
      </c>
      <c r="J181">
        <v>2024</v>
      </c>
      <c r="K181">
        <v>7</v>
      </c>
      <c r="L181" t="s">
        <v>169</v>
      </c>
    </row>
    <row r="182" spans="1:12">
      <c r="A182" t="s">
        <v>12</v>
      </c>
      <c r="B182">
        <v>2024</v>
      </c>
      <c r="C182">
        <v>8</v>
      </c>
      <c r="D182" t="str">
        <f t="shared" si="2"/>
        <v>Libertadores - VIV20248</v>
      </c>
      <c r="E182" t="s">
        <v>118</v>
      </c>
      <c r="I182" t="s">
        <v>12</v>
      </c>
      <c r="J182">
        <v>2024</v>
      </c>
      <c r="K182">
        <v>8</v>
      </c>
      <c r="L182" t="s">
        <v>118</v>
      </c>
    </row>
    <row r="183" spans="1:12">
      <c r="A183" t="s">
        <v>12</v>
      </c>
      <c r="B183">
        <v>2024</v>
      </c>
      <c r="C183">
        <v>9</v>
      </c>
      <c r="D183" t="str">
        <f t="shared" si="2"/>
        <v>Libertadores - VIV20249</v>
      </c>
      <c r="E183" t="s">
        <v>154</v>
      </c>
      <c r="I183" t="s">
        <v>12</v>
      </c>
      <c r="J183">
        <v>2024</v>
      </c>
      <c r="K183">
        <v>9</v>
      </c>
      <c r="L183" t="s">
        <v>154</v>
      </c>
    </row>
    <row r="184" spans="1:12">
      <c r="A184" t="s">
        <v>12</v>
      </c>
      <c r="B184">
        <v>2024</v>
      </c>
      <c r="C184">
        <v>10</v>
      </c>
      <c r="D184" t="str">
        <f t="shared" si="2"/>
        <v>Libertadores - VIV202410</v>
      </c>
      <c r="E184" t="s">
        <v>174</v>
      </c>
      <c r="I184" t="s">
        <v>12</v>
      </c>
      <c r="J184">
        <v>2024</v>
      </c>
      <c r="K184">
        <v>10</v>
      </c>
      <c r="L184" t="s">
        <v>174</v>
      </c>
    </row>
    <row r="185" spans="1:12">
      <c r="A185" t="s">
        <v>12</v>
      </c>
      <c r="B185">
        <v>2024</v>
      </c>
      <c r="C185">
        <v>11</v>
      </c>
      <c r="D185" t="str">
        <f t="shared" si="2"/>
        <v>Libertadores - VIV202411</v>
      </c>
      <c r="E185" t="s">
        <v>57</v>
      </c>
      <c r="I185" t="s">
        <v>12</v>
      </c>
      <c r="J185">
        <v>2024</v>
      </c>
      <c r="K185">
        <v>11</v>
      </c>
      <c r="L185" t="s">
        <v>57</v>
      </c>
    </row>
    <row r="186" spans="1:12">
      <c r="A186" t="s">
        <v>12</v>
      </c>
      <c r="B186">
        <v>2024</v>
      </c>
      <c r="C186">
        <v>12</v>
      </c>
      <c r="D186" t="str">
        <f t="shared" si="2"/>
        <v>Libertadores - VIV202412</v>
      </c>
      <c r="E186" t="s">
        <v>156</v>
      </c>
      <c r="I186" t="s">
        <v>12</v>
      </c>
      <c r="J186">
        <v>2024</v>
      </c>
      <c r="K186">
        <v>12</v>
      </c>
      <c r="L186" t="s">
        <v>156</v>
      </c>
    </row>
    <row r="187" spans="1:12">
      <c r="A187" t="s">
        <v>12</v>
      </c>
      <c r="B187">
        <v>2025</v>
      </c>
      <c r="C187">
        <v>1</v>
      </c>
      <c r="D187" t="str">
        <f t="shared" si="2"/>
        <v>Libertadores - VIV20251</v>
      </c>
      <c r="E187" t="s">
        <v>75</v>
      </c>
      <c r="I187" t="s">
        <v>12</v>
      </c>
      <c r="J187">
        <v>2025</v>
      </c>
      <c r="K187">
        <v>1</v>
      </c>
      <c r="L187" t="s">
        <v>75</v>
      </c>
    </row>
    <row r="188" spans="1:12">
      <c r="A188" t="s">
        <v>12</v>
      </c>
      <c r="B188">
        <v>2025</v>
      </c>
      <c r="C188">
        <v>2</v>
      </c>
      <c r="D188" t="str">
        <f t="shared" si="2"/>
        <v>Libertadores - VIV20252</v>
      </c>
      <c r="E188" t="s">
        <v>163</v>
      </c>
      <c r="I188" t="s">
        <v>12</v>
      </c>
      <c r="J188">
        <v>2025</v>
      </c>
      <c r="K188">
        <v>2</v>
      </c>
      <c r="L188" t="s">
        <v>163</v>
      </c>
    </row>
    <row r="189" spans="1:12">
      <c r="A189" t="s">
        <v>12</v>
      </c>
      <c r="B189">
        <v>2025</v>
      </c>
      <c r="C189">
        <v>3</v>
      </c>
      <c r="D189" t="str">
        <f t="shared" si="2"/>
        <v>Libertadores - VIV20253</v>
      </c>
      <c r="E189" t="s">
        <v>72</v>
      </c>
      <c r="I189" t="s">
        <v>12</v>
      </c>
      <c r="J189">
        <v>2025</v>
      </c>
      <c r="K189">
        <v>3</v>
      </c>
      <c r="L189" t="s">
        <v>72</v>
      </c>
    </row>
    <row r="190" spans="1:12">
      <c r="A190" t="s">
        <v>12</v>
      </c>
      <c r="B190">
        <v>2025</v>
      </c>
      <c r="C190">
        <v>4</v>
      </c>
      <c r="D190" t="str">
        <f t="shared" si="2"/>
        <v>Libertadores - VIV20254</v>
      </c>
      <c r="E190" t="s">
        <v>174</v>
      </c>
      <c r="I190" t="s">
        <v>12</v>
      </c>
      <c r="J190">
        <v>2025</v>
      </c>
      <c r="K190">
        <v>4</v>
      </c>
      <c r="L190" t="s">
        <v>174</v>
      </c>
    </row>
    <row r="191" spans="1:12">
      <c r="A191" t="s">
        <v>12</v>
      </c>
      <c r="B191">
        <v>2025</v>
      </c>
      <c r="C191">
        <v>5</v>
      </c>
      <c r="D191" t="str">
        <f t="shared" si="2"/>
        <v>Libertadores - VIV20255</v>
      </c>
      <c r="E191" t="s">
        <v>66</v>
      </c>
      <c r="I191" t="s">
        <v>12</v>
      </c>
      <c r="J191">
        <v>2025</v>
      </c>
      <c r="K191">
        <v>5</v>
      </c>
      <c r="L191" t="s">
        <v>66</v>
      </c>
    </row>
    <row r="192" spans="1:12">
      <c r="A192" t="s">
        <v>12</v>
      </c>
      <c r="B192">
        <v>2025</v>
      </c>
      <c r="C192">
        <v>6</v>
      </c>
      <c r="D192" t="str">
        <f t="shared" si="2"/>
        <v>Libertadores - VIV20256</v>
      </c>
      <c r="E192" t="s">
        <v>50</v>
      </c>
      <c r="I192" t="s">
        <v>12</v>
      </c>
      <c r="J192">
        <v>2025</v>
      </c>
      <c r="K192">
        <v>6</v>
      </c>
      <c r="L192" t="s">
        <v>50</v>
      </c>
    </row>
    <row r="193" spans="1:12">
      <c r="A193" t="s">
        <v>12</v>
      </c>
      <c r="B193">
        <v>2025</v>
      </c>
      <c r="C193">
        <v>7</v>
      </c>
      <c r="D193" t="str">
        <f t="shared" si="2"/>
        <v>Libertadores - VIV20257</v>
      </c>
      <c r="E193" t="s">
        <v>54</v>
      </c>
      <c r="I193" t="s">
        <v>12</v>
      </c>
      <c r="J193">
        <v>2025</v>
      </c>
      <c r="K193">
        <v>7</v>
      </c>
      <c r="L193" t="s">
        <v>54</v>
      </c>
    </row>
    <row r="194" spans="1:12">
      <c r="A194" t="s">
        <v>12</v>
      </c>
      <c r="B194">
        <v>2025</v>
      </c>
      <c r="C194">
        <v>8</v>
      </c>
      <c r="D194" t="str">
        <f t="shared" si="2"/>
        <v>Libertadores - VIV20258</v>
      </c>
      <c r="E194" t="s">
        <v>176</v>
      </c>
      <c r="I194" t="s">
        <v>12</v>
      </c>
      <c r="J194">
        <v>2025</v>
      </c>
      <c r="K194">
        <v>8</v>
      </c>
      <c r="L194" t="s">
        <v>176</v>
      </c>
    </row>
    <row r="195" spans="1:12">
      <c r="A195" t="s">
        <v>12</v>
      </c>
      <c r="B195">
        <v>2025</v>
      </c>
      <c r="C195">
        <v>9</v>
      </c>
      <c r="D195" t="str">
        <f t="shared" ref="D195:D258" si="3">+A195&amp;B195&amp;C195</f>
        <v>Libertadores - VIV20259</v>
      </c>
      <c r="E195" t="s">
        <v>105</v>
      </c>
      <c r="I195" t="s">
        <v>12</v>
      </c>
      <c r="J195">
        <v>2025</v>
      </c>
      <c r="K195">
        <v>9</v>
      </c>
      <c r="L195" t="s">
        <v>105</v>
      </c>
    </row>
    <row r="196" spans="1:12">
      <c r="A196" t="s">
        <v>12</v>
      </c>
      <c r="B196">
        <v>2025</v>
      </c>
      <c r="C196">
        <v>10</v>
      </c>
      <c r="D196" t="str">
        <f t="shared" si="3"/>
        <v>Libertadores - VIV202510</v>
      </c>
      <c r="E196" t="s">
        <v>56</v>
      </c>
      <c r="I196" t="s">
        <v>12</v>
      </c>
      <c r="J196">
        <v>2025</v>
      </c>
      <c r="K196">
        <v>10</v>
      </c>
      <c r="L196" t="s">
        <v>56</v>
      </c>
    </row>
    <row r="197" spans="1:12">
      <c r="A197" t="s">
        <v>12</v>
      </c>
      <c r="B197">
        <v>2025</v>
      </c>
      <c r="C197">
        <v>11</v>
      </c>
      <c r="D197" t="str">
        <f t="shared" si="3"/>
        <v>Libertadores - VIV202511</v>
      </c>
      <c r="E197" t="s">
        <v>172</v>
      </c>
      <c r="I197" t="s">
        <v>12</v>
      </c>
      <c r="J197">
        <v>2025</v>
      </c>
      <c r="K197">
        <v>11</v>
      </c>
      <c r="L197" t="s">
        <v>172</v>
      </c>
    </row>
    <row r="198" spans="1:12">
      <c r="A198" t="s">
        <v>12</v>
      </c>
      <c r="B198">
        <v>2025</v>
      </c>
      <c r="C198">
        <v>12</v>
      </c>
      <c r="D198" t="str">
        <f t="shared" si="3"/>
        <v>Libertadores - VIV202512</v>
      </c>
      <c r="E198" t="s">
        <v>58</v>
      </c>
      <c r="I198" t="s">
        <v>12</v>
      </c>
      <c r="J198">
        <v>2025</v>
      </c>
      <c r="K198">
        <v>12</v>
      </c>
      <c r="L198" t="s">
        <v>58</v>
      </c>
    </row>
    <row r="199" spans="1:12">
      <c r="A199" t="s">
        <v>12</v>
      </c>
      <c r="B199">
        <v>2026</v>
      </c>
      <c r="C199">
        <v>1</v>
      </c>
      <c r="D199" t="str">
        <f t="shared" si="3"/>
        <v>Libertadores - VIV20261</v>
      </c>
      <c r="E199" t="s">
        <v>84</v>
      </c>
      <c r="I199" t="s">
        <v>12</v>
      </c>
      <c r="J199">
        <v>2026</v>
      </c>
      <c r="K199">
        <v>1</v>
      </c>
      <c r="L199" t="s">
        <v>84</v>
      </c>
    </row>
    <row r="200" spans="1:12">
      <c r="A200" t="s">
        <v>12</v>
      </c>
      <c r="B200">
        <v>2026</v>
      </c>
      <c r="C200">
        <v>2</v>
      </c>
      <c r="D200" t="str">
        <f t="shared" si="3"/>
        <v>Libertadores - VIV20262</v>
      </c>
      <c r="E200" t="s">
        <v>58</v>
      </c>
      <c r="I200" t="s">
        <v>12</v>
      </c>
      <c r="J200">
        <v>2026</v>
      </c>
      <c r="K200">
        <v>2</v>
      </c>
      <c r="L200" t="s">
        <v>58</v>
      </c>
    </row>
    <row r="201" spans="1:12">
      <c r="A201" t="s">
        <v>12</v>
      </c>
      <c r="B201">
        <v>2026</v>
      </c>
      <c r="C201">
        <v>3</v>
      </c>
      <c r="D201" t="str">
        <f t="shared" si="3"/>
        <v>Libertadores - VIV20263</v>
      </c>
      <c r="E201" t="s">
        <v>85</v>
      </c>
      <c r="I201" t="s">
        <v>12</v>
      </c>
      <c r="J201">
        <v>2026</v>
      </c>
      <c r="K201">
        <v>3</v>
      </c>
      <c r="L201" t="s">
        <v>85</v>
      </c>
    </row>
    <row r="202" spans="1:12">
      <c r="A202" t="s">
        <v>12</v>
      </c>
      <c r="B202">
        <v>2026</v>
      </c>
      <c r="C202">
        <v>4</v>
      </c>
      <c r="D202" t="str">
        <f t="shared" si="3"/>
        <v>Libertadores - VIV20264</v>
      </c>
      <c r="E202" t="s">
        <v>71</v>
      </c>
      <c r="I202" t="s">
        <v>12</v>
      </c>
      <c r="J202">
        <v>2026</v>
      </c>
      <c r="K202">
        <v>4</v>
      </c>
      <c r="L202" t="s">
        <v>71</v>
      </c>
    </row>
    <row r="203" spans="1:12">
      <c r="A203" t="s">
        <v>12</v>
      </c>
      <c r="B203">
        <v>2026</v>
      </c>
      <c r="C203">
        <v>5</v>
      </c>
      <c r="D203" t="str">
        <f t="shared" si="3"/>
        <v>Libertadores - VIV20265</v>
      </c>
      <c r="E203" t="s">
        <v>67</v>
      </c>
      <c r="I203" t="s">
        <v>12</v>
      </c>
      <c r="J203">
        <v>2026</v>
      </c>
      <c r="K203">
        <v>5</v>
      </c>
      <c r="L203" t="s">
        <v>67</v>
      </c>
    </row>
    <row r="204" spans="1:12">
      <c r="A204" t="s">
        <v>13</v>
      </c>
      <c r="B204">
        <v>2024</v>
      </c>
      <c r="C204">
        <v>1</v>
      </c>
      <c r="D204" t="str">
        <f t="shared" si="3"/>
        <v>Monterrico - VIV20241</v>
      </c>
      <c r="E204" t="s">
        <v>166</v>
      </c>
      <c r="I204" t="s">
        <v>13</v>
      </c>
      <c r="J204">
        <v>2024</v>
      </c>
      <c r="K204">
        <v>1</v>
      </c>
      <c r="L204" t="s">
        <v>166</v>
      </c>
    </row>
    <row r="205" spans="1:12">
      <c r="A205" t="s">
        <v>13</v>
      </c>
      <c r="B205">
        <v>2024</v>
      </c>
      <c r="C205">
        <v>2</v>
      </c>
      <c r="D205" t="str">
        <f t="shared" si="3"/>
        <v>Monterrico - VIV20242</v>
      </c>
      <c r="E205" t="s">
        <v>155</v>
      </c>
      <c r="I205" t="s">
        <v>13</v>
      </c>
      <c r="J205">
        <v>2024</v>
      </c>
      <c r="K205">
        <v>2</v>
      </c>
      <c r="L205" t="s">
        <v>155</v>
      </c>
    </row>
    <row r="206" spans="1:12">
      <c r="A206" t="s">
        <v>13</v>
      </c>
      <c r="B206">
        <v>2024</v>
      </c>
      <c r="C206">
        <v>3</v>
      </c>
      <c r="D206" t="str">
        <f t="shared" si="3"/>
        <v>Monterrico - VIV20243</v>
      </c>
      <c r="E206" t="s">
        <v>82</v>
      </c>
      <c r="I206" t="s">
        <v>13</v>
      </c>
      <c r="J206">
        <v>2024</v>
      </c>
      <c r="K206">
        <v>3</v>
      </c>
      <c r="L206" t="s">
        <v>82</v>
      </c>
    </row>
    <row r="207" spans="1:12">
      <c r="A207" t="s">
        <v>13</v>
      </c>
      <c r="B207">
        <v>2024</v>
      </c>
      <c r="C207">
        <v>4</v>
      </c>
      <c r="D207" t="str">
        <f t="shared" si="3"/>
        <v>Monterrico - VIV20244</v>
      </c>
      <c r="E207" t="s">
        <v>126</v>
      </c>
      <c r="I207" t="s">
        <v>13</v>
      </c>
      <c r="J207">
        <v>2024</v>
      </c>
      <c r="K207">
        <v>4</v>
      </c>
      <c r="L207" t="s">
        <v>126</v>
      </c>
    </row>
    <row r="208" spans="1:12">
      <c r="A208" t="s">
        <v>13</v>
      </c>
      <c r="B208">
        <v>2024</v>
      </c>
      <c r="C208">
        <v>5</v>
      </c>
      <c r="D208" t="str">
        <f t="shared" si="3"/>
        <v>Monterrico - VIV20245</v>
      </c>
      <c r="E208" t="s">
        <v>112</v>
      </c>
      <c r="I208" t="s">
        <v>13</v>
      </c>
      <c r="J208">
        <v>2024</v>
      </c>
      <c r="K208">
        <v>5</v>
      </c>
      <c r="L208" t="s">
        <v>112</v>
      </c>
    </row>
    <row r="209" spans="1:12">
      <c r="A209" t="s">
        <v>13</v>
      </c>
      <c r="B209">
        <v>2024</v>
      </c>
      <c r="C209">
        <v>6</v>
      </c>
      <c r="D209" t="str">
        <f t="shared" si="3"/>
        <v>Monterrico - VIV20246</v>
      </c>
      <c r="E209" t="s">
        <v>107</v>
      </c>
      <c r="I209" t="s">
        <v>13</v>
      </c>
      <c r="J209">
        <v>2024</v>
      </c>
      <c r="K209">
        <v>6</v>
      </c>
      <c r="L209" t="s">
        <v>107</v>
      </c>
    </row>
    <row r="210" spans="1:12">
      <c r="A210" t="s">
        <v>13</v>
      </c>
      <c r="B210">
        <v>2024</v>
      </c>
      <c r="C210">
        <v>7</v>
      </c>
      <c r="D210" t="str">
        <f t="shared" si="3"/>
        <v>Monterrico - VIV20247</v>
      </c>
      <c r="E210" t="s">
        <v>107</v>
      </c>
      <c r="I210" t="s">
        <v>13</v>
      </c>
      <c r="J210">
        <v>2024</v>
      </c>
      <c r="K210">
        <v>7</v>
      </c>
      <c r="L210" t="s">
        <v>107</v>
      </c>
    </row>
    <row r="211" spans="1:12">
      <c r="A211" t="s">
        <v>13</v>
      </c>
      <c r="B211">
        <v>2024</v>
      </c>
      <c r="C211">
        <v>8</v>
      </c>
      <c r="D211" t="str">
        <f t="shared" si="3"/>
        <v>Monterrico - VIV20248</v>
      </c>
      <c r="E211" t="s">
        <v>101</v>
      </c>
      <c r="I211" t="s">
        <v>13</v>
      </c>
      <c r="J211">
        <v>2024</v>
      </c>
      <c r="K211">
        <v>8</v>
      </c>
      <c r="L211" t="s">
        <v>101</v>
      </c>
    </row>
    <row r="212" spans="1:12">
      <c r="A212" t="s">
        <v>13</v>
      </c>
      <c r="B212">
        <v>2024</v>
      </c>
      <c r="C212">
        <v>9</v>
      </c>
      <c r="D212" t="str">
        <f t="shared" si="3"/>
        <v>Monterrico - VIV20249</v>
      </c>
      <c r="E212" t="s">
        <v>69</v>
      </c>
      <c r="I212" t="s">
        <v>13</v>
      </c>
      <c r="J212">
        <v>2024</v>
      </c>
      <c r="K212">
        <v>9</v>
      </c>
      <c r="L212" t="s">
        <v>69</v>
      </c>
    </row>
    <row r="213" spans="1:12">
      <c r="A213" t="s">
        <v>13</v>
      </c>
      <c r="B213">
        <v>2024</v>
      </c>
      <c r="C213">
        <v>10</v>
      </c>
      <c r="D213" t="str">
        <f t="shared" si="3"/>
        <v>Monterrico - VIV202410</v>
      </c>
      <c r="E213" t="s">
        <v>82</v>
      </c>
      <c r="I213" t="s">
        <v>13</v>
      </c>
      <c r="J213">
        <v>2024</v>
      </c>
      <c r="K213">
        <v>10</v>
      </c>
      <c r="L213" t="s">
        <v>82</v>
      </c>
    </row>
    <row r="214" spans="1:12">
      <c r="A214" t="s">
        <v>13</v>
      </c>
      <c r="B214">
        <v>2024</v>
      </c>
      <c r="C214">
        <v>11</v>
      </c>
      <c r="D214" t="str">
        <f t="shared" si="3"/>
        <v>Monterrico - VIV202411</v>
      </c>
      <c r="E214" t="s">
        <v>55</v>
      </c>
      <c r="I214" t="s">
        <v>13</v>
      </c>
      <c r="J214">
        <v>2024</v>
      </c>
      <c r="K214">
        <v>11</v>
      </c>
      <c r="L214" t="s">
        <v>55</v>
      </c>
    </row>
    <row r="215" spans="1:12">
      <c r="A215" t="s">
        <v>13</v>
      </c>
      <c r="B215">
        <v>2024</v>
      </c>
      <c r="C215">
        <v>12</v>
      </c>
      <c r="D215" t="str">
        <f t="shared" si="3"/>
        <v>Monterrico - VIV202412</v>
      </c>
      <c r="E215" t="s">
        <v>178</v>
      </c>
      <c r="I215" t="s">
        <v>13</v>
      </c>
      <c r="J215">
        <v>2024</v>
      </c>
      <c r="K215">
        <v>12</v>
      </c>
      <c r="L215" t="s">
        <v>178</v>
      </c>
    </row>
    <row r="216" spans="1:12">
      <c r="A216" t="s">
        <v>13</v>
      </c>
      <c r="B216">
        <v>2025</v>
      </c>
      <c r="C216">
        <v>1</v>
      </c>
      <c r="D216" t="str">
        <f t="shared" si="3"/>
        <v>Monterrico - VIV20251</v>
      </c>
      <c r="E216" t="s">
        <v>102</v>
      </c>
      <c r="I216" t="s">
        <v>13</v>
      </c>
      <c r="J216">
        <v>2025</v>
      </c>
      <c r="K216">
        <v>1</v>
      </c>
      <c r="L216" t="s">
        <v>102</v>
      </c>
    </row>
    <row r="217" spans="1:12">
      <c r="A217" t="s">
        <v>13</v>
      </c>
      <c r="B217">
        <v>2025</v>
      </c>
      <c r="C217">
        <v>2</v>
      </c>
      <c r="D217" t="str">
        <f t="shared" si="3"/>
        <v>Monterrico - VIV20252</v>
      </c>
      <c r="E217" t="s">
        <v>167</v>
      </c>
      <c r="I217" t="s">
        <v>13</v>
      </c>
      <c r="J217">
        <v>2025</v>
      </c>
      <c r="K217">
        <v>2</v>
      </c>
      <c r="L217" t="s">
        <v>167</v>
      </c>
    </row>
    <row r="218" spans="1:12">
      <c r="A218" t="s">
        <v>13</v>
      </c>
      <c r="B218">
        <v>2025</v>
      </c>
      <c r="C218">
        <v>3</v>
      </c>
      <c r="D218" t="str">
        <f t="shared" si="3"/>
        <v>Monterrico - VIV20253</v>
      </c>
      <c r="E218" t="s">
        <v>155</v>
      </c>
      <c r="I218" t="s">
        <v>13</v>
      </c>
      <c r="J218">
        <v>2025</v>
      </c>
      <c r="K218">
        <v>3</v>
      </c>
      <c r="L218" t="s">
        <v>155</v>
      </c>
    </row>
    <row r="219" spans="1:12">
      <c r="A219" t="s">
        <v>13</v>
      </c>
      <c r="B219">
        <v>2025</v>
      </c>
      <c r="C219">
        <v>4</v>
      </c>
      <c r="D219" t="str">
        <f t="shared" si="3"/>
        <v>Monterrico - VIV20254</v>
      </c>
      <c r="E219" t="s">
        <v>164</v>
      </c>
      <c r="I219" t="s">
        <v>13</v>
      </c>
      <c r="J219">
        <v>2025</v>
      </c>
      <c r="K219">
        <v>4</v>
      </c>
      <c r="L219" t="s">
        <v>164</v>
      </c>
    </row>
    <row r="220" spans="1:12">
      <c r="A220" t="s">
        <v>13</v>
      </c>
      <c r="B220">
        <v>2025</v>
      </c>
      <c r="C220">
        <v>5</v>
      </c>
      <c r="D220" t="str">
        <f t="shared" si="3"/>
        <v>Monterrico - VIV20255</v>
      </c>
      <c r="E220" t="s">
        <v>90</v>
      </c>
      <c r="I220" t="s">
        <v>13</v>
      </c>
      <c r="J220">
        <v>2025</v>
      </c>
      <c r="K220">
        <v>5</v>
      </c>
      <c r="L220" t="s">
        <v>90</v>
      </c>
    </row>
    <row r="221" spans="1:12">
      <c r="A221" t="s">
        <v>13</v>
      </c>
      <c r="B221">
        <v>2025</v>
      </c>
      <c r="C221">
        <v>6</v>
      </c>
      <c r="D221" t="str">
        <f t="shared" si="3"/>
        <v>Monterrico - VIV20256</v>
      </c>
      <c r="E221" t="s">
        <v>55</v>
      </c>
      <c r="I221" t="s">
        <v>13</v>
      </c>
      <c r="J221">
        <v>2025</v>
      </c>
      <c r="K221">
        <v>6</v>
      </c>
      <c r="L221" t="s">
        <v>55</v>
      </c>
    </row>
    <row r="222" spans="1:12">
      <c r="A222" t="s">
        <v>13</v>
      </c>
      <c r="B222">
        <v>2025</v>
      </c>
      <c r="C222">
        <v>7</v>
      </c>
      <c r="D222" t="str">
        <f t="shared" si="3"/>
        <v>Monterrico - VIV20257</v>
      </c>
      <c r="E222" t="s">
        <v>171</v>
      </c>
      <c r="I222" t="s">
        <v>13</v>
      </c>
      <c r="J222">
        <v>2025</v>
      </c>
      <c r="K222">
        <v>7</v>
      </c>
      <c r="L222" t="s">
        <v>171</v>
      </c>
    </row>
    <row r="223" spans="1:12">
      <c r="A223" t="s">
        <v>13</v>
      </c>
      <c r="B223">
        <v>2025</v>
      </c>
      <c r="C223">
        <v>8</v>
      </c>
      <c r="D223" t="str">
        <f t="shared" si="3"/>
        <v>Monterrico - VIV20258</v>
      </c>
      <c r="E223" t="s">
        <v>179</v>
      </c>
      <c r="I223" t="s">
        <v>13</v>
      </c>
      <c r="J223">
        <v>2025</v>
      </c>
      <c r="K223">
        <v>8</v>
      </c>
      <c r="L223" t="s">
        <v>179</v>
      </c>
    </row>
    <row r="224" spans="1:12">
      <c r="A224" t="s">
        <v>13</v>
      </c>
      <c r="B224">
        <v>2025</v>
      </c>
      <c r="C224">
        <v>9</v>
      </c>
      <c r="D224" t="str">
        <f t="shared" si="3"/>
        <v>Monterrico - VIV20259</v>
      </c>
      <c r="E224" t="s">
        <v>109</v>
      </c>
      <c r="I224" t="s">
        <v>13</v>
      </c>
      <c r="J224">
        <v>2025</v>
      </c>
      <c r="K224">
        <v>9</v>
      </c>
      <c r="L224" t="s">
        <v>109</v>
      </c>
    </row>
    <row r="225" spans="1:12">
      <c r="A225" t="s">
        <v>13</v>
      </c>
      <c r="B225">
        <v>2025</v>
      </c>
      <c r="C225">
        <v>10</v>
      </c>
      <c r="D225" t="str">
        <f t="shared" si="3"/>
        <v>Monterrico - VIV202510</v>
      </c>
      <c r="E225" t="s">
        <v>180</v>
      </c>
      <c r="I225" t="s">
        <v>13</v>
      </c>
      <c r="J225">
        <v>2025</v>
      </c>
      <c r="K225">
        <v>10</v>
      </c>
      <c r="L225" t="s">
        <v>180</v>
      </c>
    </row>
    <row r="226" spans="1:12">
      <c r="A226" t="s">
        <v>13</v>
      </c>
      <c r="B226">
        <v>2025</v>
      </c>
      <c r="C226">
        <v>11</v>
      </c>
      <c r="D226" t="str">
        <f t="shared" si="3"/>
        <v>Monterrico - VIV202511</v>
      </c>
      <c r="E226" t="s">
        <v>165</v>
      </c>
      <c r="I226" t="s">
        <v>13</v>
      </c>
      <c r="J226">
        <v>2025</v>
      </c>
      <c r="K226">
        <v>11</v>
      </c>
      <c r="L226" t="s">
        <v>165</v>
      </c>
    </row>
    <row r="227" spans="1:12">
      <c r="A227" t="s">
        <v>13</v>
      </c>
      <c r="B227">
        <v>2025</v>
      </c>
      <c r="C227">
        <v>12</v>
      </c>
      <c r="D227" t="str">
        <f t="shared" si="3"/>
        <v>Monterrico - VIV202512</v>
      </c>
      <c r="E227" t="s">
        <v>110</v>
      </c>
      <c r="I227" t="s">
        <v>13</v>
      </c>
      <c r="J227">
        <v>2025</v>
      </c>
      <c r="K227">
        <v>12</v>
      </c>
      <c r="L227" t="s">
        <v>110</v>
      </c>
    </row>
    <row r="228" spans="1:12">
      <c r="A228" t="s">
        <v>13</v>
      </c>
      <c r="B228">
        <v>2026</v>
      </c>
      <c r="C228">
        <v>1</v>
      </c>
      <c r="D228" t="str">
        <f t="shared" si="3"/>
        <v>Monterrico - VIV20261</v>
      </c>
      <c r="E228" t="s">
        <v>83</v>
      </c>
      <c r="I228" t="s">
        <v>13</v>
      </c>
      <c r="J228">
        <v>2026</v>
      </c>
      <c r="K228">
        <v>1</v>
      </c>
      <c r="L228" t="s">
        <v>83</v>
      </c>
    </row>
    <row r="229" spans="1:12">
      <c r="A229" t="s">
        <v>13</v>
      </c>
      <c r="B229">
        <v>2026</v>
      </c>
      <c r="C229">
        <v>2</v>
      </c>
      <c r="D229" t="str">
        <f t="shared" si="3"/>
        <v>Monterrico - VIV20262</v>
      </c>
      <c r="E229" t="s">
        <v>88</v>
      </c>
      <c r="I229" t="s">
        <v>13</v>
      </c>
      <c r="J229">
        <v>2026</v>
      </c>
      <c r="K229">
        <v>2</v>
      </c>
      <c r="L229" t="s">
        <v>88</v>
      </c>
    </row>
    <row r="230" spans="1:12">
      <c r="A230" t="s">
        <v>13</v>
      </c>
      <c r="B230">
        <v>2026</v>
      </c>
      <c r="C230">
        <v>3</v>
      </c>
      <c r="D230" t="str">
        <f t="shared" si="3"/>
        <v>Monterrico - VIV20263</v>
      </c>
      <c r="E230" t="s">
        <v>89</v>
      </c>
      <c r="I230" t="s">
        <v>13</v>
      </c>
      <c r="J230">
        <v>2026</v>
      </c>
      <c r="K230">
        <v>3</v>
      </c>
      <c r="L230" t="s">
        <v>89</v>
      </c>
    </row>
    <row r="231" spans="1:12">
      <c r="A231" t="s">
        <v>13</v>
      </c>
      <c r="B231">
        <v>2026</v>
      </c>
      <c r="C231">
        <v>4</v>
      </c>
      <c r="D231" t="str">
        <f t="shared" si="3"/>
        <v>Monterrico - VIV20264</v>
      </c>
      <c r="E231" t="s">
        <v>90</v>
      </c>
      <c r="I231" t="s">
        <v>13</v>
      </c>
      <c r="J231">
        <v>2026</v>
      </c>
      <c r="K231">
        <v>4</v>
      </c>
      <c r="L231" t="s">
        <v>90</v>
      </c>
    </row>
    <row r="232" spans="1:12">
      <c r="A232" t="s">
        <v>13</v>
      </c>
      <c r="B232">
        <v>2026</v>
      </c>
      <c r="C232">
        <v>5</v>
      </c>
      <c r="D232" t="str">
        <f t="shared" si="3"/>
        <v>Monterrico - VIV20265</v>
      </c>
      <c r="E232" t="s">
        <v>91</v>
      </c>
      <c r="I232" t="s">
        <v>13</v>
      </c>
      <c r="J232">
        <v>2026</v>
      </c>
      <c r="K232">
        <v>5</v>
      </c>
      <c r="L232" t="s">
        <v>91</v>
      </c>
    </row>
    <row r="233" spans="1:12">
      <c r="A233" t="s">
        <v>14</v>
      </c>
      <c r="B233">
        <v>2024</v>
      </c>
      <c r="C233">
        <v>1</v>
      </c>
      <c r="D233" t="str">
        <f t="shared" si="3"/>
        <v>Pardo - VIV20241</v>
      </c>
      <c r="I233" t="s">
        <v>14</v>
      </c>
      <c r="J233">
        <v>2024</v>
      </c>
      <c r="K233">
        <v>1</v>
      </c>
    </row>
    <row r="234" spans="1:12">
      <c r="A234" t="s">
        <v>14</v>
      </c>
      <c r="B234">
        <v>2024</v>
      </c>
      <c r="C234">
        <v>2</v>
      </c>
      <c r="D234" t="str">
        <f t="shared" si="3"/>
        <v>Pardo - VIV20242</v>
      </c>
      <c r="I234" t="s">
        <v>14</v>
      </c>
      <c r="J234">
        <v>2024</v>
      </c>
      <c r="K234">
        <v>2</v>
      </c>
    </row>
    <row r="235" spans="1:12">
      <c r="A235" t="s">
        <v>14</v>
      </c>
      <c r="B235">
        <v>2024</v>
      </c>
      <c r="C235">
        <v>3</v>
      </c>
      <c r="D235" t="str">
        <f t="shared" si="3"/>
        <v>Pardo - VIV20243</v>
      </c>
      <c r="I235" t="s">
        <v>14</v>
      </c>
      <c r="J235">
        <v>2024</v>
      </c>
      <c r="K235">
        <v>3</v>
      </c>
    </row>
    <row r="236" spans="1:12">
      <c r="A236" t="s">
        <v>14</v>
      </c>
      <c r="B236">
        <v>2024</v>
      </c>
      <c r="C236">
        <v>4</v>
      </c>
      <c r="D236" t="str">
        <f t="shared" si="3"/>
        <v>Pardo - VIV20244</v>
      </c>
      <c r="I236" t="s">
        <v>14</v>
      </c>
      <c r="J236">
        <v>2024</v>
      </c>
      <c r="K236">
        <v>4</v>
      </c>
    </row>
    <row r="237" spans="1:12">
      <c r="A237" t="s">
        <v>14</v>
      </c>
      <c r="B237">
        <v>2024</v>
      </c>
      <c r="C237">
        <v>5</v>
      </c>
      <c r="D237" t="str">
        <f t="shared" si="3"/>
        <v>Pardo - VIV20245</v>
      </c>
      <c r="I237" t="s">
        <v>14</v>
      </c>
      <c r="J237">
        <v>2024</v>
      </c>
      <c r="K237">
        <v>5</v>
      </c>
    </row>
    <row r="238" spans="1:12">
      <c r="A238" t="s">
        <v>14</v>
      </c>
      <c r="B238">
        <v>2024</v>
      </c>
      <c r="C238">
        <v>6</v>
      </c>
      <c r="D238" t="str">
        <f t="shared" si="3"/>
        <v>Pardo - VIV20246</v>
      </c>
      <c r="I238" t="s">
        <v>14</v>
      </c>
      <c r="J238">
        <v>2024</v>
      </c>
      <c r="K238">
        <v>6</v>
      </c>
    </row>
    <row r="239" spans="1:12">
      <c r="A239" t="s">
        <v>14</v>
      </c>
      <c r="B239">
        <v>2024</v>
      </c>
      <c r="C239">
        <v>7</v>
      </c>
      <c r="D239" t="str">
        <f t="shared" si="3"/>
        <v>Pardo - VIV20247</v>
      </c>
      <c r="I239" t="s">
        <v>14</v>
      </c>
      <c r="J239">
        <v>2024</v>
      </c>
      <c r="K239">
        <v>7</v>
      </c>
    </row>
    <row r="240" spans="1:12">
      <c r="A240" t="s">
        <v>14</v>
      </c>
      <c r="B240">
        <v>2024</v>
      </c>
      <c r="C240">
        <v>8</v>
      </c>
      <c r="D240" t="str">
        <f t="shared" si="3"/>
        <v>Pardo - VIV20248</v>
      </c>
      <c r="I240" t="s">
        <v>14</v>
      </c>
      <c r="J240">
        <v>2024</v>
      </c>
      <c r="K240">
        <v>8</v>
      </c>
    </row>
    <row r="241" spans="1:11">
      <c r="A241" t="s">
        <v>14</v>
      </c>
      <c r="B241">
        <v>2024</v>
      </c>
      <c r="C241">
        <v>9</v>
      </c>
      <c r="D241" t="str">
        <f t="shared" si="3"/>
        <v>Pardo - VIV20249</v>
      </c>
      <c r="I241" t="s">
        <v>14</v>
      </c>
      <c r="J241">
        <v>2024</v>
      </c>
      <c r="K241">
        <v>9</v>
      </c>
    </row>
    <row r="242" spans="1:11">
      <c r="A242" t="s">
        <v>14</v>
      </c>
      <c r="B242">
        <v>2024</v>
      </c>
      <c r="C242">
        <v>10</v>
      </c>
      <c r="D242" t="str">
        <f t="shared" si="3"/>
        <v>Pardo - VIV202410</v>
      </c>
      <c r="I242" t="s">
        <v>14</v>
      </c>
      <c r="J242">
        <v>2024</v>
      </c>
      <c r="K242">
        <v>10</v>
      </c>
    </row>
    <row r="243" spans="1:11">
      <c r="A243" t="s">
        <v>14</v>
      </c>
      <c r="B243">
        <v>2024</v>
      </c>
      <c r="C243">
        <v>11</v>
      </c>
      <c r="D243" t="str">
        <f t="shared" si="3"/>
        <v>Pardo - VIV202411</v>
      </c>
      <c r="I243" t="s">
        <v>14</v>
      </c>
      <c r="J243">
        <v>2024</v>
      </c>
      <c r="K243">
        <v>11</v>
      </c>
    </row>
    <row r="244" spans="1:11">
      <c r="A244" t="s">
        <v>14</v>
      </c>
      <c r="B244">
        <v>2024</v>
      </c>
      <c r="C244">
        <v>12</v>
      </c>
      <c r="D244" t="str">
        <f t="shared" si="3"/>
        <v>Pardo - VIV202412</v>
      </c>
      <c r="I244" t="s">
        <v>14</v>
      </c>
      <c r="J244">
        <v>2024</v>
      </c>
      <c r="K244">
        <v>12</v>
      </c>
    </row>
    <row r="245" spans="1:11">
      <c r="A245" t="s">
        <v>14</v>
      </c>
      <c r="B245">
        <v>2025</v>
      </c>
      <c r="C245">
        <v>1</v>
      </c>
      <c r="D245" t="str">
        <f t="shared" si="3"/>
        <v>Pardo - VIV20251</v>
      </c>
      <c r="I245" t="s">
        <v>14</v>
      </c>
      <c r="J245">
        <v>2025</v>
      </c>
      <c r="K245">
        <v>1</v>
      </c>
    </row>
    <row r="246" spans="1:11">
      <c r="A246" t="s">
        <v>14</v>
      </c>
      <c r="B246">
        <v>2025</v>
      </c>
      <c r="C246">
        <v>2</v>
      </c>
      <c r="D246" t="str">
        <f t="shared" si="3"/>
        <v>Pardo - VIV20252</v>
      </c>
      <c r="I246" t="s">
        <v>14</v>
      </c>
      <c r="J246">
        <v>2025</v>
      </c>
      <c r="K246">
        <v>2</v>
      </c>
    </row>
    <row r="247" spans="1:11">
      <c r="A247" t="s">
        <v>14</v>
      </c>
      <c r="B247">
        <v>2025</v>
      </c>
      <c r="C247">
        <v>3</v>
      </c>
      <c r="D247" t="str">
        <f t="shared" si="3"/>
        <v>Pardo - VIV20253</v>
      </c>
      <c r="I247" t="s">
        <v>14</v>
      </c>
      <c r="J247">
        <v>2025</v>
      </c>
      <c r="K247">
        <v>3</v>
      </c>
    </row>
    <row r="248" spans="1:11">
      <c r="A248" t="s">
        <v>14</v>
      </c>
      <c r="B248">
        <v>2025</v>
      </c>
      <c r="C248">
        <v>4</v>
      </c>
      <c r="D248" t="str">
        <f t="shared" si="3"/>
        <v>Pardo - VIV20254</v>
      </c>
      <c r="I248" t="s">
        <v>14</v>
      </c>
      <c r="J248">
        <v>2025</v>
      </c>
      <c r="K248">
        <v>4</v>
      </c>
    </row>
    <row r="249" spans="1:11">
      <c r="A249" t="s">
        <v>14</v>
      </c>
      <c r="B249">
        <v>2025</v>
      </c>
      <c r="C249">
        <v>5</v>
      </c>
      <c r="D249" t="str">
        <f t="shared" si="3"/>
        <v>Pardo - VIV20255</v>
      </c>
      <c r="I249" t="s">
        <v>14</v>
      </c>
      <c r="J249">
        <v>2025</v>
      </c>
      <c r="K249">
        <v>5</v>
      </c>
    </row>
    <row r="250" spans="1:11">
      <c r="A250" t="s">
        <v>14</v>
      </c>
      <c r="B250">
        <v>2025</v>
      </c>
      <c r="C250">
        <v>6</v>
      </c>
      <c r="D250" t="str">
        <f t="shared" si="3"/>
        <v>Pardo - VIV20256</v>
      </c>
      <c r="I250" t="s">
        <v>14</v>
      </c>
      <c r="J250">
        <v>2025</v>
      </c>
      <c r="K250">
        <v>6</v>
      </c>
    </row>
    <row r="251" spans="1:11">
      <c r="A251" t="s">
        <v>14</v>
      </c>
      <c r="B251">
        <v>2025</v>
      </c>
      <c r="C251">
        <v>7</v>
      </c>
      <c r="D251" t="str">
        <f t="shared" si="3"/>
        <v>Pardo - VIV20257</v>
      </c>
      <c r="I251" t="s">
        <v>14</v>
      </c>
      <c r="J251">
        <v>2025</v>
      </c>
      <c r="K251">
        <v>7</v>
      </c>
    </row>
    <row r="252" spans="1:11">
      <c r="A252" t="s">
        <v>14</v>
      </c>
      <c r="B252">
        <v>2025</v>
      </c>
      <c r="C252">
        <v>8</v>
      </c>
      <c r="D252" t="str">
        <f t="shared" si="3"/>
        <v>Pardo - VIV20258</v>
      </c>
      <c r="I252" t="s">
        <v>14</v>
      </c>
      <c r="J252">
        <v>2025</v>
      </c>
      <c r="K252">
        <v>8</v>
      </c>
    </row>
    <row r="253" spans="1:11">
      <c r="A253" t="s">
        <v>14</v>
      </c>
      <c r="B253">
        <v>2025</v>
      </c>
      <c r="C253">
        <v>9</v>
      </c>
      <c r="D253" t="str">
        <f t="shared" si="3"/>
        <v>Pardo - VIV20259</v>
      </c>
      <c r="I253" t="s">
        <v>14</v>
      </c>
      <c r="J253">
        <v>2025</v>
      </c>
      <c r="K253">
        <v>9</v>
      </c>
    </row>
    <row r="254" spans="1:11">
      <c r="A254" t="s">
        <v>14</v>
      </c>
      <c r="B254">
        <v>2025</v>
      </c>
      <c r="C254">
        <v>10</v>
      </c>
      <c r="D254" t="str">
        <f t="shared" si="3"/>
        <v>Pardo - VIV202510</v>
      </c>
      <c r="I254" t="s">
        <v>14</v>
      </c>
      <c r="J254">
        <v>2025</v>
      </c>
      <c r="K254">
        <v>10</v>
      </c>
    </row>
    <row r="255" spans="1:11">
      <c r="A255" t="s">
        <v>14</v>
      </c>
      <c r="B255">
        <v>2025</v>
      </c>
      <c r="C255">
        <v>11</v>
      </c>
      <c r="D255" t="str">
        <f t="shared" si="3"/>
        <v>Pardo - VIV202511</v>
      </c>
      <c r="I255" t="s">
        <v>14</v>
      </c>
      <c r="J255">
        <v>2025</v>
      </c>
      <c r="K255">
        <v>11</v>
      </c>
    </row>
    <row r="256" spans="1:11">
      <c r="A256" t="s">
        <v>14</v>
      </c>
      <c r="B256">
        <v>2025</v>
      </c>
      <c r="C256">
        <v>12</v>
      </c>
      <c r="D256" t="str">
        <f t="shared" si="3"/>
        <v>Pardo - VIV202512</v>
      </c>
      <c r="I256" t="s">
        <v>14</v>
      </c>
      <c r="J256">
        <v>2025</v>
      </c>
      <c r="K256">
        <v>12</v>
      </c>
    </row>
    <row r="257" spans="1:12">
      <c r="A257" t="s">
        <v>14</v>
      </c>
      <c r="B257">
        <v>2026</v>
      </c>
      <c r="C257">
        <v>1</v>
      </c>
      <c r="D257" t="str">
        <f t="shared" si="3"/>
        <v>Pardo - VIV20261</v>
      </c>
      <c r="I257" t="s">
        <v>14</v>
      </c>
      <c r="J257">
        <v>2026</v>
      </c>
      <c r="K257">
        <v>1</v>
      </c>
    </row>
    <row r="258" spans="1:12">
      <c r="A258" t="s">
        <v>14</v>
      </c>
      <c r="B258">
        <v>2026</v>
      </c>
      <c r="C258">
        <v>2</v>
      </c>
      <c r="D258" t="str">
        <f t="shared" si="3"/>
        <v>Pardo - VIV20262</v>
      </c>
      <c r="I258" t="s">
        <v>14</v>
      </c>
      <c r="J258">
        <v>2026</v>
      </c>
      <c r="K258">
        <v>2</v>
      </c>
    </row>
    <row r="259" spans="1:12">
      <c r="A259" t="s">
        <v>14</v>
      </c>
      <c r="B259">
        <v>2026</v>
      </c>
      <c r="C259">
        <v>3</v>
      </c>
      <c r="D259" t="str">
        <f t="shared" ref="D259:D290" si="4">+A259&amp;B259&amp;C259</f>
        <v>Pardo - VIV20263</v>
      </c>
      <c r="I259" t="s">
        <v>14</v>
      </c>
      <c r="J259">
        <v>2026</v>
      </c>
      <c r="K259">
        <v>3</v>
      </c>
    </row>
    <row r="260" spans="1:12">
      <c r="A260" t="s">
        <v>14</v>
      </c>
      <c r="B260">
        <v>2026</v>
      </c>
      <c r="C260">
        <v>4</v>
      </c>
      <c r="D260" t="str">
        <f t="shared" si="4"/>
        <v>Pardo - VIV20264</v>
      </c>
      <c r="E260" t="s">
        <v>94</v>
      </c>
      <c r="I260" t="s">
        <v>14</v>
      </c>
      <c r="J260">
        <v>2026</v>
      </c>
      <c r="K260">
        <v>4</v>
      </c>
      <c r="L260" t="s">
        <v>94</v>
      </c>
    </row>
    <row r="261" spans="1:12">
      <c r="A261" t="s">
        <v>14</v>
      </c>
      <c r="B261">
        <v>2026</v>
      </c>
      <c r="C261">
        <v>5</v>
      </c>
      <c r="D261" t="str">
        <f t="shared" si="4"/>
        <v>Pardo - VIV20265</v>
      </c>
      <c r="E261" t="s">
        <v>95</v>
      </c>
      <c r="I261" t="s">
        <v>14</v>
      </c>
      <c r="J261">
        <v>2026</v>
      </c>
      <c r="K261">
        <v>5</v>
      </c>
      <c r="L261" t="s">
        <v>95</v>
      </c>
    </row>
    <row r="262" spans="1:12">
      <c r="A262" t="s">
        <v>15</v>
      </c>
      <c r="B262">
        <v>2024</v>
      </c>
      <c r="C262">
        <v>1</v>
      </c>
      <c r="D262" t="str">
        <f t="shared" si="4"/>
        <v>Pezet - VIV20241</v>
      </c>
      <c r="E262" t="s">
        <v>29</v>
      </c>
      <c r="I262" t="s">
        <v>15</v>
      </c>
      <c r="J262">
        <v>2024</v>
      </c>
      <c r="K262">
        <v>1</v>
      </c>
      <c r="L262" t="s">
        <v>29</v>
      </c>
    </row>
    <row r="263" spans="1:12">
      <c r="A263" t="s">
        <v>15</v>
      </c>
      <c r="B263">
        <v>2024</v>
      </c>
      <c r="C263">
        <v>2</v>
      </c>
      <c r="D263" t="str">
        <f t="shared" si="4"/>
        <v>Pezet - VIV20242</v>
      </c>
      <c r="E263" t="s">
        <v>124</v>
      </c>
      <c r="I263" t="s">
        <v>15</v>
      </c>
      <c r="J263">
        <v>2024</v>
      </c>
      <c r="K263">
        <v>2</v>
      </c>
      <c r="L263" t="s">
        <v>124</v>
      </c>
    </row>
    <row r="264" spans="1:12">
      <c r="A264" t="s">
        <v>15</v>
      </c>
      <c r="B264">
        <v>2024</v>
      </c>
      <c r="C264">
        <v>3</v>
      </c>
      <c r="D264" t="str">
        <f t="shared" si="4"/>
        <v>Pezet - VIV20243</v>
      </c>
      <c r="E264" t="s">
        <v>122</v>
      </c>
      <c r="I264" t="s">
        <v>15</v>
      </c>
      <c r="J264">
        <v>2024</v>
      </c>
      <c r="K264">
        <v>3</v>
      </c>
      <c r="L264" t="s">
        <v>122</v>
      </c>
    </row>
    <row r="265" spans="1:12">
      <c r="A265" t="s">
        <v>15</v>
      </c>
      <c r="B265">
        <v>2024</v>
      </c>
      <c r="C265">
        <v>4</v>
      </c>
      <c r="D265" t="str">
        <f t="shared" si="4"/>
        <v>Pezet - VIV20244</v>
      </c>
      <c r="E265" t="s">
        <v>68</v>
      </c>
      <c r="I265" t="s">
        <v>15</v>
      </c>
      <c r="J265">
        <v>2024</v>
      </c>
      <c r="K265">
        <v>4</v>
      </c>
      <c r="L265" t="s">
        <v>68</v>
      </c>
    </row>
    <row r="266" spans="1:12">
      <c r="A266" t="s">
        <v>15</v>
      </c>
      <c r="B266">
        <v>2024</v>
      </c>
      <c r="C266">
        <v>5</v>
      </c>
      <c r="D266" t="str">
        <f t="shared" si="4"/>
        <v>Pezet - VIV20245</v>
      </c>
      <c r="E266" t="s">
        <v>28</v>
      </c>
      <c r="I266" t="s">
        <v>15</v>
      </c>
      <c r="J266">
        <v>2024</v>
      </c>
      <c r="K266">
        <v>5</v>
      </c>
      <c r="L266" t="s">
        <v>28</v>
      </c>
    </row>
    <row r="267" spans="1:12">
      <c r="A267" t="s">
        <v>15</v>
      </c>
      <c r="B267">
        <v>2024</v>
      </c>
      <c r="C267">
        <v>6</v>
      </c>
      <c r="D267" t="str">
        <f t="shared" si="4"/>
        <v>Pezet - VIV20246</v>
      </c>
      <c r="E267" t="s">
        <v>59</v>
      </c>
      <c r="I267" t="s">
        <v>15</v>
      </c>
      <c r="J267">
        <v>2024</v>
      </c>
      <c r="K267">
        <v>6</v>
      </c>
      <c r="L267" t="s">
        <v>59</v>
      </c>
    </row>
    <row r="268" spans="1:12">
      <c r="A268" t="s">
        <v>15</v>
      </c>
      <c r="B268">
        <v>2024</v>
      </c>
      <c r="C268">
        <v>7</v>
      </c>
      <c r="D268" t="str">
        <f t="shared" si="4"/>
        <v>Pezet - VIV20247</v>
      </c>
      <c r="E268" t="s">
        <v>29</v>
      </c>
      <c r="I268" t="s">
        <v>15</v>
      </c>
      <c r="J268">
        <v>2024</v>
      </c>
      <c r="K268">
        <v>7</v>
      </c>
      <c r="L268" t="s">
        <v>29</v>
      </c>
    </row>
    <row r="269" spans="1:12">
      <c r="A269" t="s">
        <v>15</v>
      </c>
      <c r="B269">
        <v>2024</v>
      </c>
      <c r="C269">
        <v>8</v>
      </c>
      <c r="D269" t="str">
        <f t="shared" si="4"/>
        <v>Pezet - VIV20248</v>
      </c>
      <c r="E269" t="s">
        <v>29</v>
      </c>
      <c r="I269" t="s">
        <v>15</v>
      </c>
      <c r="J269">
        <v>2024</v>
      </c>
      <c r="K269">
        <v>8</v>
      </c>
      <c r="L269" t="s">
        <v>29</v>
      </c>
    </row>
    <row r="270" spans="1:12">
      <c r="A270" t="s">
        <v>15</v>
      </c>
      <c r="B270">
        <v>2024</v>
      </c>
      <c r="C270">
        <v>9</v>
      </c>
      <c r="D270" t="str">
        <f t="shared" si="4"/>
        <v>Pezet - VIV20249</v>
      </c>
      <c r="E270" t="s">
        <v>151</v>
      </c>
      <c r="I270" t="s">
        <v>15</v>
      </c>
      <c r="J270">
        <v>2024</v>
      </c>
      <c r="K270">
        <v>9</v>
      </c>
      <c r="L270" t="s">
        <v>151</v>
      </c>
    </row>
    <row r="271" spans="1:12">
      <c r="A271" t="s">
        <v>15</v>
      </c>
      <c r="B271">
        <v>2024</v>
      </c>
      <c r="C271">
        <v>10</v>
      </c>
      <c r="D271" t="str">
        <f t="shared" si="4"/>
        <v>Pezet - VIV202410</v>
      </c>
      <c r="E271" t="s">
        <v>66</v>
      </c>
      <c r="I271" t="s">
        <v>15</v>
      </c>
      <c r="J271">
        <v>2024</v>
      </c>
      <c r="K271">
        <v>10</v>
      </c>
      <c r="L271" t="s">
        <v>66</v>
      </c>
    </row>
    <row r="272" spans="1:12">
      <c r="A272" t="s">
        <v>15</v>
      </c>
      <c r="B272">
        <v>2024</v>
      </c>
      <c r="C272">
        <v>11</v>
      </c>
      <c r="D272" t="str">
        <f t="shared" si="4"/>
        <v>Pezet - VIV202411</v>
      </c>
      <c r="E272" t="s">
        <v>29</v>
      </c>
      <c r="I272" t="s">
        <v>15</v>
      </c>
      <c r="J272">
        <v>2024</v>
      </c>
      <c r="K272">
        <v>11</v>
      </c>
      <c r="L272" t="s">
        <v>29</v>
      </c>
    </row>
    <row r="273" spans="1:12">
      <c r="A273" t="s">
        <v>15</v>
      </c>
      <c r="B273">
        <v>2024</v>
      </c>
      <c r="C273">
        <v>12</v>
      </c>
      <c r="D273" t="str">
        <f t="shared" si="4"/>
        <v>Pezet - VIV202412</v>
      </c>
      <c r="E273" t="s">
        <v>28</v>
      </c>
      <c r="I273" t="s">
        <v>15</v>
      </c>
      <c r="J273">
        <v>2024</v>
      </c>
      <c r="K273">
        <v>12</v>
      </c>
      <c r="L273" t="s">
        <v>28</v>
      </c>
    </row>
    <row r="274" spans="1:12">
      <c r="A274" t="s">
        <v>15</v>
      </c>
      <c r="B274">
        <v>2025</v>
      </c>
      <c r="C274">
        <v>1</v>
      </c>
      <c r="D274" t="str">
        <f t="shared" si="4"/>
        <v>Pezet - VIV20251</v>
      </c>
      <c r="E274" t="s">
        <v>46</v>
      </c>
      <c r="I274" t="s">
        <v>15</v>
      </c>
      <c r="J274">
        <v>2025</v>
      </c>
      <c r="K274">
        <v>1</v>
      </c>
      <c r="L274" t="s">
        <v>46</v>
      </c>
    </row>
    <row r="275" spans="1:12">
      <c r="A275" t="s">
        <v>15</v>
      </c>
      <c r="B275">
        <v>2025</v>
      </c>
      <c r="C275">
        <v>2</v>
      </c>
      <c r="D275" t="str">
        <f t="shared" si="4"/>
        <v>Pezet - VIV20252</v>
      </c>
      <c r="E275" t="s">
        <v>78</v>
      </c>
      <c r="I275" t="s">
        <v>15</v>
      </c>
      <c r="J275">
        <v>2025</v>
      </c>
      <c r="K275">
        <v>2</v>
      </c>
      <c r="L275" t="s">
        <v>78</v>
      </c>
    </row>
    <row r="276" spans="1:12">
      <c r="A276" t="s">
        <v>15</v>
      </c>
      <c r="B276">
        <v>2025</v>
      </c>
      <c r="C276">
        <v>3</v>
      </c>
      <c r="D276" t="str">
        <f t="shared" si="4"/>
        <v>Pezet - VIV20253</v>
      </c>
      <c r="E276" t="s">
        <v>30</v>
      </c>
      <c r="I276" t="s">
        <v>15</v>
      </c>
      <c r="J276">
        <v>2025</v>
      </c>
      <c r="K276">
        <v>3</v>
      </c>
      <c r="L276" t="s">
        <v>30</v>
      </c>
    </row>
    <row r="277" spans="1:12">
      <c r="A277" t="s">
        <v>15</v>
      </c>
      <c r="B277">
        <v>2025</v>
      </c>
      <c r="C277">
        <v>4</v>
      </c>
      <c r="D277" t="str">
        <f t="shared" si="4"/>
        <v>Pezet - VIV20254</v>
      </c>
      <c r="E277" t="s">
        <v>111</v>
      </c>
      <c r="I277" t="s">
        <v>15</v>
      </c>
      <c r="J277">
        <v>2025</v>
      </c>
      <c r="K277">
        <v>4</v>
      </c>
      <c r="L277" t="s">
        <v>111</v>
      </c>
    </row>
    <row r="278" spans="1:12">
      <c r="A278" t="s">
        <v>15</v>
      </c>
      <c r="B278">
        <v>2025</v>
      </c>
      <c r="C278">
        <v>5</v>
      </c>
      <c r="D278" t="str">
        <f t="shared" si="4"/>
        <v>Pezet - VIV20255</v>
      </c>
      <c r="E278" t="s">
        <v>177</v>
      </c>
      <c r="I278" t="s">
        <v>15</v>
      </c>
      <c r="J278">
        <v>2025</v>
      </c>
      <c r="K278">
        <v>5</v>
      </c>
      <c r="L278" t="s">
        <v>177</v>
      </c>
    </row>
    <row r="279" spans="1:12">
      <c r="A279" t="s">
        <v>15</v>
      </c>
      <c r="B279">
        <v>2025</v>
      </c>
      <c r="C279">
        <v>6</v>
      </c>
      <c r="D279" t="str">
        <f t="shared" si="4"/>
        <v>Pezet - VIV20256</v>
      </c>
      <c r="E279" t="s">
        <v>76</v>
      </c>
      <c r="I279" t="s">
        <v>15</v>
      </c>
      <c r="J279">
        <v>2025</v>
      </c>
      <c r="K279">
        <v>6</v>
      </c>
      <c r="L279" t="s">
        <v>76</v>
      </c>
    </row>
    <row r="280" spans="1:12">
      <c r="A280" t="s">
        <v>15</v>
      </c>
      <c r="B280">
        <v>2025</v>
      </c>
      <c r="C280">
        <v>7</v>
      </c>
      <c r="D280" t="str">
        <f t="shared" si="4"/>
        <v>Pezet - VIV20257</v>
      </c>
      <c r="E280" t="s">
        <v>87</v>
      </c>
      <c r="I280" t="s">
        <v>15</v>
      </c>
      <c r="J280">
        <v>2025</v>
      </c>
      <c r="K280">
        <v>7</v>
      </c>
      <c r="L280" t="s">
        <v>87</v>
      </c>
    </row>
    <row r="281" spans="1:12">
      <c r="A281" t="s">
        <v>15</v>
      </c>
      <c r="B281">
        <v>2025</v>
      </c>
      <c r="C281">
        <v>8</v>
      </c>
      <c r="D281" t="str">
        <f t="shared" si="4"/>
        <v>Pezet - VIV20258</v>
      </c>
      <c r="E281" t="s">
        <v>181</v>
      </c>
      <c r="I281" t="s">
        <v>15</v>
      </c>
      <c r="J281">
        <v>2025</v>
      </c>
      <c r="K281">
        <v>8</v>
      </c>
      <c r="L281" t="s">
        <v>181</v>
      </c>
    </row>
    <row r="282" spans="1:12">
      <c r="A282" t="s">
        <v>15</v>
      </c>
      <c r="B282">
        <v>2025</v>
      </c>
      <c r="C282">
        <v>9</v>
      </c>
      <c r="D282" t="str">
        <f t="shared" si="4"/>
        <v>Pezet - VIV20259</v>
      </c>
      <c r="E282" t="s">
        <v>173</v>
      </c>
      <c r="I282" t="s">
        <v>15</v>
      </c>
      <c r="J282">
        <v>2025</v>
      </c>
      <c r="K282">
        <v>9</v>
      </c>
      <c r="L282" t="s">
        <v>173</v>
      </c>
    </row>
    <row r="283" spans="1:12">
      <c r="A283" t="s">
        <v>15</v>
      </c>
      <c r="B283">
        <v>2025</v>
      </c>
      <c r="C283">
        <v>10</v>
      </c>
      <c r="D283" t="str">
        <f t="shared" si="4"/>
        <v>Pezet - VIV202510</v>
      </c>
      <c r="E283" t="s">
        <v>123</v>
      </c>
      <c r="I283" t="s">
        <v>15</v>
      </c>
      <c r="J283">
        <v>2025</v>
      </c>
      <c r="K283">
        <v>10</v>
      </c>
      <c r="L283" t="s">
        <v>123</v>
      </c>
    </row>
    <row r="284" spans="1:12">
      <c r="A284" t="s">
        <v>15</v>
      </c>
      <c r="B284">
        <v>2025</v>
      </c>
      <c r="C284">
        <v>11</v>
      </c>
      <c r="D284" t="str">
        <f t="shared" si="4"/>
        <v>Pezet - VIV202511</v>
      </c>
      <c r="E284" t="s">
        <v>113</v>
      </c>
      <c r="I284" t="s">
        <v>15</v>
      </c>
      <c r="J284">
        <v>2025</v>
      </c>
      <c r="K284">
        <v>11</v>
      </c>
      <c r="L284" t="s">
        <v>113</v>
      </c>
    </row>
    <row r="285" spans="1:12">
      <c r="A285" t="s">
        <v>15</v>
      </c>
      <c r="B285">
        <v>2025</v>
      </c>
      <c r="C285">
        <v>12</v>
      </c>
      <c r="D285" t="str">
        <f t="shared" si="4"/>
        <v>Pezet - VIV202512</v>
      </c>
      <c r="E285" t="s">
        <v>27</v>
      </c>
      <c r="I285" t="s">
        <v>15</v>
      </c>
      <c r="J285">
        <v>2025</v>
      </c>
      <c r="K285">
        <v>12</v>
      </c>
      <c r="L285" t="s">
        <v>27</v>
      </c>
    </row>
    <row r="286" spans="1:12">
      <c r="A286" t="s">
        <v>15</v>
      </c>
      <c r="B286">
        <v>2026</v>
      </c>
      <c r="C286">
        <v>1</v>
      </c>
      <c r="D286" t="str">
        <f t="shared" si="4"/>
        <v>Pezet - VIV20261</v>
      </c>
      <c r="E286" t="s">
        <v>77</v>
      </c>
      <c r="I286" t="s">
        <v>15</v>
      </c>
      <c r="J286">
        <v>2026</v>
      </c>
      <c r="K286">
        <v>1</v>
      </c>
      <c r="L286" t="s">
        <v>77</v>
      </c>
    </row>
    <row r="287" spans="1:12">
      <c r="A287" t="s">
        <v>15</v>
      </c>
      <c r="B287">
        <v>2026</v>
      </c>
      <c r="C287">
        <v>2</v>
      </c>
      <c r="D287" t="str">
        <f t="shared" si="4"/>
        <v>Pezet - VIV20262</v>
      </c>
      <c r="E287" t="s">
        <v>96</v>
      </c>
      <c r="I287" t="s">
        <v>15</v>
      </c>
      <c r="J287">
        <v>2026</v>
      </c>
      <c r="K287">
        <v>2</v>
      </c>
      <c r="L287" t="s">
        <v>96</v>
      </c>
    </row>
    <row r="288" spans="1:12">
      <c r="A288" t="s">
        <v>15</v>
      </c>
      <c r="B288">
        <v>2026</v>
      </c>
      <c r="C288">
        <v>3</v>
      </c>
      <c r="D288" t="str">
        <f t="shared" si="4"/>
        <v>Pezet - VIV20263</v>
      </c>
      <c r="E288" t="s">
        <v>97</v>
      </c>
      <c r="I288" t="s">
        <v>15</v>
      </c>
      <c r="J288">
        <v>2026</v>
      </c>
      <c r="K288">
        <v>3</v>
      </c>
      <c r="L288" t="s">
        <v>97</v>
      </c>
    </row>
    <row r="289" spans="1:12">
      <c r="A289" t="s">
        <v>15</v>
      </c>
      <c r="B289">
        <v>2026</v>
      </c>
      <c r="C289">
        <v>4</v>
      </c>
      <c r="D289" t="str">
        <f t="shared" si="4"/>
        <v>Pezet - VIV20264</v>
      </c>
      <c r="E289" t="s">
        <v>97</v>
      </c>
      <c r="I289" t="s">
        <v>15</v>
      </c>
      <c r="J289">
        <v>2026</v>
      </c>
      <c r="K289">
        <v>4</v>
      </c>
      <c r="L289" t="s">
        <v>97</v>
      </c>
    </row>
    <row r="290" spans="1:12">
      <c r="A290" t="s">
        <v>15</v>
      </c>
      <c r="B290">
        <v>2026</v>
      </c>
      <c r="C290">
        <v>5</v>
      </c>
      <c r="D290" t="str">
        <f t="shared" si="4"/>
        <v>Pezet - VIV20265</v>
      </c>
      <c r="E290" t="s">
        <v>98</v>
      </c>
      <c r="I290" t="s">
        <v>15</v>
      </c>
      <c r="J290">
        <v>2026</v>
      </c>
      <c r="K290">
        <v>5</v>
      </c>
      <c r="L290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941DC-345D-4939-9E2F-62FF7E134FC1}">
  <dimension ref="A1:J94"/>
  <sheetViews>
    <sheetView workbookViewId="0">
      <selection activeCell="E2" sqref="E2:E18"/>
    </sheetView>
  </sheetViews>
  <sheetFormatPr baseColWidth="10" defaultRowHeight="14.4"/>
  <cols>
    <col min="1" max="1" width="16.109375" bestFit="1" customWidth="1"/>
    <col min="4" max="4" width="25.77734375" customWidth="1"/>
    <col min="5" max="5" width="11.5546875" style="17"/>
    <col min="6" max="6" width="19.77734375" customWidth="1"/>
    <col min="9" max="10" width="11.5546875" style="17"/>
  </cols>
  <sheetData>
    <row r="1" spans="1:10">
      <c r="A1" s="12" t="s">
        <v>0</v>
      </c>
      <c r="B1" s="12" t="s">
        <v>1</v>
      </c>
      <c r="C1" s="12" t="s">
        <v>2</v>
      </c>
      <c r="D1" s="12" t="s">
        <v>114</v>
      </c>
      <c r="E1" s="18" t="s">
        <v>115</v>
      </c>
      <c r="F1" s="13" t="s">
        <v>3</v>
      </c>
      <c r="G1" s="12" t="s">
        <v>4</v>
      </c>
      <c r="H1" s="13" t="s">
        <v>5</v>
      </c>
      <c r="I1" s="14" t="s">
        <v>6</v>
      </c>
      <c r="J1" s="14" t="s">
        <v>7</v>
      </c>
    </row>
    <row r="2" spans="1:10">
      <c r="A2" t="s">
        <v>9</v>
      </c>
      <c r="B2">
        <v>2025</v>
      </c>
      <c r="C2">
        <v>1</v>
      </c>
      <c r="D2" t="str">
        <f>+A2&amp;B2&amp;C2</f>
        <v>Benavides - VIV20251</v>
      </c>
      <c r="E2" s="17">
        <v>54.6</v>
      </c>
      <c r="F2" s="1">
        <v>1238</v>
      </c>
      <c r="G2">
        <v>18</v>
      </c>
      <c r="H2" s="1">
        <v>3197874</v>
      </c>
      <c r="I2" s="15">
        <v>67</v>
      </c>
      <c r="J2" s="15">
        <v>64</v>
      </c>
    </row>
    <row r="3" spans="1:10">
      <c r="A3" t="s">
        <v>9</v>
      </c>
      <c r="B3">
        <v>2025</v>
      </c>
      <c r="C3">
        <v>2</v>
      </c>
      <c r="D3" t="str">
        <f t="shared" ref="D3:D66" si="0">+A3&amp;B3&amp;C3</f>
        <v>Benavides - VIV20252</v>
      </c>
      <c r="E3" s="17">
        <v>52.8</v>
      </c>
      <c r="F3" s="1">
        <v>1238</v>
      </c>
      <c r="G3">
        <v>18</v>
      </c>
      <c r="H3" s="1">
        <v>3045628</v>
      </c>
      <c r="I3" s="15">
        <v>67</v>
      </c>
      <c r="J3" s="15">
        <v>64</v>
      </c>
    </row>
    <row r="4" spans="1:10">
      <c r="A4" t="s">
        <v>9</v>
      </c>
      <c r="B4">
        <v>2025</v>
      </c>
      <c r="C4">
        <v>3</v>
      </c>
      <c r="D4" t="str">
        <f t="shared" si="0"/>
        <v>Benavides - VIV20253</v>
      </c>
      <c r="E4" s="17">
        <v>51.4</v>
      </c>
      <c r="F4" s="1">
        <v>1238</v>
      </c>
      <c r="G4">
        <v>18</v>
      </c>
      <c r="H4" s="1">
        <v>3335318</v>
      </c>
      <c r="I4" s="15">
        <v>67</v>
      </c>
      <c r="J4" s="15">
        <v>69.5</v>
      </c>
    </row>
    <row r="5" spans="1:10">
      <c r="A5" t="s">
        <v>9</v>
      </c>
      <c r="B5">
        <v>2025</v>
      </c>
      <c r="C5">
        <v>4</v>
      </c>
      <c r="D5" t="str">
        <f t="shared" si="0"/>
        <v>Benavides - VIV20254</v>
      </c>
      <c r="E5" s="17">
        <v>57.6</v>
      </c>
      <c r="F5" s="1">
        <v>1238</v>
      </c>
      <c r="G5">
        <v>18</v>
      </c>
      <c r="H5" s="1">
        <v>3165034</v>
      </c>
      <c r="I5" s="15">
        <v>68</v>
      </c>
      <c r="J5" s="15">
        <v>66.5</v>
      </c>
    </row>
    <row r="6" spans="1:10">
      <c r="A6" t="s">
        <v>9</v>
      </c>
      <c r="B6">
        <v>2025</v>
      </c>
      <c r="C6">
        <v>5</v>
      </c>
      <c r="D6" t="str">
        <f t="shared" si="0"/>
        <v>Benavides - VIV20255</v>
      </c>
      <c r="E6" s="17">
        <v>57.8</v>
      </c>
      <c r="F6" s="1">
        <v>1238</v>
      </c>
      <c r="G6">
        <v>18</v>
      </c>
      <c r="H6" s="1">
        <v>3181146</v>
      </c>
      <c r="I6" s="15">
        <v>68</v>
      </c>
      <c r="J6" s="15">
        <v>67.5</v>
      </c>
    </row>
    <row r="7" spans="1:10">
      <c r="A7" t="s">
        <v>9</v>
      </c>
      <c r="B7">
        <v>2025</v>
      </c>
      <c r="C7">
        <v>6</v>
      </c>
      <c r="D7" t="str">
        <f t="shared" si="0"/>
        <v>Benavides - VIV20256</v>
      </c>
      <c r="E7" s="17">
        <v>58</v>
      </c>
      <c r="F7" s="1">
        <v>1238</v>
      </c>
      <c r="G7">
        <v>18</v>
      </c>
      <c r="H7" s="1">
        <v>3113046</v>
      </c>
      <c r="I7" s="15">
        <v>68</v>
      </c>
      <c r="J7" s="15">
        <v>65</v>
      </c>
    </row>
    <row r="8" spans="1:10">
      <c r="A8" t="s">
        <v>9</v>
      </c>
      <c r="B8">
        <v>2025</v>
      </c>
      <c r="C8">
        <v>7</v>
      </c>
      <c r="D8" t="str">
        <f t="shared" si="0"/>
        <v>Benavides - VIV20257</v>
      </c>
      <c r="E8" s="17">
        <v>56</v>
      </c>
      <c r="F8" s="1">
        <v>1238</v>
      </c>
      <c r="G8">
        <v>18</v>
      </c>
      <c r="H8" s="1">
        <v>3163743</v>
      </c>
      <c r="I8" s="15">
        <v>68</v>
      </c>
      <c r="J8" s="15">
        <v>60.5</v>
      </c>
    </row>
    <row r="9" spans="1:10">
      <c r="A9" t="s">
        <v>9</v>
      </c>
      <c r="B9">
        <v>2025</v>
      </c>
      <c r="C9">
        <v>8</v>
      </c>
      <c r="D9" t="str">
        <f t="shared" si="0"/>
        <v>Benavides - VIV20258</v>
      </c>
      <c r="E9" s="17">
        <v>54.7</v>
      </c>
      <c r="F9" s="1">
        <v>1238</v>
      </c>
      <c r="G9">
        <v>18</v>
      </c>
      <c r="H9" s="1">
        <v>3195837</v>
      </c>
      <c r="I9" s="15">
        <v>68</v>
      </c>
      <c r="J9" s="15">
        <v>62</v>
      </c>
    </row>
    <row r="10" spans="1:10">
      <c r="A10" t="s">
        <v>9</v>
      </c>
      <c r="B10">
        <v>2025</v>
      </c>
      <c r="C10">
        <v>9</v>
      </c>
      <c r="D10" t="str">
        <f t="shared" si="0"/>
        <v>Benavides - VIV20259</v>
      </c>
      <c r="E10" s="17">
        <v>54.9</v>
      </c>
      <c r="F10" s="1">
        <v>1238</v>
      </c>
      <c r="G10">
        <v>18</v>
      </c>
      <c r="H10" s="1">
        <v>3015727</v>
      </c>
      <c r="I10" s="15">
        <v>68</v>
      </c>
      <c r="J10" s="15">
        <v>61</v>
      </c>
    </row>
    <row r="11" spans="1:10">
      <c r="A11" t="s">
        <v>9</v>
      </c>
      <c r="B11">
        <v>2025</v>
      </c>
      <c r="C11">
        <v>10</v>
      </c>
      <c r="D11" t="str">
        <f t="shared" si="0"/>
        <v>Benavides - VIV202510</v>
      </c>
      <c r="E11" s="17">
        <v>60.6</v>
      </c>
      <c r="F11" s="1">
        <v>1238</v>
      </c>
      <c r="G11">
        <v>18</v>
      </c>
      <c r="H11" s="1">
        <v>3131366</v>
      </c>
      <c r="I11" s="15">
        <v>68</v>
      </c>
      <c r="J11" s="15">
        <v>68.5</v>
      </c>
    </row>
    <row r="12" spans="1:10">
      <c r="A12" t="s">
        <v>9</v>
      </c>
      <c r="B12">
        <v>2025</v>
      </c>
      <c r="C12">
        <v>11</v>
      </c>
      <c r="D12" t="str">
        <f t="shared" si="0"/>
        <v>Benavides - VIV202511</v>
      </c>
      <c r="E12" s="17">
        <v>59.5</v>
      </c>
      <c r="F12" s="1">
        <v>1238</v>
      </c>
      <c r="G12">
        <v>18</v>
      </c>
      <c r="H12" s="1">
        <v>3117185</v>
      </c>
      <c r="I12" s="15">
        <v>68</v>
      </c>
      <c r="J12" s="15">
        <v>69</v>
      </c>
    </row>
    <row r="13" spans="1:10">
      <c r="A13" t="s">
        <v>9</v>
      </c>
      <c r="B13">
        <v>2025</v>
      </c>
      <c r="C13">
        <v>12</v>
      </c>
      <c r="D13" t="str">
        <f t="shared" si="0"/>
        <v>Benavides - VIV202512</v>
      </c>
      <c r="E13" s="17">
        <v>64.400000000000006</v>
      </c>
      <c r="F13" s="1">
        <v>1238</v>
      </c>
      <c r="G13">
        <v>18</v>
      </c>
      <c r="H13" s="1">
        <v>3697500</v>
      </c>
      <c r="I13" s="15">
        <v>69.5</v>
      </c>
      <c r="J13" s="15">
        <v>73</v>
      </c>
    </row>
    <row r="14" spans="1:10">
      <c r="A14" t="s">
        <v>9</v>
      </c>
      <c r="B14">
        <v>2026</v>
      </c>
      <c r="C14">
        <v>1</v>
      </c>
      <c r="D14" t="str">
        <f t="shared" si="0"/>
        <v>Benavides - VIV20261</v>
      </c>
      <c r="E14" s="17">
        <v>55.7</v>
      </c>
      <c r="F14" s="1">
        <v>1238</v>
      </c>
      <c r="G14">
        <v>18</v>
      </c>
      <c r="H14" s="1">
        <v>3274355</v>
      </c>
      <c r="I14" s="15">
        <v>65.5</v>
      </c>
      <c r="J14" s="15">
        <v>67</v>
      </c>
    </row>
    <row r="15" spans="1:10">
      <c r="A15" t="s">
        <v>9</v>
      </c>
      <c r="B15">
        <v>2026</v>
      </c>
      <c r="C15">
        <v>2</v>
      </c>
      <c r="D15" t="str">
        <f t="shared" si="0"/>
        <v>Benavides - VIV20262</v>
      </c>
      <c r="E15" s="17">
        <v>50.8</v>
      </c>
      <c r="F15" s="1">
        <v>1238</v>
      </c>
      <c r="G15">
        <v>18</v>
      </c>
      <c r="H15" s="1">
        <v>1387612</v>
      </c>
      <c r="I15" s="15">
        <v>65.5</v>
      </c>
      <c r="J15" s="15">
        <v>68</v>
      </c>
    </row>
    <row r="16" spans="1:10">
      <c r="A16" t="s">
        <v>9</v>
      </c>
      <c r="B16">
        <v>2026</v>
      </c>
      <c r="C16">
        <v>3</v>
      </c>
      <c r="D16" t="str">
        <f t="shared" si="0"/>
        <v>Benavides - VIV20263</v>
      </c>
      <c r="E16" s="17">
        <v>63.3</v>
      </c>
      <c r="F16" s="1">
        <v>1238</v>
      </c>
      <c r="G16">
        <v>18</v>
      </c>
      <c r="H16" s="1">
        <v>3225829</v>
      </c>
      <c r="I16" s="15">
        <v>65.5</v>
      </c>
      <c r="J16" s="15">
        <v>73</v>
      </c>
    </row>
    <row r="17" spans="1:10">
      <c r="A17" t="s">
        <v>9</v>
      </c>
      <c r="B17">
        <v>2026</v>
      </c>
      <c r="C17">
        <v>4</v>
      </c>
      <c r="D17" t="str">
        <f t="shared" si="0"/>
        <v>Benavides - VIV20264</v>
      </c>
      <c r="E17" s="17">
        <v>65.099999999999994</v>
      </c>
      <c r="F17" s="1">
        <v>1238</v>
      </c>
      <c r="G17">
        <v>18</v>
      </c>
      <c r="H17" s="1">
        <v>3209610</v>
      </c>
      <c r="I17" s="15">
        <v>65.5</v>
      </c>
      <c r="J17" s="15">
        <v>71.5</v>
      </c>
    </row>
    <row r="18" spans="1:10">
      <c r="A18" t="s">
        <v>9</v>
      </c>
      <c r="B18">
        <v>2026</v>
      </c>
      <c r="C18">
        <v>5</v>
      </c>
      <c r="D18" t="str">
        <f t="shared" si="0"/>
        <v>Benavides - VIV20265</v>
      </c>
      <c r="E18" s="17">
        <v>57.1</v>
      </c>
      <c r="F18" s="1">
        <v>1238</v>
      </c>
      <c r="G18">
        <v>18</v>
      </c>
      <c r="H18" s="1">
        <v>3379480</v>
      </c>
      <c r="I18" s="15">
        <v>65.5</v>
      </c>
      <c r="J18" s="15">
        <v>64</v>
      </c>
    </row>
    <row r="19" spans="1:10">
      <c r="A19" t="s">
        <v>10</v>
      </c>
      <c r="B19">
        <v>2025</v>
      </c>
      <c r="C19">
        <v>1</v>
      </c>
      <c r="D19" t="str">
        <f t="shared" si="0"/>
        <v>Dos de Mayo - VIV20251</v>
      </c>
      <c r="E19" s="17">
        <v>56.8</v>
      </c>
      <c r="F19" s="1">
        <v>1184</v>
      </c>
      <c r="G19">
        <v>19</v>
      </c>
      <c r="H19" s="1">
        <v>2511906</v>
      </c>
      <c r="I19" s="15">
        <v>58.5</v>
      </c>
      <c r="J19" s="15">
        <v>64</v>
      </c>
    </row>
    <row r="20" spans="1:10">
      <c r="A20" t="s">
        <v>10</v>
      </c>
      <c r="B20">
        <v>2025</v>
      </c>
      <c r="C20">
        <v>2</v>
      </c>
      <c r="D20" t="str">
        <f t="shared" si="0"/>
        <v>Dos de Mayo - VIV20252</v>
      </c>
      <c r="E20" s="17">
        <v>55.9</v>
      </c>
      <c r="F20" s="1">
        <v>1184</v>
      </c>
      <c r="G20">
        <v>19</v>
      </c>
      <c r="H20" s="1">
        <v>2559403</v>
      </c>
      <c r="I20" s="15">
        <v>59.5</v>
      </c>
      <c r="J20" s="15">
        <v>64.5</v>
      </c>
    </row>
    <row r="21" spans="1:10">
      <c r="A21" t="s">
        <v>10</v>
      </c>
      <c r="B21">
        <v>2025</v>
      </c>
      <c r="C21">
        <v>3</v>
      </c>
      <c r="D21" t="str">
        <f t="shared" si="0"/>
        <v>Dos de Mayo - VIV20253</v>
      </c>
      <c r="E21" s="17">
        <v>58.7</v>
      </c>
      <c r="F21" s="1">
        <v>1184</v>
      </c>
      <c r="G21">
        <v>19</v>
      </c>
      <c r="H21" s="1">
        <v>2762190</v>
      </c>
      <c r="I21" s="15">
        <v>59.5</v>
      </c>
      <c r="J21" s="15">
        <v>71</v>
      </c>
    </row>
    <row r="22" spans="1:10">
      <c r="A22" t="s">
        <v>10</v>
      </c>
      <c r="B22">
        <v>2025</v>
      </c>
      <c r="C22">
        <v>4</v>
      </c>
      <c r="D22" t="str">
        <f t="shared" si="0"/>
        <v>Dos de Mayo - VIV20254</v>
      </c>
      <c r="E22" s="17">
        <v>53.5</v>
      </c>
      <c r="F22" s="1">
        <v>1184</v>
      </c>
      <c r="G22">
        <v>19</v>
      </c>
      <c r="H22" s="1">
        <v>2565007</v>
      </c>
      <c r="I22" s="15">
        <v>59</v>
      </c>
      <c r="J22" s="15">
        <v>63</v>
      </c>
    </row>
    <row r="23" spans="1:10">
      <c r="A23" t="s">
        <v>10</v>
      </c>
      <c r="B23">
        <v>2025</v>
      </c>
      <c r="C23">
        <v>5</v>
      </c>
      <c r="D23" t="str">
        <f t="shared" si="0"/>
        <v>Dos de Mayo - VIV20255</v>
      </c>
      <c r="E23" s="17">
        <v>53.2</v>
      </c>
      <c r="F23" s="1">
        <v>1184</v>
      </c>
      <c r="G23">
        <v>19</v>
      </c>
      <c r="H23" s="1">
        <v>2640971</v>
      </c>
      <c r="I23" s="15">
        <v>59</v>
      </c>
      <c r="J23" s="15">
        <v>60</v>
      </c>
    </row>
    <row r="24" spans="1:10">
      <c r="A24" t="s">
        <v>10</v>
      </c>
      <c r="B24">
        <v>2025</v>
      </c>
      <c r="C24">
        <v>6</v>
      </c>
      <c r="D24" t="str">
        <f t="shared" si="0"/>
        <v>Dos de Mayo - VIV20256</v>
      </c>
      <c r="E24" s="17">
        <v>48.2</v>
      </c>
      <c r="F24" s="1">
        <v>1184</v>
      </c>
      <c r="G24">
        <v>19</v>
      </c>
      <c r="H24" s="1">
        <v>2482002</v>
      </c>
      <c r="I24" s="15">
        <v>59</v>
      </c>
      <c r="J24" s="15">
        <v>55</v>
      </c>
    </row>
    <row r="25" spans="1:10">
      <c r="A25" t="s">
        <v>10</v>
      </c>
      <c r="B25">
        <v>2025</v>
      </c>
      <c r="C25">
        <v>7</v>
      </c>
      <c r="D25" t="str">
        <f t="shared" si="0"/>
        <v>Dos de Mayo - VIV20257</v>
      </c>
      <c r="E25" s="17">
        <v>47.8</v>
      </c>
      <c r="F25" s="1">
        <v>1184</v>
      </c>
      <c r="G25">
        <v>19</v>
      </c>
      <c r="H25" s="1">
        <v>2573263</v>
      </c>
      <c r="I25" s="15">
        <v>59</v>
      </c>
      <c r="J25" s="15">
        <v>53.5</v>
      </c>
    </row>
    <row r="26" spans="1:10">
      <c r="A26" t="s">
        <v>10</v>
      </c>
      <c r="B26">
        <v>2025</v>
      </c>
      <c r="C26">
        <v>8</v>
      </c>
      <c r="D26" t="str">
        <f t="shared" si="0"/>
        <v>Dos de Mayo - VIV20258</v>
      </c>
      <c r="E26" s="17">
        <v>44.9</v>
      </c>
      <c r="F26" s="1">
        <v>1184</v>
      </c>
      <c r="G26">
        <v>19</v>
      </c>
      <c r="H26" s="1">
        <v>2669829</v>
      </c>
      <c r="I26" s="15">
        <v>59.5</v>
      </c>
      <c r="J26" s="15">
        <v>54</v>
      </c>
    </row>
    <row r="27" spans="1:10">
      <c r="A27" t="s">
        <v>10</v>
      </c>
      <c r="B27">
        <v>2025</v>
      </c>
      <c r="C27">
        <v>9</v>
      </c>
      <c r="D27" t="str">
        <f t="shared" si="0"/>
        <v>Dos de Mayo - VIV20259</v>
      </c>
      <c r="E27" s="17">
        <v>45.9</v>
      </c>
      <c r="F27" s="1">
        <v>1184</v>
      </c>
      <c r="G27">
        <v>19</v>
      </c>
      <c r="H27" s="1">
        <v>2492819</v>
      </c>
      <c r="I27" s="15">
        <v>59.5</v>
      </c>
      <c r="J27" s="15">
        <v>52</v>
      </c>
    </row>
    <row r="28" spans="1:10">
      <c r="A28" t="s">
        <v>10</v>
      </c>
      <c r="B28">
        <v>2025</v>
      </c>
      <c r="C28">
        <v>10</v>
      </c>
      <c r="D28" t="str">
        <f t="shared" si="0"/>
        <v>Dos de Mayo - VIV202510</v>
      </c>
      <c r="E28" s="17">
        <v>48.8</v>
      </c>
      <c r="F28" s="1">
        <v>1184</v>
      </c>
      <c r="G28">
        <v>19</v>
      </c>
      <c r="H28" s="1">
        <v>2662103</v>
      </c>
      <c r="I28" s="15">
        <v>59.5</v>
      </c>
      <c r="J28" s="15">
        <v>57.5</v>
      </c>
    </row>
    <row r="29" spans="1:10">
      <c r="A29" t="s">
        <v>10</v>
      </c>
      <c r="B29">
        <v>2025</v>
      </c>
      <c r="C29">
        <v>11</v>
      </c>
      <c r="D29" t="str">
        <f t="shared" si="0"/>
        <v>Dos de Mayo - VIV202511</v>
      </c>
      <c r="E29" s="17">
        <v>50.7</v>
      </c>
      <c r="F29" s="1">
        <v>1184</v>
      </c>
      <c r="G29">
        <v>19</v>
      </c>
      <c r="H29" s="1">
        <v>2609914</v>
      </c>
      <c r="I29" s="15">
        <v>59.5</v>
      </c>
      <c r="J29" s="15">
        <v>58.5</v>
      </c>
    </row>
    <row r="30" spans="1:10">
      <c r="A30" t="s">
        <v>10</v>
      </c>
      <c r="B30">
        <v>2025</v>
      </c>
      <c r="C30">
        <v>12</v>
      </c>
      <c r="D30" t="str">
        <f t="shared" si="0"/>
        <v>Dos de Mayo - VIV202512</v>
      </c>
      <c r="E30" s="17">
        <v>52.1</v>
      </c>
      <c r="F30" s="1">
        <v>1184</v>
      </c>
      <c r="G30">
        <v>19</v>
      </c>
      <c r="H30" s="1">
        <v>3354155</v>
      </c>
      <c r="I30" s="15">
        <v>60.5</v>
      </c>
      <c r="J30" s="15">
        <v>60</v>
      </c>
    </row>
    <row r="31" spans="1:10">
      <c r="A31" t="s">
        <v>10</v>
      </c>
      <c r="B31">
        <v>2026</v>
      </c>
      <c r="C31">
        <v>1</v>
      </c>
      <c r="D31" t="str">
        <f t="shared" si="0"/>
        <v>Dos de Mayo - VIV20261</v>
      </c>
      <c r="E31" s="17">
        <v>50.1</v>
      </c>
      <c r="F31" s="1">
        <v>1184</v>
      </c>
      <c r="G31">
        <v>19</v>
      </c>
      <c r="H31" s="1">
        <v>2681978</v>
      </c>
      <c r="I31" s="15">
        <v>59</v>
      </c>
      <c r="J31" s="15">
        <v>59</v>
      </c>
    </row>
    <row r="32" spans="1:10">
      <c r="A32" t="s">
        <v>10</v>
      </c>
      <c r="B32">
        <v>2026</v>
      </c>
      <c r="C32">
        <v>2</v>
      </c>
      <c r="D32" t="str">
        <f t="shared" si="0"/>
        <v>Dos de Mayo - VIV20262</v>
      </c>
      <c r="E32" s="17">
        <v>52.4</v>
      </c>
      <c r="F32" s="1">
        <v>1184</v>
      </c>
      <c r="G32">
        <v>19</v>
      </c>
      <c r="H32" s="1">
        <v>2571073</v>
      </c>
      <c r="I32" s="15">
        <v>59</v>
      </c>
      <c r="J32" s="15">
        <v>62</v>
      </c>
    </row>
    <row r="33" spans="1:10">
      <c r="A33" t="s">
        <v>10</v>
      </c>
      <c r="B33">
        <v>2026</v>
      </c>
      <c r="C33">
        <v>3</v>
      </c>
      <c r="D33" t="str">
        <f t="shared" si="0"/>
        <v>Dos de Mayo - VIV20263</v>
      </c>
      <c r="E33" s="17">
        <v>52.1</v>
      </c>
      <c r="F33" s="1">
        <v>1184</v>
      </c>
      <c r="G33">
        <v>19</v>
      </c>
      <c r="H33" s="1">
        <v>2853791</v>
      </c>
      <c r="I33" s="15">
        <v>58.5</v>
      </c>
      <c r="J33" s="15">
        <v>59</v>
      </c>
    </row>
    <row r="34" spans="1:10">
      <c r="A34" t="s">
        <v>10</v>
      </c>
      <c r="B34">
        <v>2026</v>
      </c>
      <c r="C34">
        <v>4</v>
      </c>
      <c r="D34" t="str">
        <f t="shared" si="0"/>
        <v>Dos de Mayo - VIV20264</v>
      </c>
      <c r="E34" s="17">
        <v>49.6</v>
      </c>
      <c r="F34" s="1">
        <v>1184</v>
      </c>
      <c r="G34">
        <v>19</v>
      </c>
      <c r="H34" s="1">
        <v>2733988</v>
      </c>
      <c r="I34" s="15">
        <v>58.5</v>
      </c>
      <c r="J34" s="15">
        <v>58</v>
      </c>
    </row>
    <row r="35" spans="1:10">
      <c r="A35" t="s">
        <v>10</v>
      </c>
      <c r="B35">
        <v>2026</v>
      </c>
      <c r="C35">
        <v>5</v>
      </c>
      <c r="D35" t="str">
        <f t="shared" si="0"/>
        <v>Dos de Mayo - VIV20265</v>
      </c>
      <c r="E35" s="17">
        <v>49.2</v>
      </c>
      <c r="F35" s="1">
        <v>1184</v>
      </c>
      <c r="G35">
        <v>19</v>
      </c>
      <c r="H35" s="1">
        <v>2772388</v>
      </c>
      <c r="I35" s="15">
        <v>58.5</v>
      </c>
      <c r="J35" s="15">
        <v>58.5</v>
      </c>
    </row>
    <row r="36" spans="1:10">
      <c r="A36" t="s">
        <v>11</v>
      </c>
      <c r="B36">
        <v>2025</v>
      </c>
      <c r="C36">
        <v>1</v>
      </c>
      <c r="D36" t="str">
        <f t="shared" si="0"/>
        <v>Javier Prado - VIV20251</v>
      </c>
      <c r="E36" s="17">
        <v>52.9</v>
      </c>
      <c r="F36" s="1">
        <v>1152</v>
      </c>
      <c r="G36">
        <v>18</v>
      </c>
      <c r="H36" s="1">
        <v>3268596</v>
      </c>
      <c r="I36" s="15">
        <v>62.5</v>
      </c>
      <c r="J36" s="15">
        <v>61.5</v>
      </c>
    </row>
    <row r="37" spans="1:10">
      <c r="A37" t="s">
        <v>11</v>
      </c>
      <c r="B37">
        <v>2025</v>
      </c>
      <c r="C37">
        <v>2</v>
      </c>
      <c r="D37" t="str">
        <f t="shared" si="0"/>
        <v>Javier Prado - VIV20252</v>
      </c>
      <c r="E37" s="17">
        <v>53.4</v>
      </c>
      <c r="F37" s="1">
        <v>1152</v>
      </c>
      <c r="G37">
        <v>18</v>
      </c>
      <c r="H37" s="1">
        <v>3074727</v>
      </c>
      <c r="I37" s="15">
        <v>62.5</v>
      </c>
      <c r="J37" s="15">
        <v>60.5</v>
      </c>
    </row>
    <row r="38" spans="1:10">
      <c r="A38" t="s">
        <v>11</v>
      </c>
      <c r="B38">
        <v>2025</v>
      </c>
      <c r="C38">
        <v>3</v>
      </c>
      <c r="D38" t="str">
        <f t="shared" si="0"/>
        <v>Javier Prado - VIV20253</v>
      </c>
      <c r="E38" s="17">
        <v>51.3</v>
      </c>
      <c r="F38" s="1">
        <v>1152</v>
      </c>
      <c r="G38">
        <v>18</v>
      </c>
      <c r="H38" s="1">
        <v>3466723</v>
      </c>
      <c r="I38" s="15">
        <v>62.5</v>
      </c>
      <c r="J38" s="15">
        <v>59.5</v>
      </c>
    </row>
    <row r="39" spans="1:10">
      <c r="A39" t="s">
        <v>11</v>
      </c>
      <c r="B39">
        <v>2025</v>
      </c>
      <c r="C39">
        <v>4</v>
      </c>
      <c r="D39" t="str">
        <f t="shared" si="0"/>
        <v>Javier Prado - VIV20254</v>
      </c>
      <c r="E39" s="17">
        <v>50.7</v>
      </c>
      <c r="F39" s="1">
        <v>1152</v>
      </c>
      <c r="G39">
        <v>18</v>
      </c>
      <c r="H39" s="1">
        <v>3286679</v>
      </c>
      <c r="I39" s="15">
        <v>63</v>
      </c>
      <c r="J39" s="15">
        <v>60</v>
      </c>
    </row>
    <row r="40" spans="1:10">
      <c r="A40" t="s">
        <v>11</v>
      </c>
      <c r="B40">
        <v>2025</v>
      </c>
      <c r="C40">
        <v>5</v>
      </c>
      <c r="D40" t="str">
        <f t="shared" si="0"/>
        <v>Javier Prado - VIV20255</v>
      </c>
      <c r="E40" s="17">
        <v>52.3</v>
      </c>
      <c r="F40" s="1">
        <v>1152</v>
      </c>
      <c r="G40">
        <v>18</v>
      </c>
      <c r="H40" s="1">
        <v>3402519</v>
      </c>
      <c r="I40" s="15">
        <v>63</v>
      </c>
      <c r="J40" s="15">
        <v>60.5</v>
      </c>
    </row>
    <row r="41" spans="1:10">
      <c r="A41" t="s">
        <v>11</v>
      </c>
      <c r="B41">
        <v>2025</v>
      </c>
      <c r="C41">
        <v>6</v>
      </c>
      <c r="D41" t="str">
        <f t="shared" si="0"/>
        <v>Javier Prado - VIV20256</v>
      </c>
      <c r="E41" s="17">
        <v>53.4</v>
      </c>
      <c r="F41" s="1">
        <v>1152</v>
      </c>
      <c r="G41">
        <v>18</v>
      </c>
      <c r="H41" s="1">
        <v>3244500</v>
      </c>
      <c r="I41" s="15">
        <v>63</v>
      </c>
      <c r="J41" s="15">
        <v>60.5</v>
      </c>
    </row>
    <row r="42" spans="1:10">
      <c r="A42" t="s">
        <v>11</v>
      </c>
      <c r="B42">
        <v>2026</v>
      </c>
      <c r="C42">
        <v>4</v>
      </c>
      <c r="D42" t="str">
        <f t="shared" si="0"/>
        <v>Javier Prado - VIV20264</v>
      </c>
      <c r="E42" s="17">
        <v>64.8</v>
      </c>
      <c r="F42" s="1">
        <v>1152</v>
      </c>
      <c r="G42">
        <v>18</v>
      </c>
      <c r="H42" s="1">
        <v>2948369</v>
      </c>
      <c r="I42" s="15">
        <v>63</v>
      </c>
      <c r="J42" s="15">
        <v>70</v>
      </c>
    </row>
    <row r="43" spans="1:10">
      <c r="A43" t="s">
        <v>11</v>
      </c>
      <c r="B43">
        <v>2026</v>
      </c>
      <c r="C43">
        <v>5</v>
      </c>
      <c r="D43" t="str">
        <f t="shared" si="0"/>
        <v>Javier Prado - VIV20265</v>
      </c>
      <c r="E43" s="17">
        <v>55.1</v>
      </c>
      <c r="F43" s="1">
        <v>1152</v>
      </c>
      <c r="G43">
        <v>18</v>
      </c>
      <c r="H43" s="1">
        <v>2960325</v>
      </c>
      <c r="I43" s="15">
        <v>63</v>
      </c>
      <c r="J43" s="15">
        <v>58</v>
      </c>
    </row>
    <row r="44" spans="1:10">
      <c r="A44" t="s">
        <v>12</v>
      </c>
      <c r="B44">
        <v>2025</v>
      </c>
      <c r="C44">
        <v>1</v>
      </c>
      <c r="D44" t="str">
        <f t="shared" si="0"/>
        <v>Libertadores - VIV20251</v>
      </c>
      <c r="E44" s="17">
        <v>53.6</v>
      </c>
      <c r="F44" s="1">
        <v>1167</v>
      </c>
      <c r="G44">
        <v>23</v>
      </c>
      <c r="H44" s="1">
        <v>2647542</v>
      </c>
      <c r="I44" s="15">
        <v>60</v>
      </c>
      <c r="J44" s="15">
        <v>61.5</v>
      </c>
    </row>
    <row r="45" spans="1:10">
      <c r="A45" t="s">
        <v>12</v>
      </c>
      <c r="B45">
        <v>2025</v>
      </c>
      <c r="C45">
        <v>2</v>
      </c>
      <c r="D45" t="str">
        <f t="shared" si="0"/>
        <v>Libertadores - VIV20252</v>
      </c>
      <c r="E45" s="17">
        <v>53</v>
      </c>
      <c r="F45" s="1">
        <v>1167</v>
      </c>
      <c r="G45">
        <v>23</v>
      </c>
      <c r="H45" s="1">
        <v>2424543</v>
      </c>
      <c r="I45" s="15">
        <v>60</v>
      </c>
      <c r="J45" s="15">
        <v>60.5</v>
      </c>
    </row>
    <row r="46" spans="1:10">
      <c r="A46" t="s">
        <v>12</v>
      </c>
      <c r="B46">
        <v>2025</v>
      </c>
      <c r="C46">
        <v>3</v>
      </c>
      <c r="D46" t="str">
        <f t="shared" si="0"/>
        <v>Libertadores - VIV20253</v>
      </c>
      <c r="E46" s="17">
        <v>52.4</v>
      </c>
      <c r="F46" s="1">
        <v>1167</v>
      </c>
      <c r="G46">
        <v>23</v>
      </c>
      <c r="H46" s="1">
        <v>2657199</v>
      </c>
      <c r="I46" s="15">
        <v>60</v>
      </c>
      <c r="J46" s="15">
        <v>60</v>
      </c>
    </row>
    <row r="47" spans="1:10">
      <c r="A47" t="s">
        <v>12</v>
      </c>
      <c r="B47">
        <v>2025</v>
      </c>
      <c r="C47">
        <v>4</v>
      </c>
      <c r="D47" t="str">
        <f t="shared" si="0"/>
        <v>Libertadores - VIV20254</v>
      </c>
      <c r="E47" s="17">
        <v>52.5</v>
      </c>
      <c r="F47" s="1">
        <v>1167</v>
      </c>
      <c r="G47">
        <v>23</v>
      </c>
      <c r="H47" s="1">
        <v>2724024</v>
      </c>
      <c r="I47" s="15">
        <v>60</v>
      </c>
      <c r="J47" s="15">
        <v>60</v>
      </c>
    </row>
    <row r="48" spans="1:10">
      <c r="A48" t="s">
        <v>12</v>
      </c>
      <c r="B48">
        <v>2025</v>
      </c>
      <c r="C48">
        <v>5</v>
      </c>
      <c r="D48" t="str">
        <f t="shared" si="0"/>
        <v>Libertadores - VIV20255</v>
      </c>
      <c r="E48" s="17">
        <v>53.8</v>
      </c>
      <c r="F48" s="1">
        <v>1167</v>
      </c>
      <c r="G48">
        <v>23</v>
      </c>
      <c r="H48" s="1">
        <v>2785143</v>
      </c>
      <c r="I48" s="15">
        <v>60</v>
      </c>
      <c r="J48" s="15">
        <v>58.5</v>
      </c>
    </row>
    <row r="49" spans="1:10">
      <c r="A49" t="s">
        <v>12</v>
      </c>
      <c r="B49">
        <v>2025</v>
      </c>
      <c r="C49">
        <v>6</v>
      </c>
      <c r="D49" t="str">
        <f t="shared" si="0"/>
        <v>Libertadores - VIV20256</v>
      </c>
      <c r="E49" s="17">
        <v>50</v>
      </c>
      <c r="F49" s="1">
        <v>1167</v>
      </c>
      <c r="G49">
        <v>23</v>
      </c>
      <c r="H49" s="1">
        <v>2630192</v>
      </c>
      <c r="I49" s="15">
        <v>60</v>
      </c>
      <c r="J49" s="15">
        <v>55.5</v>
      </c>
    </row>
    <row r="50" spans="1:10">
      <c r="A50" t="s">
        <v>12</v>
      </c>
      <c r="B50">
        <v>2025</v>
      </c>
      <c r="C50">
        <v>7</v>
      </c>
      <c r="D50" t="str">
        <f t="shared" si="0"/>
        <v>Libertadores - VIV20257</v>
      </c>
      <c r="E50" s="17">
        <v>50.5</v>
      </c>
      <c r="F50" s="1">
        <v>1167</v>
      </c>
      <c r="G50">
        <v>23</v>
      </c>
      <c r="H50" s="1">
        <v>2602056</v>
      </c>
      <c r="I50" s="15">
        <v>60</v>
      </c>
      <c r="J50" s="15">
        <v>54</v>
      </c>
    </row>
    <row r="51" spans="1:10">
      <c r="A51" t="s">
        <v>12</v>
      </c>
      <c r="B51">
        <v>2025</v>
      </c>
      <c r="C51">
        <v>8</v>
      </c>
      <c r="D51" t="str">
        <f t="shared" si="0"/>
        <v>Libertadores - VIV20258</v>
      </c>
      <c r="E51" s="17">
        <v>45.5</v>
      </c>
      <c r="F51" s="1">
        <v>1167</v>
      </c>
      <c r="G51">
        <v>23</v>
      </c>
      <c r="H51" s="1">
        <v>2722294</v>
      </c>
      <c r="I51" s="15">
        <v>60</v>
      </c>
      <c r="J51" s="15">
        <v>52.5</v>
      </c>
    </row>
    <row r="52" spans="1:10">
      <c r="A52" t="s">
        <v>12</v>
      </c>
      <c r="B52">
        <v>2025</v>
      </c>
      <c r="C52">
        <v>9</v>
      </c>
      <c r="D52" t="str">
        <f t="shared" si="0"/>
        <v>Libertadores - VIV20259</v>
      </c>
      <c r="E52" s="17">
        <v>49.4</v>
      </c>
      <c r="F52" s="1">
        <v>1167</v>
      </c>
      <c r="G52">
        <v>23</v>
      </c>
      <c r="H52" s="1">
        <v>2612982</v>
      </c>
      <c r="I52" s="15">
        <v>60</v>
      </c>
      <c r="J52" s="15">
        <v>50</v>
      </c>
    </row>
    <row r="53" spans="1:10">
      <c r="A53" t="s">
        <v>12</v>
      </c>
      <c r="B53">
        <v>2025</v>
      </c>
      <c r="C53">
        <v>10</v>
      </c>
      <c r="D53" t="str">
        <f t="shared" si="0"/>
        <v>Libertadores - VIV202510</v>
      </c>
      <c r="E53" s="17">
        <v>51.5</v>
      </c>
      <c r="F53" s="1">
        <v>1167</v>
      </c>
      <c r="G53">
        <v>23</v>
      </c>
      <c r="H53" s="1">
        <v>2690444</v>
      </c>
      <c r="I53" s="15">
        <v>60</v>
      </c>
      <c r="J53" s="15">
        <v>57</v>
      </c>
    </row>
    <row r="54" spans="1:10">
      <c r="A54" t="s">
        <v>12</v>
      </c>
      <c r="B54">
        <v>2025</v>
      </c>
      <c r="C54">
        <v>11</v>
      </c>
      <c r="D54" t="str">
        <f t="shared" si="0"/>
        <v>Libertadores - VIV202511</v>
      </c>
      <c r="E54" s="17">
        <v>49.3</v>
      </c>
      <c r="F54" s="1">
        <v>1167</v>
      </c>
      <c r="G54">
        <v>23</v>
      </c>
      <c r="H54" s="1">
        <v>2621750</v>
      </c>
      <c r="I54" s="15">
        <v>60.5</v>
      </c>
      <c r="J54" s="15">
        <v>53.5</v>
      </c>
    </row>
    <row r="55" spans="1:10">
      <c r="A55" t="s">
        <v>12</v>
      </c>
      <c r="B55">
        <v>2025</v>
      </c>
      <c r="C55">
        <v>12</v>
      </c>
      <c r="D55" t="str">
        <f t="shared" si="0"/>
        <v>Libertadores - VIV202512</v>
      </c>
      <c r="E55" s="17">
        <v>49</v>
      </c>
      <c r="F55" s="1">
        <v>1167</v>
      </c>
      <c r="G55">
        <v>23</v>
      </c>
      <c r="H55" s="1">
        <v>3066355</v>
      </c>
      <c r="I55" s="15">
        <v>61.5</v>
      </c>
      <c r="J55" s="15">
        <v>56.5</v>
      </c>
    </row>
    <row r="56" spans="1:10">
      <c r="A56" t="s">
        <v>12</v>
      </c>
      <c r="B56">
        <v>2026</v>
      </c>
      <c r="C56">
        <v>1</v>
      </c>
      <c r="D56" t="str">
        <f t="shared" si="0"/>
        <v>Libertadores - VIV20261</v>
      </c>
      <c r="E56" s="17">
        <v>45.6</v>
      </c>
      <c r="F56" s="1">
        <v>1167</v>
      </c>
      <c r="G56">
        <v>23</v>
      </c>
      <c r="H56" s="1">
        <v>2590418</v>
      </c>
      <c r="I56" s="15">
        <v>59.5</v>
      </c>
      <c r="J56" s="15">
        <v>52.5</v>
      </c>
    </row>
    <row r="57" spans="1:10">
      <c r="A57" t="s">
        <v>12</v>
      </c>
      <c r="B57">
        <v>2026</v>
      </c>
      <c r="C57">
        <v>2</v>
      </c>
      <c r="D57" t="str">
        <f t="shared" si="0"/>
        <v>Libertadores - VIV20262</v>
      </c>
      <c r="E57" s="17">
        <v>49</v>
      </c>
      <c r="F57" s="1">
        <v>1167</v>
      </c>
      <c r="G57">
        <v>23</v>
      </c>
      <c r="H57" s="1">
        <v>2534449</v>
      </c>
      <c r="I57" s="15">
        <v>59.5</v>
      </c>
      <c r="J57" s="15">
        <v>56</v>
      </c>
    </row>
    <row r="58" spans="1:10">
      <c r="A58" t="s">
        <v>12</v>
      </c>
      <c r="B58">
        <v>2026</v>
      </c>
      <c r="C58">
        <v>3</v>
      </c>
      <c r="D58" t="str">
        <f t="shared" si="0"/>
        <v>Libertadores - VIV20263</v>
      </c>
      <c r="E58" s="17">
        <v>51.3</v>
      </c>
      <c r="F58" s="1">
        <v>1167</v>
      </c>
      <c r="G58">
        <v>23</v>
      </c>
      <c r="H58" s="1">
        <v>2824445</v>
      </c>
      <c r="I58" s="15">
        <v>59.5</v>
      </c>
      <c r="J58" s="15">
        <v>58</v>
      </c>
    </row>
    <row r="59" spans="1:10">
      <c r="A59" t="s">
        <v>12</v>
      </c>
      <c r="B59">
        <v>2026</v>
      </c>
      <c r="C59">
        <v>4</v>
      </c>
      <c r="D59" t="str">
        <f t="shared" si="0"/>
        <v>Libertadores - VIV20264</v>
      </c>
      <c r="E59" s="17">
        <v>50.1</v>
      </c>
      <c r="F59" s="1">
        <v>1167</v>
      </c>
      <c r="G59">
        <v>23</v>
      </c>
      <c r="H59" s="1">
        <v>2791217</v>
      </c>
      <c r="I59" s="15">
        <v>59.5</v>
      </c>
      <c r="J59" s="15">
        <v>54.5</v>
      </c>
    </row>
    <row r="60" spans="1:10">
      <c r="A60" t="s">
        <v>12</v>
      </c>
      <c r="B60">
        <v>2026</v>
      </c>
      <c r="C60">
        <v>5</v>
      </c>
      <c r="D60" t="str">
        <f t="shared" si="0"/>
        <v>Libertadores - VIV20265</v>
      </c>
      <c r="E60" s="17">
        <v>48</v>
      </c>
      <c r="F60" s="1">
        <v>1167</v>
      </c>
      <c r="G60">
        <v>23</v>
      </c>
      <c r="H60" s="1">
        <v>2782428</v>
      </c>
      <c r="I60" s="15">
        <v>59.5</v>
      </c>
      <c r="J60" s="15">
        <v>53</v>
      </c>
    </row>
    <row r="61" spans="1:10">
      <c r="A61" s="7" t="s">
        <v>13</v>
      </c>
      <c r="B61" s="7">
        <v>2025</v>
      </c>
      <c r="C61" s="7">
        <v>1</v>
      </c>
      <c r="D61" s="7" t="str">
        <f t="shared" si="0"/>
        <v>Monterrico - VIV20251</v>
      </c>
      <c r="E61" s="19">
        <v>76.2</v>
      </c>
      <c r="F61" s="8">
        <v>918</v>
      </c>
      <c r="G61" s="7">
        <v>18</v>
      </c>
      <c r="H61" s="8">
        <v>5320582</v>
      </c>
      <c r="I61" s="16">
        <v>94</v>
      </c>
      <c r="J61" s="16">
        <v>90.5</v>
      </c>
    </row>
    <row r="62" spans="1:10">
      <c r="A62" s="7" t="s">
        <v>13</v>
      </c>
      <c r="B62" s="7">
        <v>2025</v>
      </c>
      <c r="C62" s="7">
        <v>2</v>
      </c>
      <c r="D62" s="7" t="str">
        <f t="shared" si="0"/>
        <v>Monterrico - VIV20252</v>
      </c>
      <c r="E62" s="19">
        <v>78.5</v>
      </c>
      <c r="F62" s="8">
        <v>918</v>
      </c>
      <c r="G62" s="7">
        <v>18</v>
      </c>
      <c r="H62" s="8">
        <v>4943060</v>
      </c>
      <c r="I62" s="16">
        <v>95</v>
      </c>
      <c r="J62" s="16">
        <v>91.5</v>
      </c>
    </row>
    <row r="63" spans="1:10">
      <c r="A63" s="7" t="s">
        <v>13</v>
      </c>
      <c r="B63" s="7">
        <v>2025</v>
      </c>
      <c r="C63" s="7">
        <v>3</v>
      </c>
      <c r="D63" s="7" t="str">
        <f t="shared" si="0"/>
        <v>Monterrico - VIV20253</v>
      </c>
      <c r="E63" s="19">
        <v>78.3</v>
      </c>
      <c r="F63" s="8">
        <v>918</v>
      </c>
      <c r="G63" s="7">
        <v>18</v>
      </c>
      <c r="H63" s="8">
        <v>5723821</v>
      </c>
      <c r="I63" s="16">
        <v>95</v>
      </c>
      <c r="J63" s="16">
        <v>91.5</v>
      </c>
    </row>
    <row r="64" spans="1:10">
      <c r="A64" s="7" t="s">
        <v>13</v>
      </c>
      <c r="B64" s="7">
        <v>2025</v>
      </c>
      <c r="C64" s="7">
        <v>4</v>
      </c>
      <c r="D64" s="7" t="str">
        <f t="shared" si="0"/>
        <v>Monterrico - VIV20254</v>
      </c>
      <c r="E64" s="19">
        <v>75</v>
      </c>
      <c r="F64" s="8">
        <v>918</v>
      </c>
      <c r="G64" s="7">
        <v>18</v>
      </c>
      <c r="H64" s="8">
        <v>5580877</v>
      </c>
      <c r="I64" s="16">
        <v>95</v>
      </c>
      <c r="J64" s="16">
        <v>87</v>
      </c>
    </row>
    <row r="65" spans="1:10">
      <c r="A65" s="7" t="s">
        <v>13</v>
      </c>
      <c r="B65" s="7">
        <v>2025</v>
      </c>
      <c r="C65" s="7">
        <v>5</v>
      </c>
      <c r="D65" s="7" t="str">
        <f t="shared" si="0"/>
        <v>Monterrico - VIV20255</v>
      </c>
      <c r="E65" s="19">
        <v>78.099999999999994</v>
      </c>
      <c r="F65" s="8">
        <v>918</v>
      </c>
      <c r="G65" s="7">
        <v>18</v>
      </c>
      <c r="H65" s="8">
        <v>5558760</v>
      </c>
      <c r="I65" s="16">
        <v>95</v>
      </c>
      <c r="J65" s="16">
        <v>91</v>
      </c>
    </row>
    <row r="66" spans="1:10">
      <c r="A66" s="7" t="s">
        <v>13</v>
      </c>
      <c r="B66" s="7">
        <v>2025</v>
      </c>
      <c r="C66" s="7">
        <v>6</v>
      </c>
      <c r="D66" s="7" t="str">
        <f t="shared" si="0"/>
        <v>Monterrico - VIV20256</v>
      </c>
      <c r="E66" s="19">
        <v>82</v>
      </c>
      <c r="F66" s="8">
        <v>918</v>
      </c>
      <c r="G66" s="7">
        <v>18</v>
      </c>
      <c r="H66" s="8">
        <v>5349573</v>
      </c>
      <c r="I66" s="16">
        <v>95</v>
      </c>
      <c r="J66" s="16">
        <v>90.5</v>
      </c>
    </row>
    <row r="67" spans="1:10">
      <c r="A67" s="7" t="s">
        <v>13</v>
      </c>
      <c r="B67" s="7">
        <v>2025</v>
      </c>
      <c r="C67" s="7">
        <v>7</v>
      </c>
      <c r="D67" s="7" t="str">
        <f t="shared" ref="D67:D94" si="1">+A67&amp;B67&amp;C67</f>
        <v>Monterrico - VIV20257</v>
      </c>
      <c r="E67" s="19">
        <v>82.1</v>
      </c>
      <c r="F67" s="8">
        <v>918</v>
      </c>
      <c r="G67" s="7">
        <v>18</v>
      </c>
      <c r="H67" s="8">
        <v>5226859</v>
      </c>
      <c r="I67" s="16">
        <v>95</v>
      </c>
      <c r="J67" s="16">
        <v>88.5</v>
      </c>
    </row>
    <row r="68" spans="1:10">
      <c r="A68" s="7" t="s">
        <v>13</v>
      </c>
      <c r="B68" s="7">
        <v>2025</v>
      </c>
      <c r="C68" s="7">
        <v>8</v>
      </c>
      <c r="D68" s="7" t="str">
        <f t="shared" si="1"/>
        <v>Monterrico - VIV20258</v>
      </c>
      <c r="E68" s="19">
        <v>77.400000000000006</v>
      </c>
      <c r="F68" s="8">
        <v>918</v>
      </c>
      <c r="G68" s="7">
        <v>18</v>
      </c>
      <c r="H68" s="8">
        <v>5398976</v>
      </c>
      <c r="I68" s="16">
        <v>95</v>
      </c>
      <c r="J68" s="16">
        <v>91.5</v>
      </c>
    </row>
    <row r="69" spans="1:10">
      <c r="A69" s="7" t="s">
        <v>13</v>
      </c>
      <c r="B69" s="7">
        <v>2025</v>
      </c>
      <c r="C69" s="7">
        <v>9</v>
      </c>
      <c r="D69" s="7" t="str">
        <f t="shared" si="1"/>
        <v>Monterrico - VIV20259</v>
      </c>
      <c r="E69" s="19">
        <v>79.3</v>
      </c>
      <c r="F69" s="8">
        <v>918</v>
      </c>
      <c r="G69" s="7">
        <v>18</v>
      </c>
      <c r="H69" s="8">
        <v>5165049</v>
      </c>
      <c r="I69" s="16">
        <v>95</v>
      </c>
      <c r="J69" s="16">
        <v>90.5</v>
      </c>
    </row>
    <row r="70" spans="1:10">
      <c r="A70" s="7" t="s">
        <v>13</v>
      </c>
      <c r="B70" s="7">
        <v>2025</v>
      </c>
      <c r="C70" s="7">
        <v>10</v>
      </c>
      <c r="D70" s="7" t="str">
        <f t="shared" si="1"/>
        <v>Monterrico - VIV202510</v>
      </c>
      <c r="E70" s="19">
        <v>83.1</v>
      </c>
      <c r="F70" s="8">
        <v>918</v>
      </c>
      <c r="G70" s="7">
        <v>18</v>
      </c>
      <c r="H70" s="8">
        <v>5316395</v>
      </c>
      <c r="I70" s="16">
        <v>96</v>
      </c>
      <c r="J70" s="16">
        <v>95</v>
      </c>
    </row>
    <row r="71" spans="1:10">
      <c r="A71" s="7" t="s">
        <v>13</v>
      </c>
      <c r="B71" s="7">
        <v>2025</v>
      </c>
      <c r="C71" s="7">
        <v>11</v>
      </c>
      <c r="D71" s="7" t="str">
        <f t="shared" si="1"/>
        <v>Monterrico - VIV202511</v>
      </c>
      <c r="E71" s="19">
        <v>79.7</v>
      </c>
      <c r="F71" s="8">
        <v>918</v>
      </c>
      <c r="G71" s="7">
        <v>18</v>
      </c>
      <c r="H71" s="8">
        <v>5253336</v>
      </c>
      <c r="I71" s="16">
        <v>96</v>
      </c>
      <c r="J71" s="16">
        <v>93.5</v>
      </c>
    </row>
    <row r="72" spans="1:10">
      <c r="A72" s="7" t="s">
        <v>13</v>
      </c>
      <c r="B72" s="7">
        <v>2025</v>
      </c>
      <c r="C72" s="7">
        <v>12</v>
      </c>
      <c r="D72" s="7" t="str">
        <f t="shared" si="1"/>
        <v>Monterrico - VIV202512</v>
      </c>
      <c r="E72" s="19">
        <v>85.3</v>
      </c>
      <c r="F72" s="8">
        <v>918</v>
      </c>
      <c r="G72" s="7">
        <v>18</v>
      </c>
      <c r="H72" s="8">
        <v>6248240</v>
      </c>
      <c r="I72" s="16">
        <v>99</v>
      </c>
      <c r="J72" s="16">
        <v>99</v>
      </c>
    </row>
    <row r="73" spans="1:10">
      <c r="A73" s="7" t="s">
        <v>13</v>
      </c>
      <c r="B73" s="7">
        <v>2026</v>
      </c>
      <c r="C73" s="7">
        <v>1</v>
      </c>
      <c r="D73" s="7" t="str">
        <f t="shared" si="1"/>
        <v>Monterrico - VIV20261</v>
      </c>
      <c r="E73" s="19">
        <v>75.099999999999994</v>
      </c>
      <c r="F73" s="8">
        <v>918</v>
      </c>
      <c r="G73" s="7">
        <v>18</v>
      </c>
      <c r="H73" s="8">
        <v>5175743</v>
      </c>
      <c r="I73" s="16">
        <v>95.5</v>
      </c>
      <c r="J73" s="16">
        <v>97</v>
      </c>
    </row>
    <row r="74" spans="1:10">
      <c r="A74" s="7" t="s">
        <v>13</v>
      </c>
      <c r="B74" s="7">
        <v>2026</v>
      </c>
      <c r="C74" s="7">
        <v>2</v>
      </c>
      <c r="D74" s="7" t="str">
        <f t="shared" si="1"/>
        <v>Monterrico - VIV20262</v>
      </c>
      <c r="E74" s="19">
        <v>77.2</v>
      </c>
      <c r="F74" s="8">
        <v>918</v>
      </c>
      <c r="G74" s="7">
        <v>18</v>
      </c>
      <c r="H74" s="8">
        <v>4849465</v>
      </c>
      <c r="I74" s="16">
        <v>95.5</v>
      </c>
      <c r="J74" s="16">
        <v>97</v>
      </c>
    </row>
    <row r="75" spans="1:10">
      <c r="A75" s="7" t="s">
        <v>13</v>
      </c>
      <c r="B75" s="7">
        <v>2026</v>
      </c>
      <c r="C75" s="7">
        <v>3</v>
      </c>
      <c r="D75" s="7" t="str">
        <f t="shared" si="1"/>
        <v>Monterrico - VIV20263</v>
      </c>
      <c r="E75" s="19">
        <v>80</v>
      </c>
      <c r="F75" s="8">
        <v>918</v>
      </c>
      <c r="G75" s="7">
        <v>18</v>
      </c>
      <c r="H75" s="8">
        <v>5651567</v>
      </c>
      <c r="I75" s="16">
        <v>95.5</v>
      </c>
      <c r="J75" s="16">
        <v>92.5</v>
      </c>
    </row>
    <row r="76" spans="1:10">
      <c r="A76" s="7" t="s">
        <v>13</v>
      </c>
      <c r="B76" s="7">
        <v>2026</v>
      </c>
      <c r="C76" s="7">
        <v>4</v>
      </c>
      <c r="D76" s="7" t="str">
        <f t="shared" si="1"/>
        <v>Monterrico - VIV20264</v>
      </c>
      <c r="E76" s="19">
        <v>78.099999999999994</v>
      </c>
      <c r="F76" s="8">
        <v>918</v>
      </c>
      <c r="G76" s="7">
        <v>18</v>
      </c>
      <c r="H76" s="8">
        <v>5606053</v>
      </c>
      <c r="I76" s="16">
        <v>95.5</v>
      </c>
      <c r="J76" s="16">
        <v>86</v>
      </c>
    </row>
    <row r="77" spans="1:10">
      <c r="A77" s="7" t="s">
        <v>13</v>
      </c>
      <c r="B77" s="7">
        <v>2026</v>
      </c>
      <c r="C77" s="7">
        <v>5</v>
      </c>
      <c r="D77" s="7" t="str">
        <f t="shared" si="1"/>
        <v>Monterrico - VIV20265</v>
      </c>
      <c r="E77" s="19">
        <v>76.3</v>
      </c>
      <c r="F77" s="8">
        <v>918</v>
      </c>
      <c r="G77" s="7">
        <v>18</v>
      </c>
      <c r="H77" s="8">
        <v>5697147</v>
      </c>
      <c r="I77" s="16">
        <v>95.5</v>
      </c>
      <c r="J77" s="16">
        <v>87.5</v>
      </c>
    </row>
    <row r="78" spans="1:10">
      <c r="A78" t="s">
        <v>15</v>
      </c>
      <c r="B78">
        <v>2025</v>
      </c>
      <c r="C78">
        <v>1</v>
      </c>
      <c r="D78" t="str">
        <f t="shared" si="1"/>
        <v>Pezet - VIV20251</v>
      </c>
      <c r="E78" s="17">
        <v>57.1</v>
      </c>
      <c r="F78" s="1">
        <v>920</v>
      </c>
      <c r="G78">
        <v>16</v>
      </c>
      <c r="H78" s="1">
        <v>3307978</v>
      </c>
      <c r="I78" s="15">
        <v>71.5</v>
      </c>
      <c r="J78" s="15">
        <v>70</v>
      </c>
    </row>
    <row r="79" spans="1:10">
      <c r="A79" t="s">
        <v>15</v>
      </c>
      <c r="B79">
        <v>2025</v>
      </c>
      <c r="C79">
        <v>2</v>
      </c>
      <c r="D79" t="str">
        <f t="shared" si="1"/>
        <v>Pezet - VIV20252</v>
      </c>
      <c r="E79" s="17">
        <v>60.1</v>
      </c>
      <c r="F79" s="1">
        <v>920</v>
      </c>
      <c r="G79">
        <v>16</v>
      </c>
      <c r="H79" s="1">
        <v>2760968</v>
      </c>
      <c r="I79" s="15">
        <v>70.5</v>
      </c>
      <c r="J79" s="15">
        <v>69.5</v>
      </c>
    </row>
    <row r="80" spans="1:10">
      <c r="A80" t="s">
        <v>15</v>
      </c>
      <c r="B80">
        <v>2025</v>
      </c>
      <c r="C80">
        <v>3</v>
      </c>
      <c r="D80" t="str">
        <f t="shared" si="1"/>
        <v>Pezet - VIV20253</v>
      </c>
      <c r="E80" s="17">
        <v>57.2</v>
      </c>
      <c r="F80" s="1">
        <v>920</v>
      </c>
      <c r="G80">
        <v>16</v>
      </c>
      <c r="H80" s="1">
        <v>3631719</v>
      </c>
      <c r="I80" s="15">
        <v>70.5</v>
      </c>
      <c r="J80" s="15">
        <v>68</v>
      </c>
    </row>
    <row r="81" spans="1:10">
      <c r="A81" t="s">
        <v>15</v>
      </c>
      <c r="B81">
        <v>2025</v>
      </c>
      <c r="C81">
        <v>4</v>
      </c>
      <c r="D81" t="str">
        <f t="shared" si="1"/>
        <v>Pezet - VIV20254</v>
      </c>
      <c r="E81" s="17">
        <v>57.3</v>
      </c>
      <c r="F81" s="1">
        <v>920</v>
      </c>
      <c r="G81">
        <v>16</v>
      </c>
      <c r="H81" s="1">
        <v>3494282</v>
      </c>
      <c r="I81" s="15">
        <v>68.5</v>
      </c>
      <c r="J81" s="15">
        <v>66.5</v>
      </c>
    </row>
    <row r="82" spans="1:10">
      <c r="A82" t="s">
        <v>15</v>
      </c>
      <c r="B82">
        <v>2025</v>
      </c>
      <c r="C82">
        <v>5</v>
      </c>
      <c r="D82" t="str">
        <f t="shared" si="1"/>
        <v>Pezet - VIV20255</v>
      </c>
      <c r="E82" s="17">
        <v>62</v>
      </c>
      <c r="F82" s="1">
        <v>920</v>
      </c>
      <c r="G82">
        <v>16</v>
      </c>
      <c r="H82" s="1">
        <v>3486990</v>
      </c>
      <c r="I82" s="15">
        <v>68.5</v>
      </c>
      <c r="J82" s="15">
        <v>68</v>
      </c>
    </row>
    <row r="83" spans="1:10">
      <c r="A83" t="s">
        <v>15</v>
      </c>
      <c r="B83">
        <v>2025</v>
      </c>
      <c r="C83">
        <v>6</v>
      </c>
      <c r="D83" t="str">
        <f t="shared" si="1"/>
        <v>Pezet - VIV20256</v>
      </c>
      <c r="E83" s="17">
        <v>61.6</v>
      </c>
      <c r="F83" s="1">
        <v>920</v>
      </c>
      <c r="G83">
        <v>16</v>
      </c>
      <c r="H83" s="1">
        <v>3346172</v>
      </c>
      <c r="I83" s="15">
        <v>68.5</v>
      </c>
      <c r="J83" s="15">
        <v>69</v>
      </c>
    </row>
    <row r="84" spans="1:10">
      <c r="A84" t="s">
        <v>15</v>
      </c>
      <c r="B84">
        <v>2025</v>
      </c>
      <c r="C84">
        <v>7</v>
      </c>
      <c r="D84" t="str">
        <f t="shared" si="1"/>
        <v>Pezet - VIV20257</v>
      </c>
      <c r="E84" s="17">
        <v>61.3</v>
      </c>
      <c r="F84" s="1">
        <v>920</v>
      </c>
      <c r="G84">
        <v>16</v>
      </c>
      <c r="H84" s="1">
        <v>3540284</v>
      </c>
      <c r="I84" s="15">
        <v>68.5</v>
      </c>
      <c r="J84" s="15">
        <v>66</v>
      </c>
    </row>
    <row r="85" spans="1:10">
      <c r="A85" t="s">
        <v>15</v>
      </c>
      <c r="B85">
        <v>2025</v>
      </c>
      <c r="C85">
        <v>8</v>
      </c>
      <c r="D85" t="str">
        <f t="shared" si="1"/>
        <v>Pezet - VIV20258</v>
      </c>
      <c r="E85" s="17">
        <v>61.7</v>
      </c>
      <c r="F85" s="1">
        <v>920</v>
      </c>
      <c r="G85">
        <v>16</v>
      </c>
      <c r="H85" s="1">
        <v>3860930</v>
      </c>
      <c r="I85" s="15">
        <v>68.5</v>
      </c>
      <c r="J85" s="15">
        <v>68.5</v>
      </c>
    </row>
    <row r="86" spans="1:10">
      <c r="A86" t="s">
        <v>15</v>
      </c>
      <c r="B86">
        <v>2025</v>
      </c>
      <c r="C86">
        <v>9</v>
      </c>
      <c r="D86" t="str">
        <f t="shared" si="1"/>
        <v>Pezet - VIV20259</v>
      </c>
      <c r="E86" s="17">
        <v>59</v>
      </c>
      <c r="F86" s="1">
        <v>920</v>
      </c>
      <c r="G86">
        <v>16</v>
      </c>
      <c r="H86" s="1">
        <v>3628906</v>
      </c>
      <c r="I86" s="15">
        <v>68.5</v>
      </c>
      <c r="J86" s="15">
        <v>67</v>
      </c>
    </row>
    <row r="87" spans="1:10">
      <c r="A87" t="s">
        <v>15</v>
      </c>
      <c r="B87">
        <v>2025</v>
      </c>
      <c r="C87">
        <v>10</v>
      </c>
      <c r="D87" t="str">
        <f t="shared" si="1"/>
        <v>Pezet - VIV202510</v>
      </c>
      <c r="E87" s="17">
        <v>63.7</v>
      </c>
      <c r="F87" s="1">
        <v>920</v>
      </c>
      <c r="G87">
        <v>16</v>
      </c>
      <c r="H87" s="1">
        <v>3755725</v>
      </c>
      <c r="I87" s="15">
        <v>67</v>
      </c>
      <c r="J87" s="15">
        <v>71.5</v>
      </c>
    </row>
    <row r="88" spans="1:10">
      <c r="A88" t="s">
        <v>15</v>
      </c>
      <c r="B88">
        <v>2025</v>
      </c>
      <c r="C88">
        <v>11</v>
      </c>
      <c r="D88" t="str">
        <f t="shared" si="1"/>
        <v>Pezet - VIV202511</v>
      </c>
      <c r="E88" s="17">
        <v>59.7</v>
      </c>
      <c r="F88" s="1">
        <v>920</v>
      </c>
      <c r="G88">
        <v>16</v>
      </c>
      <c r="H88" s="1">
        <v>3732556</v>
      </c>
      <c r="I88" s="15">
        <v>67.5</v>
      </c>
      <c r="J88" s="15">
        <v>69.5</v>
      </c>
    </row>
    <row r="89" spans="1:10">
      <c r="A89" t="s">
        <v>15</v>
      </c>
      <c r="B89">
        <v>2025</v>
      </c>
      <c r="C89">
        <v>12</v>
      </c>
      <c r="D89" t="str">
        <f t="shared" si="1"/>
        <v>Pezet - VIV202512</v>
      </c>
      <c r="E89" s="17">
        <v>63.9</v>
      </c>
      <c r="F89" s="1">
        <v>920</v>
      </c>
      <c r="G89">
        <v>16</v>
      </c>
      <c r="H89" s="1">
        <v>4322796</v>
      </c>
      <c r="I89" s="15">
        <v>69</v>
      </c>
      <c r="J89" s="15">
        <v>72.5</v>
      </c>
    </row>
    <row r="90" spans="1:10">
      <c r="A90" t="s">
        <v>15</v>
      </c>
      <c r="B90">
        <v>2026</v>
      </c>
      <c r="C90">
        <v>1</v>
      </c>
      <c r="D90" t="str">
        <f t="shared" si="1"/>
        <v>Pezet - VIV20261</v>
      </c>
      <c r="E90" s="17">
        <v>57.6</v>
      </c>
      <c r="F90" s="1">
        <v>920</v>
      </c>
      <c r="G90">
        <v>16</v>
      </c>
      <c r="H90" s="1">
        <v>3719663</v>
      </c>
      <c r="I90" s="15">
        <v>67.5</v>
      </c>
      <c r="J90" s="15">
        <v>67</v>
      </c>
    </row>
    <row r="91" spans="1:10">
      <c r="A91" t="s">
        <v>15</v>
      </c>
      <c r="B91">
        <v>2026</v>
      </c>
      <c r="C91">
        <v>2</v>
      </c>
      <c r="D91" t="str">
        <f t="shared" si="1"/>
        <v>Pezet - VIV20262</v>
      </c>
      <c r="E91" s="17">
        <v>59.1</v>
      </c>
      <c r="F91" s="1">
        <v>920</v>
      </c>
      <c r="G91">
        <v>16</v>
      </c>
      <c r="H91" s="1">
        <v>3462166</v>
      </c>
      <c r="I91" s="15">
        <v>67.5</v>
      </c>
      <c r="J91" s="15">
        <v>67</v>
      </c>
    </row>
    <row r="92" spans="1:10">
      <c r="A92" t="s">
        <v>15</v>
      </c>
      <c r="B92">
        <v>2026</v>
      </c>
      <c r="C92">
        <v>3</v>
      </c>
      <c r="D92" t="str">
        <f t="shared" si="1"/>
        <v>Pezet - VIV20263</v>
      </c>
      <c r="E92" s="17">
        <v>58.4</v>
      </c>
      <c r="F92" s="1">
        <v>920</v>
      </c>
      <c r="G92">
        <v>16</v>
      </c>
      <c r="H92" s="1">
        <v>3979052</v>
      </c>
      <c r="I92" s="15">
        <v>67.5</v>
      </c>
      <c r="J92" s="15">
        <v>66.5</v>
      </c>
    </row>
    <row r="93" spans="1:10">
      <c r="A93" t="s">
        <v>15</v>
      </c>
      <c r="B93">
        <v>2026</v>
      </c>
      <c r="C93">
        <v>4</v>
      </c>
      <c r="D93" t="str">
        <f t="shared" si="1"/>
        <v>Pezet - VIV20264</v>
      </c>
      <c r="E93" s="17">
        <v>58.4</v>
      </c>
      <c r="F93" s="1">
        <v>920</v>
      </c>
      <c r="G93">
        <v>16</v>
      </c>
      <c r="H93" s="1">
        <v>3673070</v>
      </c>
      <c r="I93" s="15">
        <v>67.5</v>
      </c>
      <c r="J93" s="15">
        <v>66</v>
      </c>
    </row>
    <row r="94" spans="1:10">
      <c r="A94" t="s">
        <v>15</v>
      </c>
      <c r="B94">
        <v>2026</v>
      </c>
      <c r="C94">
        <v>5</v>
      </c>
      <c r="D94" t="str">
        <f t="shared" si="1"/>
        <v>Pezet - VIV20265</v>
      </c>
      <c r="E94" s="17">
        <v>58.3</v>
      </c>
      <c r="F94" s="1">
        <v>920</v>
      </c>
      <c r="G94">
        <v>16</v>
      </c>
      <c r="H94" s="1">
        <v>3684960</v>
      </c>
      <c r="I94" s="15">
        <v>67.5</v>
      </c>
      <c r="J94" s="15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jeq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eparedes</dc:creator>
  <cp:lastModifiedBy>Enrique Paredes</cp:lastModifiedBy>
  <dcterms:created xsi:type="dcterms:W3CDTF">2026-06-03T13:59:17Z</dcterms:created>
  <dcterms:modified xsi:type="dcterms:W3CDTF">2026-06-04T04:33:49Z</dcterms:modified>
</cp:coreProperties>
</file>