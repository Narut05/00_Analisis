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aredes\Documents\SPSA\00_Analisis\"/>
    </mc:Choice>
  </mc:AlternateContent>
  <xr:revisionPtr revIDLastSave="0" documentId="8_{0E4BF3E5-B62B-42B1-811B-26E24CFF0C0E}" xr6:coauthVersionLast="47" xr6:coauthVersionMax="47" xr10:uidLastSave="{00000000-0000-0000-0000-000000000000}"/>
  <bookViews>
    <workbookView xWindow="-108" yWindow="-108" windowWidth="30936" windowHeight="16776" xr2:uid="{F1C1025A-174D-4359-A48F-D18C029AAB16}"/>
  </bookViews>
  <sheets>
    <sheet name="‏ ‏ ‎ ‎ ‏ ‏ ‏ ‏ ‏ ‏ ‏ ‏ Venta &amp;" sheetId="1" r:id="rId1"/>
  </sheets>
  <calcPr calcId="0"/>
</workbook>
</file>

<file path=xl/calcChain.xml><?xml version="1.0" encoding="utf-8"?>
<calcChain xmlns="http://schemas.openxmlformats.org/spreadsheetml/2006/main">
  <c r="E45" i="1" l="1"/>
  <c r="E40" i="1"/>
  <c r="E41" i="1"/>
  <c r="E42" i="1"/>
  <c r="G42" i="1" s="1"/>
  <c r="I42" i="1" s="1"/>
  <c r="E43" i="1"/>
  <c r="E44" i="1"/>
  <c r="G44" i="1" s="1"/>
  <c r="I44" i="1" s="1"/>
  <c r="C45" i="1"/>
  <c r="E39" i="1"/>
  <c r="C40" i="1"/>
  <c r="C41" i="1"/>
  <c r="C42" i="1"/>
  <c r="C43" i="1"/>
  <c r="C44" i="1"/>
  <c r="C39" i="1"/>
  <c r="G45" i="1"/>
  <c r="I45" i="1" s="1"/>
  <c r="G43" i="1"/>
  <c r="I43" i="1" s="1"/>
  <c r="G41" i="1"/>
  <c r="I41" i="1" s="1"/>
  <c r="G40" i="1"/>
  <c r="I40" i="1" s="1"/>
  <c r="G39" i="1"/>
  <c r="I39" i="1" s="1"/>
  <c r="I38" i="1"/>
  <c r="G38" i="1"/>
  <c r="G37" i="1"/>
  <c r="I37" i="1" s="1"/>
  <c r="G36" i="1"/>
  <c r="I36" i="1" s="1"/>
  <c r="G35" i="1"/>
  <c r="I35" i="1" s="1"/>
  <c r="I34" i="1"/>
  <c r="G34" i="1"/>
  <c r="I19" i="1"/>
  <c r="I20" i="1"/>
  <c r="I21" i="1"/>
  <c r="I22" i="1"/>
  <c r="I23" i="1"/>
  <c r="I24" i="1"/>
  <c r="I25" i="1"/>
  <c r="I26" i="1"/>
  <c r="I27" i="1"/>
  <c r="I28" i="1"/>
  <c r="I29" i="1"/>
  <c r="I30" i="1"/>
  <c r="G20" i="1"/>
  <c r="G21" i="1"/>
  <c r="G22" i="1"/>
  <c r="G23" i="1"/>
  <c r="G24" i="1"/>
  <c r="G25" i="1"/>
  <c r="G26" i="1"/>
  <c r="G27" i="1"/>
  <c r="G28" i="1"/>
  <c r="G29" i="1"/>
  <c r="G30" i="1"/>
  <c r="G19" i="1"/>
  <c r="K8" i="1"/>
  <c r="K9" i="1"/>
  <c r="K10" i="1"/>
  <c r="K11" i="1"/>
  <c r="K12" i="1"/>
  <c r="K13" i="1"/>
  <c r="K7" i="1"/>
  <c r="I14" i="1"/>
  <c r="F14" i="1"/>
  <c r="E14" i="1"/>
  <c r="G14" i="1" s="1"/>
  <c r="J8" i="1"/>
  <c r="J9" i="1"/>
  <c r="J10" i="1"/>
  <c r="J11" i="1"/>
  <c r="J12" i="1"/>
  <c r="J13" i="1"/>
  <c r="H13" i="1"/>
  <c r="H8" i="1"/>
  <c r="H9" i="1"/>
  <c r="H10" i="1"/>
  <c r="H11" i="1"/>
  <c r="H12" i="1"/>
  <c r="H7" i="1"/>
  <c r="J7" i="1" s="1"/>
  <c r="G7" i="1"/>
  <c r="G8" i="1"/>
  <c r="G9" i="1"/>
  <c r="G10" i="1"/>
  <c r="G11" i="1"/>
  <c r="G12" i="1"/>
  <c r="G13" i="1"/>
  <c r="J3" i="1"/>
  <c r="J4" i="1"/>
  <c r="J5" i="1"/>
  <c r="J6" i="1"/>
  <c r="J2" i="1"/>
  <c r="G3" i="1"/>
  <c r="G4" i="1"/>
  <c r="G5" i="1"/>
  <c r="G6" i="1"/>
  <c r="G2" i="1"/>
  <c r="H14" i="1" l="1"/>
  <c r="J14" i="1" s="1"/>
</calcChain>
</file>

<file path=xl/sharedStrings.xml><?xml version="1.0" encoding="utf-8"?>
<sst xmlns="http://schemas.openxmlformats.org/spreadsheetml/2006/main" count="83" uniqueCount="60">
  <si>
    <t>Mes</t>
  </si>
  <si>
    <t>Prod AA</t>
  </si>
  <si>
    <t>Prod</t>
  </si>
  <si>
    <t>Vta AA</t>
  </si>
  <si>
    <t>Vta</t>
  </si>
  <si>
    <t>JEq</t>
  </si>
  <si>
    <t>JEqAA</t>
  </si>
  <si>
    <t>Vta Ppto</t>
  </si>
  <si>
    <t>ProdMeta</t>
  </si>
  <si>
    <t>KPI_ProdAA</t>
  </si>
  <si>
    <t>KPI_Prod</t>
  </si>
  <si>
    <t>KPI_VtaNeta</t>
  </si>
  <si>
    <t>KPI_VtaNetaVarMeta%</t>
  </si>
  <si>
    <t>KPI_VtaNetaAA</t>
  </si>
  <si>
    <t>VtaNetaVarMeta</t>
  </si>
  <si>
    <t>Ene</t>
  </si>
  <si>
    <t>75,4 K</t>
  </si>
  <si>
    <t>72,2 K</t>
  </si>
  <si>
    <t>5,0 M</t>
  </si>
  <si>
    <t>'+1%</t>
  </si>
  <si>
    <t>Feb</t>
  </si>
  <si>
    <t>70,5 K</t>
  </si>
  <si>
    <t>70,8 K</t>
  </si>
  <si>
    <t>4,8 M</t>
  </si>
  <si>
    <t>'+5%</t>
  </si>
  <si>
    <t>Mar</t>
  </si>
  <si>
    <t>87,3 K</t>
  </si>
  <si>
    <t>80,6 K</t>
  </si>
  <si>
    <t>5,4 M</t>
  </si>
  <si>
    <t>'-9%</t>
  </si>
  <si>
    <t>5,9 M</t>
  </si>
  <si>
    <t>Abr</t>
  </si>
  <si>
    <t>78,6 K</t>
  </si>
  <si>
    <t>85,0 K</t>
  </si>
  <si>
    <t>5,2 M</t>
  </si>
  <si>
    <t>'+2%</t>
  </si>
  <si>
    <t>4,9 M</t>
  </si>
  <si>
    <t>May</t>
  </si>
  <si>
    <t>83,9 K</t>
  </si>
  <si>
    <t>85,9 K</t>
  </si>
  <si>
    <t>5,3 M</t>
  </si>
  <si>
    <t>'+0%</t>
  </si>
  <si>
    <t>Jun</t>
  </si>
  <si>
    <t>77,5 K</t>
  </si>
  <si>
    <t>Jul</t>
  </si>
  <si>
    <t>81,1 K</t>
  </si>
  <si>
    <t>Ago</t>
  </si>
  <si>
    <t>89,0 K</t>
  </si>
  <si>
    <t>Sep</t>
  </si>
  <si>
    <t>73,2 K</t>
  </si>
  <si>
    <t>4,4 M</t>
  </si>
  <si>
    <t>Oct</t>
  </si>
  <si>
    <t>78,4 K</t>
  </si>
  <si>
    <t>4,5 M</t>
  </si>
  <si>
    <t>Nov</t>
  </si>
  <si>
    <t>82,2 K</t>
  </si>
  <si>
    <t>Dic</t>
  </si>
  <si>
    <t>104 K</t>
  </si>
  <si>
    <t>7,4 M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</si>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</sst>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_-* #,##0_-;\-* #,##0_-;_-* &quot;-&quot;??_-;_-@_-"/>
    <numFmt numFmtId="166" formatCode="0.0%"/>
    <numFmt numFmtId="168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65" fontId="0" fillId="0" borderId="0" xfId="1" applyNumberFormat="1" applyFont="1"/>
    <xf numFmtId="166" fontId="0" fillId="0" borderId="0" xfId="2" applyNumberFormat="1" applyFont="1"/>
    <xf numFmtId="165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5" fontId="0" fillId="35" borderId="0" xfId="1" applyNumberFormat="1" applyFon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168" fontId="0" fillId="35" borderId="0" xfId="1" applyNumberFormat="1" applyFont="1" applyFill="1" applyAlignment="1">
      <alignment horizontal="center" vertical="center"/>
    </xf>
    <xf numFmtId="165" fontId="16" fillId="0" borderId="11" xfId="0" applyNumberFormat="1" applyFont="1" applyBorder="1" applyAlignment="1">
      <alignment horizontal="center" vertical="center"/>
    </xf>
    <xf numFmtId="165" fontId="16" fillId="0" borderId="12" xfId="0" applyNumberFormat="1" applyFont="1" applyBorder="1" applyAlignment="1">
      <alignment horizontal="center" vertical="center"/>
    </xf>
    <xf numFmtId="10" fontId="16" fillId="35" borderId="13" xfId="2" applyNumberFormat="1" applyFont="1" applyFill="1" applyBorder="1" applyAlignment="1">
      <alignment horizontal="center" vertical="center"/>
    </xf>
    <xf numFmtId="10" fontId="16" fillId="35" borderId="0" xfId="2" applyNumberFormat="1" applyFont="1" applyFill="1" applyBorder="1" applyAlignment="1">
      <alignment horizontal="center" vertical="center"/>
    </xf>
    <xf numFmtId="165" fontId="0" fillId="0" borderId="0" xfId="0" applyNumberFormat="1"/>
    <xf numFmtId="168" fontId="0" fillId="35" borderId="0" xfId="0" applyNumberForma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5" fontId="0" fillId="0" borderId="14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35" borderId="14" xfId="1" applyNumberFormat="1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10" fontId="0" fillId="0" borderId="15" xfId="2" applyNumberFormat="1" applyFont="1" applyBorder="1" applyAlignment="1">
      <alignment horizontal="center" vertical="center"/>
    </xf>
    <xf numFmtId="10" fontId="0" fillId="35" borderId="15" xfId="2" applyNumberFormat="1" applyFont="1" applyFill="1" applyBorder="1" applyAlignment="1">
      <alignment horizontal="center" vertical="center"/>
    </xf>
    <xf numFmtId="10" fontId="16" fillId="35" borderId="10" xfId="2" applyNumberFormat="1" applyFont="1" applyFill="1" applyBorder="1" applyAlignment="1">
      <alignment horizontal="center" vertical="center"/>
    </xf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1" builtinId="3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'‏ ‏ ‎ ‎ ‏ ‏ ‏ ‏ ‏ ‏ ‏ ‏ Venta &amp;'!$A$2:$A$24</c:f>
              <c:strCache>
                <c:ptCount val="2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  <c:pt idx="12">
                  <c:v>Ene</c:v>
                </c:pt>
                <c:pt idx="13">
                  <c:v>Feb</c:v>
                </c:pt>
                <c:pt idx="14">
                  <c:v>Mar</c:v>
                </c:pt>
                <c:pt idx="15">
                  <c:v>Abr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Ago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</c:strCache>
            </c:strRef>
          </c:cat>
          <c:val>
            <c:numRef>
              <c:f>'‏ ‏ ‎ ‎ ‏ ‏ ‏ ‏ ‏ ‏ ‏ ‏ Venta &amp;'!$B$2:$B$24</c:f>
              <c:numCache>
                <c:formatCode>_-* #,##0_-;\-* #,##0_-;_-* "-"??_-;_-@_-</c:formatCode>
                <c:ptCount val="23"/>
                <c:pt idx="0">
                  <c:v>75403</c:v>
                </c:pt>
                <c:pt idx="1">
                  <c:v>70511</c:v>
                </c:pt>
                <c:pt idx="2">
                  <c:v>87298</c:v>
                </c:pt>
                <c:pt idx="3">
                  <c:v>78641</c:v>
                </c:pt>
                <c:pt idx="4">
                  <c:v>83948</c:v>
                </c:pt>
                <c:pt idx="5">
                  <c:v>77515</c:v>
                </c:pt>
                <c:pt idx="6">
                  <c:v>81137</c:v>
                </c:pt>
                <c:pt idx="7">
                  <c:v>88996</c:v>
                </c:pt>
                <c:pt idx="8">
                  <c:v>73232</c:v>
                </c:pt>
                <c:pt idx="9">
                  <c:v>78423</c:v>
                </c:pt>
                <c:pt idx="10">
                  <c:v>82211</c:v>
                </c:pt>
                <c:pt idx="11">
                  <c:v>103723</c:v>
                </c:pt>
                <c:pt idx="12">
                  <c:v>72234</c:v>
                </c:pt>
                <c:pt idx="13">
                  <c:v>70812</c:v>
                </c:pt>
                <c:pt idx="14">
                  <c:v>80606</c:v>
                </c:pt>
                <c:pt idx="15">
                  <c:v>84966</c:v>
                </c:pt>
                <c:pt idx="16">
                  <c:v>85892</c:v>
                </c:pt>
                <c:pt idx="17" formatCode="General">
                  <c:v>80252.333333333328</c:v>
                </c:pt>
                <c:pt idx="18" formatCode="General">
                  <c:v>80252.333333333328</c:v>
                </c:pt>
                <c:pt idx="19" formatCode="General">
                  <c:v>80252.333333333328</c:v>
                </c:pt>
                <c:pt idx="20" formatCode="General">
                  <c:v>80252.333333333328</c:v>
                </c:pt>
                <c:pt idx="21" formatCode="General">
                  <c:v>80252.333333333328</c:v>
                </c:pt>
                <c:pt idx="22" formatCode="General">
                  <c:v>80252.333333333328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C-4715-BA3B-39DDCE32F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34415"/>
        <c:axId val="100435375"/>
      </c:lineChart>
      <c:catAx>
        <c:axId val="10043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435375"/>
        <c:crosses val="autoZero"/>
        <c:auto val="1"/>
        <c:lblAlgn val="ctr"/>
        <c:lblOffset val="100"/>
        <c:noMultiLvlLbl val="0"/>
      </c:catAx>
      <c:valAx>
        <c:axId val="10043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43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'‏ ‏ ‎ ‎ ‏ ‏ ‏ ‏ ‏ ‏ ‏ ‏ Venta &amp;'!$G$19:$G$30</c:f>
              <c:numCache>
                <c:formatCode>_-* #,##0_-;\-* #,##0_-;_-* "-"??_-;_-@_-</c:formatCode>
                <c:ptCount val="12"/>
                <c:pt idx="0">
                  <c:v>72233.773125889522</c:v>
                </c:pt>
                <c:pt idx="1">
                  <c:v>70812.071639333022</c:v>
                </c:pt>
                <c:pt idx="2">
                  <c:v>80605.707827488208</c:v>
                </c:pt>
                <c:pt idx="3">
                  <c:v>84980.33848220158</c:v>
                </c:pt>
                <c:pt idx="4">
                  <c:v>86094.010588810008</c:v>
                </c:pt>
                <c:pt idx="5">
                  <c:v>74071.705882352937</c:v>
                </c:pt>
                <c:pt idx="6">
                  <c:v>74400.558823529413</c:v>
                </c:pt>
                <c:pt idx="7">
                  <c:v>74538.647058823524</c:v>
                </c:pt>
                <c:pt idx="8">
                  <c:v>68383.632352941175</c:v>
                </c:pt>
                <c:pt idx="9">
                  <c:v>69786.955882352937</c:v>
                </c:pt>
                <c:pt idx="10">
                  <c:v>73840.01470588235</c:v>
                </c:pt>
                <c:pt idx="11">
                  <c:v>104032.43055555556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6C-4B03-A314-7785AEF70BF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'‏ ‏ ‎ ‎ ‏ ‏ ‏ ‏ ‏ ‏ ‏ ‏ Venta &amp;'!$H$19:$H$30</c:f>
              <c:numCache>
                <c:formatCode>_-* #,##0_-;\-* #,##0_-;_-* "-"??_-;_-@_-</c:formatCode>
                <c:ptCount val="12"/>
                <c:pt idx="0">
                  <c:v>75403</c:v>
                </c:pt>
                <c:pt idx="1">
                  <c:v>70511</c:v>
                </c:pt>
                <c:pt idx="2">
                  <c:v>87298</c:v>
                </c:pt>
                <c:pt idx="3">
                  <c:v>78641</c:v>
                </c:pt>
                <c:pt idx="4">
                  <c:v>83948</c:v>
                </c:pt>
                <c:pt idx="5">
                  <c:v>77515</c:v>
                </c:pt>
                <c:pt idx="6">
                  <c:v>81137</c:v>
                </c:pt>
                <c:pt idx="7">
                  <c:v>88996</c:v>
                </c:pt>
                <c:pt idx="8">
                  <c:v>73232</c:v>
                </c:pt>
                <c:pt idx="9">
                  <c:v>78423</c:v>
                </c:pt>
                <c:pt idx="10">
                  <c:v>82211</c:v>
                </c:pt>
                <c:pt idx="11">
                  <c:v>103723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6C-4B03-A314-7785AEF70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064991"/>
        <c:axId val="1645065471"/>
      </c:lineChart>
      <c:catAx>
        <c:axId val="1645064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45065471"/>
        <c:crosses val="autoZero"/>
        <c:auto val="1"/>
        <c:lblAlgn val="ctr"/>
        <c:lblOffset val="100"/>
        <c:noMultiLvlLbl val="0"/>
      </c:catAx>
      <c:valAx>
        <c:axId val="164506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4506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403860</xdr:colOff>
      <xdr:row>16</xdr:row>
      <xdr:rowOff>133350</xdr:rowOff>
    </xdr:from>
    <xdr:to>
      <xdr:col>17</xdr:col>
      <xdr:colOff>129540</xdr:colOff>
      <xdr:row>31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3B8527-FCAE-2C20-3911-77542413A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381000</xdr:colOff>
      <xdr:row>32</xdr:row>
      <xdr:rowOff>64770</xdr:rowOff>
    </xdr:from>
    <xdr:to>
      <xdr:col>17</xdr:col>
      <xdr:colOff>106680</xdr:colOff>
      <xdr:row>47</xdr:row>
      <xdr:rowOff>64770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B55E67-5E45-6E3D-20AB-6B86EFC35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F4B4-8F79-44E4-9E9E-AAD0FFB8250B}">
  <dimension ref="A1:S47"/>
  <sheetViews>
    <sheetView tabSelected="1" workbookViewId="0">
      <selection activeCell="J27" sqref="J27"/>
    </sheetView>
  </sheetViews>
  <sheetFormatPr baseColWidth="10" defaultRowHeight="14.4" x14ac:dyDescent="0.3"/>
  <cols>
    <col min="2" max="3" width="11.6640625" bestFit="1" customWidth="1"/>
    <col min="4" max="5" width="12.77734375" style="4" bestFit="1" customWidth="1"/>
    <col min="6" max="6" width="12.77734375" style="4" customWidth="1"/>
    <col min="7" max="7" width="12.33203125" style="4" customWidth="1"/>
    <col min="8" max="9" width="11.6640625" bestFit="1" customWidth="1"/>
    <col min="10" max="11" width="11.6640625" customWidth="1"/>
    <col min="12" max="12" width="12.77734375" bestFit="1" customWidth="1"/>
    <col min="13" max="13" width="11.6640625" bestFit="1" customWidth="1"/>
  </cols>
  <sheetData>
    <row r="1" spans="1:19" ht="15" thickBot="1" x14ac:dyDescent="0.35">
      <c r="A1" t="s">
        <v>0</v>
      </c>
      <c r="B1" t="s">
        <v>1</v>
      </c>
      <c r="C1" t="s">
        <v>2</v>
      </c>
      <c r="E1" s="22" t="s">
        <v>4</v>
      </c>
      <c r="F1" s="23" t="s">
        <v>3</v>
      </c>
      <c r="G1" s="24" t="s">
        <v>59</v>
      </c>
      <c r="H1" s="7" t="s">
        <v>5</v>
      </c>
      <c r="I1" s="7" t="s">
        <v>6</v>
      </c>
      <c r="J1" s="7" t="s">
        <v>59</v>
      </c>
      <c r="K1" s="7"/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3">
      <c r="A2" t="s">
        <v>15</v>
      </c>
      <c r="B2" s="1">
        <v>75403</v>
      </c>
      <c r="C2" s="1">
        <v>72234</v>
      </c>
      <c r="E2" s="19">
        <v>4956015</v>
      </c>
      <c r="F2" s="20">
        <v>4982684</v>
      </c>
      <c r="G2" s="25">
        <f>+E2/F2-1</f>
        <v>-5.3523362107651407E-3</v>
      </c>
      <c r="H2" s="8">
        <v>68.610772849462293</v>
      </c>
      <c r="I2" s="8">
        <v>66.080893817204299</v>
      </c>
      <c r="J2" s="6">
        <f>+H2/I2-1</f>
        <v>3.8284576465570375E-2</v>
      </c>
      <c r="K2" s="6"/>
      <c r="L2" s="1">
        <v>4883987</v>
      </c>
      <c r="M2" s="1">
        <v>77006.415061076303</v>
      </c>
      <c r="N2" t="s">
        <v>16</v>
      </c>
      <c r="O2" t="s">
        <v>17</v>
      </c>
      <c r="P2" t="s">
        <v>18</v>
      </c>
      <c r="Q2" t="s">
        <v>19</v>
      </c>
      <c r="R2" t="s">
        <v>18</v>
      </c>
      <c r="S2">
        <v>72027.914999998102</v>
      </c>
    </row>
    <row r="3" spans="1:19" x14ac:dyDescent="0.3">
      <c r="A3" t="s">
        <v>20</v>
      </c>
      <c r="B3" s="1">
        <v>70511</v>
      </c>
      <c r="C3" s="1">
        <v>70812</v>
      </c>
      <c r="E3" s="19">
        <v>4837239</v>
      </c>
      <c r="F3" s="20">
        <v>4768710</v>
      </c>
      <c r="G3" s="25">
        <f>+E3/F3-1</f>
        <v>1.4370553042646783E-2</v>
      </c>
      <c r="H3" s="8">
        <v>68.310937499999994</v>
      </c>
      <c r="I3" s="8">
        <v>67.630312500000002</v>
      </c>
      <c r="J3" s="6">
        <f t="shared" ref="J3:J14" si="0">+H3/I3-1</f>
        <v>1.0063904406770074E-2</v>
      </c>
      <c r="K3" s="6"/>
      <c r="L3" s="1">
        <v>4625816</v>
      </c>
      <c r="M3" s="1">
        <v>72935.799661020807</v>
      </c>
      <c r="N3" t="s">
        <v>21</v>
      </c>
      <c r="O3" t="s">
        <v>22</v>
      </c>
      <c r="P3" t="s">
        <v>23</v>
      </c>
      <c r="Q3" t="s">
        <v>24</v>
      </c>
      <c r="R3" t="s">
        <v>23</v>
      </c>
      <c r="S3">
        <v>211423.47029999999</v>
      </c>
    </row>
    <row r="4" spans="1:19" x14ac:dyDescent="0.3">
      <c r="A4" t="s">
        <v>25</v>
      </c>
      <c r="B4" s="1">
        <v>87298</v>
      </c>
      <c r="C4" s="1">
        <v>80606</v>
      </c>
      <c r="E4" s="19">
        <v>5415183</v>
      </c>
      <c r="F4" s="20">
        <v>5878722</v>
      </c>
      <c r="G4" s="25">
        <f>+E4/F4-1</f>
        <v>-7.8850301136879741E-2</v>
      </c>
      <c r="H4" s="8">
        <v>67.181135752688107</v>
      </c>
      <c r="I4" s="8">
        <v>67.336989247311806</v>
      </c>
      <c r="J4" s="6">
        <f t="shared" si="0"/>
        <v>-2.314530191590336E-3</v>
      </c>
      <c r="K4" s="6"/>
      <c r="L4" s="1">
        <v>5980162</v>
      </c>
      <c r="M4" s="1">
        <v>94289.943897132296</v>
      </c>
      <c r="N4" t="s">
        <v>26</v>
      </c>
      <c r="O4" t="s">
        <v>27</v>
      </c>
      <c r="P4" t="s">
        <v>28</v>
      </c>
      <c r="Q4" t="s">
        <v>29</v>
      </c>
      <c r="R4" t="s">
        <v>30</v>
      </c>
      <c r="S4">
        <v>-564979.00780000002</v>
      </c>
    </row>
    <row r="5" spans="1:19" x14ac:dyDescent="0.3">
      <c r="A5" t="s">
        <v>31</v>
      </c>
      <c r="B5" s="1">
        <v>78641</v>
      </c>
      <c r="C5" s="1">
        <v>84966</v>
      </c>
      <c r="E5" s="19">
        <v>5190831</v>
      </c>
      <c r="F5" s="20">
        <v>4932323</v>
      </c>
      <c r="G5" s="25">
        <f>+E5/F5-1</f>
        <v>5.241100390221809E-2</v>
      </c>
      <c r="H5" s="8">
        <v>61.082729166666901</v>
      </c>
      <c r="I5" s="8">
        <v>62.719756944444399</v>
      </c>
      <c r="J5" s="6">
        <f t="shared" si="0"/>
        <v>-2.6100671583079271E-2</v>
      </c>
      <c r="K5" s="6"/>
      <c r="L5" s="1">
        <v>5097573</v>
      </c>
      <c r="M5" s="1">
        <v>80374.056818532597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>
        <v>93257.717300004297</v>
      </c>
    </row>
    <row r="6" spans="1:19" x14ac:dyDescent="0.3">
      <c r="A6" t="s">
        <v>37</v>
      </c>
      <c r="B6" s="1">
        <v>83948</v>
      </c>
      <c r="C6" s="1">
        <v>85892</v>
      </c>
      <c r="E6" s="19">
        <v>5340827</v>
      </c>
      <c r="F6" s="20">
        <v>5157726</v>
      </c>
      <c r="G6" s="25">
        <f>+E6/F6-1</f>
        <v>3.5500334837484493E-2</v>
      </c>
      <c r="H6" s="8">
        <v>62.034826388889002</v>
      </c>
      <c r="I6" s="8">
        <v>61.431444892473102</v>
      </c>
      <c r="J6" s="6">
        <f t="shared" si="0"/>
        <v>9.8220300283027306E-3</v>
      </c>
      <c r="K6" s="6"/>
      <c r="L6" s="1">
        <v>5319842</v>
      </c>
      <c r="M6" s="1">
        <v>83878.5961457831</v>
      </c>
      <c r="N6" t="s">
        <v>38</v>
      </c>
      <c r="O6" t="s">
        <v>39</v>
      </c>
      <c r="P6" t="s">
        <v>40</v>
      </c>
      <c r="Q6" t="s">
        <v>41</v>
      </c>
      <c r="R6" t="s">
        <v>34</v>
      </c>
      <c r="S6">
        <v>20985.346153007798</v>
      </c>
    </row>
    <row r="7" spans="1:19" x14ac:dyDescent="0.3">
      <c r="A7" t="s">
        <v>42</v>
      </c>
      <c r="B7" s="1">
        <v>77515</v>
      </c>
      <c r="C7" s="1">
        <v>80252.333333333328</v>
      </c>
      <c r="E7" s="21">
        <v>5036876</v>
      </c>
      <c r="F7" s="20">
        <v>4831260</v>
      </c>
      <c r="G7" s="26">
        <f t="shared" ref="G7:G14" si="1">+E7/F7-1</f>
        <v>4.2559497936356161E-2</v>
      </c>
      <c r="H7" s="11">
        <f>+E7/C7</f>
        <v>62.762985084545832</v>
      </c>
      <c r="I7" s="8">
        <v>62.160680555555501</v>
      </c>
      <c r="J7" s="6">
        <f t="shared" si="0"/>
        <v>9.6894777149685307E-3</v>
      </c>
      <c r="K7" s="11">
        <f>+E7/B7</f>
        <v>64.979371734503005</v>
      </c>
      <c r="L7" s="1">
        <v>5036876</v>
      </c>
      <c r="M7" s="1">
        <v>79417.040957913196</v>
      </c>
      <c r="N7" t="s">
        <v>43</v>
      </c>
      <c r="R7" t="s">
        <v>23</v>
      </c>
      <c r="S7">
        <v>-5036876.0564999999</v>
      </c>
    </row>
    <row r="8" spans="1:19" x14ac:dyDescent="0.3">
      <c r="A8" t="s">
        <v>44</v>
      </c>
      <c r="B8" s="1">
        <v>81137</v>
      </c>
      <c r="C8" s="1">
        <v>80252.333333333328</v>
      </c>
      <c r="E8" s="21">
        <v>5059238</v>
      </c>
      <c r="F8" s="20">
        <v>4925661</v>
      </c>
      <c r="G8" s="26">
        <f t="shared" si="1"/>
        <v>2.7118593829335902E-2</v>
      </c>
      <c r="H8" s="11">
        <f t="shared" ref="H8:H13" si="2">+E8/C8</f>
        <v>63.041631188293593</v>
      </c>
      <c r="I8" s="8">
        <v>60.708252688172003</v>
      </c>
      <c r="J8" s="6">
        <f t="shared" si="0"/>
        <v>3.8435935755011696E-2</v>
      </c>
      <c r="K8" s="11">
        <f t="shared" ref="K8:K13" si="3">+E8/B8</f>
        <v>62.354265008565761</v>
      </c>
      <c r="L8" s="1">
        <v>5059238</v>
      </c>
      <c r="M8" s="1">
        <v>79769.631260189795</v>
      </c>
      <c r="N8" t="s">
        <v>45</v>
      </c>
      <c r="R8" t="s">
        <v>36</v>
      </c>
      <c r="S8">
        <v>-5059238.4314999999</v>
      </c>
    </row>
    <row r="9" spans="1:19" x14ac:dyDescent="0.3">
      <c r="A9" t="s">
        <v>46</v>
      </c>
      <c r="B9" s="1">
        <v>88996</v>
      </c>
      <c r="C9" s="1">
        <v>80252.333333333328</v>
      </c>
      <c r="E9" s="21">
        <v>5068628</v>
      </c>
      <c r="F9" s="20">
        <v>4866066</v>
      </c>
      <c r="G9" s="26">
        <f t="shared" si="1"/>
        <v>4.1627466622935261E-2</v>
      </c>
      <c r="H9" s="11">
        <f t="shared" si="2"/>
        <v>63.15863713204601</v>
      </c>
      <c r="I9" s="8">
        <v>54.627802419354801</v>
      </c>
      <c r="J9" s="6">
        <f t="shared" si="0"/>
        <v>0.15616287558491848</v>
      </c>
      <c r="K9" s="11">
        <f t="shared" si="3"/>
        <v>56.953436109488067</v>
      </c>
      <c r="L9" s="1">
        <v>5068628</v>
      </c>
      <c r="M9" s="1">
        <v>79917.680843081194</v>
      </c>
      <c r="N9" t="s">
        <v>47</v>
      </c>
      <c r="R9" t="s">
        <v>36</v>
      </c>
      <c r="S9">
        <v>-5068628.1971000005</v>
      </c>
    </row>
    <row r="10" spans="1:19" x14ac:dyDescent="0.3">
      <c r="A10" t="s">
        <v>48</v>
      </c>
      <c r="B10" s="1">
        <v>73232</v>
      </c>
      <c r="C10" s="1">
        <v>80252.333333333328</v>
      </c>
      <c r="E10" s="21">
        <v>4650087</v>
      </c>
      <c r="F10" s="20">
        <v>4404869</v>
      </c>
      <c r="G10" s="26">
        <f t="shared" si="1"/>
        <v>5.5669759986051837E-2</v>
      </c>
      <c r="H10" s="11">
        <f t="shared" si="2"/>
        <v>57.943324597000299</v>
      </c>
      <c r="I10" s="8">
        <v>59.2223819444444</v>
      </c>
      <c r="J10" s="6">
        <f t="shared" si="0"/>
        <v>-2.1597532984133694E-2</v>
      </c>
      <c r="K10" s="11">
        <f t="shared" si="3"/>
        <v>63.498019991260648</v>
      </c>
      <c r="L10" s="1">
        <v>4650087</v>
      </c>
      <c r="M10" s="1">
        <v>73318.496029905698</v>
      </c>
      <c r="N10" t="s">
        <v>49</v>
      </c>
      <c r="R10" t="s">
        <v>50</v>
      </c>
      <c r="S10">
        <v>-4650087.3451999901</v>
      </c>
    </row>
    <row r="11" spans="1:19" x14ac:dyDescent="0.3">
      <c r="A11" t="s">
        <v>51</v>
      </c>
      <c r="B11" s="1">
        <v>78423</v>
      </c>
      <c r="C11" s="1">
        <v>80252.333333333328</v>
      </c>
      <c r="E11" s="21">
        <v>4745513</v>
      </c>
      <c r="F11" s="20">
        <v>4536504</v>
      </c>
      <c r="G11" s="26">
        <f t="shared" si="1"/>
        <v>4.6072702680301836E-2</v>
      </c>
      <c r="H11" s="11">
        <f t="shared" si="2"/>
        <v>59.13239905797132</v>
      </c>
      <c r="I11" s="8">
        <v>57.829784946236501</v>
      </c>
      <c r="J11" s="6">
        <f t="shared" si="0"/>
        <v>2.2524968974825699E-2</v>
      </c>
      <c r="K11" s="11">
        <f t="shared" si="3"/>
        <v>60.511750379352996</v>
      </c>
      <c r="L11" s="1">
        <v>4745513</v>
      </c>
      <c r="M11" s="1">
        <v>74823.089317920399</v>
      </c>
      <c r="N11" t="s">
        <v>52</v>
      </c>
      <c r="R11" t="s">
        <v>53</v>
      </c>
      <c r="S11">
        <v>-4745513.3371000001</v>
      </c>
    </row>
    <row r="12" spans="1:19" x14ac:dyDescent="0.3">
      <c r="A12" t="s">
        <v>54</v>
      </c>
      <c r="B12" s="1">
        <v>82211</v>
      </c>
      <c r="C12" s="1">
        <v>80252.333333333328</v>
      </c>
      <c r="E12" s="21">
        <v>5021121</v>
      </c>
      <c r="F12" s="20">
        <v>5166972</v>
      </c>
      <c r="G12" s="26">
        <f t="shared" si="1"/>
        <v>-2.8227557648851209E-2</v>
      </c>
      <c r="H12" s="11">
        <f t="shared" si="2"/>
        <v>62.566666805118857</v>
      </c>
      <c r="I12" s="8">
        <v>62.845416666666601</v>
      </c>
      <c r="J12" s="6">
        <f t="shared" si="0"/>
        <v>-4.4354843413043632E-3</v>
      </c>
      <c r="K12" s="11">
        <f t="shared" si="3"/>
        <v>61.076023889747113</v>
      </c>
      <c r="L12" s="1">
        <v>5021121</v>
      </c>
      <c r="M12" s="1">
        <v>79168.629441012294</v>
      </c>
      <c r="N12" t="s">
        <v>55</v>
      </c>
      <c r="R12" t="s">
        <v>34</v>
      </c>
      <c r="S12">
        <v>-5021121.0245000003</v>
      </c>
    </row>
    <row r="13" spans="1:19" ht="15" thickBot="1" x14ac:dyDescent="0.35">
      <c r="A13" t="s">
        <v>56</v>
      </c>
      <c r="B13" s="1">
        <v>103723</v>
      </c>
      <c r="C13" s="1">
        <v>103723</v>
      </c>
      <c r="E13" s="21">
        <v>7490335</v>
      </c>
      <c r="F13" s="20">
        <v>7364032</v>
      </c>
      <c r="G13" s="26">
        <f t="shared" si="1"/>
        <v>1.7151337745409112E-2</v>
      </c>
      <c r="H13" s="11">
        <f t="shared" si="2"/>
        <v>72.214793247399328</v>
      </c>
      <c r="I13" s="8">
        <v>70.928864247311694</v>
      </c>
      <c r="J13" s="6">
        <f t="shared" si="0"/>
        <v>1.8129840562565835E-2</v>
      </c>
      <c r="K13" s="11">
        <f t="shared" si="3"/>
        <v>72.214793247399328</v>
      </c>
      <c r="L13" s="1">
        <v>7490335</v>
      </c>
      <c r="M13" s="1">
        <v>118101.021459761</v>
      </c>
      <c r="N13" t="s">
        <v>57</v>
      </c>
      <c r="R13" t="s">
        <v>58</v>
      </c>
      <c r="S13">
        <v>-7490334.5687999995</v>
      </c>
    </row>
    <row r="14" spans="1:19" ht="15" thickBot="1" x14ac:dyDescent="0.35">
      <c r="A14" t="s">
        <v>15</v>
      </c>
      <c r="B14" s="1">
        <v>72234</v>
      </c>
      <c r="E14" s="12">
        <f>SUM(E2:E13)</f>
        <v>62811893</v>
      </c>
      <c r="F14" s="13">
        <f>SUM(F2:F13)</f>
        <v>61815529</v>
      </c>
      <c r="G14" s="27">
        <f t="shared" si="1"/>
        <v>1.6118344631492088E-2</v>
      </c>
      <c r="H14" s="13">
        <f>SUM(H2:H13)</f>
        <v>768.04083877008156</v>
      </c>
      <c r="I14" s="13">
        <f>SUM(I2:I13)</f>
        <v>753.52258086917504</v>
      </c>
      <c r="J14" s="14">
        <f t="shared" si="0"/>
        <v>1.9267183584810388E-2</v>
      </c>
      <c r="K14" s="15"/>
    </row>
    <row r="15" spans="1:19" x14ac:dyDescent="0.3">
      <c r="A15" t="s">
        <v>20</v>
      </c>
      <c r="B15" s="1">
        <v>70812</v>
      </c>
    </row>
    <row r="16" spans="1:19" x14ac:dyDescent="0.3">
      <c r="A16" t="s">
        <v>25</v>
      </c>
      <c r="B16" s="1">
        <v>80606</v>
      </c>
    </row>
    <row r="17" spans="1:9" x14ac:dyDescent="0.3">
      <c r="A17" t="s">
        <v>31</v>
      </c>
      <c r="B17" s="1">
        <v>84966</v>
      </c>
    </row>
    <row r="18" spans="1:9" x14ac:dyDescent="0.3">
      <c r="A18" t="s">
        <v>37</v>
      </c>
      <c r="B18" s="1">
        <v>85892</v>
      </c>
      <c r="E18" s="5" t="s">
        <v>4</v>
      </c>
      <c r="F18" s="7" t="s">
        <v>5</v>
      </c>
    </row>
    <row r="19" spans="1:9" x14ac:dyDescent="0.3">
      <c r="A19" t="s">
        <v>42</v>
      </c>
      <c r="B19">
        <v>80252.333333333328</v>
      </c>
      <c r="E19" s="3">
        <v>4956015</v>
      </c>
      <c r="F19" s="8">
        <v>68.610772849462293</v>
      </c>
      <c r="G19" s="3">
        <f>+E19/F19</f>
        <v>72233.773125889522</v>
      </c>
      <c r="H19" s="1">
        <v>75403</v>
      </c>
      <c r="I19" s="2">
        <f>+G19/H19-1</f>
        <v>-4.2030514357657922E-2</v>
      </c>
    </row>
    <row r="20" spans="1:9" x14ac:dyDescent="0.3">
      <c r="A20" t="s">
        <v>44</v>
      </c>
      <c r="B20">
        <v>80252.333333333328</v>
      </c>
      <c r="E20" s="3">
        <v>4837239</v>
      </c>
      <c r="F20" s="8">
        <v>68.310937499999994</v>
      </c>
      <c r="G20" s="3">
        <f t="shared" ref="G20:G30" si="4">+E20/F20</f>
        <v>70812.071639333022</v>
      </c>
      <c r="H20" s="1">
        <v>70511</v>
      </c>
      <c r="I20" s="2">
        <f t="shared" ref="I20:I30" si="5">+G20/H20-1</f>
        <v>4.2698534885765582E-3</v>
      </c>
    </row>
    <row r="21" spans="1:9" x14ac:dyDescent="0.3">
      <c r="A21" t="s">
        <v>46</v>
      </c>
      <c r="B21">
        <v>80252.333333333328</v>
      </c>
      <c r="E21" s="3">
        <v>5415183</v>
      </c>
      <c r="F21" s="8">
        <v>67.181135752688107</v>
      </c>
      <c r="G21" s="3">
        <f t="shared" si="4"/>
        <v>80605.707827488208</v>
      </c>
      <c r="H21" s="1">
        <v>87298</v>
      </c>
      <c r="I21" s="2">
        <f t="shared" si="5"/>
        <v>-7.6660314927166628E-2</v>
      </c>
    </row>
    <row r="22" spans="1:9" x14ac:dyDescent="0.3">
      <c r="A22" t="s">
        <v>48</v>
      </c>
      <c r="B22">
        <v>80252.333333333328</v>
      </c>
      <c r="E22" s="3">
        <v>5190831</v>
      </c>
      <c r="F22" s="8">
        <v>61.082729166666901</v>
      </c>
      <c r="G22" s="3">
        <f t="shared" si="4"/>
        <v>84980.33848220158</v>
      </c>
      <c r="H22" s="1">
        <v>78641</v>
      </c>
      <c r="I22" s="2">
        <f t="shared" si="5"/>
        <v>8.0611112297676479E-2</v>
      </c>
    </row>
    <row r="23" spans="1:9" x14ac:dyDescent="0.3">
      <c r="A23" t="s">
        <v>51</v>
      </c>
      <c r="B23">
        <v>80252.333333333328</v>
      </c>
      <c r="E23" s="3">
        <v>5340827</v>
      </c>
      <c r="F23" s="8">
        <v>62.034826388889002</v>
      </c>
      <c r="G23" s="3">
        <f t="shared" si="4"/>
        <v>86094.010588810008</v>
      </c>
      <c r="H23" s="1">
        <v>83948</v>
      </c>
      <c r="I23" s="2">
        <f t="shared" si="5"/>
        <v>2.5563570172130401E-2</v>
      </c>
    </row>
    <row r="24" spans="1:9" x14ac:dyDescent="0.3">
      <c r="A24" t="s">
        <v>54</v>
      </c>
      <c r="B24">
        <v>80252.333333333328</v>
      </c>
      <c r="E24" s="9">
        <v>5036876</v>
      </c>
      <c r="F24" s="10">
        <v>68</v>
      </c>
      <c r="G24" s="9">
        <f t="shared" si="4"/>
        <v>74071.705882352937</v>
      </c>
      <c r="H24" s="1">
        <v>77515</v>
      </c>
      <c r="I24" s="2">
        <f t="shared" si="5"/>
        <v>-4.4421003904367762E-2</v>
      </c>
    </row>
    <row r="25" spans="1:9" x14ac:dyDescent="0.3">
      <c r="E25" s="9">
        <v>5059238</v>
      </c>
      <c r="F25" s="10">
        <v>68</v>
      </c>
      <c r="G25" s="9">
        <f t="shared" si="4"/>
        <v>74400.558823529413</v>
      </c>
      <c r="H25" s="1">
        <v>81137</v>
      </c>
      <c r="I25" s="2">
        <f t="shared" si="5"/>
        <v>-8.3025514579915249E-2</v>
      </c>
    </row>
    <row r="26" spans="1:9" x14ac:dyDescent="0.3">
      <c r="E26" s="9">
        <v>5068628</v>
      </c>
      <c r="F26" s="10">
        <v>68</v>
      </c>
      <c r="G26" s="9">
        <f t="shared" si="4"/>
        <v>74538.647058823524</v>
      </c>
      <c r="H26" s="1">
        <v>88996</v>
      </c>
      <c r="I26" s="2">
        <f t="shared" si="5"/>
        <v>-0.16244946897811674</v>
      </c>
    </row>
    <row r="27" spans="1:9" x14ac:dyDescent="0.3">
      <c r="E27" s="9">
        <v>4650087</v>
      </c>
      <c r="F27" s="10">
        <v>68</v>
      </c>
      <c r="G27" s="9">
        <f t="shared" si="4"/>
        <v>68383.632352941175</v>
      </c>
      <c r="H27" s="1">
        <v>73232</v>
      </c>
      <c r="I27" s="2">
        <f t="shared" si="5"/>
        <v>-6.6205588363813961E-2</v>
      </c>
    </row>
    <row r="28" spans="1:9" x14ac:dyDescent="0.3">
      <c r="E28" s="9">
        <v>4745513</v>
      </c>
      <c r="F28" s="10">
        <v>68</v>
      </c>
      <c r="G28" s="9">
        <f t="shared" si="4"/>
        <v>69786.955882352937</v>
      </c>
      <c r="H28" s="1">
        <v>78423</v>
      </c>
      <c r="I28" s="2">
        <f t="shared" si="5"/>
        <v>-0.11012131795069124</v>
      </c>
    </row>
    <row r="29" spans="1:9" x14ac:dyDescent="0.3">
      <c r="E29" s="9">
        <v>5021121</v>
      </c>
      <c r="F29" s="10">
        <v>68</v>
      </c>
      <c r="G29" s="9">
        <f t="shared" si="4"/>
        <v>73840.01470588235</v>
      </c>
      <c r="H29" s="1">
        <v>82211</v>
      </c>
      <c r="I29" s="2">
        <f t="shared" si="5"/>
        <v>-0.10182317809195429</v>
      </c>
    </row>
    <row r="30" spans="1:9" x14ac:dyDescent="0.3">
      <c r="E30" s="9">
        <v>7490335</v>
      </c>
      <c r="F30" s="4">
        <v>72</v>
      </c>
      <c r="G30" s="3">
        <f t="shared" si="4"/>
        <v>104032.43055555556</v>
      </c>
      <c r="H30" s="1">
        <v>103723</v>
      </c>
      <c r="I30" s="2">
        <f t="shared" si="5"/>
        <v>2.9832395472129125E-3</v>
      </c>
    </row>
    <row r="33" spans="3:9" x14ac:dyDescent="0.3">
      <c r="E33" s="5" t="s">
        <v>4</v>
      </c>
      <c r="F33" s="7" t="s">
        <v>5</v>
      </c>
    </row>
    <row r="34" spans="3:9" x14ac:dyDescent="0.3">
      <c r="E34" s="3">
        <v>4956015</v>
      </c>
      <c r="F34" s="8">
        <v>68.610772849462293</v>
      </c>
      <c r="G34" s="3">
        <f>+E34/F34</f>
        <v>72233.773125889522</v>
      </c>
      <c r="H34" s="1">
        <v>75403</v>
      </c>
      <c r="I34" s="2">
        <f>+G34/H34-1</f>
        <v>-4.2030514357657922E-2</v>
      </c>
    </row>
    <row r="35" spans="3:9" x14ac:dyDescent="0.3">
      <c r="E35" s="3">
        <v>4837239</v>
      </c>
      <c r="F35" s="8">
        <v>68.310937499999994</v>
      </c>
      <c r="G35" s="3">
        <f t="shared" ref="G35:G45" si="6">+E35/F35</f>
        <v>70812.071639333022</v>
      </c>
      <c r="H35" s="1">
        <v>70511</v>
      </c>
      <c r="I35" s="2">
        <f t="shared" ref="I35:I45" si="7">+G35/H35-1</f>
        <v>4.2698534885765582E-3</v>
      </c>
    </row>
    <row r="36" spans="3:9" x14ac:dyDescent="0.3">
      <c r="E36" s="3">
        <v>5415183</v>
      </c>
      <c r="F36" s="8">
        <v>67.181135752688107</v>
      </c>
      <c r="G36" s="3">
        <f t="shared" si="6"/>
        <v>80605.707827488208</v>
      </c>
      <c r="H36" s="1">
        <v>87298</v>
      </c>
      <c r="I36" s="2">
        <f t="shared" si="7"/>
        <v>-7.6660314927166628E-2</v>
      </c>
    </row>
    <row r="37" spans="3:9" x14ac:dyDescent="0.3">
      <c r="E37" s="3">
        <v>5190831</v>
      </c>
      <c r="F37" s="8">
        <v>61.082729166666901</v>
      </c>
      <c r="G37" s="3">
        <f t="shared" si="6"/>
        <v>84980.33848220158</v>
      </c>
      <c r="H37" s="1">
        <v>78641</v>
      </c>
      <c r="I37" s="2">
        <f t="shared" si="7"/>
        <v>8.0611112297676479E-2</v>
      </c>
    </row>
    <row r="38" spans="3:9" x14ac:dyDescent="0.3">
      <c r="E38" s="3">
        <v>5340827</v>
      </c>
      <c r="F38" s="8">
        <v>62.034826388889002</v>
      </c>
      <c r="G38" s="3">
        <f t="shared" si="6"/>
        <v>86094.010588810008</v>
      </c>
      <c r="H38" s="1">
        <v>83948</v>
      </c>
      <c r="I38" s="2">
        <f t="shared" si="7"/>
        <v>2.5563570172130401E-2</v>
      </c>
    </row>
    <row r="39" spans="3:9" x14ac:dyDescent="0.3">
      <c r="C39" s="16">
        <f>+E39-D39</f>
        <v>251843.79999999981</v>
      </c>
      <c r="D39" s="9">
        <v>5036876</v>
      </c>
      <c r="E39" s="9">
        <f>+D39*1.05</f>
        <v>5288719.8</v>
      </c>
      <c r="F39" s="17">
        <v>67</v>
      </c>
      <c r="G39" s="9">
        <f t="shared" si="6"/>
        <v>78936.116417910438</v>
      </c>
      <c r="H39" s="1">
        <v>77515</v>
      </c>
      <c r="I39" s="2">
        <f t="shared" si="7"/>
        <v>1.8333437630270843E-2</v>
      </c>
    </row>
    <row r="40" spans="3:9" x14ac:dyDescent="0.3">
      <c r="C40" s="16">
        <f t="shared" ref="C40:C45" si="8">+E40-D40</f>
        <v>252961.90000000037</v>
      </c>
      <c r="D40" s="9">
        <v>5059238</v>
      </c>
      <c r="E40" s="9">
        <f t="shared" ref="E40:E45" si="9">+D40*1.05</f>
        <v>5312199.9000000004</v>
      </c>
      <c r="F40" s="17">
        <v>66</v>
      </c>
      <c r="G40" s="9">
        <f t="shared" si="6"/>
        <v>80487.877272727274</v>
      </c>
      <c r="H40" s="1">
        <v>81137</v>
      </c>
      <c r="I40" s="2">
        <f t="shared" si="7"/>
        <v>-8.0003294091810506E-3</v>
      </c>
    </row>
    <row r="41" spans="3:9" x14ac:dyDescent="0.3">
      <c r="C41" s="16">
        <f t="shared" si="8"/>
        <v>253431.40000000037</v>
      </c>
      <c r="D41" s="9">
        <v>5068628</v>
      </c>
      <c r="E41" s="9">
        <f t="shared" si="9"/>
        <v>5322059.4000000004</v>
      </c>
      <c r="F41" s="17">
        <v>60</v>
      </c>
      <c r="G41" s="9">
        <f t="shared" si="6"/>
        <v>88700.99</v>
      </c>
      <c r="H41" s="1">
        <v>88996</v>
      </c>
      <c r="I41" s="2">
        <f t="shared" si="7"/>
        <v>-3.3148680839587552E-3</v>
      </c>
    </row>
    <row r="42" spans="3:9" x14ac:dyDescent="0.3">
      <c r="C42" s="16">
        <f t="shared" si="8"/>
        <v>232504.35000000056</v>
      </c>
      <c r="D42" s="9">
        <v>4650087</v>
      </c>
      <c r="E42" s="9">
        <f t="shared" si="9"/>
        <v>4882591.3500000006</v>
      </c>
      <c r="F42" s="17">
        <v>67</v>
      </c>
      <c r="G42" s="9">
        <f t="shared" si="6"/>
        <v>72874.497761194041</v>
      </c>
      <c r="H42" s="1">
        <v>73232</v>
      </c>
      <c r="I42" s="2">
        <f t="shared" si="7"/>
        <v>-4.8817762563627687E-3</v>
      </c>
    </row>
    <row r="43" spans="3:9" x14ac:dyDescent="0.3">
      <c r="C43" s="16">
        <f t="shared" si="8"/>
        <v>237275.65000000037</v>
      </c>
      <c r="D43" s="9">
        <v>4745513</v>
      </c>
      <c r="E43" s="9">
        <f t="shared" si="9"/>
        <v>4982788.6500000004</v>
      </c>
      <c r="F43" s="17">
        <v>65</v>
      </c>
      <c r="G43" s="9">
        <f t="shared" si="6"/>
        <v>76658.286923076928</v>
      </c>
      <c r="H43" s="1">
        <v>78423</v>
      </c>
      <c r="I43" s="2">
        <f t="shared" si="7"/>
        <v>-2.2502493871989993E-2</v>
      </c>
    </row>
    <row r="44" spans="3:9" x14ac:dyDescent="0.3">
      <c r="C44" s="16">
        <f t="shared" si="8"/>
        <v>251056.04999999981</v>
      </c>
      <c r="D44" s="9">
        <v>5021121</v>
      </c>
      <c r="E44" s="9">
        <f t="shared" si="9"/>
        <v>5272177.05</v>
      </c>
      <c r="F44" s="17">
        <v>65</v>
      </c>
      <c r="G44" s="9">
        <f t="shared" si="6"/>
        <v>81110.416153846149</v>
      </c>
      <c r="H44" s="1">
        <v>82211</v>
      </c>
      <c r="I44" s="2">
        <f t="shared" si="7"/>
        <v>-1.3387306396392851E-2</v>
      </c>
    </row>
    <row r="45" spans="3:9" x14ac:dyDescent="0.3">
      <c r="C45" s="16">
        <f t="shared" si="8"/>
        <v>0</v>
      </c>
      <c r="D45" s="9">
        <v>7490335</v>
      </c>
      <c r="E45" s="9">
        <f>+D45</f>
        <v>7490335</v>
      </c>
      <c r="F45" s="17">
        <v>72</v>
      </c>
      <c r="G45" s="9">
        <f t="shared" si="6"/>
        <v>104032.43055555556</v>
      </c>
      <c r="H45" s="1">
        <v>103723</v>
      </c>
      <c r="I45" s="2">
        <f t="shared" si="7"/>
        <v>2.9832395472129125E-3</v>
      </c>
    </row>
    <row r="47" spans="3:9" x14ac:dyDescent="0.3">
      <c r="E47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‏ ‏ ‎ ‎ ‏ ‏ ‏ ‏ ‏ ‏ ‏ ‏ Venta &amp;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eparedes</dc:creator>
  <cp:lastModifiedBy>Enrique Paredes</cp:lastModifiedBy>
  <dcterms:created xsi:type="dcterms:W3CDTF">2026-06-01T03:34:05Z</dcterms:created>
  <dcterms:modified xsi:type="dcterms:W3CDTF">2026-06-01T03:34:05Z</dcterms:modified>
</cp:coreProperties>
</file>