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0_Analisis\analisis proudctividad\"/>
    </mc:Choice>
  </mc:AlternateContent>
  <bookViews>
    <workbookView xWindow="0" yWindow="0" windowWidth="19200" windowHeight="8180" activeTab="3"/>
  </bookViews>
  <sheets>
    <sheet name="graf1" sheetId="9" r:id="rId1"/>
    <sheet name="graf2" sheetId="10" r:id="rId2"/>
    <sheet name="graf3" sheetId="11" r:id="rId3"/>
    <sheet name="graf4" sheetId="13" r:id="rId4"/>
    <sheet name="bd2" sheetId="8" r:id="rId5"/>
    <sheet name="Hoja12" sheetId="12" r:id="rId6"/>
  </sheets>
  <definedNames>
    <definedName name="_xlnm._FilterDatabase" localSheetId="1" hidden="1">graf2!$G$1:$I$3191</definedName>
    <definedName name="_xlchart.0" hidden="1">graf1!$F$1</definedName>
    <definedName name="_xlchart.1" hidden="1">graf1!$F$2:$F$3191</definedName>
    <definedName name="_xlchart.10" hidden="1">graf3!$K$13:$K$16</definedName>
    <definedName name="_xlchart.11" hidden="1">graf3!$L$13:$L$16</definedName>
    <definedName name="_xlchart.12" hidden="1">graf3!$J$13:$J$16</definedName>
    <definedName name="_xlchart.13" hidden="1">graf3!$K$13:$K$16</definedName>
    <definedName name="_xlchart.14" hidden="1">graf3!$E$13:$E$16</definedName>
    <definedName name="_xlchart.15" hidden="1">graf3!$F$13:$F$16</definedName>
    <definedName name="_xlchart.2" hidden="1">graf1!$G$1</definedName>
    <definedName name="_xlchart.3" hidden="1">graf1!$G$2:$G$3191</definedName>
    <definedName name="_xlchart.4" hidden="1">graf1!$H$1</definedName>
    <definedName name="_xlchart.5" hidden="1">graf1!$H$2:$H$3191</definedName>
    <definedName name="_xlchart.6" hidden="1">graf2!$H$1</definedName>
    <definedName name="_xlchart.7" hidden="1">graf2!$H$2:$H$3191</definedName>
    <definedName name="_xlchart.8" hidden="1">graf2!$I$1</definedName>
    <definedName name="_xlchart.9" hidden="1">graf2!$I$2:$I$3191</definedName>
    <definedName name="DatosExternos_1" localSheetId="4" hidden="1">'bd2'!$A$1:$N$3302</definedName>
    <definedName name="DatosExternos_1" localSheetId="5" hidden="1">Hoja12!$A$1:$J$9</definedName>
  </definedNames>
  <calcPr calcId="162913"/>
  <pivotCaches>
    <pivotCache cacheId="50" r:id="rId7"/>
    <pivotCache cacheId="5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1" l="1"/>
  <c r="M10" i="11"/>
  <c r="K6" i="11"/>
  <c r="L5" i="11"/>
  <c r="K5" i="11"/>
  <c r="M9" i="11" s="1"/>
  <c r="F6" i="11"/>
  <c r="F9" i="11" s="1"/>
  <c r="F5" i="11"/>
  <c r="E6" i="11"/>
  <c r="E5" i="11"/>
  <c r="G9" i="11" s="1"/>
  <c r="M5" i="11"/>
  <c r="L16" i="11" s="1"/>
  <c r="G10" i="11"/>
  <c r="G8" i="11"/>
  <c r="G6" i="11"/>
  <c r="F13" i="11" s="1"/>
  <c r="K20" i="10"/>
  <c r="K21" i="9"/>
  <c r="J21" i="9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M6" i="11" l="1"/>
  <c r="M8" i="11"/>
  <c r="L9" i="11"/>
  <c r="L8" i="11"/>
  <c r="H9" i="11"/>
  <c r="F15" i="11" s="1"/>
  <c r="G5" i="11"/>
  <c r="F8" i="11"/>
  <c r="H8" i="11" s="1"/>
  <c r="N9" i="11"/>
  <c r="L13" i="11" l="1"/>
  <c r="N6" i="11"/>
  <c r="N8" i="11"/>
  <c r="L14" i="11" s="1"/>
  <c r="O8" i="11"/>
  <c r="L15" i="11"/>
  <c r="O9" i="11"/>
  <c r="H6" i="11"/>
  <c r="I9" i="11" s="1"/>
  <c r="F16" i="11"/>
  <c r="F14" i="11"/>
  <c r="I8" i="11" l="1"/>
</calcChain>
</file>

<file path=xl/connections.xml><?xml version="1.0" encoding="utf-8"?>
<connections xmlns="http://schemas.openxmlformats.org/spreadsheetml/2006/main">
  <connection id="1" keepAlive="1" name="Consulta - analisis productividad (4)" description="Conexión a la consulta 'analisis productividad (4)' en el libro." type="5" refreshedVersion="6" background="1" saveData="1">
    <dbPr connection="Provider=Microsoft.Mashup.OleDb.1;Data Source=$Workbook$;Location=analisis productividad (4);Extended Properties=&quot;&quot;" command="SELECT * FROM [analisis productividad (4)]"/>
  </connection>
  <connection id="2" keepAlive="1" name="Consulta - analisis productividad3" description="Conexión a la consulta 'analisis productividad3' en el libro." type="5" refreshedVersion="6" background="1" saveData="1">
    <dbPr connection="Provider=Microsoft.Mashup.OleDb.1;Data Source=$Workbook$;Location=analisis productividad3;Extended Properties=&quot;&quot;" command="SELECT * FROM [analisis productividad3]"/>
  </connection>
</connections>
</file>

<file path=xl/sharedStrings.xml><?xml version="1.0" encoding="utf-8"?>
<sst xmlns="http://schemas.openxmlformats.org/spreadsheetml/2006/main" count="10322" uniqueCount="182">
  <si>
    <t>Tienda</t>
  </si>
  <si>
    <t>Periodo</t>
  </si>
  <si>
    <t>GOS</t>
  </si>
  <si>
    <t>GOR</t>
  </si>
  <si>
    <t>Prod</t>
  </si>
  <si>
    <t>VtaNeta</t>
  </si>
  <si>
    <t>JEq</t>
  </si>
  <si>
    <t>ProdMeta</t>
  </si>
  <si>
    <t>P193 Trujillo Mansiche - PVS</t>
  </si>
  <si>
    <t>Fátima L</t>
  </si>
  <si>
    <t>P126 Santa Clara - PVH</t>
  </si>
  <si>
    <t>Sebastián S</t>
  </si>
  <si>
    <t>Rodolfo O</t>
  </si>
  <si>
    <t>P119 Puente Piedra - PVH</t>
  </si>
  <si>
    <t>Vik E</t>
  </si>
  <si>
    <t>SO04 Jaen - PVO</t>
  </si>
  <si>
    <t>Sofía V</t>
  </si>
  <si>
    <t>José A</t>
  </si>
  <si>
    <t>P104 Arequipa - PVH</t>
  </si>
  <si>
    <t>Joe H</t>
  </si>
  <si>
    <t>P102 Chiclayo - PVH</t>
  </si>
  <si>
    <t>Melany A</t>
  </si>
  <si>
    <t>P769 Chiclayo Aventura - PVH</t>
  </si>
  <si>
    <t>P333 Ves Placita - PVH</t>
  </si>
  <si>
    <t>P145 Piura - PVH</t>
  </si>
  <si>
    <t>P147 Juliaca - PVH</t>
  </si>
  <si>
    <t>1593 Aventura SJL - PVH</t>
  </si>
  <si>
    <t>P114 Pro - PVH</t>
  </si>
  <si>
    <t>P225 Cajamarca - PVH</t>
  </si>
  <si>
    <t>P146 Tacna - PVH</t>
  </si>
  <si>
    <t>P223 Cusco Mall - PVH</t>
  </si>
  <si>
    <t>P465 Sucre - PVH</t>
  </si>
  <si>
    <t>P125 SJ Lurigancho - PVH</t>
  </si>
  <si>
    <t>P216 Proceres - PVS</t>
  </si>
  <si>
    <t>Hernán P</t>
  </si>
  <si>
    <t>Daniel R</t>
  </si>
  <si>
    <t>SO03 Huanuco - PVO</t>
  </si>
  <si>
    <t>P115 Huancayo - PVH</t>
  </si>
  <si>
    <t>P010 Caminos del Inca - PVS</t>
  </si>
  <si>
    <t>SO02 Pucallpa - PVO</t>
  </si>
  <si>
    <t>P117 Izaguirre - PVH</t>
  </si>
  <si>
    <t>P236 Pisco - PVH</t>
  </si>
  <si>
    <t>P516 Ilo - PVH</t>
  </si>
  <si>
    <t>P291 La Curva - PVH</t>
  </si>
  <si>
    <t>P202 LurIn - PVH</t>
  </si>
  <si>
    <t>P199 Grifo Kio - PVS</t>
  </si>
  <si>
    <t>P231 Ventanilla - PVH</t>
  </si>
  <si>
    <t>P089 Risso - PVH</t>
  </si>
  <si>
    <t>P226 Paita - PVH</t>
  </si>
  <si>
    <t>P130 Chimbote - PVH</t>
  </si>
  <si>
    <t>P139 Alameda Sur - PVS</t>
  </si>
  <si>
    <t>P064 Miraflores - PVH</t>
  </si>
  <si>
    <t>Johanna V</t>
  </si>
  <si>
    <t>P133 Guardia Civil - PVH</t>
  </si>
  <si>
    <t>P048 Higuereta - PVH</t>
  </si>
  <si>
    <t>P143 Nvo Chimbote - PVH</t>
  </si>
  <si>
    <t>P724 Tumbes - PVH</t>
  </si>
  <si>
    <t>P122 Ica - PVH</t>
  </si>
  <si>
    <t>P132 El Ejercito - PVS</t>
  </si>
  <si>
    <t>P723 Puruchuco - PVH</t>
  </si>
  <si>
    <t>P084 Comas - PVH</t>
  </si>
  <si>
    <t>P229 Salaverry - PVH</t>
  </si>
  <si>
    <t>P221 Barranca - PVH</t>
  </si>
  <si>
    <t>SO05 Tarapoto - PVO</t>
  </si>
  <si>
    <t>P123 El Chacarero - PVH</t>
  </si>
  <si>
    <t>P259 Moquegua - PVH</t>
  </si>
  <si>
    <t>P080 Bolichera - PVH</t>
  </si>
  <si>
    <t>P172 Puno - PVH</t>
  </si>
  <si>
    <t>P061 Cortijo - PVH</t>
  </si>
  <si>
    <t>P227 San Isidro - PVH</t>
  </si>
  <si>
    <t>P203 Rimac Alcazar - PVH</t>
  </si>
  <si>
    <t>1198 Cusco Wanchaq - PVH</t>
  </si>
  <si>
    <t>P001 Los Olivos - PVH</t>
  </si>
  <si>
    <t>P192 Sullana - PVH</t>
  </si>
  <si>
    <t>P142 Chincha - PVH</t>
  </si>
  <si>
    <t>P081 La Molina - PVH</t>
  </si>
  <si>
    <t>P224 Brena - PVH</t>
  </si>
  <si>
    <t>P262 Talara Municipalidad - PVH</t>
  </si>
  <si>
    <t>P134 Centro Civico - PVH</t>
  </si>
  <si>
    <t>P066 Ate - PVH</t>
  </si>
  <si>
    <t>P144 Huacho - PVH</t>
  </si>
  <si>
    <t>P106 Valle Hermoso - PVH</t>
  </si>
  <si>
    <t>P112 Ceres - PVH</t>
  </si>
  <si>
    <t>P201 Huaral - PVH</t>
  </si>
  <si>
    <t>P195 San Borja - PVH</t>
  </si>
  <si>
    <t>P059 Callao - PVH</t>
  </si>
  <si>
    <t>P120 Universitaria - PVH</t>
  </si>
  <si>
    <t>P219 La Perla - PVS</t>
  </si>
  <si>
    <t>P215 Magdalena - PVS</t>
  </si>
  <si>
    <t>P206 La Paz - PVS</t>
  </si>
  <si>
    <t>1199 San Miguel - PVH</t>
  </si>
  <si>
    <t>P141 Chosica - PVH</t>
  </si>
  <si>
    <t>P135 Colonial - PVH</t>
  </si>
  <si>
    <t>SO06 Tarapoto 2 - PVO</t>
  </si>
  <si>
    <t>P037 Jockey Plaza - PVH</t>
  </si>
  <si>
    <t>P191 Cine Rimac - PVS</t>
  </si>
  <si>
    <t>2638 SJB Ayacucho - PVH</t>
  </si>
  <si>
    <t>P068 Primavera - PVH</t>
  </si>
  <si>
    <t>P052 Brasil - PVH</t>
  </si>
  <si>
    <t>P238 Grifo Mexico - PVH</t>
  </si>
  <si>
    <t>P105 Salamanca - PVS</t>
  </si>
  <si>
    <t>X210 Santa Cruz - PVE</t>
  </si>
  <si>
    <t>P261 El Agustino - PVH</t>
  </si>
  <si>
    <t>V095 Monterrico - VIV</t>
  </si>
  <si>
    <t>María R</t>
  </si>
  <si>
    <t>P107 Mercaderes - PVS</t>
  </si>
  <si>
    <t>P108 Ayacucho - PVS</t>
  </si>
  <si>
    <t>P109 Dasso - PVS</t>
  </si>
  <si>
    <t>P118 Alfonso Ugarte - PVH</t>
  </si>
  <si>
    <t>P208 La Victoria PVS</t>
  </si>
  <si>
    <t>P110 Corpac - PVS</t>
  </si>
  <si>
    <t>P158 Villa el Salvador - PVS</t>
  </si>
  <si>
    <t>P156 El Tambo Huancayo - PVS</t>
  </si>
  <si>
    <t>P207 Villa Marina - PVS</t>
  </si>
  <si>
    <t>P220 Trujillo Valcarcel - PVS</t>
  </si>
  <si>
    <t>P096 San Jorge - PVS</t>
  </si>
  <si>
    <t>P198 Chorrillos Iglesias - PVS</t>
  </si>
  <si>
    <t>V090 Pezet - VIV</t>
  </si>
  <si>
    <t>P258 Chaclacayo - PVS</t>
  </si>
  <si>
    <t>P177 Talara - PVH</t>
  </si>
  <si>
    <t>P181 Supermercados SKA - PVE</t>
  </si>
  <si>
    <t>P159 Acho - PVH</t>
  </si>
  <si>
    <t>V290 Asia - VIV</t>
  </si>
  <si>
    <t>X209 Bolognesi - PVE</t>
  </si>
  <si>
    <t>P180 Centro Trujillo - PVE</t>
  </si>
  <si>
    <t>V140 Libertadores - VIV</t>
  </si>
  <si>
    <t>V094 Benavides - VIV</t>
  </si>
  <si>
    <t>V116 Javier Prado - VIV</t>
  </si>
  <si>
    <t>V093 Dos de Mayo - VIV</t>
  </si>
  <si>
    <t>P422 Art Express - PVS</t>
  </si>
  <si>
    <t>P138 Jiron de la Union - PVE</t>
  </si>
  <si>
    <t>P075 Trujillo - PVH</t>
  </si>
  <si>
    <t>CAPO *</t>
  </si>
  <si>
    <t>CAPE *</t>
  </si>
  <si>
    <t>Etiquetas de fila</t>
  </si>
  <si>
    <t>Total general</t>
  </si>
  <si>
    <t>año</t>
  </si>
  <si>
    <t>mes</t>
  </si>
  <si>
    <t>Etiquetas de columna</t>
  </si>
  <si>
    <t>2024</t>
  </si>
  <si>
    <t>2025</t>
  </si>
  <si>
    <t>2026</t>
  </si>
  <si>
    <t>Suma de VtaNeta</t>
  </si>
  <si>
    <t>Suma de JEq</t>
  </si>
  <si>
    <t>Suma de ProdMeta</t>
  </si>
  <si>
    <t>VtaNetaMeta</t>
  </si>
  <si>
    <t>JEqMeta</t>
  </si>
  <si>
    <t>ProdAA</t>
  </si>
  <si>
    <t>VtaNetaAA</t>
  </si>
  <si>
    <t>JEqAA</t>
  </si>
  <si>
    <t>(Varios elementos)</t>
  </si>
  <si>
    <t>Suma de VtaNetaMeta</t>
  </si>
  <si>
    <t>Suma de JEqMeta</t>
  </si>
  <si>
    <t>Suma de prodcreal</t>
  </si>
  <si>
    <t>Suma de prodmeta2</t>
  </si>
  <si>
    <t>ENERO MAYO</t>
  </si>
  <si>
    <t>Real</t>
  </si>
  <si>
    <t>Meta</t>
  </si>
  <si>
    <t>supervisor</t>
  </si>
  <si>
    <t>Daniel Rodríguez</t>
  </si>
  <si>
    <t>Joe Huamancondor</t>
  </si>
  <si>
    <t>Johanna Vilca</t>
  </si>
  <si>
    <t>José Aramburu</t>
  </si>
  <si>
    <t>María Rojas</t>
  </si>
  <si>
    <t>Melany Alvarado</t>
  </si>
  <si>
    <t>Rodolfo Olivry</t>
  </si>
  <si>
    <t>Vik Enciso</t>
  </si>
  <si>
    <t>Suma de Prod</t>
  </si>
  <si>
    <t>Suma de JEqAA</t>
  </si>
  <si>
    <t>Suma de ProdAA</t>
  </si>
  <si>
    <t>Suma de VtaNetaAA</t>
  </si>
  <si>
    <t>Valores</t>
  </si>
  <si>
    <t>venta</t>
  </si>
  <si>
    <t>productividad</t>
  </si>
  <si>
    <t>Impacto venta</t>
  </si>
  <si>
    <t>impacto Jeq</t>
  </si>
  <si>
    <t>Jeq</t>
  </si>
  <si>
    <t>Prod 2025</t>
  </si>
  <si>
    <t>Impacto Venta</t>
  </si>
  <si>
    <t>Impacto Jeq</t>
  </si>
  <si>
    <t>Prod 2026</t>
  </si>
  <si>
    <t>Prod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</si>
</sst>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  <numFmt numFmtId="171" formatCode="_-* #,##0.0000000_-;\-* #,##0.000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2" fillId="2" borderId="1" xfId="0" applyNumberFormat="1" applyFont="1" applyFill="1" applyBorder="1"/>
    <xf numFmtId="9" fontId="0" fillId="0" borderId="0" xfId="2" applyFont="1"/>
    <xf numFmtId="166" fontId="0" fillId="0" borderId="0" xfId="2" applyNumberFormat="1" applyFont="1"/>
    <xf numFmtId="165" fontId="0" fillId="0" borderId="0" xfId="0" pivotButton="1" applyNumberFormat="1"/>
    <xf numFmtId="171" fontId="0" fillId="0" borderId="0" xfId="1" applyNumberFormat="1" applyFont="1"/>
    <xf numFmtId="0" fontId="2" fillId="0" borderId="0" xfId="0" applyFont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56"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  <cx:data id="1">
      <cx:numDim type="val">
        <cx:f>_xlchart.3</cx:f>
      </cx:numDim>
    </cx:data>
    <cx:data id="2">
      <cx:numDim type="val">
        <cx:f>_xlchart.5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 b="1">
                <a:solidFill>
                  <a:sysClr val="windowText" lastClr="000000"/>
                </a:solidFill>
              </a:defRPr>
            </a:pPr>
            <a:r>
              <a:rPr lang="es-PE" b="1">
                <a:solidFill>
                  <a:sysClr val="windowText" lastClr="000000"/>
                </a:solidFill>
              </a:rPr>
              <a:t>Productividad</a:t>
            </a:r>
          </a:p>
        </cx:rich>
      </cx:tx>
    </cx:title>
    <cx:plotArea>
      <cx:plotAreaRegion>
        <cx:series layoutId="boxWhisker" uniqueId="{278073D7-A2F7-4374-B309-CFDAC5211AD0}">
          <cx:tx>
            <cx:txData>
              <cx:f>_xlchart.0</cx:f>
              <cx:v>2024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050" b="1"/>
                </a:pPr>
                <a:endParaRPr lang="es-PE" sz="1050" b="1"/>
              </a:p>
            </cx:txPr>
            <cx:visibility seriesName="0" categoryName="0" value="1"/>
            <cx:dataLabelHidden idx="0"/>
            <cx:dataLabelHidden idx="3190"/>
            <cx:dataLabelHidden idx="3191"/>
            <cx:dataLabelHidden idx="3192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B150168-4576-4D95-845A-996342F30B0C}">
          <cx:tx>
            <cx:txData>
              <cx:f>_xlchart.2</cx:f>
              <cx:v>2025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050" b="1"/>
                </a:pPr>
                <a:endParaRPr lang="es-PE" sz="1050" b="1"/>
              </a:p>
            </cx:txPr>
            <cx:visibility seriesName="0" categoryName="0" value="1"/>
            <cx:dataLabelHidden idx="0"/>
            <cx:dataLabelHidden idx="3190"/>
            <cx:dataLabelHidden idx="3191"/>
            <cx:dataLabelHidden idx="3192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E0C044-FEBF-45E2-B3C0-7B8DC63C9D6A}">
          <cx:tx>
            <cx:txData>
              <cx:f>_xlchart.4</cx:f>
              <cx:v>2026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050" b="1"/>
                </a:pPr>
                <a:endParaRPr lang="es-PE" sz="1050" b="1"/>
              </a:p>
            </cx:txPr>
            <cx:visibility seriesName="0" categoryName="0" value="1"/>
            <cx:dataLabelHidden idx="3190"/>
            <cx:dataLabelHidden idx="3191"/>
            <cx:dataLabelHidden idx="3192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_xlchart.7</cx:f>
      </cx:numDim>
    </cx:data>
    <cx:data id="1">
      <cx:numDim type="val">
        <cx:f>_xlchart.9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 b="1">
                <a:solidFill>
                  <a:sysClr val="windowText" lastClr="000000"/>
                </a:solidFill>
              </a:defRPr>
            </a:pPr>
            <a:r>
              <a:rPr lang="es-PE" b="1">
                <a:solidFill>
                  <a:sysClr val="windowText" lastClr="000000"/>
                </a:solidFill>
              </a:rPr>
              <a:t>Productividad 2026</a:t>
            </a:r>
          </a:p>
        </cx:rich>
      </cx:tx>
    </cx:title>
    <cx:plotArea>
      <cx:plotAreaRegion>
        <cx:series layoutId="boxWhisker" uniqueId="{9EAF95E5-7373-436E-A78F-973518895025}">
          <cx:tx>
            <cx:txData>
              <cx:f>_xlchart.6</cx:f>
              <cx:v>Real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050" b="1">
                    <a:solidFill>
                      <a:sysClr val="windowText" lastClr="000000"/>
                    </a:solidFill>
                  </a:defRPr>
                </a:pPr>
                <a:endParaRPr lang="es-PE" sz="1050" b="1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dataLabelHidden idx="3190"/>
            <cx:dataLabelHidden idx="3191"/>
            <cx:dataLabelHidden idx="3192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E36749F-E34C-4A2B-BAF7-82AA8D0E1AF4}">
          <cx:tx>
            <cx:txData>
              <cx:f>_xlchart.8</cx:f>
              <cx:v>Meta</cx:v>
            </cx:txData>
          </cx:tx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sz="1050" b="1">
                    <a:solidFill>
                      <a:sysClr val="windowText" lastClr="000000"/>
                    </a:solidFill>
                  </a:defRPr>
                </a:pPr>
                <a:endParaRPr lang="es-PE" sz="1050" b="1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dataLabelHidden idx="3190"/>
            <cx:dataLabelHidden idx="3191"/>
            <cx:dataLabelHidden idx="3192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majorGridlines/>
        <cx:tickLabels/>
      </cx:axis>
    </cx:plotArea>
    <cx:legend pos="t" align="ctr" overlay="0">
      <cx:txPr>
        <a:bodyPr spcFirstLastPara="1" vertOverflow="ellipsis" wrap="square" lIns="0" tIns="0" rIns="0" bIns="0" anchor="ctr" anchorCtr="1"/>
        <a:lstStyle/>
        <a:p>
          <a:pPr>
            <a:defRPr sz="1000">
              <a:solidFill>
                <a:sysClr val="windowText" lastClr="000000"/>
              </a:solidFill>
            </a:defRPr>
          </a:pPr>
          <a:endParaRPr lang="es-PE" sz="1000">
            <a:solidFill>
              <a:sysClr val="windowText" lastClr="000000"/>
            </a:solidFill>
          </a:endParaRPr>
        </a:p>
      </cx:txPr>
    </cx:legend>
  </cx:chart>
</cx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_xlchart.14</cx:f>
      </cx:strDim>
      <cx:numDim type="val">
        <cx:f>_xlchart.15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1"/>
            </a:pPr>
            <a:r>
              <a:rPr lang="es-PE" b="1">
                <a:solidFill>
                  <a:sysClr val="windowText" lastClr="000000"/>
                </a:solidFill>
              </a:rPr>
              <a:t>Variación produc 2025 vs 2026</a:t>
            </a:r>
          </a:p>
        </cx:rich>
      </cx:tx>
    </cx:title>
    <cx:plotArea>
      <cx:plotAreaRegion>
        <cx:series layoutId="waterfall" uniqueId="{C27BE5A2-4E61-4D8B-AFA1-991C96A812C7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 min="60000"/>
        <cx:majorGridlines/>
        <cx:tickLabels/>
      </cx:axis>
    </cx:plotArea>
  </cx:chart>
</cx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_xlchart.10</cx:f>
      </cx:strDim>
      <cx:numDim type="val">
        <cx:f>_xlchart.11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400" b="1">
                <a:solidFill>
                  <a:sysClr val="windowText" lastClr="000000"/>
                </a:solidFill>
              </a:defRPr>
            </a:pPr>
            <a:r>
              <a:rPr lang="es-PE" sz="1400" b="1">
                <a:solidFill>
                  <a:sysClr val="windowText" lastClr="000000"/>
                </a:solidFill>
              </a:rPr>
              <a:t>Variación productividad Meta vs 2026</a:t>
            </a:r>
            <a:endParaRPr lang="es-PE" b="1">
              <a:solidFill>
                <a:sysClr val="windowText" lastClr="000000"/>
              </a:solidFill>
            </a:endParaRPr>
          </a:p>
        </cx:rich>
      </cx:tx>
    </cx:title>
    <cx:plotArea>
      <cx:plotAreaRegion>
        <cx:series layoutId="waterfall" uniqueId="{162CA794-8DEC-4AEC-BA3A-3091B2B8C2B1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 min="60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15874</xdr:colOff>
      <xdr:row>1</xdr:row>
      <xdr:rowOff>53974</xdr:rowOff>
    </xdr:from>
    <xdr:to>
      <xdr:col>11</xdr:col>
      <xdr:colOff>736599</xdr:colOff>
      <xdr:row>17</xdr:row>
      <xdr:rowOff>126999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231775</xdr:colOff>
      <xdr:row>0</xdr:row>
      <xdr:rowOff>114300</xdr:rowOff>
    </xdr:from>
    <xdr:to>
      <xdr:col>12</xdr:col>
      <xdr:colOff>241300</xdr:colOff>
      <xdr:row>16</xdr:row>
      <xdr:rowOff>120650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676274</xdr:colOff>
      <xdr:row>16</xdr:row>
      <xdr:rowOff>142875</xdr:rowOff>
    </xdr:from>
    <xdr:to>
      <xdr:col>8</xdr:col>
      <xdr:colOff>82549</xdr:colOff>
      <xdr:row>30</xdr:row>
      <xdr:rowOff>44450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Grá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723900</xdr:colOff>
      <xdr:row>31</xdr:row>
      <xdr:rowOff>152400</xdr:rowOff>
    </xdr:from>
    <xdr:to>
      <xdr:col>9</xdr:col>
      <xdr:colOff>559563</xdr:colOff>
      <xdr:row>37</xdr:row>
      <xdr:rowOff>76344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0" y="5861050"/>
          <a:ext cx="5468113" cy="1028844"/>
        </a:xfrm>
        <a:prstGeom prst="rect">
          <a:avLst/>
        </a:prstGeom>
      </xdr:spPr>
    </xdr:pic>
    <xdr:clientData/>
  </xdr:twoCellAnchor>
  <xdr:twoCellAnchor>
    <xdr:from>
      <xdr:col>8</xdr:col>
      <xdr:colOff>273050</xdr:colOff>
      <xdr:row>16</xdr:row>
      <xdr:rowOff>142875</xdr:rowOff>
    </xdr:from>
    <xdr:to>
      <xdr:col>13</xdr:col>
      <xdr:colOff>596899</xdr:colOff>
      <xdr:row>30</xdr:row>
      <xdr:rowOff>76200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" name="Gráfico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43</xdr:row>
      <xdr:rowOff>0</xdr:rowOff>
    </xdr:from>
    <xdr:to>
      <xdr:col>22</xdr:col>
      <xdr:colOff>319678</xdr:colOff>
      <xdr:row>79</xdr:row>
      <xdr:rowOff>115241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4450" y="7918450"/>
          <a:ext cx="15604128" cy="67446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17974</xdr:colOff>
      <xdr:row>1</xdr:row>
      <xdr:rowOff>120650</xdr:rowOff>
    </xdr:from>
    <xdr:to>
      <xdr:col>14</xdr:col>
      <xdr:colOff>370478</xdr:colOff>
      <xdr:row>27</xdr:row>
      <xdr:rowOff>96191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4" y="304800"/>
          <a:ext cx="11020504" cy="476344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rique Paredes" refreshedDate="46195.710228356482" createdVersion="6" refreshedVersion="6" minRefreshableVersion="3" recordCount="3301">
  <cacheSource type="worksheet">
    <worksheetSource name="analisis_productividad__4"/>
  </cacheSource>
  <cacheFields count="16">
    <cacheField name="Tienda" numFmtId="0">
      <sharedItems count="112">
        <s v="P193 Trujillo Mansiche - PVS"/>
        <s v="SO04 Jaen - PVO"/>
        <s v="SO03 Huanuco - PVO"/>
        <s v="P126 Santa Clara - PVH"/>
        <s v="P115 Huancayo - PVH"/>
        <s v="P333 Ves Placita - PVH"/>
        <s v="P119 Puente Piedra - PVH"/>
        <s v="1593 Aventura SJL - PVH"/>
        <s v="P114 Pro - PVH"/>
        <s v="P104 Arequipa - PVH"/>
        <s v="P145 Piura - PVH"/>
        <s v="SO05 Tarapoto - PVO"/>
        <s v="P102 Chiclayo - PVH"/>
        <s v="P202 LurIn - PVH"/>
        <s v="P769 Chiclayo Aventura - PVH"/>
        <s v="P223 Cusco Mall - PVH"/>
        <s v="P225 Cajamarca - PVH"/>
        <s v="P147 Juliaca - PVH"/>
        <s v="P142 Chincha - PVH"/>
        <s v="P236 Pisco - PVH"/>
        <s v="P146 Tacna - PVH"/>
        <s v="P291 La Curva - PVH"/>
        <s v="P229 Salaverry - PVH"/>
        <s v="P723 Puruchuco - PVH"/>
        <s v="P122 Ica - PVH"/>
        <s v="P231 Ventanilla - PVH"/>
        <s v="P143 Nvo Chimbote - PVH"/>
        <s v="P516 Ilo - PVH"/>
        <s v="P125 SJ Lurigancho - PVH"/>
        <s v="P117 Izaguirre - PVH"/>
        <s v="P465 Sucre - PVH"/>
        <s v="P075 Trujillo - PVH"/>
        <s v="P130 Chimbote - PVH"/>
        <s v="SO02 Pucallpa - PVO"/>
        <s v="P216 Proceres - PVS"/>
        <s v="P010 Caminos del Inca - PVS"/>
        <s v="P133 Guardia Civil - PVH"/>
        <s v="P724 Tumbes - PVH"/>
        <s v="P226 Paita - PVH"/>
        <s v="P262 Talara Municipalidad - PVH"/>
        <s v="P048 Higuereta - PVH"/>
        <s v="P066 Ate - PVH"/>
        <s v="P199 Grifo Kio - PVS"/>
        <s v="P221 Barranca - PVH"/>
        <s v="P064 Miraflores - PVH"/>
        <s v="P259 Moquegua - PVH"/>
        <s v="P144 Huacho - PVH"/>
        <s v="P089 Risso - PVH"/>
        <s v="P139 Alameda Sur - PVS"/>
        <s v="P001 Los Olivos - PVH"/>
        <s v="P084 Comas - PVH"/>
        <s v="P192 Sullana - PVH"/>
        <s v="P224 Brena - PVH"/>
        <s v="P227 San Isidro - PVH"/>
        <s v="P080 Bolichera - PVH"/>
        <s v="P120 Universitaria - PVH"/>
        <s v="P172 Puno - PVH"/>
        <s v="P132 El Ejercito - PVS"/>
        <s v="P068 Primavera - PVH"/>
        <s v="P081 La Molina - PVH"/>
        <s v="P123 El Chacarero - PVH"/>
        <s v="1198 Cusco Wanchaq - PVH"/>
        <s v="P203 Rimac Alcazar - PVH"/>
        <s v="P195 San Borja - PVH"/>
        <s v="P037 Jockey Plaza - PVH"/>
        <s v="P061 Cortijo - PVH"/>
        <s v="P141 Chosica - PVH"/>
        <s v="P215 Magdalena - PVS"/>
        <s v="P201 Huaral - PVH"/>
        <s v="SO06 Tarapoto 2 - PVO"/>
        <s v="P059 Callao - PVH"/>
        <s v="P112 Ceres - PVH"/>
        <s v="P134 Centro Civico - PVH"/>
        <s v="P219 La Perla - PVS"/>
        <s v="P238 Grifo Mexico - PVH"/>
        <s v="P156 El Tambo Huancayo - PVS"/>
        <s v="P106 Valle Hermoso - PVH"/>
        <s v="P206 La Paz - PVS"/>
        <s v="P135 Colonial - PVH"/>
        <s v="1199 San Miguel - PVH"/>
        <s v="P208 La Victoria PVS"/>
        <s v="P181 Supermercados SKA - PVE"/>
        <s v="P052 Brasil - PVH"/>
        <s v="P108 Ayacucho - PVS"/>
        <s v="P177 Talara - PVH"/>
        <s v="P105 Salamanca - PVS"/>
        <s v="P159 Acho - PVH"/>
        <s v="P191 Cine Rimac - PVS"/>
        <s v="2638 SJB Ayacucho - PVH"/>
        <s v="P261 El Agustino - PVH"/>
        <s v="P118 Alfonso Ugarte - PVH"/>
        <s v="P258 Chaclacayo - PVS"/>
        <s v="P207 Villa Marina - PVS"/>
        <s v="P158 Villa el Salvador - PVS"/>
        <s v="P107 Mercaderes - PVS"/>
        <s v="X210 Santa Cruz - PVE"/>
        <s v="P198 Chorrillos Iglesias - PVS"/>
        <s v="V095 Monterrico - VIV"/>
        <s v="P109 Dasso - PVS"/>
        <s v="P096 San Jorge - PVS"/>
        <s v="P110 Corpac - PVS"/>
        <s v="P220 Trujillo Valcarcel - PVS"/>
        <s v="P180 Centro Trujillo - PVE"/>
        <s v="V090 Pezet - VIV"/>
        <s v="X209 Bolognesi - PVE"/>
        <s v="V116 Javier Prado - VIV"/>
        <s v="V094 Benavides - VIV"/>
        <s v="V093 Dos de Mayo - VIV"/>
        <s v="V290 Asia - VIV"/>
        <s v="V140 Libertadores - VIV"/>
        <s v="P422 Art Express - PVS"/>
        <s v="P138 Jiron de la Union - PVE"/>
      </sharedItems>
    </cacheField>
    <cacheField name="Periodo" numFmtId="0">
      <sharedItems containsSemiMixedTypes="0" containsString="0" containsNumber="1" containsInteger="1" minValue="202401" maxValue="202606"/>
    </cacheField>
    <cacheField name="año" numFmtId="0">
      <sharedItems count="3">
        <s v="2026"/>
        <s v="2025"/>
        <s v="2024"/>
      </sharedItems>
    </cacheField>
    <cacheField name="mes" numFmtId="0">
      <sharedItems count="12">
        <s v="03"/>
        <s v="12"/>
        <s v="02"/>
        <s v="05"/>
        <s v="09"/>
        <s v="08"/>
        <s v="07"/>
        <s v="11"/>
        <s v="10"/>
        <s v="04"/>
        <s v="01"/>
        <s v="06"/>
      </sharedItems>
    </cacheField>
    <cacheField name="GOS" numFmtId="0">
      <sharedItems/>
    </cacheField>
    <cacheField name="GOR" numFmtId="0">
      <sharedItems/>
    </cacheField>
    <cacheField name="Prod" numFmtId="0">
      <sharedItems containsString="0" containsBlank="1" containsNumber="1" containsInteger="1" minValue="13301" maxValue="231397"/>
    </cacheField>
    <cacheField name="VtaNeta" numFmtId="0">
      <sharedItems containsSemiMixedTypes="0" containsString="0" containsNumber="1" containsInteger="1" minValue="76" maxValue="16134149"/>
    </cacheField>
    <cacheField name="JEq" numFmtId="0">
      <sharedItems containsString="0" containsBlank="1" containsNumber="1" minValue="4.3155376344086021" maxValue="139.05227150537627"/>
    </cacheField>
    <cacheField name="ProdMeta" numFmtId="0">
      <sharedItems containsString="0" containsBlank="1" containsNumber="1" minValue="0" maxValue="196971.94955803169"/>
    </cacheField>
    <cacheField name="CAPO *" numFmtId="0">
      <sharedItems containsSemiMixedTypes="0" containsString="0" containsNumber="1" minValue="7" maxValue="140.5"/>
    </cacheField>
    <cacheField name="CAPE *" numFmtId="0">
      <sharedItems containsSemiMixedTypes="0" containsString="0" containsNumber="1" minValue="6.5" maxValue="125.5"/>
    </cacheField>
    <cacheField name="JEqMeta" numFmtId="0">
      <sharedItems containsString="0" containsBlank="1" containsNumber="1" minValue="6.5823753560915674E-4" maxValue="131.78669168047247"/>
    </cacheField>
    <cacheField name="VtaNetaMeta" numFmtId="0">
      <sharedItems containsString="0" containsBlank="1" containsNumber="1" containsInteger="1" minValue="0" maxValue="15246951"/>
    </cacheField>
    <cacheField name="prodcreal" numFmtId="0" formula="VtaNeta/JEq" databaseField="0"/>
    <cacheField name="prodmeta2" numFmtId="0" formula="VtaNetaMeta/JEqMet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nrique Paredes" refreshedDate="46195.742990509258" createdVersion="6" refreshedVersion="6" minRefreshableVersion="3" recordCount="8">
  <cacheSource type="worksheet">
    <worksheetSource name="analisis_productividad3"/>
  </cacheSource>
  <cacheFields count="10">
    <cacheField name="JEq" numFmtId="0">
      <sharedItems containsSemiMixedTypes="0" containsString="0" containsNumber="1" minValue="1615.6433060035827" maxValue="5818.1903073476115"/>
    </cacheField>
    <cacheField name="JEqMeta" numFmtId="0">
      <sharedItems containsSemiMixedTypes="0" containsString="0" containsNumber="1" minValue="1651.8700631748877" maxValue="6459.1281249987333"/>
    </cacheField>
    <cacheField name="Prod" numFmtId="0">
      <sharedItems containsSemiMixedTypes="0" containsString="0" containsNumber="1" containsInteger="1" minValue="65012" maxValue="100894"/>
    </cacheField>
    <cacheField name="ProdMeta" numFmtId="0">
      <sharedItems containsSemiMixedTypes="0" containsString="0" containsNumber="1" minValue="73507.187861516213" maxValue="101097.07580239847"/>
    </cacheField>
    <cacheField name="VtaNeta" numFmtId="0">
      <sharedItems containsSemiMixedTypes="0" containsString="0" containsNumber="1" containsInteger="1" minValue="149540197" maxValue="549955374"/>
    </cacheField>
    <cacheField name="VtaNetaMeta" numFmtId="0">
      <sharedItems containsSemiMixedTypes="0" containsString="0" containsNumber="1" containsInteger="1" minValue="144489567" maxValue="543158219"/>
    </cacheField>
    <cacheField name="supervisor" numFmtId="0">
      <sharedItems/>
    </cacheField>
    <cacheField name="JEqAA" numFmtId="0">
      <sharedItems containsSemiMixedTypes="0" containsString="0" containsNumber="1" minValue="1669.0197200940822" maxValue="6456.2685566756363"/>
    </cacheField>
    <cacheField name="ProdAA" numFmtId="0">
      <sharedItems containsSemiMixedTypes="0" containsString="0" containsNumber="1" containsInteger="1" minValue="65743" maxValue="92967"/>
    </cacheField>
    <cacheField name="VtaNetaAA" numFmtId="0">
      <sharedItems containsSemiMixedTypes="0" containsString="0" containsNumber="1" containsInteger="1" minValue="130368763" maxValue="535349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01">
  <r>
    <x v="0"/>
    <n v="202603"/>
    <x v="0"/>
    <x v="0"/>
    <s v="Fátima L"/>
    <s v="Fátima L"/>
    <n v="231397"/>
    <n v="2819804"/>
    <n v="12.185974462365591"/>
    <n v="196971.94955803169"/>
    <n v="13.5"/>
    <n v="12.5"/>
    <n v="11.712938172043014"/>
    <n v="2307120"/>
  </r>
  <r>
    <x v="1"/>
    <n v="202512"/>
    <x v="1"/>
    <x v="1"/>
    <s v="Sofía V"/>
    <s v="José A"/>
    <n v="168662"/>
    <n v="11242205"/>
    <n v="66.655194892473148"/>
    <n v="165116.40032409818"/>
    <n v="61"/>
    <n v="60"/>
    <n v="68.08654317762057"/>
    <n v="10874860"/>
  </r>
  <r>
    <x v="1"/>
    <n v="202412"/>
    <x v="2"/>
    <x v="1"/>
    <s v="Sofía V"/>
    <s v="José A"/>
    <n v="157254"/>
    <n v="10216673"/>
    <n v="64.969361559139784"/>
    <n v="0"/>
    <n v="61"/>
    <n v="60"/>
    <m/>
    <n v="0"/>
  </r>
  <r>
    <x v="0"/>
    <n v="202602"/>
    <x v="0"/>
    <x v="2"/>
    <s v="Fátima L"/>
    <s v="Fátima L"/>
    <n v="156793"/>
    <n v="2231847"/>
    <n v="14.234375"/>
    <n v="112215.14865819039"/>
    <n v="13.5"/>
    <n v="12.5"/>
    <n v="11.712938172043014"/>
    <n v="1314369"/>
  </r>
  <r>
    <x v="2"/>
    <n v="202512"/>
    <x v="1"/>
    <x v="1"/>
    <s v="Sofía V"/>
    <s v="José A"/>
    <n v="152023"/>
    <n v="12410132"/>
    <n v="81.63312499999995"/>
    <n v="155721.15773041456"/>
    <n v="76.5"/>
    <n v="80"/>
    <n v="79.694578764206838"/>
    <n v="12395481"/>
  </r>
  <r>
    <x v="3"/>
    <n v="202512"/>
    <x v="1"/>
    <x v="1"/>
    <s v="Sebastián S"/>
    <s v="Rodolfo O"/>
    <n v="149997"/>
    <n v="14846040"/>
    <n v="98.975813172042976"/>
    <n v="137436.16986313357"/>
    <n v="98.5"/>
    <n v="96.5"/>
    <n v="108.02134870889154"/>
    <n v="13004058"/>
  </r>
  <r>
    <x v="2"/>
    <n v="202412"/>
    <x v="2"/>
    <x v="1"/>
    <s v="Sofía V"/>
    <s v="José A"/>
    <n v="148306"/>
    <n v="11554754"/>
    <n v="77.911646505376254"/>
    <n v="0"/>
    <n v="76.5"/>
    <n v="80"/>
    <m/>
    <n v="0"/>
  </r>
  <r>
    <x v="4"/>
    <n v="202512"/>
    <x v="1"/>
    <x v="1"/>
    <s v="Sofía V"/>
    <s v="José A"/>
    <n v="148172"/>
    <n v="14947539"/>
    <n v="100.87969086021506"/>
    <n v="128117.49505500619"/>
    <n v="107.5"/>
    <n v="102.5"/>
    <n v="116.67054919847129"/>
    <n v="15172611"/>
  </r>
  <r>
    <x v="5"/>
    <n v="202512"/>
    <x v="1"/>
    <x v="1"/>
    <s v="Sebastián S"/>
    <s v="Rodolfo O"/>
    <n v="146609"/>
    <n v="9800042"/>
    <n v="66.844543010752645"/>
    <n v="141844.29871168037"/>
    <n v="68.5"/>
    <n v="66"/>
    <n v="69.090137700353011"/>
    <n v="9481770"/>
  </r>
  <r>
    <x v="3"/>
    <n v="202605"/>
    <x v="0"/>
    <x v="3"/>
    <s v="Sebastián S"/>
    <s v="Rodolfo O"/>
    <n v="145442"/>
    <n v="12491601"/>
    <n v="85.887224462365523"/>
    <n v="126657.92363845374"/>
    <n v="98.5"/>
    <n v="96.5"/>
    <n v="87.166669283279759"/>
    <n v="11040349"/>
  </r>
  <r>
    <x v="1"/>
    <n v="202509"/>
    <x v="1"/>
    <x v="4"/>
    <s v="Sofía V"/>
    <s v="José A"/>
    <n v="144974"/>
    <n v="7417710"/>
    <n v="51.165625000000034"/>
    <n v="129361.03705071122"/>
    <n v="61"/>
    <n v="60"/>
    <n v="57.341144050137444"/>
    <n v="6777060"/>
  </r>
  <r>
    <x v="6"/>
    <n v="202603"/>
    <x v="0"/>
    <x v="0"/>
    <s v="Sebastián S"/>
    <s v="Vik E"/>
    <n v="144485"/>
    <n v="13261296"/>
    <n v="91.782983870967811"/>
    <n v="142204.97606273938"/>
    <n v="100"/>
    <n v="98"/>
    <n v="86.393284871267369"/>
    <n v="12285555"/>
  </r>
  <r>
    <x v="1"/>
    <n v="202508"/>
    <x v="1"/>
    <x v="5"/>
    <s v="Sofía V"/>
    <s v="José A"/>
    <n v="143232"/>
    <n v="7863466"/>
    <n v="54.90013440860217"/>
    <n v="142027.06213820679"/>
    <n v="61"/>
    <n v="60"/>
    <n v="55.365969073894171"/>
    <n v="7682985"/>
  </r>
  <r>
    <x v="1"/>
    <n v="202603"/>
    <x v="0"/>
    <x v="0"/>
    <s v="Sofía V"/>
    <s v="José A"/>
    <n v="142561"/>
    <n v="8567236"/>
    <n v="60.095282258064557"/>
    <n v="147717.36571248787"/>
    <n v="61"/>
    <n v="60"/>
    <n v="53.7842448352594"/>
    <n v="7944867"/>
  </r>
  <r>
    <x v="7"/>
    <n v="202512"/>
    <x v="1"/>
    <x v="1"/>
    <s v="Sebastián S"/>
    <s v="Rodolfo O"/>
    <n v="142272"/>
    <n v="9289009"/>
    <n v="65.290665322580622"/>
    <n v="138025.28509040302"/>
    <n v="65.5"/>
    <n v="63"/>
    <n v="67.29932507595214"/>
    <n v="7052136"/>
  </r>
  <r>
    <x v="8"/>
    <n v="202512"/>
    <x v="1"/>
    <x v="1"/>
    <s v="Sebastián S"/>
    <s v="Vik E"/>
    <n v="141763"/>
    <n v="12739505"/>
    <n v="89.864946236559049"/>
    <n v="136681.66059027638"/>
    <n v="88"/>
    <n v="84"/>
    <n v="93.205661790930137"/>
    <n v="13496921"/>
  </r>
  <r>
    <x v="1"/>
    <n v="202605"/>
    <x v="0"/>
    <x v="3"/>
    <s v="Sofía V"/>
    <s v="José A"/>
    <n v="140094"/>
    <n v="7723581"/>
    <n v="55.131397849462871"/>
    <n v="135865.92528876505"/>
    <n v="61"/>
    <n v="60"/>
    <n v="53.7842448352594"/>
    <n v="7307446"/>
  </r>
  <r>
    <x v="1"/>
    <n v="202407"/>
    <x v="2"/>
    <x v="6"/>
    <s v="Sofía V"/>
    <s v="José A"/>
    <n v="139767"/>
    <n v="7797596"/>
    <n v="55.790000000000006"/>
    <n v="0"/>
    <n v="61"/>
    <n v="60"/>
    <m/>
    <n v="0"/>
  </r>
  <r>
    <x v="6"/>
    <n v="202512"/>
    <x v="1"/>
    <x v="1"/>
    <s v="Sebastián S"/>
    <s v="Vik E"/>
    <n v="139743"/>
    <n v="14990129"/>
    <n v="107.26902553763429"/>
    <n v="137467.68227681305"/>
    <n v="100"/>
    <n v="98"/>
    <n v="109.04475038587607"/>
    <n v="15246951"/>
  </r>
  <r>
    <x v="9"/>
    <n v="202603"/>
    <x v="0"/>
    <x v="0"/>
    <s v="Sofía V"/>
    <s v="Joe H"/>
    <n v="138702"/>
    <n v="8306917"/>
    <n v="59.890456989247348"/>
    <n v="125686.31718572693"/>
    <n v="70.5"/>
    <n v="69.5"/>
    <n v="63.576561684054447"/>
    <n v="7990704"/>
  </r>
  <r>
    <x v="1"/>
    <n v="202507"/>
    <x v="1"/>
    <x v="6"/>
    <s v="Sofía V"/>
    <s v="José A"/>
    <n v="138080"/>
    <n v="7376685"/>
    <n v="53.42321908602154"/>
    <n v="146755.26361355084"/>
    <n v="61"/>
    <n v="60"/>
    <n v="50.265215218616973"/>
    <n v="8133696"/>
  </r>
  <r>
    <x v="10"/>
    <n v="202512"/>
    <x v="1"/>
    <x v="1"/>
    <s v="Sofía V"/>
    <s v="Melany A"/>
    <n v="136861"/>
    <n v="14816568"/>
    <n v="108.26012768817195"/>
    <n v="128218.17010726522"/>
    <n v="125"/>
    <n v="118.5"/>
    <n v="115.55747252986609"/>
    <n v="15107192"/>
  </r>
  <r>
    <x v="11"/>
    <n v="202412"/>
    <x v="2"/>
    <x v="1"/>
    <s v="Sofía V"/>
    <s v="José A"/>
    <n v="136657"/>
    <n v="14497463"/>
    <n v="106.08636424731168"/>
    <n v="0"/>
    <n v="86.5"/>
    <n v="81.5"/>
    <m/>
    <n v="0"/>
  </r>
  <r>
    <x v="12"/>
    <n v="202603"/>
    <x v="0"/>
    <x v="0"/>
    <s v="Sofía V"/>
    <s v="Melany A"/>
    <n v="136369"/>
    <n v="12134655"/>
    <n v="88.983924731182839"/>
    <n v="132233.08198363351"/>
    <n v="96.5"/>
    <n v="94"/>
    <n v="87.753564014610347"/>
    <n v="11603924"/>
  </r>
  <r>
    <x v="13"/>
    <n v="202512"/>
    <x v="1"/>
    <x v="1"/>
    <s v="Sebastián S"/>
    <s v="Rodolfo O"/>
    <n v="136155"/>
    <n v="9463729"/>
    <n v="69.507224462365571"/>
    <n v="116901.40322684984"/>
    <n v="78"/>
    <n v="74.5"/>
    <n v="80.954797964532673"/>
    <n v="9808455"/>
  </r>
  <r>
    <x v="1"/>
    <n v="202511"/>
    <x v="1"/>
    <x v="7"/>
    <s v="Sofía V"/>
    <s v="José A"/>
    <n v="135504"/>
    <n v="8069043"/>
    <n v="59.548465277777844"/>
    <n v="124375.41237906319"/>
    <n v="61"/>
    <n v="60"/>
    <n v="64.876511326914866"/>
    <n v="6920773"/>
  </r>
  <r>
    <x v="1"/>
    <n v="202408"/>
    <x v="2"/>
    <x v="5"/>
    <s v="Sofía V"/>
    <s v="José A"/>
    <n v="135264"/>
    <n v="7458412"/>
    <n v="55.139724462365592"/>
    <n v="0"/>
    <n v="61"/>
    <n v="60"/>
    <m/>
    <n v="0"/>
  </r>
  <r>
    <x v="5"/>
    <n v="202412"/>
    <x v="2"/>
    <x v="1"/>
    <s v="Sebastián S"/>
    <s v="Rodolfo O"/>
    <n v="135090"/>
    <n v="9229774"/>
    <n v="68.32324596774194"/>
    <n v="0"/>
    <n v="68.5"/>
    <n v="66"/>
    <m/>
    <n v="0"/>
  </r>
  <r>
    <x v="10"/>
    <n v="202503"/>
    <x v="1"/>
    <x v="0"/>
    <s v="Sofía V"/>
    <s v="Melany A"/>
    <n v="135059"/>
    <n v="13946827"/>
    <n v="103.26453629032257"/>
    <n v="116707.79387038908"/>
    <n v="125"/>
    <n v="118.5"/>
    <n v="119.5021088779108"/>
    <n v="12287047"/>
  </r>
  <r>
    <x v="1"/>
    <n v="202503"/>
    <x v="1"/>
    <x v="0"/>
    <s v="Sofía V"/>
    <s v="José A"/>
    <n v="134198"/>
    <n v="7813520"/>
    <n v="58.22391129032259"/>
    <n v="137745.89217380836"/>
    <n v="61"/>
    <n v="60"/>
    <n v="56.724157843784319"/>
    <n v="7814540"/>
  </r>
  <r>
    <x v="14"/>
    <n v="202603"/>
    <x v="0"/>
    <x v="0"/>
    <s v="Sofía V"/>
    <s v="Melany A"/>
    <n v="133870"/>
    <n v="7190444"/>
    <n v="53.71229838709678"/>
    <n v="117597.86308581386"/>
    <n v="59.5"/>
    <n v="55.5"/>
    <n v="53.278949580299148"/>
    <n v="6265491"/>
  </r>
  <r>
    <x v="5"/>
    <n v="202603"/>
    <x v="0"/>
    <x v="0"/>
    <s v="Sebastián S"/>
    <s v="Rodolfo O"/>
    <n v="133828"/>
    <n v="8284520"/>
    <n v="61.904415322580654"/>
    <n v="130985.91720224862"/>
    <n v="68.5"/>
    <n v="66"/>
    <n v="59.179400136818131"/>
    <n v="7751668"/>
  </r>
  <r>
    <x v="15"/>
    <n v="202512"/>
    <x v="1"/>
    <x v="1"/>
    <s v="Sofía V"/>
    <s v="Joe H"/>
    <n v="133795"/>
    <n v="13331425"/>
    <n v="99.640483870967742"/>
    <n v="133894.99616413773"/>
    <n v="101"/>
    <n v="105"/>
    <n v="99.566270226091348"/>
    <n v="14809485"/>
  </r>
  <r>
    <x v="10"/>
    <n v="202603"/>
    <x v="0"/>
    <x v="0"/>
    <s v="Sofía V"/>
    <s v="Melany A"/>
    <n v="133787"/>
    <n v="14434788"/>
    <n v="107.89403897849465"/>
    <n v="135161.88911431489"/>
    <n v="125"/>
    <n v="118.5"/>
    <n v="102.97612103755296"/>
    <n v="13918447"/>
  </r>
  <r>
    <x v="16"/>
    <n v="202512"/>
    <x v="1"/>
    <x v="1"/>
    <s v="Sofía V"/>
    <s v="José A"/>
    <n v="133335"/>
    <n v="7963820"/>
    <n v="59.727782258064487"/>
    <n v="124728.47840832385"/>
    <n v="64"/>
    <n v="67"/>
    <n v="63.849254088780171"/>
    <n v="7190640"/>
  </r>
  <r>
    <x v="17"/>
    <n v="202603"/>
    <x v="0"/>
    <x v="0"/>
    <s v="Sofía V"/>
    <s v="Joe H"/>
    <n v="133202"/>
    <n v="11875178"/>
    <n v="89.151444892473123"/>
    <n v="145442.73742128012"/>
    <n v="94"/>
    <n v="92"/>
    <n v="81.933174564661712"/>
    <n v="11916585"/>
  </r>
  <r>
    <x v="18"/>
    <n v="202512"/>
    <x v="1"/>
    <x v="1"/>
    <s v="Sofía V"/>
    <s v="Joe H"/>
    <n v="132662"/>
    <n v="6200250"/>
    <n v="46.737231182795661"/>
    <n v="123985.54153282326"/>
    <n v="50.5"/>
    <n v="51.5"/>
    <n v="50.007844248182593"/>
    <n v="6398965"/>
  </r>
  <r>
    <x v="19"/>
    <n v="202512"/>
    <x v="1"/>
    <x v="1"/>
    <s v="Sofía V"/>
    <s v="Joe H"/>
    <n v="132388"/>
    <n v="7649494"/>
    <n v="57.780672043010718"/>
    <n v="118325.17652019947"/>
    <n v="57.5"/>
    <n v="56.5"/>
    <n v="64.648065905856825"/>
    <n v="6945554"/>
  </r>
  <r>
    <x v="1"/>
    <n v="202510"/>
    <x v="1"/>
    <x v="8"/>
    <s v="Sofía V"/>
    <s v="José A"/>
    <n v="132315"/>
    <n v="7040091"/>
    <n v="53.207244623655917"/>
    <n v="138035.41472134975"/>
    <n v="61"/>
    <n v="60"/>
    <n v="51.002065985832253"/>
    <n v="7217127"/>
  </r>
  <r>
    <x v="20"/>
    <n v="202512"/>
    <x v="1"/>
    <x v="1"/>
    <s v="Sofía V"/>
    <s v="Joe H"/>
    <n v="132272"/>
    <n v="12935574"/>
    <n v="97.795456989247256"/>
    <n v="133969.4129861962"/>
    <n v="96.5"/>
    <n v="96"/>
    <n v="96.556174589888215"/>
    <n v="13121848"/>
  </r>
  <r>
    <x v="7"/>
    <n v="202603"/>
    <x v="0"/>
    <x v="0"/>
    <s v="Sebastián S"/>
    <s v="Rodolfo O"/>
    <n v="132061"/>
    <n v="7976528"/>
    <n v="60.400403225806478"/>
    <n v="132938.74719643427"/>
    <n v="65.5"/>
    <n v="63"/>
    <n v="55.389519717073902"/>
    <n v="7363413"/>
  </r>
  <r>
    <x v="17"/>
    <n v="202604"/>
    <x v="0"/>
    <x v="9"/>
    <s v="Sofía V"/>
    <s v="Joe H"/>
    <n v="131512"/>
    <n v="10854676"/>
    <n v="82.537777777780263"/>
    <n v="120535.44440910162"/>
    <n v="94"/>
    <n v="92"/>
    <n v="81.933174564661712"/>
    <n v="9875852"/>
  </r>
  <r>
    <x v="1"/>
    <n v="202410"/>
    <x v="2"/>
    <x v="8"/>
    <s v="Sofía V"/>
    <s v="José A"/>
    <n v="131462"/>
    <n v="6476118"/>
    <n v="49.262170698924741"/>
    <n v="0"/>
    <n v="61"/>
    <n v="60"/>
    <m/>
    <n v="0"/>
  </r>
  <r>
    <x v="7"/>
    <n v="202412"/>
    <x v="2"/>
    <x v="1"/>
    <s v="Sebastián S"/>
    <s v="Rodolfo O"/>
    <n v="131453"/>
    <n v="8612401"/>
    <n v="65.517130376344085"/>
    <n v="0"/>
    <n v="65.5"/>
    <n v="63"/>
    <m/>
    <n v="0"/>
  </r>
  <r>
    <x v="3"/>
    <n v="202603"/>
    <x v="0"/>
    <x v="0"/>
    <s v="Sebastián S"/>
    <s v="Rodolfo O"/>
    <n v="131416"/>
    <n v="13056379"/>
    <n v="99.351686827957053"/>
    <n v="147423.75780515181"/>
    <n v="98.5"/>
    <n v="96.5"/>
    <n v="87.166669283279759"/>
    <n v="12850438"/>
  </r>
  <r>
    <x v="21"/>
    <n v="202512"/>
    <x v="1"/>
    <x v="1"/>
    <s v="Sebastián S"/>
    <s v="Rodolfo O"/>
    <n v="131238"/>
    <n v="10438795"/>
    <n v="79.54098118279569"/>
    <n v="127290.11778703475"/>
    <n v="84.5"/>
    <n v="86.5"/>
    <n v="82.007901174738763"/>
    <n v="10551779"/>
  </r>
  <r>
    <x v="1"/>
    <n v="202601"/>
    <x v="0"/>
    <x v="10"/>
    <s v="Sofía V"/>
    <s v="José A"/>
    <n v="131193"/>
    <n v="7338438"/>
    <n v="55.936397849462381"/>
    <n v="128448.95748858717"/>
    <n v="61"/>
    <n v="60"/>
    <n v="53.7842448352594"/>
    <n v="6908530"/>
  </r>
  <r>
    <x v="1"/>
    <n v="202403"/>
    <x v="2"/>
    <x v="0"/>
    <s v="Sofía V"/>
    <s v="José A"/>
    <n v="131187"/>
    <n v="7377360"/>
    <n v="56.2356384408602"/>
    <n v="0"/>
    <n v="61"/>
    <n v="60"/>
    <m/>
    <n v="0"/>
  </r>
  <r>
    <x v="3"/>
    <n v="202604"/>
    <x v="0"/>
    <x v="9"/>
    <s v="Sebastián S"/>
    <s v="Rodolfo O"/>
    <n v="131009"/>
    <n v="11515132"/>
    <n v="87.895597222224737"/>
    <n v="117718.12212822818"/>
    <n v="98.5"/>
    <n v="96.5"/>
    <n v="87.166669283279759"/>
    <n v="10261097"/>
  </r>
  <r>
    <x v="6"/>
    <n v="202503"/>
    <x v="1"/>
    <x v="0"/>
    <s v="Sebastián S"/>
    <s v="Vik E"/>
    <n v="130998"/>
    <n v="12324134"/>
    <n v="94.079153225806394"/>
    <n v="130235.38404095279"/>
    <n v="100"/>
    <n v="98"/>
    <n v="94.629692158965412"/>
    <n v="12419340"/>
  </r>
  <r>
    <x v="14"/>
    <n v="202512"/>
    <x v="1"/>
    <x v="1"/>
    <s v="Sofía V"/>
    <s v="Melany A"/>
    <n v="130925"/>
    <n v="7165230"/>
    <n v="54.727909946236551"/>
    <n v="113679.87611412382"/>
    <n v="59.5"/>
    <n v="55.5"/>
    <n v="63.029890293043493"/>
    <n v="7578216"/>
  </r>
  <r>
    <x v="6"/>
    <n v="202412"/>
    <x v="2"/>
    <x v="1"/>
    <s v="Sebastián S"/>
    <s v="Vik E"/>
    <n v="130922"/>
    <n v="14189301"/>
    <n v="108.38013440860205"/>
    <n v="0"/>
    <n v="100"/>
    <n v="98"/>
    <m/>
    <n v="0"/>
  </r>
  <r>
    <x v="3"/>
    <n v="202412"/>
    <x v="2"/>
    <x v="1"/>
    <s v="Sebastián S"/>
    <s v="Rodolfo O"/>
    <n v="130892"/>
    <n v="14083464"/>
    <n v="107.59639784946228"/>
    <n v="0"/>
    <n v="98.5"/>
    <n v="96.5"/>
    <m/>
    <n v="0"/>
  </r>
  <r>
    <x v="17"/>
    <n v="202606"/>
    <x v="0"/>
    <x v="11"/>
    <s v="Sofía V"/>
    <s v="Joe H"/>
    <n v="130603"/>
    <n v="10084889"/>
    <n v="77.21797222222439"/>
    <n v="107771.33651194388"/>
    <n v="94"/>
    <n v="92"/>
    <n v="81.933174564661712"/>
    <n v="8830048"/>
  </r>
  <r>
    <x v="22"/>
    <n v="202512"/>
    <x v="1"/>
    <x v="1"/>
    <s v="Sebastián S"/>
    <s v="Johanna V"/>
    <n v="130474"/>
    <n v="12340823"/>
    <n v="94.584771505376295"/>
    <n v="117388.48187554927"/>
    <n v="104.5"/>
    <n v="99"/>
    <n v="105.12805287901469"/>
    <n v="12977898"/>
  </r>
  <r>
    <x v="16"/>
    <n v="202503"/>
    <x v="1"/>
    <x v="0"/>
    <s v="Sofía V"/>
    <s v="José A"/>
    <n v="130467"/>
    <n v="7621814"/>
    <n v="58.419657258064504"/>
    <n v="125725.39363261302"/>
    <n v="64"/>
    <n v="67"/>
    <n v="60.622705563141778"/>
    <n v="7169293"/>
  </r>
  <r>
    <x v="8"/>
    <n v="202603"/>
    <x v="0"/>
    <x v="0"/>
    <s v="Sebastián S"/>
    <s v="Vik E"/>
    <n v="130369"/>
    <n v="10730113"/>
    <n v="82.30546370967744"/>
    <n v="131418.00764482588"/>
    <n v="88"/>
    <n v="84"/>
    <n v="78.31726123421582"/>
    <n v="10292298"/>
  </r>
  <r>
    <x v="16"/>
    <n v="202603"/>
    <x v="0"/>
    <x v="0"/>
    <s v="Sofía V"/>
    <s v="José A"/>
    <n v="130225"/>
    <n v="8228752"/>
    <n v="63.188783602150551"/>
    <n v="159358.70456777766"/>
    <n v="64"/>
    <n v="67"/>
    <n v="56.429371630436094"/>
    <n v="8992512"/>
  </r>
  <r>
    <x v="23"/>
    <n v="202512"/>
    <x v="1"/>
    <x v="1"/>
    <s v="Sebastián S"/>
    <s v="Rodolfo O"/>
    <n v="130182"/>
    <n v="13559046"/>
    <n v="104.15459005376336"/>
    <n v="116061.3987072179"/>
    <n v="94.5"/>
    <n v="97"/>
    <n v="116.82648978067812"/>
    <n v="13272640"/>
  </r>
  <r>
    <x v="8"/>
    <n v="202412"/>
    <x v="2"/>
    <x v="1"/>
    <s v="Sebastián S"/>
    <s v="Vik E"/>
    <n v="130173"/>
    <n v="11944605"/>
    <n v="91.759462365591361"/>
    <n v="0"/>
    <n v="88"/>
    <n v="84"/>
    <m/>
    <n v="0"/>
  </r>
  <r>
    <x v="12"/>
    <n v="202512"/>
    <x v="1"/>
    <x v="1"/>
    <s v="Sofía V"/>
    <s v="Melany A"/>
    <n v="129749"/>
    <n v="11551133"/>
    <n v="89.02673387096776"/>
    <n v="128738.64115334203"/>
    <n v="96.5"/>
    <n v="94"/>
    <n v="89.725456137456987"/>
    <n v="12884560"/>
  </r>
  <r>
    <x v="24"/>
    <n v="202412"/>
    <x v="2"/>
    <x v="1"/>
    <s v="Sofía V"/>
    <s v="Joe H"/>
    <n v="129512"/>
    <n v="9251370"/>
    <n v="71.432553763440851"/>
    <n v="0"/>
    <n v="71"/>
    <n v="74.5"/>
    <m/>
    <n v="0"/>
  </r>
  <r>
    <x v="25"/>
    <n v="202512"/>
    <x v="1"/>
    <x v="1"/>
    <s v="Sebastián S"/>
    <s v="Vik E"/>
    <n v="129135"/>
    <n v="10304516"/>
    <n v="79.796424731182753"/>
    <n v="131522.44317868221"/>
    <n v="77"/>
    <n v="79"/>
    <n v="78.34796640753251"/>
    <n v="10234741"/>
  </r>
  <r>
    <x v="26"/>
    <n v="202512"/>
    <x v="1"/>
    <x v="1"/>
    <s v="Sofía V"/>
    <s v="Melany A"/>
    <n v="129095"/>
    <n v="6714796"/>
    <n v="52.014469086021478"/>
    <n v="122695.83886303795"/>
    <n v="55"/>
    <n v="50.5"/>
    <n v="54.727168681698679"/>
    <n v="7258824"/>
  </r>
  <r>
    <x v="1"/>
    <n v="202606"/>
    <x v="0"/>
    <x v="11"/>
    <s v="Sofía V"/>
    <s v="José A"/>
    <n v="128989"/>
    <n v="6904548"/>
    <n v="53.528319444444215"/>
    <n v="128418.64270393242"/>
    <n v="61"/>
    <n v="60"/>
    <n v="53.7842448352594"/>
    <n v="6906900"/>
  </r>
  <r>
    <x v="1"/>
    <n v="202406"/>
    <x v="2"/>
    <x v="11"/>
    <s v="Sofía V"/>
    <s v="José A"/>
    <n v="128464"/>
    <n v="6523081"/>
    <n v="50.777465277777814"/>
    <n v="0"/>
    <n v="61"/>
    <n v="60"/>
    <m/>
    <n v="0"/>
  </r>
  <r>
    <x v="5"/>
    <n v="202503"/>
    <x v="1"/>
    <x v="0"/>
    <s v="Sebastián S"/>
    <s v="Rodolfo O"/>
    <n v="128455"/>
    <n v="7573634"/>
    <n v="58.959475806451643"/>
    <n v="114921.40252296934"/>
    <n v="68.5"/>
    <n v="66"/>
    <n v="65.902732421719776"/>
    <n v="7200893"/>
  </r>
  <r>
    <x v="27"/>
    <n v="202512"/>
    <x v="1"/>
    <x v="1"/>
    <s v="Sofía V"/>
    <s v="Joe H"/>
    <n v="128376"/>
    <n v="7571145"/>
    <n v="58.976129032258029"/>
    <n v="111278.41452496637"/>
    <n v="62"/>
    <n v="58"/>
    <n v="68.037858306305594"/>
    <n v="7683578"/>
  </r>
  <r>
    <x v="20"/>
    <n v="202603"/>
    <x v="0"/>
    <x v="0"/>
    <s v="Sofía V"/>
    <s v="Joe H"/>
    <n v="128144"/>
    <n v="11511184"/>
    <n v="89.829758064516142"/>
    <n v="152834.02529188822"/>
    <n v="96.5"/>
    <n v="96"/>
    <n v="83.321494048065787"/>
    <n v="12734359"/>
  </r>
  <r>
    <x v="6"/>
    <n v="202604"/>
    <x v="0"/>
    <x v="9"/>
    <s v="Sebastián S"/>
    <s v="Vik E"/>
    <n v="127978"/>
    <n v="10559330"/>
    <n v="82.509048611113272"/>
    <n v="114140.67346893487"/>
    <n v="100"/>
    <n v="98"/>
    <n v="86.393284871267369"/>
    <n v="9860988"/>
  </r>
  <r>
    <x v="1"/>
    <n v="202505"/>
    <x v="1"/>
    <x v="3"/>
    <s v="Sofía V"/>
    <s v="José A"/>
    <n v="127882"/>
    <n v="6896889"/>
    <n v="53.931518817204321"/>
    <n v="126213.86713109347"/>
    <n v="61"/>
    <n v="60"/>
    <n v="54.644466228393654"/>
    <n v="6606230"/>
  </r>
  <r>
    <x v="10"/>
    <n v="202602"/>
    <x v="0"/>
    <x v="2"/>
    <s v="Sofía V"/>
    <s v="Melany A"/>
    <n v="127786"/>
    <n v="11615479"/>
    <n v="90.897916666666632"/>
    <n v="100101.63634092303"/>
    <n v="125"/>
    <n v="118.5"/>
    <n v="102.97612103755296"/>
    <n v="10308078"/>
  </r>
  <r>
    <x v="1"/>
    <n v="202604"/>
    <x v="0"/>
    <x v="9"/>
    <s v="Sofía V"/>
    <s v="José A"/>
    <n v="127766"/>
    <n v="6934665"/>
    <n v="54.276104166667338"/>
    <n v="118760.1376177097"/>
    <n v="61"/>
    <n v="60"/>
    <n v="53.7842448352594"/>
    <n v="6387424"/>
  </r>
  <r>
    <x v="11"/>
    <n v="202503"/>
    <x v="1"/>
    <x v="0"/>
    <s v="Sofía V"/>
    <s v="José A"/>
    <n v="127747"/>
    <n v="11605448"/>
    <n v="90.846780913978407"/>
    <n v="120362.81754982284"/>
    <n v="86.5"/>
    <n v="81.5"/>
    <n v="96.420540713879987"/>
    <n v="11190755"/>
  </r>
  <r>
    <x v="20"/>
    <n v="202412"/>
    <x v="2"/>
    <x v="1"/>
    <s v="Sofía V"/>
    <s v="Joe H"/>
    <n v="127590"/>
    <n v="13512958"/>
    <n v="105.90929435483868"/>
    <n v="0"/>
    <n v="96.5"/>
    <n v="96"/>
    <m/>
    <n v="0"/>
  </r>
  <r>
    <x v="15"/>
    <n v="202412"/>
    <x v="2"/>
    <x v="1"/>
    <s v="Sofía V"/>
    <s v="Joe H"/>
    <n v="127519"/>
    <n v="13269636"/>
    <n v="104.06003360215061"/>
    <n v="0"/>
    <n v="101"/>
    <n v="105"/>
    <m/>
    <n v="0"/>
  </r>
  <r>
    <x v="28"/>
    <n v="202512"/>
    <x v="1"/>
    <x v="1"/>
    <s v="Sebastián S"/>
    <s v="Rodolfo O"/>
    <n v="126924"/>
    <n v="8524849"/>
    <n v="67.164811827956953"/>
    <n v="131799.54296563487"/>
    <n v="65.5"/>
    <n v="66"/>
    <n v="64.680413817692411"/>
    <n v="9503499"/>
  </r>
  <r>
    <x v="7"/>
    <n v="202503"/>
    <x v="1"/>
    <x v="0"/>
    <s v="Sebastián S"/>
    <s v="Rodolfo O"/>
    <n v="126906"/>
    <n v="7302910"/>
    <n v="57.545739247311815"/>
    <n v="87374.703451916896"/>
    <n v="65.5"/>
    <n v="63"/>
    <n v="83.581516062241732"/>
    <n v="6251125"/>
  </r>
  <r>
    <x v="29"/>
    <n v="202412"/>
    <x v="2"/>
    <x v="1"/>
    <s v="Sebastián S"/>
    <s v="Vik E"/>
    <n v="126753"/>
    <n v="10508272"/>
    <n v="82.903662634408661"/>
    <n v="0"/>
    <n v="76.5"/>
    <n v="75.5"/>
    <m/>
    <n v="0"/>
  </r>
  <r>
    <x v="17"/>
    <n v="202512"/>
    <x v="1"/>
    <x v="1"/>
    <s v="Sofía V"/>
    <s v="Joe H"/>
    <n v="126695"/>
    <n v="12604025"/>
    <n v="99.482842741935372"/>
    <n v="120876.51435617114"/>
    <n v="94"/>
    <n v="92"/>
    <n v="104.27190622705547"/>
    <n v="11782917"/>
  </r>
  <r>
    <x v="30"/>
    <n v="202503"/>
    <x v="1"/>
    <x v="0"/>
    <s v="Sebastián S"/>
    <s v="Vik E"/>
    <n v="126391"/>
    <n v="10527945"/>
    <n v="83.296848118279499"/>
    <n v="123712.96027798795"/>
    <n v="101.5"/>
    <n v="97.5"/>
    <n v="85.099777794850951"/>
    <n v="10494519"/>
  </r>
  <r>
    <x v="15"/>
    <n v="202604"/>
    <x v="0"/>
    <x v="9"/>
    <s v="Sofía V"/>
    <s v="Joe H"/>
    <n v="126182"/>
    <n v="10790778"/>
    <n v="85.517687500002026"/>
    <n v="101835.25469292338"/>
    <n v="101"/>
    <n v="105"/>
    <n v="90.439897606894348"/>
    <n v="9209970"/>
  </r>
  <r>
    <x v="1"/>
    <n v="202602"/>
    <x v="0"/>
    <x v="2"/>
    <s v="Sofía V"/>
    <s v="José A"/>
    <n v="125714"/>
    <n v="7240401"/>
    <n v="57.594375000000007"/>
    <n v="123082.36956708538"/>
    <n v="61"/>
    <n v="60"/>
    <n v="53.7842448352594"/>
    <n v="6619892"/>
  </r>
  <r>
    <x v="8"/>
    <n v="202503"/>
    <x v="1"/>
    <x v="0"/>
    <s v="Sebastián S"/>
    <s v="Vik E"/>
    <n v="125699"/>
    <n v="10029563"/>
    <n v="79.790120967741913"/>
    <n v="115153.94616053592"/>
    <n v="88"/>
    <n v="84"/>
    <n v="87.097000010905489"/>
    <n v="9742404"/>
  </r>
  <r>
    <x v="14"/>
    <n v="202605"/>
    <x v="0"/>
    <x v="3"/>
    <s v="Sofía V"/>
    <s v="Melany A"/>
    <n v="125623"/>
    <n v="6281220"/>
    <n v="50.000463709677327"/>
    <n v="100701.16609400834"/>
    <n v="59.5"/>
    <n v="55.5"/>
    <n v="53.278949580299148"/>
    <n v="5365252"/>
  </r>
  <r>
    <x v="17"/>
    <n v="202605"/>
    <x v="0"/>
    <x v="3"/>
    <s v="Sofía V"/>
    <s v="Joe H"/>
    <n v="125614"/>
    <n v="10527717"/>
    <n v="83.809946236558275"/>
    <n v="121236.94174037661"/>
    <n v="94"/>
    <n v="92"/>
    <n v="81.933174564661712"/>
    <n v="9933328"/>
  </r>
  <r>
    <x v="28"/>
    <n v="202412"/>
    <x v="2"/>
    <x v="1"/>
    <s v="Sebastián S"/>
    <s v="Rodolfo O"/>
    <n v="125523"/>
    <n v="8758233"/>
    <n v="69.773723118279591"/>
    <n v="0"/>
    <n v="65.5"/>
    <n v="66"/>
    <m/>
    <n v="0"/>
  </r>
  <r>
    <x v="29"/>
    <n v="202512"/>
    <x v="1"/>
    <x v="1"/>
    <s v="Sebastián S"/>
    <s v="Vik E"/>
    <n v="125437"/>
    <n v="10564461"/>
    <n v="84.221055107526752"/>
    <n v="133090.45014279668"/>
    <n v="76.5"/>
    <n v="75.5"/>
    <n v="79.37805085688025"/>
    <n v="11910918"/>
  </r>
  <r>
    <x v="31"/>
    <n v="202403"/>
    <x v="2"/>
    <x v="0"/>
    <s v="Sofía V"/>
    <s v="Melany A"/>
    <n v="125360"/>
    <n v="15304566"/>
    <n v="122.08522177419353"/>
    <n v="0"/>
    <n v="99"/>
    <n v="32.5"/>
    <m/>
    <n v="0"/>
  </r>
  <r>
    <x v="8"/>
    <n v="202605"/>
    <x v="0"/>
    <x v="3"/>
    <s v="Sebastián S"/>
    <s v="Vik E"/>
    <n v="125355"/>
    <n v="9640271"/>
    <n v="76.90370295698871"/>
    <n v="112556.34636325599"/>
    <n v="88"/>
    <n v="84"/>
    <n v="78.31726123421582"/>
    <n v="8815105"/>
  </r>
  <r>
    <x v="11"/>
    <n v="202407"/>
    <x v="2"/>
    <x v="6"/>
    <s v="Sofía V"/>
    <s v="José A"/>
    <n v="125261"/>
    <n v="11655660"/>
    <n v="93.051122311827825"/>
    <n v="0"/>
    <n v="86.5"/>
    <n v="81.5"/>
    <m/>
    <n v="0"/>
  </r>
  <r>
    <x v="25"/>
    <n v="202412"/>
    <x v="2"/>
    <x v="1"/>
    <s v="Sebastián S"/>
    <s v="Vik E"/>
    <n v="125259"/>
    <n v="9604739"/>
    <n v="76.678743279569943"/>
    <n v="0"/>
    <n v="77"/>
    <n v="79"/>
    <m/>
    <n v="0"/>
  </r>
  <r>
    <x v="24"/>
    <n v="202512"/>
    <x v="1"/>
    <x v="1"/>
    <s v="Sofía V"/>
    <s v="Joe H"/>
    <n v="125209"/>
    <n v="9113625"/>
    <n v="72.787345430107493"/>
    <n v="135987.55497625214"/>
    <n v="71"/>
    <n v="74.5"/>
    <n v="67.018083320871085"/>
    <n v="9685862"/>
  </r>
  <r>
    <x v="11"/>
    <n v="202512"/>
    <x v="1"/>
    <x v="1"/>
    <s v="Sofía V"/>
    <s v="José A"/>
    <n v="125025"/>
    <n v="10485945"/>
    <n v="83.870584677419288"/>
    <n v="143490.03677808429"/>
    <n v="86.5"/>
    <n v="81.5"/>
    <n v="73.077858473317747"/>
    <n v="14761073"/>
  </r>
  <r>
    <x v="32"/>
    <n v="202512"/>
    <x v="1"/>
    <x v="1"/>
    <s v="Sofía V"/>
    <s v="Melany A"/>
    <n v="124674"/>
    <n v="8072732"/>
    <n v="64.750799731182781"/>
    <n v="115243.46339574222"/>
    <n v="75.5"/>
    <n v="68"/>
    <n v="70.04936976146324"/>
    <n v="8703573"/>
  </r>
  <r>
    <x v="3"/>
    <n v="202601"/>
    <x v="0"/>
    <x v="10"/>
    <s v="Sebastián S"/>
    <s v="Rodolfo O"/>
    <n v="124635"/>
    <n v="10522432"/>
    <n v="84.426303763440899"/>
    <n v="112747.5089768649"/>
    <n v="98.5"/>
    <n v="96.5"/>
    <n v="87.166669283279759"/>
    <n v="9827825"/>
  </r>
  <r>
    <x v="30"/>
    <n v="202603"/>
    <x v="0"/>
    <x v="0"/>
    <s v="Sebastián S"/>
    <s v="Vik E"/>
    <n v="124619"/>
    <n v="10444114"/>
    <n v="83.808158602150556"/>
    <n v="114740.99096575812"/>
    <n v="101.5"/>
    <n v="97.5"/>
    <n v="87.689184144336366"/>
    <n v="10061544"/>
  </r>
  <r>
    <x v="8"/>
    <n v="202604"/>
    <x v="0"/>
    <x v="9"/>
    <s v="Sebastián S"/>
    <s v="Vik E"/>
    <n v="124487"/>
    <n v="9202315"/>
    <n v="73.922041666668335"/>
    <n v="107035.70151324039"/>
    <n v="88"/>
    <n v="84"/>
    <n v="78.31726123421582"/>
    <n v="8382743"/>
  </r>
  <r>
    <x v="2"/>
    <n v="202511"/>
    <x v="1"/>
    <x v="7"/>
    <s v="Sofía V"/>
    <s v="José A"/>
    <n v="124332"/>
    <n v="8649497"/>
    <n v="69.567555555555586"/>
    <n v="118493.87584226183"/>
    <n v="76.5"/>
    <n v="80"/>
    <n v="72.995310588997413"/>
    <n v="7853374"/>
  </r>
  <r>
    <x v="14"/>
    <n v="202604"/>
    <x v="0"/>
    <x v="9"/>
    <s v="Sofía V"/>
    <s v="Melany A"/>
    <n v="124230"/>
    <n v="6000820"/>
    <n v="48.304131944445061"/>
    <n v="94792.233174347115"/>
    <n v="59.5"/>
    <n v="55.5"/>
    <n v="53.278949580299148"/>
    <n v="5050431"/>
  </r>
  <r>
    <x v="7"/>
    <n v="202606"/>
    <x v="0"/>
    <x v="11"/>
    <s v="Sebastián S"/>
    <s v="Rodolfo O"/>
    <n v="124183"/>
    <n v="6254351"/>
    <n v="50.364173611111141"/>
    <n v="108383.53646979666"/>
    <n v="65.5"/>
    <n v="63"/>
    <n v="55.389519717073902"/>
    <n v="6003312"/>
  </r>
  <r>
    <x v="11"/>
    <n v="202507"/>
    <x v="1"/>
    <x v="6"/>
    <s v="Sofía V"/>
    <s v="José A"/>
    <n v="124052"/>
    <n v="10864044"/>
    <n v="87.57639784946241"/>
    <n v="131523.8636777233"/>
    <n v="86.5"/>
    <n v="81.5"/>
    <n v="82.601312539148623"/>
    <n v="12214398"/>
  </r>
  <r>
    <x v="6"/>
    <n v="202403"/>
    <x v="2"/>
    <x v="0"/>
    <s v="Sebastián S"/>
    <s v="Vik E"/>
    <n v="124034"/>
    <n v="11647939"/>
    <n v="93.909469086021531"/>
    <n v="0"/>
    <n v="100"/>
    <n v="98"/>
    <m/>
    <n v="0"/>
  </r>
  <r>
    <x v="1"/>
    <n v="202501"/>
    <x v="1"/>
    <x v="10"/>
    <s v="Sofía V"/>
    <s v="José A"/>
    <n v="123974"/>
    <n v="6603868"/>
    <n v="53.268306451612915"/>
    <n v="122760.96726608487"/>
    <n v="61"/>
    <n v="60"/>
    <n v="53.794527015139025"/>
    <n v="6651407"/>
  </r>
  <r>
    <x v="7"/>
    <n v="202605"/>
    <x v="0"/>
    <x v="3"/>
    <s v="Sebastián S"/>
    <s v="Rodolfo O"/>
    <n v="123778"/>
    <n v="6998744"/>
    <n v="56.542923387096927"/>
    <n v="115011.4737867334"/>
    <n v="65.5"/>
    <n v="63"/>
    <n v="55.389519717073902"/>
    <n v="6370430"/>
  </r>
  <r>
    <x v="4"/>
    <n v="202511"/>
    <x v="1"/>
    <x v="7"/>
    <s v="Sofía V"/>
    <s v="José A"/>
    <n v="123664"/>
    <n v="10619792"/>
    <n v="85.876486111111163"/>
    <n v="100564.50922543666"/>
    <n v="107.5"/>
    <n v="102.5"/>
    <n v="105.6017906495569"/>
    <n v="9832946"/>
  </r>
  <r>
    <x v="28"/>
    <n v="202503"/>
    <x v="1"/>
    <x v="0"/>
    <s v="Sebastián S"/>
    <s v="Rodolfo O"/>
    <n v="123658"/>
    <n v="7417542"/>
    <n v="59.984495967741957"/>
    <n v="125470.23393001349"/>
    <n v="65.5"/>
    <n v="66"/>
    <n v="59.11794413436305"/>
    <n v="7764161"/>
  </r>
  <r>
    <x v="33"/>
    <n v="202512"/>
    <x v="1"/>
    <x v="1"/>
    <s v="Sofía V"/>
    <s v="José A"/>
    <n v="123594"/>
    <n v="12145136"/>
    <n v="98.266592741935341"/>
    <n v="120594.04085445596"/>
    <n v="93.5"/>
    <n v="94"/>
    <n v="100.71091609458442"/>
    <n v="11941678"/>
  </r>
  <r>
    <x v="30"/>
    <n v="202512"/>
    <x v="1"/>
    <x v="1"/>
    <s v="Sebastián S"/>
    <s v="Vik E"/>
    <n v="123536"/>
    <n v="10770884"/>
    <n v="87.188293010752673"/>
    <n v="116064.59778662221"/>
    <n v="101.5"/>
    <n v="97.5"/>
    <n v="92.800768497915442"/>
    <n v="12764237"/>
  </r>
  <r>
    <x v="3"/>
    <n v="202606"/>
    <x v="0"/>
    <x v="11"/>
    <s v="Sebastián S"/>
    <s v="Rodolfo O"/>
    <n v="123365"/>
    <n v="10402007"/>
    <n v="84.319277777780243"/>
    <n v="115349.41384445751"/>
    <n v="98.5"/>
    <n v="96.5"/>
    <n v="87.166669283279759"/>
    <n v="10054624"/>
  </r>
  <r>
    <x v="1"/>
    <n v="202409"/>
    <x v="2"/>
    <x v="4"/>
    <s v="Sofía V"/>
    <s v="José A"/>
    <n v="123201"/>
    <n v="6618254"/>
    <n v="53.719166666666695"/>
    <n v="0"/>
    <n v="61"/>
    <n v="60"/>
    <m/>
    <n v="0"/>
  </r>
  <r>
    <x v="28"/>
    <n v="202603"/>
    <x v="0"/>
    <x v="0"/>
    <s v="Sebastián S"/>
    <s v="Rodolfo O"/>
    <n v="123057"/>
    <n v="7688902"/>
    <n v="62.48252688172046"/>
    <n v="131553.57762963322"/>
    <n v="65.5"/>
    <n v="66"/>
    <n v="55.812340478272937"/>
    <n v="7342313"/>
  </r>
  <r>
    <x v="11"/>
    <n v="202509"/>
    <x v="1"/>
    <x v="4"/>
    <s v="Sofía V"/>
    <s v="José A"/>
    <n v="122960"/>
    <n v="9606492"/>
    <n v="78.126951388888855"/>
    <n v="119798.6733219189"/>
    <n v="86.5"/>
    <n v="81.5"/>
    <n v="80.188631757096061"/>
    <n v="9754738"/>
  </r>
  <r>
    <x v="6"/>
    <n v="202602"/>
    <x v="0"/>
    <x v="2"/>
    <s v="Sebastián S"/>
    <s v="Vik E"/>
    <n v="122901"/>
    <n v="10786735"/>
    <n v="87.767968749999994"/>
    <n v="114540.39380543392"/>
    <n v="100"/>
    <n v="98"/>
    <n v="86.393284871267369"/>
    <n v="9895521"/>
  </r>
  <r>
    <x v="15"/>
    <n v="202511"/>
    <x v="1"/>
    <x v="7"/>
    <s v="Sofía V"/>
    <s v="Joe H"/>
    <n v="122790"/>
    <n v="10610599"/>
    <n v="86.412326388888928"/>
    <n v="109492.04868205982"/>
    <n v="101"/>
    <n v="105"/>
    <n v="96.907484769152362"/>
    <n v="10457442"/>
  </r>
  <r>
    <x v="5"/>
    <n v="202605"/>
    <x v="0"/>
    <x v="3"/>
    <s v="Sebastián S"/>
    <s v="Rodolfo O"/>
    <n v="122732"/>
    <n v="7362386"/>
    <n v="59.987365591397605"/>
    <n v="114648.54931131439"/>
    <n v="68.5"/>
    <n v="66"/>
    <n v="59.179400136818131"/>
    <n v="6784832"/>
  </r>
  <r>
    <x v="15"/>
    <n v="202507"/>
    <x v="1"/>
    <x v="6"/>
    <s v="Sofía V"/>
    <s v="Joe H"/>
    <n v="122706"/>
    <n v="9625076"/>
    <n v="78.440362903225818"/>
    <n v="127414.52709941164"/>
    <n v="101"/>
    <n v="105"/>
    <n v="75.541435965855769"/>
    <n v="11419719"/>
  </r>
  <r>
    <x v="12"/>
    <n v="202412"/>
    <x v="2"/>
    <x v="1"/>
    <s v="Sofía V"/>
    <s v="Melany A"/>
    <n v="122608"/>
    <n v="12278448"/>
    <n v="100.14375000000003"/>
    <n v="0"/>
    <n v="96.5"/>
    <n v="94"/>
    <m/>
    <n v="0"/>
  </r>
  <r>
    <x v="10"/>
    <n v="202412"/>
    <x v="2"/>
    <x v="1"/>
    <s v="Sofía V"/>
    <s v="Melany A"/>
    <n v="122113"/>
    <n v="14393863"/>
    <n v="117.87374327956984"/>
    <n v="0"/>
    <n v="125"/>
    <n v="118.5"/>
    <m/>
    <n v="0"/>
  </r>
  <r>
    <x v="34"/>
    <n v="202606"/>
    <x v="0"/>
    <x v="11"/>
    <s v="Hernán P"/>
    <s v="Daniel R"/>
    <n v="122028"/>
    <n v="1165952"/>
    <n v="9.5547569444444491"/>
    <n v="73326.784872190285"/>
    <n v="15"/>
    <n v="15"/>
    <n v="13.971887755419019"/>
    <n v="1024514"/>
  </r>
  <r>
    <x v="4"/>
    <n v="202412"/>
    <x v="2"/>
    <x v="1"/>
    <s v="Sofía V"/>
    <s v="José A"/>
    <n v="122017"/>
    <n v="14932341"/>
    <n v="122.37952284946229"/>
    <n v="0"/>
    <n v="107.5"/>
    <n v="102.5"/>
    <m/>
    <n v="0"/>
  </r>
  <r>
    <x v="2"/>
    <n v="202603"/>
    <x v="0"/>
    <x v="0"/>
    <s v="Sofía V"/>
    <s v="José A"/>
    <n v="121962"/>
    <n v="9334129"/>
    <n v="76.532956989247296"/>
    <n v="138625.43672875984"/>
    <n v="76.5"/>
    <n v="80"/>
    <n v="67.450733277005639"/>
    <n v="9350387"/>
  </r>
  <r>
    <x v="4"/>
    <n v="202603"/>
    <x v="0"/>
    <x v="0"/>
    <s v="Sofía V"/>
    <s v="José A"/>
    <n v="121745"/>
    <n v="11745132"/>
    <n v="96.473595430107508"/>
    <n v="115386.39285004592"/>
    <n v="107.5"/>
    <n v="102.5"/>
    <n v="96.70800932222366"/>
    <n v="11158788"/>
  </r>
  <r>
    <x v="35"/>
    <n v="202605"/>
    <x v="0"/>
    <x v="3"/>
    <s v="Hernán P"/>
    <s v="Daniel R"/>
    <n v="121694"/>
    <n v="12787907"/>
    <n v="105.08274865591315"/>
    <n v="103846.49919956453"/>
    <n v="140.5"/>
    <n v="125.5"/>
    <n v="117.18897502469719"/>
    <n v="12169665"/>
  </r>
  <r>
    <x v="15"/>
    <n v="202503"/>
    <x v="1"/>
    <x v="0"/>
    <s v="Sofía V"/>
    <s v="Joe H"/>
    <n v="121503"/>
    <n v="10544498"/>
    <n v="86.784005376344055"/>
    <n v="121842.77484750219"/>
    <n v="101"/>
    <n v="105"/>
    <n v="86.541842905313359"/>
    <n v="10553386"/>
  </r>
  <r>
    <x v="15"/>
    <n v="202407"/>
    <x v="2"/>
    <x v="6"/>
    <s v="Sofía V"/>
    <s v="Joe H"/>
    <n v="121347"/>
    <n v="10506378"/>
    <n v="86.58115591397852"/>
    <n v="0"/>
    <n v="101"/>
    <n v="105"/>
    <m/>
    <n v="0"/>
  </r>
  <r>
    <x v="36"/>
    <n v="202512"/>
    <x v="1"/>
    <x v="1"/>
    <s v="Sebastián S"/>
    <s v="Rodolfo O"/>
    <n v="121234"/>
    <n v="9232864"/>
    <n v="76.157130376344043"/>
    <n v="116350.807573667"/>
    <n v="81"/>
    <n v="77"/>
    <n v="79.353671732396478"/>
    <n v="10159534"/>
  </r>
  <r>
    <x v="21"/>
    <n v="202412"/>
    <x v="2"/>
    <x v="1"/>
    <s v="Sebastián S"/>
    <s v="Rodolfo O"/>
    <n v="121229"/>
    <n v="10322704"/>
    <n v="85.150672043010744"/>
    <n v="0"/>
    <n v="84.5"/>
    <n v="86.5"/>
    <m/>
    <n v="0"/>
  </r>
  <r>
    <x v="11"/>
    <n v="202505"/>
    <x v="1"/>
    <x v="3"/>
    <s v="Sofía V"/>
    <s v="José A"/>
    <n v="120971"/>
    <n v="10406454"/>
    <n v="86.024590053763376"/>
    <n v="108260.06488602018"/>
    <n v="86.5"/>
    <n v="81.5"/>
    <n v="96.124590549213693"/>
    <n v="10085642"/>
  </r>
  <r>
    <x v="3"/>
    <n v="202503"/>
    <x v="1"/>
    <x v="0"/>
    <s v="Sebastián S"/>
    <s v="Rodolfo O"/>
    <n v="120956"/>
    <n v="11059698"/>
    <n v="91.435336021505307"/>
    <n v="120896.88741263513"/>
    <n v="98.5"/>
    <n v="96.5"/>
    <n v="91.480416549120633"/>
    <n v="12315081"/>
  </r>
  <r>
    <x v="33"/>
    <n v="202603"/>
    <x v="0"/>
    <x v="0"/>
    <s v="Sofía V"/>
    <s v="José A"/>
    <n v="120904"/>
    <n v="10383142"/>
    <n v="85.879038978494563"/>
    <n v="117800.62719711983"/>
    <n v="93.5"/>
    <n v="94"/>
    <n v="84.619508156945685"/>
    <n v="9968231"/>
  </r>
  <r>
    <x v="29"/>
    <n v="202603"/>
    <x v="0"/>
    <x v="0"/>
    <s v="Sebastián S"/>
    <s v="Vik E"/>
    <n v="120499"/>
    <n v="8437311"/>
    <n v="70.019899193548412"/>
    <n v="118051.21856134386"/>
    <n v="76.5"/>
    <n v="75.5"/>
    <n v="67.697971575339096"/>
    <n v="7991828"/>
  </r>
  <r>
    <x v="20"/>
    <n v="202601"/>
    <x v="0"/>
    <x v="10"/>
    <s v="Sofía V"/>
    <s v="Joe H"/>
    <n v="120493"/>
    <n v="10143449"/>
    <n v="84.183232526881724"/>
    <n v="129912.11464541998"/>
    <n v="96.5"/>
    <n v="96"/>
    <n v="83.321494048065787"/>
    <n v="10824471"/>
  </r>
  <r>
    <x v="8"/>
    <n v="202511"/>
    <x v="1"/>
    <x v="7"/>
    <s v="Sebastián S"/>
    <s v="Vik E"/>
    <n v="120361"/>
    <n v="9580151"/>
    <n v="79.594861111111172"/>
    <n v="98943.671012343766"/>
    <n v="88"/>
    <n v="84"/>
    <n v="96.824289941746983"/>
    <n v="8608878"/>
  </r>
  <r>
    <x v="37"/>
    <n v="202503"/>
    <x v="1"/>
    <x v="0"/>
    <s v="Sofía V"/>
    <s v="Melany A"/>
    <n v="120289"/>
    <n v="7107254"/>
    <n v="59.084845430107499"/>
    <n v="102617.39737322778"/>
    <n v="72.5"/>
    <n v="68.5"/>
    <n v="69.259741836467953"/>
    <n v="6868134"/>
  </r>
  <r>
    <x v="1"/>
    <n v="202405"/>
    <x v="2"/>
    <x v="3"/>
    <s v="Sofía V"/>
    <s v="José A"/>
    <n v="120204"/>
    <n v="6091120"/>
    <n v="50.673319892473131"/>
    <n v="0"/>
    <n v="61"/>
    <n v="60"/>
    <m/>
    <n v="0"/>
  </r>
  <r>
    <x v="0"/>
    <n v="202503"/>
    <x v="1"/>
    <x v="0"/>
    <s v="Fátima L"/>
    <s v="Fátima L"/>
    <n v="120140"/>
    <n v="3107812"/>
    <n v="25.868245967741938"/>
    <n v="76191.686301223745"/>
    <n v="13.5"/>
    <n v="12.5"/>
    <n v="40.789379141882634"/>
    <n v="941378"/>
  </r>
  <r>
    <x v="19"/>
    <n v="202603"/>
    <x v="0"/>
    <x v="0"/>
    <s v="Sofía V"/>
    <s v="Joe H"/>
    <n v="120071"/>
    <n v="6484451"/>
    <n v="54.005282258064511"/>
    <n v="132658.56321990382"/>
    <n v="57.5"/>
    <n v="56.5"/>
    <n v="50.698263574219922"/>
    <n v="6725559"/>
  </r>
  <r>
    <x v="29"/>
    <n v="202403"/>
    <x v="2"/>
    <x v="0"/>
    <s v="Sebastián S"/>
    <s v="Vik E"/>
    <n v="119878"/>
    <n v="9145975"/>
    <n v="76.293790322580648"/>
    <n v="0"/>
    <n v="76.5"/>
    <n v="75.5"/>
    <m/>
    <n v="0"/>
  </r>
  <r>
    <x v="20"/>
    <n v="202605"/>
    <x v="0"/>
    <x v="3"/>
    <s v="Sofía V"/>
    <s v="Joe H"/>
    <n v="119824"/>
    <n v="10442437"/>
    <n v="87.148212365590808"/>
    <n v="132364.57245519134"/>
    <n v="96.5"/>
    <n v="96"/>
    <n v="83.321494048065787"/>
    <n v="11028814"/>
  </r>
  <r>
    <x v="1"/>
    <n v="202506"/>
    <x v="1"/>
    <x v="11"/>
    <s v="Sofía V"/>
    <s v="José A"/>
    <n v="119743"/>
    <n v="6420726"/>
    <n v="53.620826388888894"/>
    <n v="134887.29141029992"/>
    <n v="61"/>
    <n v="60"/>
    <n v="47.600675963382244"/>
    <n v="6662679"/>
  </r>
  <r>
    <x v="16"/>
    <n v="202403"/>
    <x v="2"/>
    <x v="0"/>
    <s v="Sofía V"/>
    <s v="José A"/>
    <n v="119738"/>
    <n v="7077844"/>
    <n v="59.110860215053783"/>
    <n v="0"/>
    <n v="64"/>
    <n v="67"/>
    <m/>
    <n v="0"/>
  </r>
  <r>
    <x v="20"/>
    <n v="202604"/>
    <x v="0"/>
    <x v="9"/>
    <s v="Sofía V"/>
    <s v="Joe H"/>
    <n v="119706"/>
    <n v="10206022"/>
    <n v="85.258881944446841"/>
    <n v="141890.44670970403"/>
    <n v="96.5"/>
    <n v="96"/>
    <n v="83.321494048065787"/>
    <n v="11822524"/>
  </r>
  <r>
    <x v="27"/>
    <n v="202603"/>
    <x v="0"/>
    <x v="0"/>
    <s v="Sofía V"/>
    <s v="Joe H"/>
    <n v="119695"/>
    <n v="6432504"/>
    <n v="53.740665322580661"/>
    <n v="107383.13805009029"/>
    <n v="62"/>
    <n v="58"/>
    <n v="54.66595376698497"/>
    <n v="5870202"/>
  </r>
  <r>
    <x v="6"/>
    <n v="202511"/>
    <x v="1"/>
    <x v="7"/>
    <s v="Sebastián S"/>
    <s v="Vik E"/>
    <n v="119583"/>
    <n v="10277193"/>
    <n v="85.941819444444505"/>
    <n v="103626.71771521609"/>
    <n v="100"/>
    <n v="98"/>
    <n v="99.175124587497606"/>
    <n v="9287877"/>
  </r>
  <r>
    <x v="2"/>
    <n v="202507"/>
    <x v="1"/>
    <x v="6"/>
    <s v="Sofía V"/>
    <s v="José A"/>
    <n v="119561"/>
    <n v="8149070"/>
    <n v="68.15826612903227"/>
    <n v="124122.63882738908"/>
    <n v="76.5"/>
    <n v="80"/>
    <n v="65.653372317780722"/>
    <n v="8471773"/>
  </r>
  <r>
    <x v="14"/>
    <n v="202503"/>
    <x v="1"/>
    <x v="0"/>
    <s v="Sofía V"/>
    <s v="Melany A"/>
    <n v="119551"/>
    <n v="6436913"/>
    <n v="53.842325268817198"/>
    <n v="111379.65905814184"/>
    <n v="59.5"/>
    <n v="55.5"/>
    <n v="57.792538731330069"/>
    <n v="6168236"/>
  </r>
  <r>
    <x v="3"/>
    <n v="202511"/>
    <x v="1"/>
    <x v="7"/>
    <s v="Sebastián S"/>
    <s v="Rodolfo O"/>
    <n v="119548"/>
    <n v="10556503"/>
    <n v="88.303444444444509"/>
    <n v="109455.43166215495"/>
    <n v="98.5"/>
    <n v="96.5"/>
    <n v="96.445677566588913"/>
    <n v="8535997"/>
  </r>
  <r>
    <x v="28"/>
    <n v="202403"/>
    <x v="2"/>
    <x v="0"/>
    <s v="Sebastián S"/>
    <s v="Rodolfo O"/>
    <n v="119495"/>
    <n v="7545730"/>
    <n v="63.146586021505392"/>
    <n v="0"/>
    <n v="65.5"/>
    <n v="66"/>
    <m/>
    <n v="0"/>
  </r>
  <r>
    <x v="6"/>
    <n v="202605"/>
    <x v="0"/>
    <x v="3"/>
    <s v="Sebastián S"/>
    <s v="Vik E"/>
    <n v="119407"/>
    <n v="11118522"/>
    <n v="93.114771505377036"/>
    <n v="120228.60825326118"/>
    <n v="100"/>
    <n v="98"/>
    <n v="86.393284871267369"/>
    <n v="10386944"/>
  </r>
  <r>
    <x v="35"/>
    <n v="202606"/>
    <x v="0"/>
    <x v="11"/>
    <s v="Hernán P"/>
    <s v="Daniel R"/>
    <n v="119394"/>
    <n v="12302365"/>
    <n v="103.04038888889117"/>
    <n v="100554.75198683646"/>
    <n v="140.5"/>
    <n v="125.5"/>
    <n v="117.18897502469719"/>
    <n v="11783908"/>
  </r>
  <r>
    <x v="11"/>
    <n v="202408"/>
    <x v="2"/>
    <x v="5"/>
    <s v="Sofía V"/>
    <s v="José A"/>
    <n v="119257"/>
    <n v="11255898"/>
    <n v="94.383897849462286"/>
    <n v="0"/>
    <n v="86.5"/>
    <n v="81.5"/>
    <m/>
    <n v="0"/>
  </r>
  <r>
    <x v="38"/>
    <n v="202512"/>
    <x v="1"/>
    <x v="1"/>
    <s v="Sofía V"/>
    <s v="Melany A"/>
    <n v="119238"/>
    <n v="6746518"/>
    <n v="56.580463709677375"/>
    <n v="94928.500299965861"/>
    <n v="56"/>
    <n v="60"/>
    <n v="71.069468902190451"/>
    <n v="6482598"/>
  </r>
  <r>
    <x v="6"/>
    <n v="202601"/>
    <x v="0"/>
    <x v="10"/>
    <s v="Sebastián S"/>
    <s v="Vik E"/>
    <n v="119201"/>
    <n v="10454554"/>
    <n v="87.704966397849461"/>
    <n v="113159.87525613092"/>
    <n v="100"/>
    <n v="98"/>
    <n v="86.393284871267369"/>
    <n v="9776253"/>
  </r>
  <r>
    <x v="15"/>
    <n v="202603"/>
    <x v="0"/>
    <x v="0"/>
    <s v="Sofía V"/>
    <s v="Joe H"/>
    <n v="119167"/>
    <n v="11426947"/>
    <n v="95.890356182795671"/>
    <n v="119568.63339234533"/>
    <n v="101"/>
    <n v="105"/>
    <n v="90.439897606894348"/>
    <n v="10813775"/>
  </r>
  <r>
    <x v="3"/>
    <n v="202602"/>
    <x v="0"/>
    <x v="2"/>
    <s v="Sebastián S"/>
    <s v="Rodolfo O"/>
    <n v="119002"/>
    <n v="10786907"/>
    <n v="90.644739583333319"/>
    <n v="108284.24193226044"/>
    <n v="98.5"/>
    <n v="96.5"/>
    <n v="87.166669283279759"/>
    <n v="9438777"/>
  </r>
  <r>
    <x v="16"/>
    <n v="202412"/>
    <x v="2"/>
    <x v="1"/>
    <s v="Sofía V"/>
    <s v="José A"/>
    <n v="118789"/>
    <n v="7583514"/>
    <n v="63.840188172043028"/>
    <n v="0"/>
    <n v="64"/>
    <n v="67"/>
    <m/>
    <n v="0"/>
  </r>
  <r>
    <x v="17"/>
    <n v="202511"/>
    <x v="1"/>
    <x v="7"/>
    <s v="Sofía V"/>
    <s v="Joe H"/>
    <n v="118727"/>
    <n v="10659761"/>
    <n v="89.783798611111166"/>
    <n v="111048.84603336702"/>
    <n v="94"/>
    <n v="92"/>
    <n v="95.99164035254401"/>
    <n v="8225214"/>
  </r>
  <r>
    <x v="11"/>
    <n v="202411"/>
    <x v="2"/>
    <x v="7"/>
    <s v="Sofía V"/>
    <s v="José A"/>
    <n v="118646"/>
    <n v="10489145"/>
    <n v="88.406986111111095"/>
    <n v="0"/>
    <n v="86.5"/>
    <n v="81.5"/>
    <m/>
    <n v="0"/>
  </r>
  <r>
    <x v="9"/>
    <n v="202503"/>
    <x v="1"/>
    <x v="0"/>
    <s v="Sofía V"/>
    <s v="Joe H"/>
    <n v="118554"/>
    <n v="8040097"/>
    <n v="67.818192204301084"/>
    <n v="115289.11671409696"/>
    <n v="70.5"/>
    <n v="69.5"/>
    <n v="69.738561966247588"/>
    <n v="7462734"/>
  </r>
  <r>
    <x v="39"/>
    <n v="202512"/>
    <x v="1"/>
    <x v="1"/>
    <s v="Sofía V"/>
    <s v="Melany A"/>
    <n v="118455"/>
    <n v="6905514"/>
    <n v="58.296639784946194"/>
    <n v="107532.26084819695"/>
    <n v="60.5"/>
    <n v="60.5"/>
    <n v="64.218066239195878"/>
    <n v="7271704"/>
  </r>
  <r>
    <x v="15"/>
    <n v="202508"/>
    <x v="1"/>
    <x v="5"/>
    <s v="Sofía V"/>
    <s v="Joe H"/>
    <n v="118453"/>
    <n v="9312635"/>
    <n v="78.618561827957024"/>
    <n v="116313.42723881087"/>
    <n v="101"/>
    <n v="105"/>
    <n v="80.065006689894901"/>
    <n v="10376580"/>
  </r>
  <r>
    <x v="1"/>
    <n v="202411"/>
    <x v="2"/>
    <x v="7"/>
    <s v="Sofía V"/>
    <s v="José A"/>
    <n v="118453"/>
    <n v="6827657"/>
    <n v="57.64033333333338"/>
    <n v="0"/>
    <n v="61"/>
    <n v="60"/>
    <m/>
    <n v="0"/>
  </r>
  <r>
    <x v="2"/>
    <n v="202503"/>
    <x v="1"/>
    <x v="0"/>
    <s v="Sofía V"/>
    <s v="José A"/>
    <n v="118438"/>
    <n v="8592178"/>
    <n v="72.546014784946152"/>
    <n v="123490.80790383094"/>
    <n v="76.5"/>
    <n v="80"/>
    <n v="69.577469658237248"/>
    <n v="8974387"/>
  </r>
  <r>
    <x v="21"/>
    <n v="202603"/>
    <x v="0"/>
    <x v="0"/>
    <s v="Sebastián S"/>
    <s v="Rodolfo O"/>
    <n v="118321"/>
    <n v="8836273"/>
    <n v="74.680544354838759"/>
    <n v="117130.57290755016"/>
    <n v="84.5"/>
    <n v="86.5"/>
    <n v="71.456708642637324"/>
    <n v="8369765"/>
  </r>
  <r>
    <x v="2"/>
    <n v="202407"/>
    <x v="2"/>
    <x v="6"/>
    <s v="Sofía V"/>
    <s v="José A"/>
    <n v="118212"/>
    <n v="8187367"/>
    <n v="69.260013440860163"/>
    <n v="0"/>
    <n v="76.5"/>
    <n v="80"/>
    <m/>
    <n v="0"/>
  </r>
  <r>
    <x v="18"/>
    <n v="202412"/>
    <x v="2"/>
    <x v="1"/>
    <s v="Sofía V"/>
    <s v="Joe H"/>
    <n v="118081"/>
    <n v="5984047"/>
    <n v="50.677271505376346"/>
    <n v="0"/>
    <n v="50.5"/>
    <n v="51.5"/>
    <m/>
    <n v="0"/>
  </r>
  <r>
    <x v="2"/>
    <n v="202510"/>
    <x v="1"/>
    <x v="8"/>
    <s v="Sofía V"/>
    <s v="José A"/>
    <n v="118047"/>
    <n v="7592238"/>
    <n v="64.315463709677431"/>
    <n v="115564.13045130158"/>
    <n v="76.5"/>
    <n v="80"/>
    <n v="65.697182857265119"/>
    <n v="8106898"/>
  </r>
  <r>
    <x v="30"/>
    <n v="202403"/>
    <x v="2"/>
    <x v="0"/>
    <s v="Sebastián S"/>
    <s v="Vik E"/>
    <n v="117822"/>
    <n v="10971023"/>
    <n v="93.115336021505414"/>
    <n v="0"/>
    <n v="101.5"/>
    <n v="97.5"/>
    <m/>
    <n v="0"/>
  </r>
  <r>
    <x v="15"/>
    <n v="202605"/>
    <x v="0"/>
    <x v="3"/>
    <s v="Sofía V"/>
    <s v="Joe H"/>
    <n v="117692"/>
    <n v="10615489"/>
    <n v="90.196975806452315"/>
    <n v="105834.63492411494"/>
    <n v="101"/>
    <n v="105"/>
    <n v="90.439897606894348"/>
    <n v="9571674"/>
  </r>
  <r>
    <x v="2"/>
    <n v="202403"/>
    <x v="2"/>
    <x v="0"/>
    <s v="Sofía V"/>
    <s v="José A"/>
    <n v="117610"/>
    <n v="8684015"/>
    <n v="73.837204301075232"/>
    <n v="0"/>
    <n v="76.5"/>
    <n v="80"/>
    <m/>
    <n v="0"/>
  </r>
  <r>
    <x v="14"/>
    <n v="202511"/>
    <x v="1"/>
    <x v="7"/>
    <s v="Sofía V"/>
    <s v="Melany A"/>
    <n v="117561"/>
    <n v="5623041"/>
    <n v="47.830708333333334"/>
    <n v="93253.860877661529"/>
    <n v="59.5"/>
    <n v="55.5"/>
    <n v="60.298206713143912"/>
    <n v="4704036"/>
  </r>
  <r>
    <x v="29"/>
    <n v="202503"/>
    <x v="1"/>
    <x v="0"/>
    <s v="Sebastián S"/>
    <s v="Vik E"/>
    <n v="117534"/>
    <n v="8296699"/>
    <n v="70.589872311827904"/>
    <n v="125872.28994517167"/>
    <n v="76.5"/>
    <n v="75.5"/>
    <n v="65.913627960641207"/>
    <n v="9278367"/>
  </r>
  <r>
    <x v="40"/>
    <n v="202508"/>
    <x v="1"/>
    <x v="5"/>
    <s v="Sebastián S"/>
    <s v="Johanna V"/>
    <n v="117483"/>
    <n v="8604126"/>
    <n v="73.237452956989245"/>
    <n v="94205.301583426175"/>
    <n v="106"/>
    <n v="102.5"/>
    <n v="91.333777774495758"/>
    <n v="9314915"/>
  </r>
  <r>
    <x v="1"/>
    <n v="202401"/>
    <x v="2"/>
    <x v="10"/>
    <s v="Sofía V"/>
    <s v="José A"/>
    <n v="116915"/>
    <n v="6136360"/>
    <n v="52.485557795698924"/>
    <n v="0"/>
    <n v="61"/>
    <n v="60"/>
    <m/>
    <n v="0"/>
  </r>
  <r>
    <x v="41"/>
    <n v="202512"/>
    <x v="1"/>
    <x v="1"/>
    <s v="Sebastián S"/>
    <s v="Rodolfo O"/>
    <n v="116902"/>
    <n v="7631973"/>
    <n v="65.285208333333301"/>
    <n v="107276.66120107195"/>
    <n v="64.5"/>
    <n v="64"/>
    <n v="71.142899998492297"/>
    <n v="7792391"/>
  </r>
  <r>
    <x v="13"/>
    <n v="202603"/>
    <x v="0"/>
    <x v="0"/>
    <s v="Sebastián S"/>
    <s v="Rodolfo O"/>
    <n v="116890"/>
    <n v="8104568"/>
    <n v="69.334905913978503"/>
    <n v="105733.12795942808"/>
    <n v="78"/>
    <n v="74.5"/>
    <n v="66.954795775232199"/>
    <n v="7079340"/>
  </r>
  <r>
    <x v="26"/>
    <n v="202412"/>
    <x v="2"/>
    <x v="1"/>
    <s v="Sofía V"/>
    <s v="Melany A"/>
    <n v="116853"/>
    <n v="6508195"/>
    <n v="55.695490591397878"/>
    <n v="0"/>
    <n v="55"/>
    <n v="50.5"/>
    <m/>
    <n v="0"/>
  </r>
  <r>
    <x v="20"/>
    <n v="202511"/>
    <x v="1"/>
    <x v="7"/>
    <s v="Sofía V"/>
    <s v="Joe H"/>
    <n v="116846"/>
    <n v="10162513"/>
    <n v="86.97329861111119"/>
    <n v="118678.29156180941"/>
    <n v="96.5"/>
    <n v="96"/>
    <n v="85.630767651447101"/>
    <n v="8809430"/>
  </r>
  <r>
    <x v="30"/>
    <n v="202604"/>
    <x v="0"/>
    <x v="9"/>
    <s v="Sebastián S"/>
    <s v="Vik E"/>
    <n v="116627"/>
    <n v="9248364"/>
    <n v="79.298381944446263"/>
    <n v="104803.34241077057"/>
    <n v="101.5"/>
    <n v="97.5"/>
    <n v="87.689184144336366"/>
    <n v="9190120"/>
  </r>
  <r>
    <x v="42"/>
    <n v="202601"/>
    <x v="0"/>
    <x v="10"/>
    <s v="Hernán P"/>
    <s v="Daniel R"/>
    <n v="116590"/>
    <n v="2915277"/>
    <n v="25.004583333333343"/>
    <n v="124095.04450175312"/>
    <n v="22.5"/>
    <n v="21"/>
    <n v="19.647967156057994"/>
    <n v="2438215"/>
  </r>
  <r>
    <x v="20"/>
    <n v="202602"/>
    <x v="0"/>
    <x v="2"/>
    <s v="Sofía V"/>
    <s v="Joe H"/>
    <n v="116566"/>
    <n v="9772019"/>
    <n v="83.832552083333312"/>
    <n v="123172.34068534133"/>
    <n v="96.5"/>
    <n v="96"/>
    <n v="83.321494048065787"/>
    <n v="10262903"/>
  </r>
  <r>
    <x v="2"/>
    <n v="202508"/>
    <x v="1"/>
    <x v="5"/>
    <s v="Sofía V"/>
    <s v="José A"/>
    <n v="116469"/>
    <n v="8030241"/>
    <n v="68.94717741935483"/>
    <n v="119206.4188914056"/>
    <n v="76.5"/>
    <n v="80"/>
    <n v="67.364168680508484"/>
    <n v="8065606"/>
  </r>
  <r>
    <x v="30"/>
    <n v="202505"/>
    <x v="1"/>
    <x v="3"/>
    <s v="Sebastián S"/>
    <s v="Vik E"/>
    <n v="116346"/>
    <n v="9108123"/>
    <n v="78.284509408602119"/>
    <n v="102349.65532694815"/>
    <n v="101.5"/>
    <n v="97.5"/>
    <n v="88.99026763602474"/>
    <n v="9344925"/>
  </r>
  <r>
    <x v="43"/>
    <n v="202512"/>
    <x v="1"/>
    <x v="1"/>
    <s v="Sofía V"/>
    <s v="José A"/>
    <n v="116250"/>
    <n v="3709388"/>
    <n v="31.90880376344084"/>
    <n v="113939.94261671984"/>
    <n v="32.5"/>
    <n v="32"/>
    <n v="32.555645498944408"/>
    <n v="3613824"/>
  </r>
  <r>
    <x v="12"/>
    <n v="202403"/>
    <x v="2"/>
    <x v="0"/>
    <s v="Sofía V"/>
    <s v="Melany A"/>
    <n v="116074"/>
    <n v="10869841"/>
    <n v="93.645416666666662"/>
    <n v="0"/>
    <n v="96.5"/>
    <n v="94"/>
    <m/>
    <n v="0"/>
  </r>
  <r>
    <x v="15"/>
    <n v="202403"/>
    <x v="2"/>
    <x v="0"/>
    <s v="Sofía V"/>
    <s v="Joe H"/>
    <n v="116041"/>
    <n v="10374754"/>
    <n v="89.406135752688186"/>
    <n v="0"/>
    <n v="101"/>
    <n v="105"/>
    <m/>
    <n v="0"/>
  </r>
  <r>
    <x v="31"/>
    <n v="202412"/>
    <x v="2"/>
    <x v="1"/>
    <s v="Sofía V"/>
    <s v="Melany A"/>
    <n v="116029"/>
    <n v="16134149"/>
    <n v="139.05227150537627"/>
    <n v="0"/>
    <n v="99"/>
    <n v="32.5"/>
    <m/>
    <n v="0"/>
  </r>
  <r>
    <x v="2"/>
    <n v="202601"/>
    <x v="0"/>
    <x v="10"/>
    <s v="Sofía V"/>
    <s v="José A"/>
    <n v="115835"/>
    <n v="8570756"/>
    <n v="73.991317204301012"/>
    <n v="130159.94548710033"/>
    <n v="76.5"/>
    <n v="80"/>
    <n v="67.450733277005639"/>
    <n v="8779384"/>
  </r>
  <r>
    <x v="5"/>
    <n v="202601"/>
    <x v="0"/>
    <x v="10"/>
    <s v="Sebastián S"/>
    <s v="Rodolfo O"/>
    <n v="115829"/>
    <n v="6665892"/>
    <n v="57.54936155913979"/>
    <n v="108205.02870923988"/>
    <n v="68.5"/>
    <n v="66"/>
    <n v="59.179400136818131"/>
    <n v="6403509"/>
  </r>
  <r>
    <x v="9"/>
    <n v="202512"/>
    <x v="1"/>
    <x v="1"/>
    <s v="Sofía V"/>
    <s v="Joe H"/>
    <n v="115820"/>
    <n v="7787355"/>
    <n v="67.236740591397862"/>
    <n v="112402.42309663267"/>
    <n v="70.5"/>
    <n v="69.5"/>
    <n v="69.281024692013872"/>
    <n v="8072411"/>
  </r>
  <r>
    <x v="4"/>
    <n v="202605"/>
    <x v="0"/>
    <x v="3"/>
    <s v="Sofía V"/>
    <s v="José A"/>
    <n v="115778"/>
    <n v="10633331"/>
    <n v="91.842493279568345"/>
    <n v="99185.695008362978"/>
    <n v="107.5"/>
    <n v="102.5"/>
    <n v="96.70800932222366"/>
    <n v="9592051"/>
  </r>
  <r>
    <x v="20"/>
    <n v="202503"/>
    <x v="1"/>
    <x v="0"/>
    <s v="Sofía V"/>
    <s v="Joe H"/>
    <n v="115557"/>
    <n v="10777878"/>
    <n v="93.268743279569861"/>
    <n v="116629.38891095745"/>
    <n v="96.5"/>
    <n v="96"/>
    <n v="92.411334918581645"/>
    <n v="10232435"/>
  </r>
  <r>
    <x v="11"/>
    <n v="202508"/>
    <x v="1"/>
    <x v="5"/>
    <s v="Sofía V"/>
    <s v="José A"/>
    <n v="115552"/>
    <n v="10790023"/>
    <n v="93.377741935483797"/>
    <n v="125219.37791073471"/>
    <n v="86.5"/>
    <n v="81.5"/>
    <n v="86.168952681524217"/>
    <n v="11717909"/>
  </r>
  <r>
    <x v="5"/>
    <n v="202606"/>
    <x v="0"/>
    <x v="11"/>
    <s v="Sebastián S"/>
    <s v="Rodolfo O"/>
    <n v="115441"/>
    <n v="6738012"/>
    <n v="58.367409722223101"/>
    <n v="106743.32737228795"/>
    <n v="68.5"/>
    <n v="66"/>
    <n v="59.179400136818131"/>
    <n v="6317006"/>
  </r>
  <r>
    <x v="1"/>
    <n v="202402"/>
    <x v="2"/>
    <x v="2"/>
    <s v="Sofía V"/>
    <s v="José A"/>
    <n v="115420"/>
    <n v="6169302"/>
    <n v="53.450833333333343"/>
    <n v="0"/>
    <n v="61"/>
    <n v="60"/>
    <m/>
    <n v="0"/>
  </r>
  <r>
    <x v="11"/>
    <n v="202510"/>
    <x v="1"/>
    <x v="8"/>
    <s v="Sofía V"/>
    <s v="José A"/>
    <n v="115349"/>
    <n v="9854178"/>
    <n v="85.429354838709671"/>
    <n v="119773.46061499079"/>
    <n v="86.5"/>
    <n v="81.5"/>
    <n v="82.273469008932139"/>
    <n v="9961736"/>
  </r>
  <r>
    <x v="3"/>
    <n v="202505"/>
    <x v="1"/>
    <x v="3"/>
    <s v="Sebastián S"/>
    <s v="Rodolfo O"/>
    <n v="115304"/>
    <n v="10640804"/>
    <n v="92.28469758064513"/>
    <n v="104108.57598034492"/>
    <n v="98.5"/>
    <n v="96.5"/>
    <n v="102.20871508230906"/>
    <n v="10280494"/>
  </r>
  <r>
    <x v="3"/>
    <n v="202403"/>
    <x v="2"/>
    <x v="0"/>
    <s v="Sebastián S"/>
    <s v="Rodolfo O"/>
    <n v="115140"/>
    <n v="11348128"/>
    <n v="98.559482526881709"/>
    <n v="0"/>
    <n v="98.5"/>
    <n v="96.5"/>
    <m/>
    <n v="0"/>
  </r>
  <r>
    <x v="12"/>
    <n v="202604"/>
    <x v="0"/>
    <x v="9"/>
    <s v="Sofía V"/>
    <s v="Melany A"/>
    <n v="115132"/>
    <n v="9436243"/>
    <n v="81.960034722224805"/>
    <n v="101730.10039471094"/>
    <n v="96.5"/>
    <n v="94"/>
    <n v="87.753564014610347"/>
    <n v="8927179"/>
  </r>
  <r>
    <x v="17"/>
    <n v="202412"/>
    <x v="2"/>
    <x v="1"/>
    <s v="Sofía V"/>
    <s v="Joe H"/>
    <n v="115120"/>
    <n v="11595524"/>
    <n v="100.72510752688173"/>
    <n v="0"/>
    <n v="94"/>
    <n v="92"/>
    <m/>
    <n v="0"/>
  </r>
  <r>
    <x v="2"/>
    <n v="202605"/>
    <x v="0"/>
    <x v="3"/>
    <s v="Sofía V"/>
    <s v="José A"/>
    <n v="115114"/>
    <n v="8596435"/>
    <n v="74.677815860214878"/>
    <n v="123777.23603853211"/>
    <n v="76.5"/>
    <n v="80"/>
    <n v="67.450733277005639"/>
    <n v="8348865"/>
  </r>
  <r>
    <x v="30"/>
    <n v="202501"/>
    <x v="1"/>
    <x v="10"/>
    <s v="Sebastián S"/>
    <s v="Vik E"/>
    <n v="114960"/>
    <n v="9130389"/>
    <n v="79.422197580645104"/>
    <n v="106061.04696379416"/>
    <n v="101.5"/>
    <n v="97.5"/>
    <n v="86.086164820877372"/>
    <n v="9123322"/>
  </r>
  <r>
    <x v="8"/>
    <n v="202606"/>
    <x v="0"/>
    <x v="11"/>
    <s v="Sebastián S"/>
    <s v="Vik E"/>
    <n v="114958"/>
    <n v="8419492"/>
    <n v="73.239979166668491"/>
    <n v="105648.84895751612"/>
    <n v="88"/>
    <n v="84"/>
    <n v="78.31726123421582"/>
    <n v="8274129"/>
  </r>
  <r>
    <x v="30"/>
    <n v="202511"/>
    <x v="1"/>
    <x v="7"/>
    <s v="Sebastián S"/>
    <s v="Vik E"/>
    <n v="114898"/>
    <n v="9049452"/>
    <n v="78.761034722222234"/>
    <n v="113502.83713522171"/>
    <n v="101.5"/>
    <n v="97.5"/>
    <n v="79.728864655770025"/>
    <n v="9891318"/>
  </r>
  <r>
    <x v="33"/>
    <n v="202412"/>
    <x v="2"/>
    <x v="1"/>
    <s v="Sofía V"/>
    <s v="José A"/>
    <n v="114851"/>
    <n v="11542001"/>
    <n v="100.49502016129014"/>
    <n v="0"/>
    <n v="93.5"/>
    <n v="94"/>
    <m/>
    <n v="0"/>
  </r>
  <r>
    <x v="11"/>
    <n v="202403"/>
    <x v="2"/>
    <x v="0"/>
    <s v="Sofía V"/>
    <s v="José A"/>
    <n v="114631"/>
    <n v="10851679"/>
    <n v="94.665967741935546"/>
    <n v="0"/>
    <n v="86.5"/>
    <n v="81.5"/>
    <m/>
    <n v="0"/>
  </r>
  <r>
    <x v="27"/>
    <n v="202601"/>
    <x v="0"/>
    <x v="10"/>
    <s v="Sofía V"/>
    <s v="Joe H"/>
    <n v="114577"/>
    <n v="6102849"/>
    <n v="53.264072580645177"/>
    <n v="105686.55735389813"/>
    <n v="62"/>
    <n v="58"/>
    <n v="54.66595376698497"/>
    <n v="5777456"/>
  </r>
  <r>
    <x v="2"/>
    <n v="202604"/>
    <x v="0"/>
    <x v="9"/>
    <s v="Sofía V"/>
    <s v="José A"/>
    <n v="114559"/>
    <n v="8231659"/>
    <n v="71.855097222222895"/>
    <n v="115190.70502008517"/>
    <n v="76.5"/>
    <n v="80"/>
    <n v="67.450733277005639"/>
    <n v="7769698"/>
  </r>
  <r>
    <x v="30"/>
    <n v="202504"/>
    <x v="1"/>
    <x v="9"/>
    <s v="Sebastián S"/>
    <s v="Vik E"/>
    <n v="114473"/>
    <n v="8834966"/>
    <n v="77.179375000000036"/>
    <n v="107439.33305773434"/>
    <n v="101.5"/>
    <n v="97.5"/>
    <n v="82.232135834763454"/>
    <n v="9640378"/>
  </r>
  <r>
    <x v="12"/>
    <n v="202602"/>
    <x v="0"/>
    <x v="2"/>
    <s v="Sofía V"/>
    <s v="Melany A"/>
    <n v="114376"/>
    <n v="10208666"/>
    <n v="89.255052083333339"/>
    <n v="107826.18398865969"/>
    <n v="96.5"/>
    <n v="94"/>
    <n v="87.753564014610347"/>
    <n v="9462132"/>
  </r>
  <r>
    <x v="27"/>
    <n v="202602"/>
    <x v="0"/>
    <x v="2"/>
    <s v="Sofía V"/>
    <s v="Joe H"/>
    <n v="114256"/>
    <n v="5908629"/>
    <n v="51.713854166666657"/>
    <n v="101009.50801547768"/>
    <n v="62"/>
    <n v="58"/>
    <n v="54.66595376698497"/>
    <n v="5521781"/>
  </r>
  <r>
    <x v="44"/>
    <n v="202512"/>
    <x v="1"/>
    <x v="1"/>
    <s v="Sebastián S"/>
    <s v="Johanna V"/>
    <n v="114202"/>
    <n v="12076142"/>
    <n v="105.74346774193535"/>
    <n v="112573.49857848899"/>
    <n v="117.5"/>
    <n v="99"/>
    <n v="107.27340202170426"/>
    <n v="11484073"/>
  </r>
  <r>
    <x v="4"/>
    <n v="202604"/>
    <x v="0"/>
    <x v="9"/>
    <s v="Sofía V"/>
    <s v="José A"/>
    <n v="114189"/>
    <n v="10424061"/>
    <n v="91.287437500002099"/>
    <n v="97644.282781550224"/>
    <n v="107.5"/>
    <n v="102.5"/>
    <n v="96.70800932222366"/>
    <n v="9442984"/>
  </r>
  <r>
    <x v="45"/>
    <n v="202512"/>
    <x v="1"/>
    <x v="1"/>
    <s v="Sofía V"/>
    <s v="Joe H"/>
    <n v="114186"/>
    <n v="7893106"/>
    <n v="69.124858870967685"/>
    <n v="107320.04919763489"/>
    <n v="68"/>
    <n v="68.5"/>
    <n v="73.547354469289104"/>
    <n v="7560103"/>
  </r>
  <r>
    <x v="25"/>
    <n v="202603"/>
    <x v="0"/>
    <x v="0"/>
    <s v="Sebastián S"/>
    <s v="Vik E"/>
    <n v="114164"/>
    <n v="8308574"/>
    <n v="72.777278225806484"/>
    <n v="123815.08932177197"/>
    <n v="77"/>
    <n v="79"/>
    <n v="66.09086292651952"/>
    <n v="8183046"/>
  </r>
  <r>
    <x v="11"/>
    <n v="202409"/>
    <x v="2"/>
    <x v="4"/>
    <s v="Sofía V"/>
    <s v="José A"/>
    <n v="114094"/>
    <n v="10320356"/>
    <n v="90.45487499999993"/>
    <n v="0"/>
    <n v="86.5"/>
    <n v="81.5"/>
    <m/>
    <n v="0"/>
  </r>
  <r>
    <x v="11"/>
    <n v="202410"/>
    <x v="2"/>
    <x v="8"/>
    <s v="Sofía V"/>
    <s v="José A"/>
    <n v="114070"/>
    <n v="10230129"/>
    <n v="89.68293682795688"/>
    <n v="0"/>
    <n v="86.5"/>
    <n v="81.5"/>
    <m/>
    <n v="0"/>
  </r>
  <r>
    <x v="20"/>
    <n v="202606"/>
    <x v="0"/>
    <x v="11"/>
    <s v="Sofía V"/>
    <s v="Joe H"/>
    <n v="113900"/>
    <n v="9759385"/>
    <n v="85.684083333335607"/>
    <n v="125461.29316247745"/>
    <n v="96.5"/>
    <n v="96"/>
    <n v="83.321494048065787"/>
    <n v="10453622"/>
  </r>
  <r>
    <x v="46"/>
    <n v="202412"/>
    <x v="2"/>
    <x v="1"/>
    <s v="Sofía V"/>
    <s v="José A"/>
    <n v="113878"/>
    <n v="6913636"/>
    <n v="60.710981182795706"/>
    <n v="0"/>
    <n v="58"/>
    <n v="58.5"/>
    <m/>
    <n v="0"/>
  </r>
  <r>
    <x v="47"/>
    <n v="202605"/>
    <x v="0"/>
    <x v="3"/>
    <s v="Sebastián S"/>
    <s v="Vik E"/>
    <n v="113845"/>
    <n v="4505835"/>
    <n v="39.578649193548237"/>
    <n v="87459.384834373748"/>
    <n v="61.5"/>
    <n v="48.5"/>
    <n v="53.715920394326645"/>
    <n v="4697961"/>
  </r>
  <r>
    <x v="30"/>
    <n v="202508"/>
    <x v="1"/>
    <x v="5"/>
    <s v="Sebastián S"/>
    <s v="Vik E"/>
    <n v="113819"/>
    <n v="8708722"/>
    <n v="76.513998655914008"/>
    <n v="116893.381312774"/>
    <n v="101.5"/>
    <n v="97.5"/>
    <n v="74.501415240080149"/>
    <n v="9381613"/>
  </r>
  <r>
    <x v="46"/>
    <n v="202512"/>
    <x v="1"/>
    <x v="1"/>
    <s v="Sofía V"/>
    <s v="José A"/>
    <n v="113816"/>
    <n v="6577991"/>
    <n v="57.795161290322547"/>
    <n v="119571.73802944807"/>
    <n v="58"/>
    <n v="58.5"/>
    <n v="55.012923441657897"/>
    <n v="7340783"/>
  </r>
  <r>
    <x v="37"/>
    <n v="202412"/>
    <x v="2"/>
    <x v="1"/>
    <s v="Sofía V"/>
    <s v="Melany A"/>
    <n v="113802"/>
    <n v="8856171"/>
    <n v="77.821041666666659"/>
    <n v="0"/>
    <n v="72.5"/>
    <n v="68.5"/>
    <m/>
    <n v="0"/>
  </r>
  <r>
    <x v="33"/>
    <n v="202605"/>
    <x v="0"/>
    <x v="3"/>
    <s v="Sofía V"/>
    <s v="José A"/>
    <n v="113745"/>
    <n v="9421685"/>
    <n v="82.831922043010792"/>
    <n v="108438.12906216738"/>
    <n v="93.5"/>
    <n v="94"/>
    <n v="84.619508156945685"/>
    <n v="9175981"/>
  </r>
  <r>
    <x v="32"/>
    <n v="202503"/>
    <x v="1"/>
    <x v="0"/>
    <s v="Sofía V"/>
    <s v="Melany A"/>
    <n v="113640"/>
    <n v="7510713"/>
    <n v="66.091948924731128"/>
    <n v="95306.852716712892"/>
    <n v="75.5"/>
    <n v="68"/>
    <n v="78.80559032123962"/>
    <n v="6833724"/>
  </r>
  <r>
    <x v="7"/>
    <n v="202604"/>
    <x v="0"/>
    <x v="9"/>
    <s v="Sebastián S"/>
    <s v="Rodolfo O"/>
    <n v="113601"/>
    <n v="6454839"/>
    <n v="56.82006944444543"/>
    <n v="108045.81832211188"/>
    <n v="65.5"/>
    <n v="63"/>
    <n v="55.389519717073902"/>
    <n v="5984606"/>
  </r>
  <r>
    <x v="16"/>
    <n v="202602"/>
    <x v="0"/>
    <x v="2"/>
    <s v="Sofía V"/>
    <s v="José A"/>
    <n v="113574"/>
    <n v="6425457"/>
    <n v="56.57531250000001"/>
    <n v="114589.300985807"/>
    <n v="64"/>
    <n v="67"/>
    <n v="56.429371630436094"/>
    <n v="6466202"/>
  </r>
  <r>
    <x v="2"/>
    <n v="202409"/>
    <x v="2"/>
    <x v="4"/>
    <s v="Sofía V"/>
    <s v="José A"/>
    <n v="113546"/>
    <n v="7203165"/>
    <n v="63.438131944444457"/>
    <n v="0"/>
    <n v="76.5"/>
    <n v="80"/>
    <m/>
    <n v="0"/>
  </r>
  <r>
    <x v="48"/>
    <n v="202512"/>
    <x v="1"/>
    <x v="1"/>
    <s v="Hernán P"/>
    <s v="Daniel R"/>
    <n v="113531"/>
    <n v="7816020"/>
    <n v="68.844717741935526"/>
    <n v="114263.59947629497"/>
    <n v="79.5"/>
    <n v="72.5"/>
    <n v="68.403409973282905"/>
    <n v="7788591"/>
  </r>
  <r>
    <x v="2"/>
    <n v="202408"/>
    <x v="2"/>
    <x v="5"/>
    <s v="Sofía V"/>
    <s v="José A"/>
    <n v="113530"/>
    <n v="7838078"/>
    <n v="69.039758064516064"/>
    <n v="0"/>
    <n v="76.5"/>
    <n v="80"/>
    <m/>
    <n v="0"/>
  </r>
  <r>
    <x v="15"/>
    <n v="202510"/>
    <x v="1"/>
    <x v="8"/>
    <s v="Sofía V"/>
    <s v="Joe H"/>
    <n v="113507"/>
    <n v="9141348"/>
    <n v="80.535611559139824"/>
    <n v="105686.79949896064"/>
    <n v="101"/>
    <n v="105"/>
    <n v="86.494697287998548"/>
    <n v="10394525"/>
  </r>
  <r>
    <x v="25"/>
    <n v="202503"/>
    <x v="1"/>
    <x v="0"/>
    <s v="Sebastián S"/>
    <s v="Vik E"/>
    <n v="113423"/>
    <n v="7890988"/>
    <n v="69.571485215053769"/>
    <n v="116623.24429289803"/>
    <n v="77"/>
    <n v="79"/>
    <n v="67.662219893161847"/>
    <n v="7473181"/>
  </r>
  <r>
    <x v="49"/>
    <n v="202412"/>
    <x v="2"/>
    <x v="1"/>
    <s v="Sebastián S"/>
    <s v="Vik E"/>
    <n v="113417"/>
    <n v="7192880"/>
    <n v="63.419576612903235"/>
    <n v="0"/>
    <n v="66"/>
    <n v="64.5"/>
    <m/>
    <n v="0"/>
  </r>
  <r>
    <x v="38"/>
    <n v="202603"/>
    <x v="0"/>
    <x v="0"/>
    <s v="Sofía V"/>
    <s v="Melany A"/>
    <n v="113388"/>
    <n v="6308309"/>
    <n v="55.634616935483884"/>
    <n v="126513.57646179434"/>
    <n v="56"/>
    <n v="60"/>
    <n v="48.493991244906013"/>
    <n v="6135148"/>
  </r>
  <r>
    <x v="3"/>
    <n v="202407"/>
    <x v="2"/>
    <x v="6"/>
    <s v="Sebastián S"/>
    <s v="Rodolfo O"/>
    <n v="113273"/>
    <n v="11069671"/>
    <n v="97.725598118279592"/>
    <n v="0"/>
    <n v="98.5"/>
    <n v="96.5"/>
    <m/>
    <n v="0"/>
  </r>
  <r>
    <x v="40"/>
    <n v="202512"/>
    <x v="1"/>
    <x v="1"/>
    <s v="Sebastián S"/>
    <s v="Johanna V"/>
    <n v="113271"/>
    <n v="11925593"/>
    <n v="105.28338709677412"/>
    <n v="109906.54280138739"/>
    <n v="106"/>
    <n v="102.5"/>
    <n v="108.50667481690138"/>
    <n v="13582118"/>
  </r>
  <r>
    <x v="15"/>
    <n v="202406"/>
    <x v="2"/>
    <x v="11"/>
    <s v="Sofía V"/>
    <s v="Joe H"/>
    <n v="113231"/>
    <n v="9303796"/>
    <n v="82.166194444444443"/>
    <n v="0"/>
    <n v="101"/>
    <n v="105"/>
    <m/>
    <n v="0"/>
  </r>
  <r>
    <x v="25"/>
    <n v="202605"/>
    <x v="0"/>
    <x v="3"/>
    <s v="Sebastián S"/>
    <s v="Vik E"/>
    <n v="113228"/>
    <n v="7841199"/>
    <n v="69.251122311828112"/>
    <n v="108025.58602446713"/>
    <n v="77"/>
    <n v="79"/>
    <n v="66.09086292651952"/>
    <n v="7139504"/>
  </r>
  <r>
    <x v="5"/>
    <n v="202511"/>
    <x v="1"/>
    <x v="7"/>
    <s v="Sebastián S"/>
    <s v="Rodolfo O"/>
    <n v="113218"/>
    <n v="6664780"/>
    <n v="58.866840277777797"/>
    <n v="101986.27833970977"/>
    <n v="68.5"/>
    <n v="66"/>
    <n v="65.349771542795622"/>
    <n v="5482192"/>
  </r>
  <r>
    <x v="50"/>
    <n v="202512"/>
    <x v="1"/>
    <x v="1"/>
    <s v="Sebastián S"/>
    <s v="Vik E"/>
    <n v="113122"/>
    <n v="8279830"/>
    <n v="73.194126344086001"/>
    <n v="114418.82787974927"/>
    <n v="75.5"/>
    <n v="74"/>
    <n v="72.364230200835934"/>
    <n v="10680923"/>
  </r>
  <r>
    <x v="32"/>
    <n v="202603"/>
    <x v="0"/>
    <x v="0"/>
    <s v="Sofía V"/>
    <s v="Melany A"/>
    <n v="113038"/>
    <n v="7311690"/>
    <n v="64.683198924731201"/>
    <n v="109425.83890846046"/>
    <n v="75.5"/>
    <n v="68"/>
    <n v="66.56902434528007"/>
    <n v="7284371"/>
  </r>
  <r>
    <x v="20"/>
    <n v="202411"/>
    <x v="2"/>
    <x v="7"/>
    <s v="Sofía V"/>
    <s v="Joe H"/>
    <n v="113027"/>
    <n v="9877133"/>
    <n v="87.387416666666738"/>
    <n v="0"/>
    <n v="96.5"/>
    <n v="96"/>
    <m/>
    <n v="0"/>
  </r>
  <r>
    <x v="51"/>
    <n v="202512"/>
    <x v="1"/>
    <x v="1"/>
    <s v="Sofía V"/>
    <s v="Melany A"/>
    <n v="112935"/>
    <n v="4221961"/>
    <n v="37.383998655913963"/>
    <n v="96698.888088882144"/>
    <n v="43.5"/>
    <n v="41"/>
    <n v="43.660905760563921"/>
    <n v="4543170"/>
  </r>
  <r>
    <x v="2"/>
    <n v="202411"/>
    <x v="2"/>
    <x v="7"/>
    <s v="Sofía V"/>
    <s v="José A"/>
    <n v="112851"/>
    <n v="7632668"/>
    <n v="67.634729166666631"/>
    <n v="0"/>
    <n v="76.5"/>
    <n v="80"/>
    <m/>
    <n v="0"/>
  </r>
  <r>
    <x v="48"/>
    <n v="202603"/>
    <x v="0"/>
    <x v="0"/>
    <s v="Hernán P"/>
    <s v="Daniel R"/>
    <n v="112841"/>
    <n v="7288715"/>
    <n v="64.59301747311828"/>
    <n v="117601.53215495934"/>
    <n v="79.5"/>
    <n v="72.5"/>
    <n v="64.209802769832038"/>
    <n v="7551171"/>
  </r>
  <r>
    <x v="7"/>
    <n v="202602"/>
    <x v="0"/>
    <x v="2"/>
    <s v="Sebastián S"/>
    <s v="Rodolfo O"/>
    <n v="112809"/>
    <n v="6631508"/>
    <n v="58.785260416666652"/>
    <n v="95873.406646692165"/>
    <n v="65.5"/>
    <n v="63"/>
    <n v="55.389519717073902"/>
    <n v="5310382"/>
  </r>
  <r>
    <x v="35"/>
    <n v="202512"/>
    <x v="1"/>
    <x v="1"/>
    <s v="Hernán P"/>
    <s v="Daniel R"/>
    <n v="112766"/>
    <n v="14605856"/>
    <n v="129.52314516129019"/>
    <n v="110829.52287331934"/>
    <n v="140.5"/>
    <n v="125.5"/>
    <n v="131.78669168047247"/>
    <n v="15121050"/>
  </r>
  <r>
    <x v="19"/>
    <n v="202412"/>
    <x v="2"/>
    <x v="1"/>
    <s v="Sofía V"/>
    <s v="Joe H"/>
    <n v="112691"/>
    <n v="7326613"/>
    <n v="65.015275537634423"/>
    <n v="0"/>
    <n v="57.5"/>
    <n v="56.5"/>
    <m/>
    <n v="0"/>
  </r>
  <r>
    <x v="6"/>
    <n v="202606"/>
    <x v="0"/>
    <x v="11"/>
    <s v="Sebastián S"/>
    <s v="Vik E"/>
    <n v="112676"/>
    <n v="9874453"/>
    <n v="87.635576388891252"/>
    <n v="110012.30028771533"/>
    <n v="100"/>
    <n v="98"/>
    <n v="86.393284871267369"/>
    <n v="9504324"/>
  </r>
  <r>
    <x v="3"/>
    <n v="202507"/>
    <x v="1"/>
    <x v="6"/>
    <s v="Sebastián S"/>
    <s v="Rodolfo O"/>
    <n v="112663"/>
    <n v="10570689"/>
    <n v="93.825873655913981"/>
    <n v="118936.64682340669"/>
    <n v="98.5"/>
    <n v="96.5"/>
    <n v="88.876632495743877"/>
    <n v="11329608"/>
  </r>
  <r>
    <x v="30"/>
    <n v="202507"/>
    <x v="1"/>
    <x v="6"/>
    <s v="Sebastián S"/>
    <s v="Vik E"/>
    <n v="112646"/>
    <n v="8679367"/>
    <n v="77.050053763440872"/>
    <n v="116798.02756990527"/>
    <n v="101.5"/>
    <n v="97.5"/>
    <n v="74.310906447502063"/>
    <n v="10044018"/>
  </r>
  <r>
    <x v="52"/>
    <n v="202512"/>
    <x v="1"/>
    <x v="1"/>
    <s v="Sebastián S"/>
    <s v="Vik E"/>
    <n v="112637"/>
    <n v="8640643"/>
    <n v="76.712143817204236"/>
    <n v="114005.53612066893"/>
    <n v="80"/>
    <n v="78"/>
    <n v="75.791433416481894"/>
    <n v="9340407"/>
  </r>
  <r>
    <x v="11"/>
    <n v="202501"/>
    <x v="1"/>
    <x v="10"/>
    <s v="Sofía V"/>
    <s v="José A"/>
    <n v="112628"/>
    <n v="10022142"/>
    <n v="88.984583333333205"/>
    <n v="112155.22207329926"/>
    <n v="86.5"/>
    <n v="81.5"/>
    <n v="89.35956957447786"/>
    <n v="9614086"/>
  </r>
  <r>
    <x v="15"/>
    <n v="202505"/>
    <x v="1"/>
    <x v="3"/>
    <s v="Sofía V"/>
    <s v="Joe H"/>
    <n v="112608"/>
    <n v="9158754"/>
    <n v="81.33303763440864"/>
    <n v="107838.91998409382"/>
    <n v="101"/>
    <n v="105"/>
    <n v="84.929952853301117"/>
    <n v="9413634"/>
  </r>
  <r>
    <x v="11"/>
    <n v="202502"/>
    <x v="1"/>
    <x v="2"/>
    <s v="Sofía V"/>
    <s v="José A"/>
    <n v="112557"/>
    <n v="9340743"/>
    <n v="82.986666666666665"/>
    <n v="100220.17229747995"/>
    <n v="86.5"/>
    <n v="81.5"/>
    <n v="93.20222132799978"/>
    <n v="8812657"/>
  </r>
  <r>
    <x v="42"/>
    <n v="202602"/>
    <x v="0"/>
    <x v="2"/>
    <s v="Hernán P"/>
    <s v="Daniel R"/>
    <n v="112510"/>
    <n v="2639017"/>
    <n v="23.455937500000008"/>
    <n v="123027.24641692521"/>
    <n v="22.5"/>
    <n v="21"/>
    <n v="19.647967156057994"/>
    <n v="2417235"/>
  </r>
  <r>
    <x v="12"/>
    <n v="202503"/>
    <x v="1"/>
    <x v="0"/>
    <s v="Sofía V"/>
    <s v="Melany A"/>
    <n v="112300"/>
    <n v="11175328"/>
    <n v="99.512997311827988"/>
    <n v="121878.17850313014"/>
    <n v="96.5"/>
    <n v="94"/>
    <n v="91.692607382649655"/>
    <n v="10799054"/>
  </r>
  <r>
    <x v="44"/>
    <n v="202605"/>
    <x v="0"/>
    <x v="3"/>
    <s v="Sebastián S"/>
    <s v="Johanna V"/>
    <n v="112187"/>
    <n v="9852862"/>
    <n v="87.82506720430159"/>
    <n v="99247.099121789361"/>
    <n v="117.5"/>
    <n v="99"/>
    <n v="98.005014700369543"/>
    <n v="9726713"/>
  </r>
  <r>
    <x v="53"/>
    <n v="202512"/>
    <x v="1"/>
    <x v="1"/>
    <s v="Sebastián S"/>
    <s v="Johanna V"/>
    <n v="112175"/>
    <n v="6930340"/>
    <n v="61.781774193548337"/>
    <n v="107087.48614588447"/>
    <n v="68"/>
    <n v="60.5"/>
    <n v="64.716617593944193"/>
    <n v="7477236"/>
  </r>
  <r>
    <x v="35"/>
    <n v="202604"/>
    <x v="0"/>
    <x v="9"/>
    <s v="Hernán P"/>
    <s v="Daniel R"/>
    <n v="112023"/>
    <n v="12413583"/>
    <n v="110.81277083333538"/>
    <n v="104364.30202775045"/>
    <n v="140.5"/>
    <n v="125.5"/>
    <n v="117.18897502469719"/>
    <n v="12230346"/>
  </r>
  <r>
    <x v="8"/>
    <n v="202508"/>
    <x v="1"/>
    <x v="5"/>
    <s v="Sebastián S"/>
    <s v="Vik E"/>
    <n v="112009"/>
    <n v="8084035"/>
    <n v="72.173104838709719"/>
    <n v="102473.78464691582"/>
    <n v="88"/>
    <n v="84"/>
    <n v="78.888807882468555"/>
    <n v="7941669"/>
  </r>
  <r>
    <x v="6"/>
    <n v="202505"/>
    <x v="1"/>
    <x v="3"/>
    <s v="Sebastián S"/>
    <s v="Vik E"/>
    <n v="112007"/>
    <n v="9939149"/>
    <n v="88.736948924731195"/>
    <n v="110379.5220813425"/>
    <n v="100"/>
    <n v="98"/>
    <n v="90.045226982188723"/>
    <n v="10084544"/>
  </r>
  <r>
    <x v="3"/>
    <n v="202508"/>
    <x v="1"/>
    <x v="5"/>
    <s v="Sebastián S"/>
    <s v="Rodolfo O"/>
    <n v="111956"/>
    <n v="9998396"/>
    <n v="89.306310483870917"/>
    <n v="111137.79398593061"/>
    <n v="98.5"/>
    <n v="96.5"/>
    <n v="89.963957996734564"/>
    <n v="10154262"/>
  </r>
  <r>
    <x v="54"/>
    <n v="202503"/>
    <x v="1"/>
    <x v="0"/>
    <s v="Sebastián S"/>
    <s v="Rodolfo O"/>
    <n v="111907"/>
    <n v="8746879"/>
    <n v="78.161821236559135"/>
    <n v="96449.25833410272"/>
    <n v="80"/>
    <n v="80.5"/>
    <n v="90.688916649836628"/>
    <n v="7743438"/>
  </r>
  <r>
    <x v="55"/>
    <n v="202512"/>
    <x v="1"/>
    <x v="1"/>
    <s v="Sebastián S"/>
    <s v="Vik E"/>
    <n v="111879"/>
    <n v="6595512"/>
    <n v="58.951948924731155"/>
    <n v="116008.86282863523"/>
    <n v="69.5"/>
    <n v="59"/>
    <n v="56.853521439501499"/>
    <n v="8471976"/>
  </r>
  <r>
    <x v="22"/>
    <n v="202412"/>
    <x v="2"/>
    <x v="1"/>
    <s v="Sebastián S"/>
    <s v="Johanna V"/>
    <n v="111799"/>
    <n v="11909829"/>
    <n v="106.52936827956984"/>
    <n v="0"/>
    <n v="104.5"/>
    <n v="99"/>
    <m/>
    <n v="0"/>
  </r>
  <r>
    <x v="35"/>
    <n v="202503"/>
    <x v="1"/>
    <x v="0"/>
    <s v="Hernán P"/>
    <s v="Daniel R"/>
    <n v="111742"/>
    <n v="12988869"/>
    <n v="116.23979838709668"/>
    <n v="105012.76278606373"/>
    <n v="140.5"/>
    <n v="125.5"/>
    <n v="123.68847809919494"/>
    <n v="12488503"/>
  </r>
  <r>
    <x v="36"/>
    <n v="202603"/>
    <x v="0"/>
    <x v="0"/>
    <s v="Sebastián S"/>
    <s v="Rodolfo O"/>
    <n v="111742"/>
    <n v="8123887"/>
    <n v="72.702291666666682"/>
    <n v="107563.72139819503"/>
    <n v="81"/>
    <n v="77"/>
    <n v="69.978560745726568"/>
    <n v="7527154"/>
  </r>
  <r>
    <x v="37"/>
    <n v="202504"/>
    <x v="1"/>
    <x v="9"/>
    <s v="Sofía V"/>
    <s v="Melany A"/>
    <n v="111708"/>
    <n v="6293126"/>
    <n v="56.335659722222246"/>
    <n v="86279.360496622845"/>
    <n v="72.5"/>
    <n v="68.5"/>
    <n v="72.938949869086343"/>
    <n v="6005486"/>
  </r>
  <r>
    <x v="17"/>
    <n v="202503"/>
    <x v="1"/>
    <x v="0"/>
    <s v="Sofía V"/>
    <s v="Joe H"/>
    <n v="111589"/>
    <n v="9712754"/>
    <n v="87.040295698924751"/>
    <n v="110717.68015118259"/>
    <n v="94"/>
    <n v="92"/>
    <n v="87.725409950221533"/>
    <n v="8717409"/>
  </r>
  <r>
    <x v="7"/>
    <n v="202511"/>
    <x v="1"/>
    <x v="7"/>
    <s v="Sebastián S"/>
    <s v="Rodolfo O"/>
    <n v="111571"/>
    <n v="6420690"/>
    <n v="57.54777777777781"/>
    <n v="98049.065197058284"/>
    <n v="65.5"/>
    <n v="63"/>
    <n v="65.484455635510116"/>
    <n v="4412180"/>
  </r>
  <r>
    <x v="8"/>
    <n v="202601"/>
    <x v="0"/>
    <x v="10"/>
    <s v="Sebastián S"/>
    <s v="Vik E"/>
    <n v="111534"/>
    <n v="8810471"/>
    <n v="78.993588709677411"/>
    <n v="103102.31612864764"/>
    <n v="88"/>
    <n v="84"/>
    <n v="78.31726123421582"/>
    <n v="8074691"/>
  </r>
  <r>
    <x v="11"/>
    <n v="202506"/>
    <x v="1"/>
    <x v="11"/>
    <s v="Sofía V"/>
    <s v="José A"/>
    <n v="111464"/>
    <n v="10118432"/>
    <n v="90.777312499999979"/>
    <n v="116196.2081967853"/>
    <n v="86.5"/>
    <n v="81.5"/>
    <n v="87.080572912188543"/>
    <n v="10586056"/>
  </r>
  <r>
    <x v="16"/>
    <n v="202508"/>
    <x v="1"/>
    <x v="5"/>
    <s v="Sofía V"/>
    <s v="José A"/>
    <n v="111410"/>
    <n v="5937900"/>
    <n v="53.297802419354859"/>
    <n v="105731.88988755093"/>
    <n v="64"/>
    <n v="67"/>
    <n v="56.15996901516786"/>
    <n v="5555332"/>
  </r>
  <r>
    <x v="16"/>
    <n v="202402"/>
    <x v="2"/>
    <x v="2"/>
    <s v="Sofía V"/>
    <s v="José A"/>
    <n v="111390"/>
    <n v="5827306"/>
    <n v="52.314590517241385"/>
    <n v="0"/>
    <n v="64"/>
    <n v="67"/>
    <m/>
    <n v="0"/>
  </r>
  <r>
    <x v="13"/>
    <n v="202412"/>
    <x v="2"/>
    <x v="1"/>
    <s v="Sebastián S"/>
    <s v="Rodolfo O"/>
    <n v="111335"/>
    <n v="9277996"/>
    <n v="83.334294354838732"/>
    <n v="0"/>
    <n v="78"/>
    <n v="74.5"/>
    <m/>
    <n v="0"/>
  </r>
  <r>
    <x v="30"/>
    <n v="202408"/>
    <x v="2"/>
    <x v="5"/>
    <s v="Sebastián S"/>
    <s v="Vik E"/>
    <n v="111327"/>
    <n v="9098427"/>
    <n v="81.727022849462344"/>
    <n v="0"/>
    <n v="101.5"/>
    <n v="97.5"/>
    <m/>
    <n v="0"/>
  </r>
  <r>
    <x v="37"/>
    <n v="202407"/>
    <x v="2"/>
    <x v="6"/>
    <s v="Sofía V"/>
    <s v="Melany A"/>
    <n v="111280"/>
    <n v="6556586"/>
    <n v="58.919536290322583"/>
    <n v="0"/>
    <n v="72.5"/>
    <n v="68.5"/>
    <m/>
    <n v="0"/>
  </r>
  <r>
    <x v="30"/>
    <n v="202407"/>
    <x v="2"/>
    <x v="6"/>
    <s v="Sebastián S"/>
    <s v="Vik E"/>
    <n v="111236"/>
    <n v="9643425"/>
    <n v="86.693212365591421"/>
    <n v="0"/>
    <n v="101.5"/>
    <n v="97.5"/>
    <m/>
    <n v="0"/>
  </r>
  <r>
    <x v="12"/>
    <n v="202605"/>
    <x v="0"/>
    <x v="3"/>
    <s v="Sofía V"/>
    <s v="Melany A"/>
    <n v="111235"/>
    <n v="9115554"/>
    <n v="81.948877688171194"/>
    <n v="102554.75771447453"/>
    <n v="96.5"/>
    <n v="94"/>
    <n v="87.753564014610347"/>
    <n v="8999545"/>
  </r>
  <r>
    <x v="15"/>
    <n v="202606"/>
    <x v="0"/>
    <x v="11"/>
    <s v="Sofía V"/>
    <s v="Joe H"/>
    <n v="111213"/>
    <n v="9523313"/>
    <n v="85.631437500002036"/>
    <n v="98147.556110494057"/>
    <n v="101"/>
    <n v="105"/>
    <n v="90.439897606894348"/>
    <n v="8876455"/>
  </r>
  <r>
    <x v="2"/>
    <n v="202505"/>
    <x v="1"/>
    <x v="3"/>
    <s v="Sofía V"/>
    <s v="José A"/>
    <n v="111168"/>
    <n v="7799406"/>
    <n v="70.159005376344041"/>
    <n v="106664.00732659786"/>
    <n v="76.5"/>
    <n v="80"/>
    <n v="73.121253602621124"/>
    <n v="7767000"/>
  </r>
  <r>
    <x v="20"/>
    <n v="202501"/>
    <x v="1"/>
    <x v="10"/>
    <s v="Sofía V"/>
    <s v="Joe H"/>
    <n v="111167"/>
    <n v="9611332"/>
    <n v="86.458467741935451"/>
    <n v="111072.02177140661"/>
    <n v="96.5"/>
    <n v="96"/>
    <n v="86.532432620887562"/>
    <n v="9212826"/>
  </r>
  <r>
    <x v="10"/>
    <n v="202403"/>
    <x v="2"/>
    <x v="0"/>
    <s v="Sofía V"/>
    <s v="Melany A"/>
    <n v="111150"/>
    <n v="12471200"/>
    <n v="112.20125000000007"/>
    <n v="0"/>
    <n v="125"/>
    <n v="118.5"/>
    <m/>
    <n v="0"/>
  </r>
  <r>
    <x v="20"/>
    <n v="202403"/>
    <x v="2"/>
    <x v="0"/>
    <s v="Sofía V"/>
    <s v="Joe H"/>
    <n v="111076"/>
    <n v="10383992"/>
    <n v="93.485799731182766"/>
    <n v="0"/>
    <n v="96.5"/>
    <n v="96"/>
    <m/>
    <n v="0"/>
  </r>
  <r>
    <x v="25"/>
    <n v="202403"/>
    <x v="2"/>
    <x v="0"/>
    <s v="Sebastián S"/>
    <s v="Vik E"/>
    <n v="111070"/>
    <n v="7404395"/>
    <n v="66.664368279569885"/>
    <n v="0"/>
    <n v="77"/>
    <n v="79"/>
    <m/>
    <n v="0"/>
  </r>
  <r>
    <x v="17"/>
    <n v="202602"/>
    <x v="0"/>
    <x v="2"/>
    <s v="Sofía V"/>
    <s v="Joe H"/>
    <n v="111022"/>
    <n v="9209972"/>
    <n v="82.955937500000005"/>
    <n v="96949.833778636981"/>
    <n v="94"/>
    <n v="92"/>
    <n v="81.933174564661712"/>
    <n v="7943408"/>
  </r>
  <r>
    <x v="36"/>
    <n v="202605"/>
    <x v="0"/>
    <x v="3"/>
    <s v="Sebastián S"/>
    <s v="Rodolfo O"/>
    <n v="110956"/>
    <n v="7695273"/>
    <n v="69.354287634408436"/>
    <n v="93403.795211652076"/>
    <n v="81"/>
    <n v="77"/>
    <n v="69.978560745726568"/>
    <n v="6536263"/>
  </r>
  <r>
    <x v="34"/>
    <n v="202512"/>
    <x v="1"/>
    <x v="1"/>
    <s v="Hernán P"/>
    <s v="Daniel R"/>
    <n v="110948"/>
    <n v="1591718"/>
    <n v="14.346471774193535"/>
    <n v="109360.52258677871"/>
    <n v="15"/>
    <n v="15"/>
    <n v="14.554772438445104"/>
    <n v="1527267"/>
  </r>
  <r>
    <x v="36"/>
    <n v="202412"/>
    <x v="2"/>
    <x v="1"/>
    <s v="Sebastián S"/>
    <s v="Rodolfo O"/>
    <n v="110810"/>
    <n v="9158060"/>
    <n v="82.646290322580654"/>
    <n v="0"/>
    <n v="81"/>
    <n v="77"/>
    <m/>
    <n v="0"/>
  </r>
  <r>
    <x v="15"/>
    <n v="202408"/>
    <x v="2"/>
    <x v="5"/>
    <s v="Sofía V"/>
    <s v="Joe H"/>
    <n v="110775"/>
    <n v="9520567"/>
    <n v="85.945322580645168"/>
    <n v="0"/>
    <n v="101"/>
    <n v="105"/>
    <m/>
    <n v="0"/>
  </r>
  <r>
    <x v="25"/>
    <n v="202407"/>
    <x v="2"/>
    <x v="6"/>
    <s v="Sebastián S"/>
    <s v="Vik E"/>
    <n v="110770"/>
    <n v="7572535"/>
    <n v="68.362856182795724"/>
    <n v="0"/>
    <n v="77"/>
    <n v="79"/>
    <m/>
    <n v="0"/>
  </r>
  <r>
    <x v="40"/>
    <n v="202505"/>
    <x v="1"/>
    <x v="3"/>
    <s v="Sebastián S"/>
    <s v="Johanna V"/>
    <n v="110744"/>
    <n v="9124921"/>
    <n v="82.396586021505428"/>
    <n v="87833.923215744595"/>
    <n v="106"/>
    <n v="102.5"/>
    <n v="103.88834980747303"/>
    <n v="9644611"/>
  </r>
  <r>
    <x v="11"/>
    <n v="202504"/>
    <x v="1"/>
    <x v="9"/>
    <s v="Sofía V"/>
    <s v="José A"/>
    <n v="110725"/>
    <n v="9747705"/>
    <n v="88.035305555555553"/>
    <n v="102298.86971491559"/>
    <n v="86.5"/>
    <n v="81.5"/>
    <n v="95.286539012256014"/>
    <n v="10042147"/>
  </r>
  <r>
    <x v="8"/>
    <n v="202602"/>
    <x v="0"/>
    <x v="2"/>
    <s v="Sebastián S"/>
    <s v="Vik E"/>
    <n v="110701"/>
    <n v="8794025"/>
    <n v="79.439114583333321"/>
    <n v="103341.3836829127"/>
    <n v="88"/>
    <n v="84"/>
    <n v="78.31726123421582"/>
    <n v="8093414"/>
  </r>
  <r>
    <x v="2"/>
    <n v="202501"/>
    <x v="1"/>
    <x v="10"/>
    <s v="Sofía V"/>
    <s v="José A"/>
    <n v="110686"/>
    <n v="7809154"/>
    <n v="70.552096774193487"/>
    <n v="115958.24421871296"/>
    <n v="76.5"/>
    <n v="80"/>
    <n v="67.344532703262374"/>
    <n v="8028642"/>
  </r>
  <r>
    <x v="11"/>
    <n v="202406"/>
    <x v="2"/>
    <x v="11"/>
    <s v="Sofía V"/>
    <s v="José A"/>
    <n v="110663"/>
    <n v="10346385"/>
    <n v="93.494479166666622"/>
    <n v="0"/>
    <n v="86.5"/>
    <n v="81.5"/>
    <m/>
    <n v="0"/>
  </r>
  <r>
    <x v="5"/>
    <n v="202604"/>
    <x v="0"/>
    <x v="9"/>
    <s v="Sebastián S"/>
    <s v="Rodolfo O"/>
    <n v="110663"/>
    <n v="6763465"/>
    <n v="61.117826388890578"/>
    <n v="104982.59167440828"/>
    <n v="68.5"/>
    <n v="66"/>
    <n v="59.179400136818131"/>
    <n v="6212807"/>
  </r>
  <r>
    <x v="6"/>
    <n v="202504"/>
    <x v="1"/>
    <x v="9"/>
    <s v="Sebastián S"/>
    <s v="Vik E"/>
    <n v="110654"/>
    <n v="9508746"/>
    <n v="85.932000000000045"/>
    <n v="103125.87984484779"/>
    <n v="100"/>
    <n v="98"/>
    <n v="92.205239890373264"/>
    <n v="10359067"/>
  </r>
  <r>
    <x v="36"/>
    <n v="202606"/>
    <x v="0"/>
    <x v="11"/>
    <s v="Sebastián S"/>
    <s v="Rodolfo O"/>
    <n v="110583"/>
    <n v="6657495"/>
    <n v="60.203500000001135"/>
    <n v="86555.598595529693"/>
    <n v="81"/>
    <n v="77"/>
    <n v="69.978560745726568"/>
    <n v="6057036"/>
  </r>
  <r>
    <x v="30"/>
    <n v="202412"/>
    <x v="2"/>
    <x v="1"/>
    <s v="Sebastián S"/>
    <s v="Vik E"/>
    <n v="110538"/>
    <n v="10830091"/>
    <n v="97.976431451612797"/>
    <n v="0"/>
    <n v="101.5"/>
    <n v="97.5"/>
    <m/>
    <n v="0"/>
  </r>
  <r>
    <x v="23"/>
    <n v="202412"/>
    <x v="2"/>
    <x v="1"/>
    <s v="Sebastián S"/>
    <s v="Rodolfo O"/>
    <n v="110535"/>
    <n v="12374027"/>
    <n v="111.94702956989246"/>
    <n v="0"/>
    <n v="94.5"/>
    <n v="97"/>
    <m/>
    <n v="0"/>
  </r>
  <r>
    <x v="1"/>
    <n v="202502"/>
    <x v="1"/>
    <x v="2"/>
    <s v="Sofía V"/>
    <s v="José A"/>
    <n v="110485"/>
    <n v="6269034"/>
    <n v="56.741093750000005"/>
    <n v="121191.12840772673"/>
    <n v="61"/>
    <n v="60"/>
    <n v="51.728493350675883"/>
    <n v="6362513"/>
  </r>
  <r>
    <x v="55"/>
    <n v="202412"/>
    <x v="2"/>
    <x v="1"/>
    <s v="Sebastián S"/>
    <s v="Vik E"/>
    <n v="110485"/>
    <n v="7641850"/>
    <n v="69.166633064516162"/>
    <n v="0"/>
    <n v="69.5"/>
    <n v="59"/>
    <m/>
    <n v="0"/>
  </r>
  <r>
    <x v="2"/>
    <n v="202401"/>
    <x v="2"/>
    <x v="10"/>
    <s v="Sofía V"/>
    <s v="José A"/>
    <n v="110436"/>
    <n v="7572520"/>
    <n v="68.569045698924697"/>
    <n v="0"/>
    <n v="76.5"/>
    <n v="80"/>
    <m/>
    <n v="0"/>
  </r>
  <r>
    <x v="35"/>
    <n v="202603"/>
    <x v="0"/>
    <x v="0"/>
    <s v="Hernán P"/>
    <s v="Daniel R"/>
    <n v="110399"/>
    <n v="13175582"/>
    <n v="119.34553091397841"/>
    <n v="114549.61121360562"/>
    <n v="140.5"/>
    <n v="125.5"/>
    <n v="117.18897502469719"/>
    <n v="13423952"/>
  </r>
  <r>
    <x v="31"/>
    <n v="202406"/>
    <x v="2"/>
    <x v="11"/>
    <s v="Sofía V"/>
    <s v="Melany A"/>
    <n v="110237"/>
    <n v="11594317"/>
    <n v="105.17660416666673"/>
    <n v="0"/>
    <n v="99"/>
    <n v="32.5"/>
    <m/>
    <n v="0"/>
  </r>
  <r>
    <x v="40"/>
    <n v="202603"/>
    <x v="0"/>
    <x v="0"/>
    <s v="Sebastián S"/>
    <s v="Johanna V"/>
    <n v="110226"/>
    <n v="10091243"/>
    <n v="91.550591397849416"/>
    <n v="114056.08013723641"/>
    <n v="106"/>
    <n v="102.5"/>
    <n v="90.060822135394957"/>
    <n v="10271984"/>
  </r>
  <r>
    <x v="6"/>
    <n v="202507"/>
    <x v="1"/>
    <x v="6"/>
    <s v="Sebastián S"/>
    <s v="Vik E"/>
    <n v="110189"/>
    <n v="9776787"/>
    <n v="88.727352150537669"/>
    <n v="111263.55492807068"/>
    <n v="100"/>
    <n v="98"/>
    <n v="87.870526843407688"/>
    <n v="10189414"/>
  </r>
  <r>
    <x v="5"/>
    <n v="202602"/>
    <x v="0"/>
    <x v="2"/>
    <s v="Sebastián S"/>
    <s v="Rodolfo O"/>
    <n v="110154"/>
    <n v="6817105"/>
    <n v="61.886979166666691"/>
    <n v="103811.10089823078"/>
    <n v="68.5"/>
    <n v="66"/>
    <n v="59.179400136818131"/>
    <n v="6143479"/>
  </r>
  <r>
    <x v="2"/>
    <n v="202410"/>
    <x v="2"/>
    <x v="8"/>
    <s v="Sofía V"/>
    <s v="José A"/>
    <n v="110061"/>
    <n v="7260782"/>
    <n v="65.970483870967726"/>
    <n v="0"/>
    <n v="76.5"/>
    <n v="80"/>
    <m/>
    <n v="0"/>
  </r>
  <r>
    <x v="4"/>
    <n v="202606"/>
    <x v="0"/>
    <x v="11"/>
    <s v="Sofía V"/>
    <s v="José A"/>
    <n v="110050"/>
    <n v="9765595"/>
    <n v="88.738125000002739"/>
    <n v="93000.708306723303"/>
    <n v="107.5"/>
    <n v="102.5"/>
    <n v="96.70800932222366"/>
    <n v="8993913"/>
  </r>
  <r>
    <x v="15"/>
    <n v="202504"/>
    <x v="1"/>
    <x v="9"/>
    <s v="Sofía V"/>
    <s v="Joe H"/>
    <n v="110002"/>
    <n v="9071064"/>
    <n v="82.462527777777865"/>
    <n v="109637.28017857777"/>
    <n v="101"/>
    <n v="105"/>
    <n v="82.737035844240253"/>
    <n v="9802363"/>
  </r>
  <r>
    <x v="3"/>
    <n v="202509"/>
    <x v="1"/>
    <x v="4"/>
    <s v="Sebastián S"/>
    <s v="Rodolfo O"/>
    <n v="109969"/>
    <n v="8986833"/>
    <n v="81.721451388888951"/>
    <n v="103048.32384519652"/>
    <n v="98.5"/>
    <n v="96.5"/>
    <n v="87.209888377227728"/>
    <n v="9449895"/>
  </r>
  <r>
    <x v="12"/>
    <n v="202511"/>
    <x v="1"/>
    <x v="7"/>
    <s v="Sofía V"/>
    <s v="Melany A"/>
    <n v="109801"/>
    <n v="9055149"/>
    <n v="82.469090277777809"/>
    <n v="99988.056001644392"/>
    <n v="96.5"/>
    <n v="94"/>
    <n v="90.562307360501919"/>
    <n v="8241357"/>
  </r>
  <r>
    <x v="9"/>
    <n v="202403"/>
    <x v="2"/>
    <x v="0"/>
    <s v="Sofía V"/>
    <s v="Joe H"/>
    <n v="109799"/>
    <n v="7494314"/>
    <n v="68.254751344086031"/>
    <n v="0"/>
    <n v="70.5"/>
    <n v="69.5"/>
    <m/>
    <n v="0"/>
  </r>
  <r>
    <x v="32"/>
    <n v="202412"/>
    <x v="2"/>
    <x v="1"/>
    <s v="Sofía V"/>
    <s v="Melany A"/>
    <n v="109756"/>
    <n v="7967134"/>
    <n v="72.589717741935473"/>
    <n v="0"/>
    <n v="75.5"/>
    <n v="68"/>
    <m/>
    <n v="0"/>
  </r>
  <r>
    <x v="2"/>
    <n v="202606"/>
    <x v="0"/>
    <x v="11"/>
    <s v="Sofía V"/>
    <s v="José A"/>
    <n v="109674"/>
    <n v="7796493"/>
    <n v="71.087625000001495"/>
    <n v="121294.30267571435"/>
    <n v="76.5"/>
    <n v="80"/>
    <n v="67.450733277005639"/>
    <n v="8181390"/>
  </r>
  <r>
    <x v="8"/>
    <n v="202403"/>
    <x v="2"/>
    <x v="0"/>
    <s v="Sebastián S"/>
    <s v="Vik E"/>
    <n v="109670"/>
    <n v="9355427"/>
    <n v="85.30492607526881"/>
    <n v="0"/>
    <n v="88"/>
    <n v="84"/>
    <m/>
    <n v="0"/>
  </r>
  <r>
    <x v="47"/>
    <n v="202512"/>
    <x v="1"/>
    <x v="1"/>
    <s v="Sebastián S"/>
    <s v="Vik E"/>
    <n v="109665"/>
    <n v="5613454"/>
    <n v="51.18721774193547"/>
    <n v="98723.498187989404"/>
    <n v="61.5"/>
    <n v="48.5"/>
    <n v="56.860368028195808"/>
    <n v="6567747"/>
  </r>
  <r>
    <x v="4"/>
    <n v="202507"/>
    <x v="1"/>
    <x v="6"/>
    <s v="Sofía V"/>
    <s v="José A"/>
    <n v="109575"/>
    <n v="10512165"/>
    <n v="95.935893817204345"/>
    <n v="106631.81353985007"/>
    <n v="107.5"/>
    <n v="102.5"/>
    <n v="98.583759958949116"/>
    <n v="11151548"/>
  </r>
  <r>
    <x v="5"/>
    <n v="202403"/>
    <x v="2"/>
    <x v="0"/>
    <s v="Sebastián S"/>
    <s v="Rodolfo O"/>
    <n v="109449"/>
    <n v="6976996"/>
    <n v="63.746572580645157"/>
    <n v="0"/>
    <n v="68.5"/>
    <n v="66"/>
    <m/>
    <n v="0"/>
  </r>
  <r>
    <x v="3"/>
    <n v="202504"/>
    <x v="1"/>
    <x v="9"/>
    <s v="Sebastián S"/>
    <s v="Rodolfo O"/>
    <n v="109401"/>
    <n v="9825275"/>
    <n v="89.809562500000069"/>
    <n v="102565.80748755697"/>
    <n v="98.5"/>
    <n v="96.5"/>
    <n v="95.794840022021717"/>
    <n v="10896040"/>
  </r>
  <r>
    <x v="9"/>
    <n v="202602"/>
    <x v="0"/>
    <x v="2"/>
    <s v="Sofía V"/>
    <s v="Joe H"/>
    <n v="109324"/>
    <n v="6256659"/>
    <n v="57.23020833333333"/>
    <n v="83735.853013819302"/>
    <n v="70.5"/>
    <n v="69.5"/>
    <n v="63.576561684054447"/>
    <n v="5323638"/>
  </r>
  <r>
    <x v="6"/>
    <n v="202508"/>
    <x v="1"/>
    <x v="5"/>
    <s v="Sebastián S"/>
    <s v="Vik E"/>
    <n v="109283"/>
    <n v="9546020"/>
    <n v="87.351202956989241"/>
    <n v="105401.8628119015"/>
    <n v="100"/>
    <n v="98"/>
    <n v="90.56785255338113"/>
    <n v="9264086"/>
  </r>
  <r>
    <x v="8"/>
    <n v="202507"/>
    <x v="1"/>
    <x v="6"/>
    <s v="Sebastián S"/>
    <s v="Vik E"/>
    <n v="109240"/>
    <n v="8678149"/>
    <n v="79.441108870967753"/>
    <n v="113025.44549054602"/>
    <n v="88"/>
    <n v="84"/>
    <n v="76.780486308509012"/>
    <n v="8985639"/>
  </r>
  <r>
    <x v="3"/>
    <n v="202510"/>
    <x v="1"/>
    <x v="8"/>
    <s v="Sebastián S"/>
    <s v="Rodolfo O"/>
    <n v="109205"/>
    <n v="9214774"/>
    <n v="84.380625000000038"/>
    <n v="108936.98038214205"/>
    <n v="98.5"/>
    <n v="96.5"/>
    <n v="84.588120559935817"/>
    <n v="9115655"/>
  </r>
  <r>
    <x v="14"/>
    <n v="202606"/>
    <x v="0"/>
    <x v="11"/>
    <s v="Sofía V"/>
    <s v="Melany A"/>
    <n v="109201"/>
    <n v="5245173"/>
    <n v="48.032104166666819"/>
    <n v="88681.5792300662"/>
    <n v="59.5"/>
    <n v="55.5"/>
    <n v="53.278949580299148"/>
    <n v="4724861"/>
  </r>
  <r>
    <x v="9"/>
    <n v="202604"/>
    <x v="0"/>
    <x v="9"/>
    <s v="Sofía V"/>
    <s v="Joe H"/>
    <n v="109172"/>
    <n v="6572691"/>
    <n v="60.205152777779077"/>
    <n v="85212.529921365058"/>
    <n v="70.5"/>
    <n v="69.5"/>
    <n v="63.576561684054447"/>
    <n v="5417520"/>
  </r>
  <r>
    <x v="26"/>
    <n v="202603"/>
    <x v="0"/>
    <x v="0"/>
    <s v="Sofía V"/>
    <s v="Melany A"/>
    <n v="109158"/>
    <n v="5143510"/>
    <n v="47.119643817204299"/>
    <n v="112881.47564209858"/>
    <n v="55"/>
    <n v="50.5"/>
    <n v="48.493991244906027"/>
    <n v="5474073"/>
  </r>
  <r>
    <x v="5"/>
    <n v="202505"/>
    <x v="1"/>
    <x v="3"/>
    <s v="Sebastián S"/>
    <s v="Rodolfo O"/>
    <n v="109157"/>
    <n v="6405895"/>
    <n v="58.685309139784955"/>
    <n v="99663.778448527824"/>
    <n v="68.5"/>
    <n v="66"/>
    <n v="64.275058900244048"/>
    <n v="6228071"/>
  </r>
  <r>
    <x v="30"/>
    <n v="202605"/>
    <x v="0"/>
    <x v="3"/>
    <s v="Sebastián S"/>
    <s v="Vik E"/>
    <n v="109070"/>
    <n v="9696481"/>
    <n v="88.901081989247189"/>
    <n v="104797.06014454384"/>
    <n v="101.5"/>
    <n v="97.5"/>
    <n v="87.689184144336366"/>
    <n v="9189569"/>
  </r>
  <r>
    <x v="4"/>
    <n v="202508"/>
    <x v="1"/>
    <x v="5"/>
    <s v="Sofía V"/>
    <s v="José A"/>
    <n v="109030"/>
    <n v="10146125"/>
    <n v="93.058508064516147"/>
    <n v="104672.81663635101"/>
    <n v="107.5"/>
    <n v="102.5"/>
    <n v="96.931804130667047"/>
    <n v="10454639"/>
  </r>
  <r>
    <x v="2"/>
    <n v="202602"/>
    <x v="0"/>
    <x v="2"/>
    <s v="Sofía V"/>
    <s v="José A"/>
    <n v="109020"/>
    <n v="7937803"/>
    <n v="72.810312500000009"/>
    <n v="116004.55495073838"/>
    <n v="76.5"/>
    <n v="80"/>
    <n v="67.450733277005639"/>
    <n v="7824592"/>
  </r>
  <r>
    <x v="50"/>
    <n v="202412"/>
    <x v="2"/>
    <x v="1"/>
    <s v="Sebastián S"/>
    <s v="Vik E"/>
    <n v="108970"/>
    <n v="9268448"/>
    <n v="85.054798387096753"/>
    <n v="0"/>
    <n v="75.5"/>
    <n v="74"/>
    <m/>
    <n v="0"/>
  </r>
  <r>
    <x v="30"/>
    <n v="202406"/>
    <x v="2"/>
    <x v="11"/>
    <s v="Sebastián S"/>
    <s v="Vik E"/>
    <n v="108900"/>
    <n v="9368328"/>
    <n v="86.0269861111111"/>
    <n v="0"/>
    <n v="101.5"/>
    <n v="97.5"/>
    <m/>
    <n v="0"/>
  </r>
  <r>
    <x v="15"/>
    <n v="202401"/>
    <x v="2"/>
    <x v="10"/>
    <s v="Sofía V"/>
    <s v="Joe H"/>
    <n v="108831"/>
    <n v="8696416"/>
    <n v="79.907305107526838"/>
    <n v="0"/>
    <n v="101"/>
    <n v="105"/>
    <m/>
    <n v="0"/>
  </r>
  <r>
    <x v="48"/>
    <n v="202412"/>
    <x v="2"/>
    <x v="1"/>
    <s v="Hernán P"/>
    <s v="Daniel R"/>
    <n v="108822"/>
    <n v="7327512"/>
    <n v="67.334543010752668"/>
    <n v="0"/>
    <n v="79.5"/>
    <n v="72.5"/>
    <m/>
    <n v="0"/>
  </r>
  <r>
    <x v="3"/>
    <n v="202501"/>
    <x v="1"/>
    <x v="10"/>
    <s v="Sebastián S"/>
    <s v="Rodolfo O"/>
    <n v="108773"/>
    <n v="9602129"/>
    <n v="88.276538978494514"/>
    <n v="87350.543497883307"/>
    <n v="98.5"/>
    <n v="96.5"/>
    <n v="109.92637773607761"/>
    <n v="9867847"/>
  </r>
  <r>
    <x v="37"/>
    <n v="202605"/>
    <x v="0"/>
    <x v="3"/>
    <s v="Sofía V"/>
    <s v="Melany A"/>
    <n v="108634"/>
    <n v="6293447"/>
    <n v="57.932715053764007"/>
    <n v="118516.65281528508"/>
    <n v="72.5"/>
    <n v="68.5"/>
    <n v="63.042188618377821"/>
    <n v="7471549"/>
  </r>
  <r>
    <x v="52"/>
    <n v="202412"/>
    <x v="2"/>
    <x v="1"/>
    <s v="Sebastián S"/>
    <s v="Vik E"/>
    <n v="108577"/>
    <n v="8975065"/>
    <n v="82.661061827957013"/>
    <n v="0"/>
    <n v="80"/>
    <n v="78"/>
    <m/>
    <n v="0"/>
  </r>
  <r>
    <x v="24"/>
    <n v="202503"/>
    <x v="1"/>
    <x v="0"/>
    <s v="Sofía V"/>
    <s v="Joe H"/>
    <n v="108560"/>
    <n v="7136134"/>
    <n v="65.734516129032258"/>
    <n v="108805.40326338074"/>
    <n v="71"/>
    <n v="74.5"/>
    <n v="65.586213698651093"/>
    <n v="7045355"/>
  </r>
  <r>
    <x v="43"/>
    <n v="202412"/>
    <x v="2"/>
    <x v="1"/>
    <s v="Sofía V"/>
    <s v="José A"/>
    <n v="108514"/>
    <n v="3591365"/>
    <n v="33.095793010752701"/>
    <n v="0"/>
    <n v="32.5"/>
    <n v="32"/>
    <m/>
    <n v="0"/>
  </r>
  <r>
    <x v="10"/>
    <n v="202604"/>
    <x v="0"/>
    <x v="9"/>
    <s v="Sofía V"/>
    <s v="Melany A"/>
    <n v="108452"/>
    <n v="11096009"/>
    <n v="102.31268055555807"/>
    <n v="99505.456439394111"/>
    <n v="125"/>
    <n v="118.5"/>
    <n v="102.97612103755296"/>
    <n v="10246686"/>
  </r>
  <r>
    <x v="8"/>
    <n v="202505"/>
    <x v="1"/>
    <x v="3"/>
    <s v="Sebastián S"/>
    <s v="Vik E"/>
    <n v="108385"/>
    <n v="8610995"/>
    <n v="79.44807123655913"/>
    <n v="99620.645477740021"/>
    <n v="88"/>
    <n v="84"/>
    <n v="86.437859328306672"/>
    <n v="8374079"/>
  </r>
  <r>
    <x v="4"/>
    <n v="202601"/>
    <x v="0"/>
    <x v="10"/>
    <s v="Sofía V"/>
    <s v="José A"/>
    <n v="108357"/>
    <n v="9803963"/>
    <n v="90.478434139784994"/>
    <n v="103489.82257873937"/>
    <n v="107.5"/>
    <n v="102.5"/>
    <n v="96.70800932222366"/>
    <n v="10008295"/>
  </r>
  <r>
    <x v="20"/>
    <n v="202407"/>
    <x v="2"/>
    <x v="6"/>
    <s v="Sofía V"/>
    <s v="Joe H"/>
    <n v="108345"/>
    <n v="9805646"/>
    <n v="90.50426075268814"/>
    <n v="0"/>
    <n v="96.5"/>
    <n v="96"/>
    <m/>
    <n v="0"/>
  </r>
  <r>
    <x v="14"/>
    <n v="202412"/>
    <x v="2"/>
    <x v="1"/>
    <s v="Sofía V"/>
    <s v="Melany A"/>
    <n v="108267"/>
    <n v="7162352"/>
    <n v="66.154798387096761"/>
    <n v="0"/>
    <n v="59.5"/>
    <n v="55.5"/>
    <m/>
    <n v="0"/>
  </r>
  <r>
    <x v="2"/>
    <n v="202506"/>
    <x v="1"/>
    <x v="11"/>
    <s v="Sofía V"/>
    <s v="José A"/>
    <n v="108184"/>
    <n v="7435945"/>
    <n v="68.734458333333379"/>
    <n v="112384.57976399391"/>
    <n v="76.5"/>
    <n v="80"/>
    <n v="66.165167726883723"/>
    <n v="7565211"/>
  </r>
  <r>
    <x v="2"/>
    <n v="202509"/>
    <x v="1"/>
    <x v="4"/>
    <s v="Sofía V"/>
    <s v="José A"/>
    <n v="108136"/>
    <n v="7477486"/>
    <n v="69.148673611111178"/>
    <n v="119223.60769739456"/>
    <n v="76.5"/>
    <n v="80"/>
    <n v="62.718164081889384"/>
    <n v="7610625"/>
  </r>
  <r>
    <x v="30"/>
    <n v="202411"/>
    <x v="2"/>
    <x v="7"/>
    <s v="Sebastián S"/>
    <s v="Vik E"/>
    <n v="108098"/>
    <n v="9422543"/>
    <n v="87.166722222222234"/>
    <n v="0"/>
    <n v="101.5"/>
    <n v="97.5"/>
    <m/>
    <n v="0"/>
  </r>
  <r>
    <x v="54"/>
    <n v="202512"/>
    <x v="1"/>
    <x v="1"/>
    <s v="Sebastián S"/>
    <s v="Rodolfo O"/>
    <n v="107941"/>
    <n v="8484826"/>
    <n v="78.606189516129007"/>
    <n v="101372.15897226818"/>
    <n v="80"/>
    <n v="80.5"/>
    <n v="83.699765359847419"/>
    <n v="10051524"/>
  </r>
  <r>
    <x v="6"/>
    <n v="202510"/>
    <x v="1"/>
    <x v="8"/>
    <s v="Sebastián S"/>
    <s v="Vik E"/>
    <n v="107892"/>
    <n v="9021708"/>
    <n v="83.618104838709712"/>
    <n v="104564.68277775752"/>
    <n v="100"/>
    <n v="98"/>
    <n v="86.278727198692877"/>
    <n v="9671467"/>
  </r>
  <r>
    <x v="24"/>
    <n v="202603"/>
    <x v="0"/>
    <x v="0"/>
    <s v="Sofía V"/>
    <s v="Joe H"/>
    <n v="107881"/>
    <n v="7356206"/>
    <n v="68.187856182795727"/>
    <n v="109301.10356113937"/>
    <n v="71"/>
    <n v="74.5"/>
    <n v="62.681117153293116"/>
    <n v="6851115"/>
  </r>
  <r>
    <x v="37"/>
    <n v="202512"/>
    <x v="1"/>
    <x v="1"/>
    <s v="Sofía V"/>
    <s v="Melany A"/>
    <n v="107781"/>
    <n v="8432968"/>
    <n v="78.241935483870904"/>
    <n v="119491.83927440362"/>
    <n v="72.5"/>
    <n v="68.5"/>
    <n v="70.57358938658858"/>
    <n v="8386515"/>
  </r>
  <r>
    <x v="56"/>
    <n v="202512"/>
    <x v="1"/>
    <x v="1"/>
    <s v="Sofía V"/>
    <s v="Joe H"/>
    <n v="107755"/>
    <n v="8543718"/>
    <n v="79.28831317204299"/>
    <n v="100022.09602496725"/>
    <n v="79.5"/>
    <n v="81.5"/>
    <n v="85.418305849812782"/>
    <n v="9075372"/>
  </r>
  <r>
    <x v="57"/>
    <n v="202603"/>
    <x v="0"/>
    <x v="0"/>
    <s v="Hernán P"/>
    <s v="Daniel R"/>
    <n v="107730"/>
    <n v="4505513"/>
    <n v="41.82217741935483"/>
    <n v="106988.45546499165"/>
    <n v="53.5"/>
    <n v="52"/>
    <n v="43.483853774506514"/>
    <n v="4652270"/>
  </r>
  <r>
    <x v="8"/>
    <n v="202407"/>
    <x v="2"/>
    <x v="6"/>
    <s v="Sebastián S"/>
    <s v="Vik E"/>
    <n v="107643"/>
    <n v="8975410"/>
    <n v="83.381055107526933"/>
    <n v="0"/>
    <n v="88"/>
    <n v="84"/>
    <m/>
    <n v="0"/>
  </r>
  <r>
    <x v="1"/>
    <n v="202504"/>
    <x v="1"/>
    <x v="9"/>
    <s v="Sofía V"/>
    <s v="José A"/>
    <n v="107627"/>
    <n v="5907237"/>
    <n v="54.886270833333313"/>
    <n v="112655.66131259392"/>
    <n v="61"/>
    <n v="60"/>
    <n v="52.436222478058639"/>
    <n v="6501964"/>
  </r>
  <r>
    <x v="16"/>
    <n v="202511"/>
    <x v="1"/>
    <x v="7"/>
    <s v="Sofía V"/>
    <s v="José A"/>
    <n v="107622"/>
    <n v="6136504"/>
    <n v="57.018888888888895"/>
    <n v="107831.8428212568"/>
    <n v="64"/>
    <n v="67"/>
    <n v="56.908088830234824"/>
    <n v="4852398"/>
  </r>
  <r>
    <x v="3"/>
    <n v="202406"/>
    <x v="2"/>
    <x v="11"/>
    <s v="Sebastián S"/>
    <s v="Rodolfo O"/>
    <n v="107617"/>
    <n v="10246701"/>
    <n v="95.214777777777769"/>
    <n v="0"/>
    <n v="98.5"/>
    <n v="96.5"/>
    <m/>
    <n v="0"/>
  </r>
  <r>
    <x v="48"/>
    <n v="202606"/>
    <x v="0"/>
    <x v="11"/>
    <s v="Hernán P"/>
    <s v="Daniel R"/>
    <n v="107588"/>
    <n v="6418284"/>
    <n v="59.655993055557062"/>
    <n v="92906.652912237332"/>
    <n v="79.5"/>
    <n v="72.5"/>
    <n v="64.209802769832038"/>
    <n v="5965518"/>
  </r>
  <r>
    <x v="5"/>
    <n v="202508"/>
    <x v="1"/>
    <x v="5"/>
    <s v="Sebastián S"/>
    <s v="Rodolfo O"/>
    <n v="107568"/>
    <n v="6207557"/>
    <n v="57.708131720430089"/>
    <n v="106327.68283905581"/>
    <n v="68.5"/>
    <n v="66"/>
    <n v="58.381380504606156"/>
    <n v="6023653"/>
  </r>
  <r>
    <x v="58"/>
    <n v="202512"/>
    <x v="1"/>
    <x v="1"/>
    <s v="Sebastián S"/>
    <s v="Rodolfo O"/>
    <n v="107424"/>
    <n v="6359032"/>
    <n v="59.195537634408602"/>
    <n v="106043.42091129776"/>
    <n v="66.5"/>
    <n v="63.5"/>
    <n v="59.966306210728"/>
    <n v="6845366"/>
  </r>
  <r>
    <x v="15"/>
    <n v="202506"/>
    <x v="1"/>
    <x v="11"/>
    <s v="Sofía V"/>
    <s v="Joe H"/>
    <n v="107421"/>
    <n v="8509559"/>
    <n v="79.216958333333352"/>
    <n v="118893.00680835548"/>
    <n v="101"/>
    <n v="105"/>
    <n v="71.573248742178919"/>
    <n v="9799888"/>
  </r>
  <r>
    <x v="22"/>
    <n v="202505"/>
    <x v="1"/>
    <x v="3"/>
    <s v="Sebastián S"/>
    <s v="Johanna V"/>
    <n v="107420"/>
    <n v="9008388"/>
    <n v="83.861081989247239"/>
    <n v="94025.938743418563"/>
    <n v="104.5"/>
    <n v="99"/>
    <n v="95.807482279782633"/>
    <n v="9335897"/>
  </r>
  <r>
    <x v="59"/>
    <n v="202412"/>
    <x v="2"/>
    <x v="1"/>
    <s v="Sebastián S"/>
    <s v="Johanna V"/>
    <n v="107361"/>
    <n v="12342686"/>
    <n v="114.9640389784946"/>
    <n v="0"/>
    <n v="118"/>
    <n v="106"/>
    <m/>
    <n v="0"/>
  </r>
  <r>
    <x v="21"/>
    <n v="202511"/>
    <x v="1"/>
    <x v="7"/>
    <s v="Sebastián S"/>
    <s v="Rodolfo O"/>
    <n v="107341"/>
    <n v="7489290"/>
    <n v="69.770750000000035"/>
    <n v="93487.481008159462"/>
    <n v="84.5"/>
    <n v="86.5"/>
    <n v="80.110087888092139"/>
    <n v="6537255"/>
  </r>
  <r>
    <x v="3"/>
    <n v="202506"/>
    <x v="1"/>
    <x v="11"/>
    <s v="Sebastián S"/>
    <s v="Rodolfo O"/>
    <n v="107293"/>
    <n v="9844291"/>
    <n v="91.751868055555533"/>
    <n v="112997.54221566915"/>
    <n v="98.5"/>
    <n v="96.5"/>
    <n v="87.119511690006547"/>
    <n v="10265541"/>
  </r>
  <r>
    <x v="1"/>
    <n v="202404"/>
    <x v="2"/>
    <x v="9"/>
    <s v="Sofía V"/>
    <s v="José A"/>
    <n v="107291"/>
    <n v="5495693"/>
    <n v="51.222256944444482"/>
    <n v="0"/>
    <n v="61"/>
    <n v="60"/>
    <m/>
    <n v="0"/>
  </r>
  <r>
    <x v="44"/>
    <n v="202412"/>
    <x v="2"/>
    <x v="1"/>
    <s v="Sebastián S"/>
    <s v="Johanna V"/>
    <n v="107213"/>
    <n v="12610184"/>
    <n v="117.61820564516131"/>
    <n v="0"/>
    <n v="117.5"/>
    <n v="99"/>
    <m/>
    <n v="0"/>
  </r>
  <r>
    <x v="15"/>
    <n v="202509"/>
    <x v="1"/>
    <x v="4"/>
    <s v="Sofía V"/>
    <s v="Joe H"/>
    <n v="107076"/>
    <n v="8593179"/>
    <n v="80.252715277777824"/>
    <n v="102363.61310532382"/>
    <n v="101"/>
    <n v="105"/>
    <n v="83.947597581948571"/>
    <n v="9642057"/>
  </r>
  <r>
    <x v="29"/>
    <n v="202407"/>
    <x v="2"/>
    <x v="6"/>
    <s v="Sebastián S"/>
    <s v="Vik E"/>
    <n v="107069"/>
    <n v="6934056"/>
    <n v="64.76265456989249"/>
    <n v="0"/>
    <n v="76.5"/>
    <n v="75.5"/>
    <m/>
    <n v="0"/>
  </r>
  <r>
    <x v="9"/>
    <n v="202412"/>
    <x v="2"/>
    <x v="1"/>
    <s v="Sofía V"/>
    <s v="Joe H"/>
    <n v="107050"/>
    <n v="7859845"/>
    <n v="73.422237903225778"/>
    <n v="0"/>
    <n v="70.5"/>
    <n v="69.5"/>
    <m/>
    <n v="0"/>
  </r>
  <r>
    <x v="2"/>
    <n v="202406"/>
    <x v="2"/>
    <x v="11"/>
    <s v="Sofía V"/>
    <s v="José A"/>
    <n v="107033"/>
    <n v="7427294"/>
    <n v="69.392604166666615"/>
    <n v="0"/>
    <n v="76.5"/>
    <n v="80"/>
    <m/>
    <n v="0"/>
  </r>
  <r>
    <x v="60"/>
    <n v="202512"/>
    <x v="1"/>
    <x v="1"/>
    <s v="Sofía V"/>
    <s v="Melany A"/>
    <n v="106905"/>
    <n v="13089041"/>
    <n v="122.43663306451614"/>
    <n v="108625.67128443321"/>
    <n v="88.5"/>
    <n v="92.5"/>
    <n v="120.49675583340442"/>
    <n v="9905528"/>
  </r>
  <r>
    <x v="38"/>
    <n v="202503"/>
    <x v="1"/>
    <x v="0"/>
    <s v="Sofía V"/>
    <s v="Melany A"/>
    <n v="106836"/>
    <n v="5799927"/>
    <n v="54.288010752688159"/>
    <n v="85505.532722375516"/>
    <n v="56"/>
    <n v="60"/>
    <n v="67.831018945072842"/>
    <n v="5529759"/>
  </r>
  <r>
    <x v="44"/>
    <n v="202606"/>
    <x v="0"/>
    <x v="11"/>
    <s v="Sebastián S"/>
    <s v="Johanna V"/>
    <n v="106831"/>
    <n v="9332724"/>
    <n v="87.359756944446133"/>
    <n v="87868.82580374254"/>
    <n v="117.5"/>
    <n v="99"/>
    <n v="98.005014700369543"/>
    <n v="8611586"/>
  </r>
  <r>
    <x v="11"/>
    <n v="202401"/>
    <x v="2"/>
    <x v="10"/>
    <s v="Sofía V"/>
    <s v="José A"/>
    <n v="106814"/>
    <n v="9058449"/>
    <n v="84.805423387096752"/>
    <n v="0"/>
    <n v="86.5"/>
    <n v="81.5"/>
    <m/>
    <n v="0"/>
  </r>
  <r>
    <x v="20"/>
    <n v="202410"/>
    <x v="2"/>
    <x v="8"/>
    <s v="Sofía V"/>
    <s v="Joe H"/>
    <n v="106800"/>
    <n v="9301387"/>
    <n v="87.091948924731156"/>
    <n v="0"/>
    <n v="96.5"/>
    <n v="96"/>
    <m/>
    <n v="0"/>
  </r>
  <r>
    <x v="16"/>
    <n v="202505"/>
    <x v="1"/>
    <x v="3"/>
    <s v="Sofía V"/>
    <s v="José A"/>
    <n v="106748"/>
    <n v="6027624"/>
    <n v="56.465725806451616"/>
    <n v="97004.406206876811"/>
    <n v="64"/>
    <n v="67"/>
    <n v="62.137629471646527"/>
    <n v="5814137"/>
  </r>
  <r>
    <x v="7"/>
    <n v="202504"/>
    <x v="1"/>
    <x v="9"/>
    <s v="Sebastián S"/>
    <s v="Rodolfo O"/>
    <n v="106490"/>
    <n v="5654294"/>
    <n v="53.096701388888903"/>
    <n v="70926.927223961218"/>
    <n v="65.5"/>
    <n v="63"/>
    <n v="79.719992833551245"/>
    <n v="5127387"/>
  </r>
  <r>
    <x v="7"/>
    <n v="202601"/>
    <x v="0"/>
    <x v="10"/>
    <s v="Sebastián S"/>
    <s v="Rodolfo O"/>
    <n v="106480"/>
    <n v="6201146"/>
    <n v="58.237788978494621"/>
    <n v="96604.228827616796"/>
    <n v="65.5"/>
    <n v="63"/>
    <n v="55.389519717073902"/>
    <n v="5350862"/>
  </r>
  <r>
    <x v="19"/>
    <n v="202503"/>
    <x v="1"/>
    <x v="0"/>
    <s v="Sofía V"/>
    <s v="Joe H"/>
    <n v="106437"/>
    <n v="5861082"/>
    <n v="55.066102150537638"/>
    <n v="105673.0274846556"/>
    <n v="57.5"/>
    <n v="56.5"/>
    <n v="55.464313169707054"/>
    <n v="5791094"/>
  </r>
  <r>
    <x v="10"/>
    <n v="202511"/>
    <x v="1"/>
    <x v="7"/>
    <s v="Sofía V"/>
    <s v="Melany A"/>
    <n v="106338"/>
    <n v="10432010"/>
    <n v="98.102472222222232"/>
    <n v="97686.454064170946"/>
    <n v="125"/>
    <n v="118.5"/>
    <n v="106.79075333359053"/>
    <n v="9407386"/>
  </r>
  <r>
    <x v="6"/>
    <n v="202501"/>
    <x v="1"/>
    <x v="10"/>
    <s v="Sebastián S"/>
    <s v="Vik E"/>
    <n v="106283"/>
    <n v="9376441"/>
    <n v="88.221075268817216"/>
    <n v="110874.79503333212"/>
    <n v="100"/>
    <n v="98"/>
    <n v="84.567830201455351"/>
    <n v="9454267"/>
  </r>
  <r>
    <x v="44"/>
    <n v="202511"/>
    <x v="1"/>
    <x v="7"/>
    <s v="Sebastián S"/>
    <s v="Johanna V"/>
    <n v="106274"/>
    <n v="9492395"/>
    <n v="89.320000000000022"/>
    <n v="100904.94566071444"/>
    <n v="117.5"/>
    <n v="99"/>
    <n v="94.072641413608139"/>
    <n v="8439071"/>
  </r>
  <r>
    <x v="21"/>
    <n v="202503"/>
    <x v="1"/>
    <x v="0"/>
    <s v="Sebastián S"/>
    <s v="Rodolfo O"/>
    <n v="106219"/>
    <n v="8161892"/>
    <n v="76.840430107526842"/>
    <n v="107130.91749358042"/>
    <n v="84.5"/>
    <n v="86.5"/>
    <n v="76.186148508334043"/>
    <n v="8223943"/>
  </r>
  <r>
    <x v="7"/>
    <n v="202505"/>
    <x v="1"/>
    <x v="3"/>
    <s v="Sebastián S"/>
    <s v="Rodolfo O"/>
    <n v="106130"/>
    <n v="6023437"/>
    <n v="56.755369623655923"/>
    <n v="77060.961099533059"/>
    <n v="65.5"/>
    <n v="63"/>
    <n v="78.164567558663606"/>
    <n v="5068743"/>
  </r>
  <r>
    <x v="30"/>
    <n v="202506"/>
    <x v="1"/>
    <x v="11"/>
    <s v="Sebastián S"/>
    <s v="Vik E"/>
    <n v="106091"/>
    <n v="8553825"/>
    <n v="80.627215277777736"/>
    <n v="114344.8686996313"/>
    <n v="101.5"/>
    <n v="97.5"/>
    <n v="74.807249833569344"/>
    <n v="9427621"/>
  </r>
  <r>
    <x v="14"/>
    <n v="202403"/>
    <x v="2"/>
    <x v="0"/>
    <s v="Sofía V"/>
    <s v="Melany A"/>
    <n v="106076"/>
    <n v="6488249"/>
    <n v="61.166122311827955"/>
    <n v="0"/>
    <n v="59.5"/>
    <n v="55.5"/>
    <m/>
    <n v="0"/>
  </r>
  <r>
    <x v="20"/>
    <n v="202510"/>
    <x v="1"/>
    <x v="8"/>
    <s v="Sofía V"/>
    <s v="Joe H"/>
    <n v="106030"/>
    <n v="9006152"/>
    <n v="84.93991935483875"/>
    <n v="112139.60160015043"/>
    <n v="96.5"/>
    <n v="96"/>
    <n v="80.311970985171726"/>
    <n v="8643706"/>
  </r>
  <r>
    <x v="27"/>
    <n v="202412"/>
    <x v="2"/>
    <x v="1"/>
    <s v="Sofía V"/>
    <s v="Joe H"/>
    <n v="105979"/>
    <n v="7231168"/>
    <n v="68.231794354838698"/>
    <n v="0"/>
    <n v="62"/>
    <n v="58"/>
    <m/>
    <n v="0"/>
  </r>
  <r>
    <x v="6"/>
    <n v="202407"/>
    <x v="2"/>
    <x v="6"/>
    <s v="Sebastián S"/>
    <s v="Vik E"/>
    <n v="105965"/>
    <n v="9803615"/>
    <n v="92.517231182795697"/>
    <n v="0"/>
    <n v="100"/>
    <n v="98"/>
    <m/>
    <n v="0"/>
  </r>
  <r>
    <x v="23"/>
    <n v="202603"/>
    <x v="0"/>
    <x v="0"/>
    <s v="Sebastián S"/>
    <s v="Rodolfo O"/>
    <n v="105964"/>
    <n v="9971997"/>
    <n v="94.107614247311872"/>
    <n v="111233.83704237548"/>
    <n v="94.5"/>
    <n v="97"/>
    <n v="83.184435661200979"/>
    <n v="9252924"/>
  </r>
  <r>
    <x v="44"/>
    <n v="202604"/>
    <x v="0"/>
    <x v="9"/>
    <s v="Sebastián S"/>
    <s v="Johanna V"/>
    <n v="105948"/>
    <n v="9158680"/>
    <n v="86.444750000001889"/>
    <n v="96861.10709459646"/>
    <n v="117.5"/>
    <n v="99"/>
    <n v="98.005014700369543"/>
    <n v="9492874"/>
  </r>
  <r>
    <x v="10"/>
    <n v="202601"/>
    <x v="0"/>
    <x v="10"/>
    <s v="Sofía V"/>
    <s v="Melany A"/>
    <n v="105915"/>
    <n v="9845910"/>
    <n v="92.960658602150474"/>
    <n v="92458.434258053996"/>
    <n v="125"/>
    <n v="118.5"/>
    <n v="102.97612103755296"/>
    <n v="9521011"/>
  </r>
  <r>
    <x v="3"/>
    <n v="202408"/>
    <x v="2"/>
    <x v="5"/>
    <s v="Sebastián S"/>
    <s v="Rodolfo O"/>
    <n v="105846"/>
    <n v="9999369"/>
    <n v="94.471350806451625"/>
    <n v="0"/>
    <n v="98.5"/>
    <n v="96.5"/>
    <m/>
    <n v="0"/>
  </r>
  <r>
    <x v="24"/>
    <n v="202401"/>
    <x v="2"/>
    <x v="10"/>
    <s v="Sofía V"/>
    <s v="Joe H"/>
    <n v="105832"/>
    <n v="6231859"/>
    <n v="58.884348118279554"/>
    <n v="0"/>
    <n v="71"/>
    <n v="74.5"/>
    <m/>
    <n v="0"/>
  </r>
  <r>
    <x v="20"/>
    <n v="202401"/>
    <x v="2"/>
    <x v="10"/>
    <s v="Sofía V"/>
    <s v="Joe H"/>
    <n v="105783"/>
    <n v="9050374"/>
    <n v="85.556135752688192"/>
    <n v="0"/>
    <n v="96.5"/>
    <n v="96"/>
    <m/>
    <n v="0"/>
  </r>
  <r>
    <x v="20"/>
    <n v="202507"/>
    <x v="1"/>
    <x v="6"/>
    <s v="Sofía V"/>
    <s v="Joe H"/>
    <n v="105782"/>
    <n v="9396947"/>
    <n v="88.83286962365591"/>
    <n v="113761.80784609295"/>
    <n v="96.5"/>
    <n v="96"/>
    <n v="82.601947858573254"/>
    <n v="9645197"/>
  </r>
  <r>
    <x v="34"/>
    <n v="202603"/>
    <x v="0"/>
    <x v="0"/>
    <s v="Hernán P"/>
    <s v="Daniel R"/>
    <n v="105768"/>
    <n v="1258609"/>
    <n v="11.899764784946232"/>
    <n v="85152.732667678036"/>
    <n v="15"/>
    <n v="15"/>
    <n v="13.971887755419019"/>
    <n v="1189744"/>
  </r>
  <r>
    <x v="61"/>
    <n v="202512"/>
    <x v="1"/>
    <x v="1"/>
    <s v="Sofía V"/>
    <s v="Joe H"/>
    <n v="105765"/>
    <n v="3860864"/>
    <n v="36.504200268817186"/>
    <n v="84062.660973939506"/>
    <n v="41.5"/>
    <n v="35.5"/>
    <n v="45.928406206376422"/>
    <n v="2990896"/>
  </r>
  <r>
    <x v="17"/>
    <n v="202411"/>
    <x v="2"/>
    <x v="7"/>
    <s v="Sofía V"/>
    <s v="Joe H"/>
    <n v="105761"/>
    <n v="9358420"/>
    <n v="88.486659722222271"/>
    <n v="0"/>
    <n v="94"/>
    <n v="92"/>
    <m/>
    <n v="0"/>
  </r>
  <r>
    <x v="22"/>
    <n v="202503"/>
    <x v="1"/>
    <x v="0"/>
    <s v="Sebastián S"/>
    <s v="Johanna V"/>
    <n v="105616"/>
    <n v="9287982"/>
    <n v="87.941357526881688"/>
    <n v="101104.94861025721"/>
    <n v="104.5"/>
    <n v="99"/>
    <n v="91.864759912035822"/>
    <n v="9869013"/>
  </r>
  <r>
    <x v="6"/>
    <n v="202401"/>
    <x v="2"/>
    <x v="10"/>
    <s v="Sebastián S"/>
    <s v="Vik E"/>
    <n v="105595"/>
    <n v="9060334"/>
    <n v="85.802641129032224"/>
    <n v="0"/>
    <n v="100"/>
    <n v="98"/>
    <m/>
    <n v="0"/>
  </r>
  <r>
    <x v="35"/>
    <n v="202412"/>
    <x v="2"/>
    <x v="1"/>
    <s v="Hernán P"/>
    <s v="Daniel R"/>
    <n v="105552"/>
    <n v="14365631"/>
    <n v="136.10013440860209"/>
    <n v="0"/>
    <n v="140.5"/>
    <n v="125.5"/>
    <m/>
    <n v="0"/>
  </r>
  <r>
    <x v="35"/>
    <n v="202504"/>
    <x v="1"/>
    <x v="9"/>
    <s v="Hernán P"/>
    <s v="Daniel R"/>
    <n v="105546"/>
    <n v="11784903"/>
    <n v="111.65656249999994"/>
    <n v="95444.229306874622"/>
    <n v="140.5"/>
    <n v="125.5"/>
    <n v="123.47422998313387"/>
    <n v="12212836"/>
  </r>
  <r>
    <x v="6"/>
    <n v="202502"/>
    <x v="1"/>
    <x v="2"/>
    <s v="Sebastián S"/>
    <s v="Vik E"/>
    <n v="105517"/>
    <n v="9714100"/>
    <n v="92.062239583333309"/>
    <n v="99095.377054368"/>
    <n v="100"/>
    <n v="98"/>
    <n v="98.027778376285156"/>
    <n v="9605863"/>
  </r>
  <r>
    <x v="28"/>
    <n v="202511"/>
    <x v="1"/>
    <x v="7"/>
    <s v="Sebastián S"/>
    <s v="Rodolfo O"/>
    <n v="105505"/>
    <n v="5812994"/>
    <n v="55.09704861111112"/>
    <n v="90585.841260537491"/>
    <n v="65.5"/>
    <n v="66"/>
    <n v="64.171105430053032"/>
    <n v="6105832"/>
  </r>
  <r>
    <x v="26"/>
    <n v="202605"/>
    <x v="0"/>
    <x v="3"/>
    <s v="Sofía V"/>
    <s v="Melany A"/>
    <n v="105498"/>
    <n v="4820413"/>
    <n v="45.691982526882263"/>
    <n v="100614.73024686392"/>
    <n v="55"/>
    <n v="50.5"/>
    <n v="48.493991244906027"/>
    <n v="4879210"/>
  </r>
  <r>
    <x v="35"/>
    <n v="202508"/>
    <x v="1"/>
    <x v="5"/>
    <s v="Hernán P"/>
    <s v="Daniel R"/>
    <n v="105495"/>
    <n v="11808830"/>
    <n v="111.93780913978495"/>
    <n v="104533.06841877493"/>
    <n v="140.5"/>
    <n v="125.5"/>
    <n v="112.96740656929809"/>
    <n v="12074434"/>
  </r>
  <r>
    <x v="17"/>
    <n v="202403"/>
    <x v="2"/>
    <x v="0"/>
    <s v="Sofía V"/>
    <s v="Joe H"/>
    <n v="105445"/>
    <n v="8777630"/>
    <n v="83.243360215053769"/>
    <n v="0"/>
    <n v="94"/>
    <n v="92"/>
    <m/>
    <n v="0"/>
  </r>
  <r>
    <x v="35"/>
    <n v="202401"/>
    <x v="2"/>
    <x v="10"/>
    <s v="Hernán P"/>
    <s v="Daniel R"/>
    <n v="105427"/>
    <n v="11061633"/>
    <n v="104.92176747311835"/>
    <n v="0"/>
    <n v="140.5"/>
    <n v="125.5"/>
    <m/>
    <n v="0"/>
  </r>
  <r>
    <x v="50"/>
    <n v="202603"/>
    <x v="0"/>
    <x v="0"/>
    <s v="Sebastián S"/>
    <s v="Vik E"/>
    <n v="105327"/>
    <n v="7166385"/>
    <n v="68.039153225806444"/>
    <n v="113522.21694288925"/>
    <n v="75.5"/>
    <n v="74"/>
    <n v="63.845934941054651"/>
    <n v="7247932"/>
  </r>
  <r>
    <x v="26"/>
    <n v="202511"/>
    <x v="1"/>
    <x v="7"/>
    <s v="Sofía V"/>
    <s v="Melany A"/>
    <n v="105251"/>
    <n v="4807212"/>
    <n v="45.673833333333334"/>
    <n v="95769.308337767594"/>
    <n v="55"/>
    <n v="50.5"/>
    <n v="50.19574948840085"/>
    <n v="4656231"/>
  </r>
  <r>
    <x v="62"/>
    <n v="202503"/>
    <x v="1"/>
    <x v="0"/>
    <s v="Sebastián S"/>
    <s v="Vik E"/>
    <n v="105249"/>
    <n v="5983425"/>
    <n v="56.849926075268826"/>
    <n v="101000.18468849287"/>
    <n v="65"/>
    <n v="67.5"/>
    <n v="59.241721175601988"/>
    <n v="5893246"/>
  </r>
  <r>
    <x v="20"/>
    <n v="202505"/>
    <x v="1"/>
    <x v="3"/>
    <s v="Sofía V"/>
    <s v="Joe H"/>
    <n v="105127"/>
    <n v="9273271"/>
    <n v="88.210114247311822"/>
    <n v="101733.64098081054"/>
    <n v="96.5"/>
    <n v="96"/>
    <n v="91.152451938185976"/>
    <n v="8621026"/>
  </r>
  <r>
    <x v="6"/>
    <n v="202405"/>
    <x v="2"/>
    <x v="3"/>
    <s v="Sebastián S"/>
    <s v="Vik E"/>
    <n v="105123"/>
    <n v="9373318"/>
    <n v="89.16494623655916"/>
    <n v="0"/>
    <n v="100"/>
    <n v="98"/>
    <m/>
    <n v="0"/>
  </r>
  <r>
    <x v="31"/>
    <n v="202407"/>
    <x v="2"/>
    <x v="6"/>
    <s v="Sofía V"/>
    <s v="Melany A"/>
    <n v="105060"/>
    <n v="12100429"/>
    <n v="115.17681451612901"/>
    <n v="0"/>
    <n v="99"/>
    <n v="32.5"/>
    <m/>
    <n v="0"/>
  </r>
  <r>
    <x v="35"/>
    <n v="202511"/>
    <x v="1"/>
    <x v="7"/>
    <s v="Hernán P"/>
    <s v="Daniel R"/>
    <n v="105039"/>
    <n v="11882743"/>
    <n v="113.12656249999999"/>
    <n v="104116.42340851264"/>
    <n v="140.5"/>
    <n v="125.5"/>
    <n v="114.12938546089607"/>
    <n v="11981475"/>
  </r>
  <r>
    <x v="44"/>
    <n v="202403"/>
    <x v="2"/>
    <x v="0"/>
    <s v="Sebastián S"/>
    <s v="Johanna V"/>
    <n v="105013"/>
    <n v="9829525"/>
    <n v="93.602701612903218"/>
    <n v="0"/>
    <n v="117.5"/>
    <n v="99"/>
    <m/>
    <n v="0"/>
  </r>
  <r>
    <x v="5"/>
    <n v="202502"/>
    <x v="1"/>
    <x v="2"/>
    <s v="Sebastián S"/>
    <s v="Rodolfo O"/>
    <n v="104993"/>
    <n v="6209815"/>
    <n v="59.145156249999999"/>
    <n v="89755.752041097483"/>
    <n v="68.5"/>
    <n v="66"/>
    <n v="69.185702740885517"/>
    <n v="5537651"/>
  </r>
  <r>
    <x v="22"/>
    <n v="202601"/>
    <x v="0"/>
    <x v="10"/>
    <s v="Sebastián S"/>
    <s v="Johanna V"/>
    <n v="104947"/>
    <n v="9145687"/>
    <n v="87.145625000000052"/>
    <n v="97460.262379580527"/>
    <n v="104.5"/>
    <n v="99"/>
    <n v="90.280982690474389"/>
    <n v="8798808"/>
  </r>
  <r>
    <x v="6"/>
    <n v="202406"/>
    <x v="2"/>
    <x v="11"/>
    <s v="Sebastián S"/>
    <s v="Vik E"/>
    <n v="104938"/>
    <n v="9501968"/>
    <n v="90.548548611111158"/>
    <n v="0"/>
    <n v="100"/>
    <n v="98"/>
    <m/>
    <n v="0"/>
  </r>
  <r>
    <x v="8"/>
    <n v="202510"/>
    <x v="1"/>
    <x v="8"/>
    <s v="Sebastián S"/>
    <s v="Vik E"/>
    <n v="104920"/>
    <n v="7593715"/>
    <n v="72.376565860215038"/>
    <n v="96507.931338608512"/>
    <n v="88"/>
    <n v="84"/>
    <n v="78.684885114329376"/>
    <n v="9069877"/>
  </r>
  <r>
    <x v="20"/>
    <n v="202406"/>
    <x v="2"/>
    <x v="11"/>
    <s v="Sofía V"/>
    <s v="Joe H"/>
    <n v="104900"/>
    <n v="9114866"/>
    <n v="86.89104861111106"/>
    <n v="0"/>
    <n v="96.5"/>
    <n v="96"/>
    <m/>
    <n v="0"/>
  </r>
  <r>
    <x v="22"/>
    <n v="202605"/>
    <x v="0"/>
    <x v="3"/>
    <s v="Sebastián S"/>
    <s v="Johanna V"/>
    <n v="104885"/>
    <n v="9618226"/>
    <n v="91.702916666667335"/>
    <n v="102075.57540877689"/>
    <n v="104.5"/>
    <n v="99"/>
    <n v="90.280982690474389"/>
    <n v="9215483"/>
  </r>
  <r>
    <x v="40"/>
    <n v="202507"/>
    <x v="1"/>
    <x v="6"/>
    <s v="Sebastián S"/>
    <s v="Johanna V"/>
    <n v="104832"/>
    <n v="8588566"/>
    <n v="81.927190860215077"/>
    <n v="88354.199901076907"/>
    <n v="106"/>
    <n v="102.5"/>
    <n v="97.206081087440396"/>
    <n v="9530104"/>
  </r>
  <r>
    <x v="43"/>
    <n v="202603"/>
    <x v="0"/>
    <x v="0"/>
    <s v="Sofía V"/>
    <s v="José A"/>
    <n v="104742"/>
    <n v="3340842"/>
    <n v="31.896055107526877"/>
    <n v="111581.22958064523"/>
    <n v="32.5"/>
    <n v="32"/>
    <n v="29.073700348097926"/>
    <n v="3244079"/>
  </r>
  <r>
    <x v="2"/>
    <n v="202402"/>
    <x v="2"/>
    <x v="2"/>
    <s v="Sofía V"/>
    <s v="José A"/>
    <n v="104734"/>
    <n v="7399676"/>
    <n v="70.652377873563239"/>
    <n v="0"/>
    <n v="76.5"/>
    <n v="80"/>
    <m/>
    <n v="0"/>
  </r>
  <r>
    <x v="52"/>
    <n v="202503"/>
    <x v="1"/>
    <x v="0"/>
    <s v="Sebastián S"/>
    <s v="Vik E"/>
    <n v="104701"/>
    <n v="7134988"/>
    <n v="68.146505376344123"/>
    <n v="90197.58534115777"/>
    <n v="80"/>
    <n v="78"/>
    <n v="79.103975932538134"/>
    <n v="7037984"/>
  </r>
  <r>
    <x v="5"/>
    <n v="202501"/>
    <x v="1"/>
    <x v="10"/>
    <s v="Sebastián S"/>
    <s v="Rodolfo O"/>
    <n v="104694"/>
    <n v="6017118"/>
    <n v="57.473151881720426"/>
    <n v="96639.061921541943"/>
    <n v="68.5"/>
    <n v="66"/>
    <n v="62.26382676277526"/>
    <n v="5738302"/>
  </r>
  <r>
    <x v="40"/>
    <n v="202412"/>
    <x v="2"/>
    <x v="1"/>
    <s v="Sebastián S"/>
    <s v="Johanna V"/>
    <n v="104673"/>
    <n v="12036273"/>
    <n v="114.9893951612903"/>
    <n v="0"/>
    <n v="106"/>
    <n v="102.5"/>
    <m/>
    <n v="0"/>
  </r>
  <r>
    <x v="20"/>
    <n v="202508"/>
    <x v="1"/>
    <x v="5"/>
    <s v="Sofía V"/>
    <s v="Joe H"/>
    <n v="104630"/>
    <n v="8757570"/>
    <n v="83.700524193548461"/>
    <n v="102265.09066150687"/>
    <n v="96.5"/>
    <n v="96"/>
    <n v="85.635967399541897"/>
    <n v="8700331"/>
  </r>
  <r>
    <x v="40"/>
    <n v="202506"/>
    <x v="1"/>
    <x v="11"/>
    <s v="Sebastián S"/>
    <s v="Johanna V"/>
    <n v="104612"/>
    <n v="8602758"/>
    <n v="82.234736111111161"/>
    <n v="91546.123187854289"/>
    <n v="106"/>
    <n v="102.5"/>
    <n v="93.971845671137643"/>
    <n v="9434213"/>
  </r>
  <r>
    <x v="30"/>
    <n v="202409"/>
    <x v="2"/>
    <x v="4"/>
    <s v="Sebastián S"/>
    <s v="Vik E"/>
    <n v="104556"/>
    <n v="8542833"/>
    <n v="81.705701388888869"/>
    <n v="0"/>
    <n v="101.5"/>
    <n v="97.5"/>
    <m/>
    <n v="0"/>
  </r>
  <r>
    <x v="16"/>
    <n v="202601"/>
    <x v="0"/>
    <x v="10"/>
    <s v="Sofía V"/>
    <s v="José A"/>
    <n v="104552"/>
    <n v="5704413"/>
    <n v="54.560295698924726"/>
    <n v="108585.22098968561"/>
    <n v="64"/>
    <n v="67"/>
    <n v="56.429371630436094"/>
    <n v="6127396"/>
  </r>
  <r>
    <x v="44"/>
    <n v="202401"/>
    <x v="2"/>
    <x v="10"/>
    <s v="Sebastián S"/>
    <s v="Johanna V"/>
    <n v="104520"/>
    <n v="9077716"/>
    <n v="86.851418010752695"/>
    <n v="0"/>
    <n v="117.5"/>
    <n v="99"/>
    <m/>
    <n v="0"/>
  </r>
  <r>
    <x v="4"/>
    <n v="202403"/>
    <x v="2"/>
    <x v="0"/>
    <s v="Sofía V"/>
    <s v="José A"/>
    <n v="104516"/>
    <n v="10898452"/>
    <n v="104.27534946236558"/>
    <n v="0"/>
    <n v="107.5"/>
    <n v="102.5"/>
    <m/>
    <n v="0"/>
  </r>
  <r>
    <x v="40"/>
    <n v="202509"/>
    <x v="1"/>
    <x v="4"/>
    <s v="Sebastián S"/>
    <s v="Johanna V"/>
    <n v="104493"/>
    <n v="7953297"/>
    <n v="76.113381944444512"/>
    <n v="89214.789273034577"/>
    <n v="106"/>
    <n v="102.5"/>
    <n v="89.147744951339675"/>
    <n v="9511064"/>
  </r>
  <r>
    <x v="21"/>
    <n v="202605"/>
    <x v="0"/>
    <x v="3"/>
    <s v="Sebastián S"/>
    <s v="Rodolfo O"/>
    <n v="104477"/>
    <n v="8049012"/>
    <n v="77.040974462365995"/>
    <n v="108158.1278988328"/>
    <n v="84.5"/>
    <n v="86.5"/>
    <n v="71.456708642637324"/>
    <n v="7728624"/>
  </r>
  <r>
    <x v="10"/>
    <n v="202605"/>
    <x v="0"/>
    <x v="3"/>
    <s v="Sofía V"/>
    <s v="Melany A"/>
    <n v="104467"/>
    <n v="10814175"/>
    <n v="103.51715725806233"/>
    <n v="101566.29016435651"/>
    <n v="125"/>
    <n v="118.5"/>
    <n v="102.97612103755296"/>
    <n v="10458903"/>
  </r>
  <r>
    <x v="15"/>
    <n v="202404"/>
    <x v="2"/>
    <x v="9"/>
    <s v="Sofía V"/>
    <s v="Joe H"/>
    <n v="104416"/>
    <n v="8472470"/>
    <n v="81.141131944444439"/>
    <n v="0"/>
    <n v="101"/>
    <n v="105"/>
    <m/>
    <n v="0"/>
  </r>
  <r>
    <x v="26"/>
    <n v="202503"/>
    <x v="1"/>
    <x v="0"/>
    <s v="Sofía V"/>
    <s v="Melany A"/>
    <n v="104398"/>
    <n v="5393702"/>
    <n v="51.664657258064508"/>
    <n v="100722.13644935125"/>
    <n v="55"/>
    <n v="50.5"/>
    <n v="53.550316545482097"/>
    <n v="5049256"/>
  </r>
  <r>
    <x v="26"/>
    <n v="202601"/>
    <x v="0"/>
    <x v="10"/>
    <s v="Sofía V"/>
    <s v="Melany A"/>
    <n v="104369"/>
    <n v="4842988"/>
    <n v="46.402379032258075"/>
    <n v="101226.74992885116"/>
    <n v="55"/>
    <n v="50.5"/>
    <n v="48.493991244906027"/>
    <n v="4908889"/>
  </r>
  <r>
    <x v="26"/>
    <n v="202401"/>
    <x v="2"/>
    <x v="10"/>
    <s v="Sofía V"/>
    <s v="Melany A"/>
    <n v="104320"/>
    <n v="4733448"/>
    <n v="45.374112903225821"/>
    <n v="0"/>
    <n v="55"/>
    <n v="50.5"/>
    <m/>
    <n v="0"/>
  </r>
  <r>
    <x v="15"/>
    <n v="202411"/>
    <x v="2"/>
    <x v="7"/>
    <s v="Sofía V"/>
    <s v="Joe H"/>
    <n v="104278"/>
    <n v="9759954"/>
    <n v="93.595395833333413"/>
    <n v="0"/>
    <n v="101"/>
    <n v="105"/>
    <m/>
    <n v="0"/>
  </r>
  <r>
    <x v="12"/>
    <n v="202407"/>
    <x v="2"/>
    <x v="6"/>
    <s v="Sofía V"/>
    <s v="Melany A"/>
    <n v="104261"/>
    <n v="9242000"/>
    <n v="88.642815860215066"/>
    <n v="0"/>
    <n v="96.5"/>
    <n v="94"/>
    <m/>
    <n v="0"/>
  </r>
  <r>
    <x v="5"/>
    <n v="202407"/>
    <x v="2"/>
    <x v="6"/>
    <s v="Sebastián S"/>
    <s v="Rodolfo O"/>
    <n v="104251"/>
    <n v="6433148"/>
    <n v="61.70810483870968"/>
    <n v="0"/>
    <n v="68.5"/>
    <n v="66"/>
    <m/>
    <n v="0"/>
  </r>
  <r>
    <x v="3"/>
    <n v="202411"/>
    <x v="2"/>
    <x v="7"/>
    <s v="Sebastián S"/>
    <s v="Rodolfo O"/>
    <n v="104243"/>
    <n v="9797913"/>
    <n v="93.990847222222314"/>
    <n v="0"/>
    <n v="98.5"/>
    <n v="96.5"/>
    <m/>
    <n v="0"/>
  </r>
  <r>
    <x v="32"/>
    <n v="202407"/>
    <x v="2"/>
    <x v="6"/>
    <s v="Sofía V"/>
    <s v="Melany A"/>
    <n v="104222"/>
    <n v="6385224"/>
    <n v="61.265665322580645"/>
    <n v="0"/>
    <n v="75.5"/>
    <n v="68"/>
    <m/>
    <n v="0"/>
  </r>
  <r>
    <x v="37"/>
    <n v="202408"/>
    <x v="2"/>
    <x v="5"/>
    <s v="Sofía V"/>
    <s v="Melany A"/>
    <n v="104204"/>
    <n v="6413887"/>
    <n v="61.551404569892469"/>
    <n v="0"/>
    <n v="72.5"/>
    <n v="68.5"/>
    <m/>
    <n v="0"/>
  </r>
  <r>
    <x v="48"/>
    <n v="202605"/>
    <x v="0"/>
    <x v="3"/>
    <s v="Hernán P"/>
    <s v="Daniel R"/>
    <n v="104197"/>
    <n v="6795114"/>
    <n v="65.214032258064549"/>
    <n v="99696.074872661469"/>
    <n v="79.5"/>
    <n v="72.5"/>
    <n v="64.209802769832038"/>
    <n v="6401465"/>
  </r>
  <r>
    <x v="34"/>
    <n v="202412"/>
    <x v="2"/>
    <x v="1"/>
    <s v="Hernán P"/>
    <s v="Daniel R"/>
    <n v="104153"/>
    <n v="1602803"/>
    <n v="15.388944892473123"/>
    <n v="0"/>
    <n v="15"/>
    <n v="15"/>
    <m/>
    <n v="0"/>
  </r>
  <r>
    <x v="11"/>
    <n v="202606"/>
    <x v="0"/>
    <x v="11"/>
    <s v="Sofía V"/>
    <s v="José A"/>
    <n v="104113"/>
    <n v="6863597"/>
    <n v="65.92463888888939"/>
    <n v="89439.852208567827"/>
    <n v="86.5"/>
    <n v="81.5"/>
    <n v="76.26782259426129"/>
    <n v="6821383"/>
  </r>
  <r>
    <x v="30"/>
    <n v="202601"/>
    <x v="0"/>
    <x v="10"/>
    <s v="Sebastián S"/>
    <s v="Vik E"/>
    <n v="104072"/>
    <n v="8408861"/>
    <n v="80.798487903225833"/>
    <n v="111207.44818367474"/>
    <n v="101.5"/>
    <n v="97.5"/>
    <n v="87.689184144336366"/>
    <n v="9751690"/>
  </r>
  <r>
    <x v="47"/>
    <n v="202603"/>
    <x v="0"/>
    <x v="0"/>
    <s v="Sebastián S"/>
    <s v="Vik E"/>
    <n v="104067"/>
    <n v="5004846"/>
    <n v="48.092634408602144"/>
    <n v="96521.80478597185"/>
    <n v="61.5"/>
    <n v="48.5"/>
    <n v="53.715920394326645"/>
    <n v="5184758"/>
  </r>
  <r>
    <x v="12"/>
    <n v="202606"/>
    <x v="0"/>
    <x v="11"/>
    <s v="Sofía V"/>
    <s v="Melany A"/>
    <n v="104027"/>
    <n v="8215276"/>
    <n v="78.972444444447063"/>
    <n v="95403.114340816173"/>
    <n v="96.5"/>
    <n v="94"/>
    <n v="87.753564014610347"/>
    <n v="8371963"/>
  </r>
  <r>
    <x v="21"/>
    <n v="202602"/>
    <x v="0"/>
    <x v="2"/>
    <s v="Sebastián S"/>
    <s v="Rodolfo O"/>
    <n v="103990"/>
    <n v="7142513"/>
    <n v="68.684635416666652"/>
    <n v="83669.807985426058"/>
    <n v="84.5"/>
    <n v="86.5"/>
    <n v="71.456708642637324"/>
    <n v="5978769"/>
  </r>
  <r>
    <x v="4"/>
    <n v="202510"/>
    <x v="1"/>
    <x v="8"/>
    <s v="Sofía V"/>
    <s v="José A"/>
    <n v="103983"/>
    <n v="9119866"/>
    <n v="87.705436827956973"/>
    <n v="99384.678444291756"/>
    <n v="107.5"/>
    <n v="102.5"/>
    <n v="91.763296946339452"/>
    <n v="10093394"/>
  </r>
  <r>
    <x v="27"/>
    <n v="202604"/>
    <x v="0"/>
    <x v="9"/>
    <s v="Sofía V"/>
    <s v="Joe H"/>
    <n v="103979"/>
    <n v="5259503"/>
    <n v="50.582534722221894"/>
    <n v="91060.884787971576"/>
    <n v="62"/>
    <n v="58"/>
    <n v="54.66595376698497"/>
    <n v="4977930"/>
  </r>
  <r>
    <x v="20"/>
    <n v="202509"/>
    <x v="1"/>
    <x v="4"/>
    <s v="Sofía V"/>
    <s v="Joe H"/>
    <n v="103970"/>
    <n v="8419613"/>
    <n v="80.981493055555603"/>
    <n v="107285.70031447147"/>
    <n v="96.5"/>
    <n v="96"/>
    <n v="78.478427556708624"/>
    <n v="8498994"/>
  </r>
  <r>
    <x v="27"/>
    <n v="202511"/>
    <x v="1"/>
    <x v="7"/>
    <s v="Sofía V"/>
    <s v="Joe H"/>
    <n v="103893"/>
    <n v="5197912"/>
    <n v="50.031236111111141"/>
    <n v="81786.931125730131"/>
    <n v="62"/>
    <n v="58"/>
    <n v="63.554305173882966"/>
    <n v="4632150"/>
  </r>
  <r>
    <x v="17"/>
    <n v="202601"/>
    <x v="0"/>
    <x v="10"/>
    <s v="Sofía V"/>
    <s v="Joe H"/>
    <n v="103868"/>
    <n v="8907904"/>
    <n v="85.761525537634427"/>
    <n v="104111.13288388449"/>
    <n v="94"/>
    <n v="92"/>
    <n v="81.933174564661712"/>
    <n v="8530156"/>
  </r>
  <r>
    <x v="48"/>
    <n v="202503"/>
    <x v="1"/>
    <x v="0"/>
    <s v="Hernán P"/>
    <s v="Daniel R"/>
    <n v="103843"/>
    <n v="6146098"/>
    <n v="59.186317204301069"/>
    <n v="104169.13278526044"/>
    <n v="79.5"/>
    <n v="72.5"/>
    <n v="59.001139835443198"/>
    <n v="6731883"/>
  </r>
  <r>
    <x v="31"/>
    <n v="202405"/>
    <x v="2"/>
    <x v="3"/>
    <s v="Sofía V"/>
    <s v="Melany A"/>
    <n v="103839"/>
    <n v="11484835"/>
    <n v="110.60258736559145"/>
    <n v="0"/>
    <n v="99"/>
    <n v="32.5"/>
    <m/>
    <n v="0"/>
  </r>
  <r>
    <x v="16"/>
    <n v="202507"/>
    <x v="1"/>
    <x v="6"/>
    <s v="Sofía V"/>
    <s v="José A"/>
    <n v="103815"/>
    <n v="5811456"/>
    <n v="55.978783602150536"/>
    <n v="106679.43654334055"/>
    <n v="64"/>
    <n v="67"/>
    <n v="54.47587406068633"/>
    <n v="5992597"/>
  </r>
  <r>
    <x v="28"/>
    <n v="202604"/>
    <x v="0"/>
    <x v="9"/>
    <s v="Sebastián S"/>
    <s v="Rodolfo O"/>
    <n v="103783"/>
    <n v="5786403"/>
    <n v="55.754708333333504"/>
    <n v="101888.58144040281"/>
    <n v="65.5"/>
    <n v="66"/>
    <n v="55.812340478272937"/>
    <n v="5686640"/>
  </r>
  <r>
    <x v="22"/>
    <n v="202507"/>
    <x v="1"/>
    <x v="6"/>
    <s v="Sebastián S"/>
    <s v="Johanna V"/>
    <n v="103778"/>
    <n v="8574597"/>
    <n v="82.624133064516158"/>
    <n v="97893.277584257157"/>
    <n v="104.5"/>
    <n v="99"/>
    <n v="87.591274514430324"/>
    <n v="9216670"/>
  </r>
  <r>
    <x v="30"/>
    <n v="202509"/>
    <x v="1"/>
    <x v="4"/>
    <s v="Sebastián S"/>
    <s v="Vik E"/>
    <n v="103778"/>
    <n v="7888987"/>
    <n v="76.017958333333439"/>
    <n v="109783.95235610599"/>
    <n v="101.5"/>
    <n v="97.5"/>
    <n v="71.859197821649829"/>
    <n v="9239548"/>
  </r>
  <r>
    <x v="21"/>
    <n v="202604"/>
    <x v="0"/>
    <x v="9"/>
    <s v="Sebastián S"/>
    <s v="Rodolfo O"/>
    <n v="103768"/>
    <n v="7449348"/>
    <n v="71.788694444446747"/>
    <n v="98747.294437931603"/>
    <n v="84.5"/>
    <n v="86.5"/>
    <n v="71.456708642637324"/>
    <n v="7056157"/>
  </r>
  <r>
    <x v="30"/>
    <n v="202606"/>
    <x v="0"/>
    <x v="11"/>
    <s v="Sebastián S"/>
    <s v="Vik E"/>
    <n v="103752"/>
    <n v="8676751"/>
    <n v="83.629631944446245"/>
    <n v="97941.746068288689"/>
    <n v="101.5"/>
    <n v="97.5"/>
    <n v="87.689184144336366"/>
    <n v="8588432"/>
  </r>
  <r>
    <x v="3"/>
    <n v="202410"/>
    <x v="2"/>
    <x v="8"/>
    <s v="Sebastián S"/>
    <s v="Rodolfo O"/>
    <n v="103750"/>
    <n v="9074197"/>
    <n v="87.462553763440852"/>
    <n v="0"/>
    <n v="98.5"/>
    <n v="96.5"/>
    <m/>
    <n v="0"/>
  </r>
  <r>
    <x v="63"/>
    <n v="202512"/>
    <x v="1"/>
    <x v="1"/>
    <s v="Sebastián S"/>
    <s v="Johanna V"/>
    <n v="103735"/>
    <n v="12064039"/>
    <n v="116.29709677419346"/>
    <n v="108798.93202368998"/>
    <n v="123"/>
    <n v="115.5"/>
    <n v="110.88380194185328"/>
    <n v="13591580"/>
  </r>
  <r>
    <x v="64"/>
    <n v="202512"/>
    <x v="1"/>
    <x v="1"/>
    <s v="Sebastián S"/>
    <s v="Johanna V"/>
    <n v="103723"/>
    <n v="7356985"/>
    <n v="70.928864247311793"/>
    <n v="101230.36323971218"/>
    <n v="75.5"/>
    <n v="70.5"/>
    <n v="72.675675899519931"/>
    <n v="8197903"/>
  </r>
  <r>
    <x v="47"/>
    <n v="202604"/>
    <x v="0"/>
    <x v="9"/>
    <s v="Sebastián S"/>
    <s v="Vik E"/>
    <n v="103649"/>
    <n v="4339266"/>
    <n v="41.865201388888956"/>
    <n v="82142.351779678778"/>
    <n v="61.5"/>
    <n v="48.5"/>
    <n v="53.715920394326645"/>
    <n v="4412352"/>
  </r>
  <r>
    <x v="16"/>
    <n v="202504"/>
    <x v="1"/>
    <x v="9"/>
    <s v="Sofía V"/>
    <s v="José A"/>
    <n v="103643"/>
    <n v="5696436"/>
    <n v="54.961909722222224"/>
    <n v="100031.36786322236"/>
    <n v="64"/>
    <n v="67"/>
    <n v="56.946501399331147"/>
    <n v="5896757"/>
  </r>
  <r>
    <x v="14"/>
    <n v="202601"/>
    <x v="0"/>
    <x v="10"/>
    <s v="Sofía V"/>
    <s v="Melany A"/>
    <n v="103626"/>
    <n v="5335932"/>
    <n v="51.49215053763443"/>
    <n v="97349.23859155555"/>
    <n v="59.5"/>
    <n v="55.5"/>
    <n v="53.278949580299148"/>
    <n v="5186665"/>
  </r>
  <r>
    <x v="24"/>
    <n v="202403"/>
    <x v="2"/>
    <x v="0"/>
    <s v="Sofía V"/>
    <s v="Joe H"/>
    <n v="103624"/>
    <n v="7254425"/>
    <n v="70.007056451612883"/>
    <n v="0"/>
    <n v="71"/>
    <n v="74.5"/>
    <m/>
    <n v="0"/>
  </r>
  <r>
    <x v="63"/>
    <n v="202412"/>
    <x v="2"/>
    <x v="1"/>
    <s v="Sebastián S"/>
    <s v="Johanna V"/>
    <n v="103618"/>
    <n v="12445404"/>
    <n v="120.10847446236545"/>
    <n v="0"/>
    <n v="123"/>
    <n v="115.5"/>
    <m/>
    <n v="0"/>
  </r>
  <r>
    <x v="60"/>
    <n v="202603"/>
    <x v="0"/>
    <x v="0"/>
    <s v="Sofía V"/>
    <s v="Melany A"/>
    <n v="103607"/>
    <n v="11748511"/>
    <n v="113.39538978494626"/>
    <n v="105455.03454863922"/>
    <n v="88.5"/>
    <n v="92.5"/>
    <n v="102.97612103755296"/>
    <n v="10859350"/>
  </r>
  <r>
    <x v="65"/>
    <n v="202512"/>
    <x v="1"/>
    <x v="1"/>
    <s v="Sebastián S"/>
    <s v="Johanna V"/>
    <n v="103503"/>
    <n v="10109540"/>
    <n v="97.673803763440773"/>
    <n v="108346.24989095044"/>
    <n v="103"/>
    <n v="91"/>
    <n v="93.30770442147427"/>
    <n v="11801559"/>
  </r>
  <r>
    <x v="60"/>
    <n v="202412"/>
    <x v="2"/>
    <x v="1"/>
    <s v="Sofía V"/>
    <s v="Melany A"/>
    <n v="103453"/>
    <n v="9538930"/>
    <n v="92.205430107526908"/>
    <n v="0"/>
    <n v="88.5"/>
    <n v="92.5"/>
    <m/>
    <n v="0"/>
  </r>
  <r>
    <x v="45"/>
    <n v="202605"/>
    <x v="0"/>
    <x v="3"/>
    <s v="Sofía V"/>
    <s v="Joe H"/>
    <n v="103452"/>
    <n v="6363639"/>
    <n v="61.513017473118332"/>
    <n v="97975.944451106508"/>
    <n v="68"/>
    <n v="68.5"/>
    <n v="60.397061823201135"/>
    <n v="5917459"/>
  </r>
  <r>
    <x v="66"/>
    <n v="202512"/>
    <x v="1"/>
    <x v="1"/>
    <s v="Sebastián S"/>
    <s v="Rodolfo O"/>
    <n v="103430"/>
    <n v="6147743"/>
    <n v="59.438938172042981"/>
    <n v="101166.52415063954"/>
    <n v="55"/>
    <n v="55.5"/>
    <n v="60.768545836821026"/>
    <n v="6049672"/>
  </r>
  <r>
    <x v="44"/>
    <n v="202601"/>
    <x v="0"/>
    <x v="10"/>
    <s v="Sebastián S"/>
    <s v="Johanna V"/>
    <n v="103414"/>
    <n v="9608067"/>
    <n v="92.909193548387137"/>
    <n v="101902.16827917419"/>
    <n v="117.5"/>
    <n v="99"/>
    <n v="98.005014700369543"/>
    <n v="9986924"/>
  </r>
  <r>
    <x v="25"/>
    <n v="202604"/>
    <x v="0"/>
    <x v="9"/>
    <s v="Sebastián S"/>
    <s v="Vik E"/>
    <n v="103380"/>
    <n v="7169021"/>
    <n v="69.346277777779918"/>
    <n v="99623.482738005434"/>
    <n v="77"/>
    <n v="79"/>
    <n v="66.09086292651952"/>
    <n v="6584202"/>
  </r>
  <r>
    <x v="16"/>
    <n v="202606"/>
    <x v="0"/>
    <x v="11"/>
    <s v="Sofía V"/>
    <s v="José A"/>
    <n v="103380"/>
    <n v="6223966"/>
    <n v="60.20490972222288"/>
    <n v="109670.88494854062"/>
    <n v="64"/>
    <n v="67"/>
    <n v="56.429371630436094"/>
    <n v="6188659"/>
  </r>
  <r>
    <x v="5"/>
    <n v="202507"/>
    <x v="1"/>
    <x v="6"/>
    <s v="Sebastián S"/>
    <s v="Rodolfo O"/>
    <n v="103374"/>
    <n v="6525847"/>
    <n v="63.128474462365617"/>
    <n v="109463.83199022974"/>
    <n v="68.5"/>
    <n v="66"/>
    <n v="59.6164704025935"/>
    <n v="6680725"/>
  </r>
  <r>
    <x v="22"/>
    <n v="202506"/>
    <x v="1"/>
    <x v="11"/>
    <s v="Sebastián S"/>
    <s v="Johanna V"/>
    <n v="103371"/>
    <n v="8327283"/>
    <n v="80.556972222222228"/>
    <n v="98573.297412310814"/>
    <n v="104.5"/>
    <n v="99"/>
    <n v="84.478082286004636"/>
    <n v="9067215"/>
  </r>
  <r>
    <x v="21"/>
    <n v="202601"/>
    <x v="0"/>
    <x v="10"/>
    <s v="Sebastián S"/>
    <s v="Rodolfo O"/>
    <n v="103325"/>
    <n v="7085026"/>
    <n v="68.570080645161312"/>
    <n v="92918.437401106465"/>
    <n v="84.5"/>
    <n v="86.5"/>
    <n v="71.456708642637324"/>
    <n v="6639646"/>
  </r>
  <r>
    <x v="67"/>
    <n v="202412"/>
    <x v="2"/>
    <x v="1"/>
    <s v="Hernán P"/>
    <s v="Daniel R"/>
    <n v="103296"/>
    <n v="1294230"/>
    <n v="12.52929435483871"/>
    <n v="0"/>
    <n v="15.5"/>
    <n v="14.5"/>
    <m/>
    <n v="0"/>
  </r>
  <r>
    <x v="30"/>
    <n v="202410"/>
    <x v="2"/>
    <x v="8"/>
    <s v="Sebastián S"/>
    <s v="Vik E"/>
    <n v="103295"/>
    <n v="9116318"/>
    <n v="88.255181451612856"/>
    <n v="0"/>
    <n v="101.5"/>
    <n v="97.5"/>
    <m/>
    <n v="0"/>
  </r>
  <r>
    <x v="22"/>
    <n v="202603"/>
    <x v="0"/>
    <x v="0"/>
    <s v="Sebastián S"/>
    <s v="Johanna V"/>
    <n v="103281"/>
    <n v="10031409"/>
    <n v="97.127399193548442"/>
    <n v="107255.99946334741"/>
    <n v="104.5"/>
    <n v="99"/>
    <n v="90.280982690474389"/>
    <n v="9683177"/>
  </r>
  <r>
    <x v="33"/>
    <n v="202604"/>
    <x v="0"/>
    <x v="9"/>
    <s v="Sofía V"/>
    <s v="José A"/>
    <n v="103261"/>
    <n v="8897255"/>
    <n v="86.162708333334223"/>
    <n v="100543.54936594672"/>
    <n v="93.5"/>
    <n v="94"/>
    <n v="84.619508156945685"/>
    <n v="8507946"/>
  </r>
  <r>
    <x v="36"/>
    <n v="202403"/>
    <x v="2"/>
    <x v="0"/>
    <s v="Sebastián S"/>
    <s v="Rodolfo O"/>
    <n v="103251"/>
    <n v="7831187"/>
    <n v="75.845987903225847"/>
    <n v="0"/>
    <n v="81"/>
    <n v="77"/>
    <m/>
    <n v="0"/>
  </r>
  <r>
    <x v="15"/>
    <n v="202501"/>
    <x v="1"/>
    <x v="10"/>
    <s v="Sofía V"/>
    <s v="Joe H"/>
    <n v="103200"/>
    <n v="9282853"/>
    <n v="89.950188172042985"/>
    <n v="114272.86362883345"/>
    <n v="101"/>
    <n v="105"/>
    <n v="81.234101388684763"/>
    <n v="8992925"/>
  </r>
  <r>
    <x v="16"/>
    <n v="202605"/>
    <x v="0"/>
    <x v="3"/>
    <s v="Sofía V"/>
    <s v="José A"/>
    <n v="103191"/>
    <n v="6681528"/>
    <n v="64.748965053763357"/>
    <n v="129036.53785101924"/>
    <n v="64"/>
    <n v="67"/>
    <n v="56.429371630436094"/>
    <n v="7281451"/>
  </r>
  <r>
    <x v="65"/>
    <n v="202412"/>
    <x v="2"/>
    <x v="1"/>
    <s v="Sebastián S"/>
    <s v="Johanna V"/>
    <n v="103187"/>
    <n v="10313874"/>
    <n v="99.953319892473104"/>
    <n v="0"/>
    <n v="103"/>
    <n v="91"/>
    <m/>
    <n v="0"/>
  </r>
  <r>
    <x v="6"/>
    <n v="202506"/>
    <x v="1"/>
    <x v="11"/>
    <s v="Sebastián S"/>
    <s v="Vik E"/>
    <n v="103181"/>
    <n v="9081086"/>
    <n v="88.01104861111105"/>
    <n v="110184.71545965473"/>
    <n v="100"/>
    <n v="98"/>
    <n v="82.416928991617993"/>
    <n v="9641725"/>
  </r>
  <r>
    <x v="11"/>
    <n v="202405"/>
    <x v="2"/>
    <x v="3"/>
    <s v="Sofía V"/>
    <s v="José A"/>
    <n v="103105"/>
    <n v="9379226"/>
    <n v="90.967869623655801"/>
    <n v="0"/>
    <n v="86.5"/>
    <n v="81.5"/>
    <m/>
    <n v="0"/>
  </r>
  <r>
    <x v="19"/>
    <n v="202604"/>
    <x v="0"/>
    <x v="9"/>
    <s v="Sofía V"/>
    <s v="Joe H"/>
    <n v="102922"/>
    <n v="5286315"/>
    <n v="51.362402777778726"/>
    <n v="96590.511425131146"/>
    <n v="57.5"/>
    <n v="56.5"/>
    <n v="50.698263574219922"/>
    <n v="4896971"/>
  </r>
  <r>
    <x v="48"/>
    <n v="202604"/>
    <x v="0"/>
    <x v="9"/>
    <s v="Hernán P"/>
    <s v="Daniel R"/>
    <n v="102894"/>
    <n v="6576733"/>
    <n v="63.917583333335443"/>
    <n v="99294.107247990207"/>
    <n v="79.5"/>
    <n v="72.5"/>
    <n v="64.209802769832038"/>
    <n v="6375655"/>
  </r>
  <r>
    <x v="68"/>
    <n v="202512"/>
    <x v="1"/>
    <x v="1"/>
    <s v="Sofía V"/>
    <s v="José A"/>
    <n v="102854"/>
    <n v="5290162"/>
    <n v="51.433864247311824"/>
    <n v="105900.35026991833"/>
    <n v="52"/>
    <n v="52"/>
    <n v="49.954152998705467"/>
    <n v="5300068"/>
  </r>
  <r>
    <x v="59"/>
    <n v="202512"/>
    <x v="1"/>
    <x v="1"/>
    <s v="Sebastián S"/>
    <s v="Johanna V"/>
    <n v="102850"/>
    <n v="11841962"/>
    <n v="115.13772177419348"/>
    <n v="112729.34108921043"/>
    <n v="118"/>
    <n v="106"/>
    <n v="105.04773633537563"/>
    <n v="14076508"/>
  </r>
  <r>
    <x v="14"/>
    <n v="202602"/>
    <x v="0"/>
    <x v="2"/>
    <s v="Sofía V"/>
    <s v="Melany A"/>
    <n v="102838"/>
    <n v="5666972"/>
    <n v="55.10598958333334"/>
    <n v="95553.787873147012"/>
    <n v="59.5"/>
    <n v="55.5"/>
    <n v="53.278949580299148"/>
    <n v="5091005"/>
  </r>
  <r>
    <x v="16"/>
    <n v="202401"/>
    <x v="2"/>
    <x v="10"/>
    <s v="Sofía V"/>
    <s v="José A"/>
    <n v="102815"/>
    <n v="5046496"/>
    <n v="49.083266129032268"/>
    <n v="0"/>
    <n v="64"/>
    <n v="67"/>
    <m/>
    <n v="0"/>
  </r>
  <r>
    <x v="49"/>
    <n v="202503"/>
    <x v="1"/>
    <x v="0"/>
    <s v="Sebastián S"/>
    <s v="Vik E"/>
    <n v="102802"/>
    <n v="6281500"/>
    <n v="61.102661290322565"/>
    <n v="106528.23926598164"/>
    <n v="66"/>
    <n v="64.5"/>
    <n v="58.965590094061696"/>
    <n v="6643393"/>
  </r>
  <r>
    <x v="54"/>
    <n v="202603"/>
    <x v="0"/>
    <x v="0"/>
    <s v="Sebastián S"/>
    <s v="Rodolfo O"/>
    <n v="102717"/>
    <n v="7622920"/>
    <n v="74.212560483870988"/>
    <n v="98419.858386307518"/>
    <n v="80"/>
    <n v="80.5"/>
    <n v="67.651321791845987"/>
    <n v="6658234"/>
  </r>
  <r>
    <x v="20"/>
    <n v="202504"/>
    <x v="1"/>
    <x v="9"/>
    <s v="Sofía V"/>
    <s v="Joe H"/>
    <n v="102713"/>
    <n v="9131449"/>
    <n v="88.9023819444445"/>
    <n v="105764.91457405484"/>
    <n v="96.5"/>
    <n v="96"/>
    <n v="86.337227489616254"/>
    <n v="8686929"/>
  </r>
  <r>
    <x v="15"/>
    <n v="202405"/>
    <x v="2"/>
    <x v="3"/>
    <s v="Sofía V"/>
    <s v="Joe H"/>
    <n v="102704"/>
    <n v="8456427"/>
    <n v="82.338064516129066"/>
    <n v="0"/>
    <n v="101"/>
    <n v="105"/>
    <m/>
    <n v="0"/>
  </r>
  <r>
    <x v="44"/>
    <n v="202603"/>
    <x v="0"/>
    <x v="0"/>
    <s v="Sebastián S"/>
    <s v="Johanna V"/>
    <n v="102699"/>
    <n v="9593285"/>
    <n v="93.411989247311851"/>
    <n v="112846.3307230982"/>
    <n v="117.5"/>
    <n v="99"/>
    <n v="98.005014700369543"/>
    <n v="11059506"/>
  </r>
  <r>
    <x v="16"/>
    <n v="202411"/>
    <x v="2"/>
    <x v="7"/>
    <s v="Sofía V"/>
    <s v="José A"/>
    <n v="102697"/>
    <n v="5538678"/>
    <n v="53.932229166666644"/>
    <n v="0"/>
    <n v="64"/>
    <n v="67"/>
    <m/>
    <n v="0"/>
  </r>
  <r>
    <x v="33"/>
    <n v="202508"/>
    <x v="1"/>
    <x v="5"/>
    <s v="Sofía V"/>
    <s v="José A"/>
    <n v="102648"/>
    <n v="8634732"/>
    <n v="84.120194892473123"/>
    <n v="98718.627781204632"/>
    <n v="93.5"/>
    <n v="94"/>
    <n v="87.468114114568294"/>
    <n v="9003515"/>
  </r>
  <r>
    <x v="56"/>
    <n v="202603"/>
    <x v="0"/>
    <x v="0"/>
    <s v="Sofía V"/>
    <s v="Joe H"/>
    <n v="102580"/>
    <n v="7675902"/>
    <n v="74.828212365591412"/>
    <n v="102875.14360808075"/>
    <n v="79.5"/>
    <n v="81.5"/>
    <n v="68.773296674593993"/>
    <n v="7075063"/>
  </r>
  <r>
    <x v="33"/>
    <n v="202606"/>
    <x v="0"/>
    <x v="11"/>
    <s v="Sofía V"/>
    <s v="José A"/>
    <n v="102565"/>
    <n v="8822885"/>
    <n v="86.022659722223622"/>
    <n v="101835.5022014233"/>
    <n v="93.5"/>
    <n v="94"/>
    <n v="84.619508156945685"/>
    <n v="8617270"/>
  </r>
  <r>
    <x v="69"/>
    <n v="202512"/>
    <x v="1"/>
    <x v="1"/>
    <s v="Sofía V"/>
    <s v="José A"/>
    <n v="102528"/>
    <n v="8877834"/>
    <n v="86.588965053763474"/>
    <n v="0"/>
    <n v="84"/>
    <n v="76"/>
    <m/>
    <m/>
  </r>
  <r>
    <x v="65"/>
    <n v="202605"/>
    <x v="0"/>
    <x v="3"/>
    <s v="Sebastián S"/>
    <s v="Johanna V"/>
    <n v="102522"/>
    <n v="8338573"/>
    <n v="81.334731182795252"/>
    <n v="98333.609148937743"/>
    <n v="103"/>
    <n v="91"/>
    <n v="85.91077884372821"/>
    <n v="8447917"/>
  </r>
  <r>
    <x v="41"/>
    <n v="202503"/>
    <x v="1"/>
    <x v="0"/>
    <s v="Sebastián S"/>
    <s v="Rodolfo O"/>
    <n v="102480"/>
    <n v="6496963"/>
    <n v="63.397654569892481"/>
    <n v="89252.101154537813"/>
    <n v="64.5"/>
    <n v="64"/>
    <n v="72.793394619927994"/>
    <n v="6453247"/>
  </r>
  <r>
    <x v="49"/>
    <n v="202512"/>
    <x v="1"/>
    <x v="1"/>
    <s v="Sebastián S"/>
    <s v="Vik E"/>
    <n v="102458"/>
    <n v="6578609"/>
    <n v="64.20792338709677"/>
    <n v="119088.21621592755"/>
    <n v="66"/>
    <n v="64.5"/>
    <n v="55.241474337577159"/>
    <n v="7971250"/>
  </r>
  <r>
    <x v="25"/>
    <n v="202601"/>
    <x v="0"/>
    <x v="10"/>
    <s v="Sebastián S"/>
    <s v="Vik E"/>
    <n v="102430"/>
    <n v="6901710"/>
    <n v="67.379798387096798"/>
    <n v="91958.510286923571"/>
    <n v="77"/>
    <n v="79"/>
    <n v="66.09086292651952"/>
    <n v="6077617"/>
  </r>
  <r>
    <x v="9"/>
    <n v="202511"/>
    <x v="1"/>
    <x v="7"/>
    <s v="Sofía V"/>
    <s v="Joe H"/>
    <n v="102422"/>
    <n v="6037489"/>
    <n v="58.947145833333373"/>
    <n v="98639.327361210162"/>
    <n v="70.5"/>
    <n v="69.5"/>
    <n v="61.207730440934021"/>
    <n v="5336325"/>
  </r>
  <r>
    <x v="39"/>
    <n v="202412"/>
    <x v="2"/>
    <x v="1"/>
    <s v="Sofía V"/>
    <s v="Melany A"/>
    <n v="102412"/>
    <n v="6928570"/>
    <n v="67.654106182795701"/>
    <n v="0"/>
    <n v="60.5"/>
    <n v="60.5"/>
    <m/>
    <n v="0"/>
  </r>
  <r>
    <x v="13"/>
    <n v="202403"/>
    <x v="2"/>
    <x v="0"/>
    <s v="Sebastián S"/>
    <s v="Rodolfo O"/>
    <n v="102381"/>
    <n v="7586531"/>
    <n v="74.101256720430086"/>
    <n v="0"/>
    <n v="78"/>
    <n v="74.5"/>
    <m/>
    <n v="0"/>
  </r>
  <r>
    <x v="25"/>
    <n v="202406"/>
    <x v="2"/>
    <x v="11"/>
    <s v="Sebastián S"/>
    <s v="Vik E"/>
    <n v="102380"/>
    <n v="7020747"/>
    <n v="68.575694444444437"/>
    <n v="0"/>
    <n v="77"/>
    <n v="79"/>
    <m/>
    <n v="0"/>
  </r>
  <r>
    <x v="53"/>
    <n v="202605"/>
    <x v="0"/>
    <x v="3"/>
    <s v="Sebastián S"/>
    <s v="Johanna V"/>
    <n v="102379"/>
    <n v="5433265"/>
    <n v="53.070020161290991"/>
    <n v="101996.01040504016"/>
    <n v="68"/>
    <n v="60.5"/>
    <n v="56.717795741490448"/>
    <n v="5784989"/>
  </r>
  <r>
    <x v="22"/>
    <n v="202504"/>
    <x v="1"/>
    <x v="9"/>
    <s v="Sebastián S"/>
    <s v="Johanna V"/>
    <n v="102328"/>
    <n v="8555235"/>
    <n v="83.606104166666697"/>
    <n v="91661.899699526664"/>
    <n v="104.5"/>
    <n v="99"/>
    <n v="93.334694328227826"/>
    <n v="9247994"/>
  </r>
  <r>
    <x v="30"/>
    <n v="202404"/>
    <x v="2"/>
    <x v="9"/>
    <s v="Sebastián S"/>
    <s v="Vik E"/>
    <n v="102323"/>
    <n v="9036091"/>
    <n v="88.30932638888892"/>
    <n v="0"/>
    <n v="101.5"/>
    <n v="97.5"/>
    <m/>
    <n v="0"/>
  </r>
  <r>
    <x v="7"/>
    <n v="202507"/>
    <x v="1"/>
    <x v="6"/>
    <s v="Sebastián S"/>
    <s v="Rodolfo O"/>
    <n v="102293"/>
    <n v="6066310"/>
    <n v="59.303407258064524"/>
    <n v="92686.131058668427"/>
    <n v="65.5"/>
    <n v="63"/>
    <n v="65.450026241360192"/>
    <n v="6093701"/>
  </r>
  <r>
    <x v="45"/>
    <n v="202412"/>
    <x v="2"/>
    <x v="1"/>
    <s v="Sofía V"/>
    <s v="Joe H"/>
    <n v="102210"/>
    <n v="7504821"/>
    <n v="73.425813172042993"/>
    <n v="0"/>
    <n v="68"/>
    <n v="68.5"/>
    <m/>
    <n v="0"/>
  </r>
  <r>
    <x v="20"/>
    <n v="202409"/>
    <x v="2"/>
    <x v="4"/>
    <s v="Sofía V"/>
    <s v="Joe H"/>
    <n v="102177"/>
    <n v="8979192"/>
    <n v="87.878923611111134"/>
    <n v="0"/>
    <n v="96.5"/>
    <n v="96"/>
    <m/>
    <n v="0"/>
  </r>
  <r>
    <x v="41"/>
    <n v="202412"/>
    <x v="2"/>
    <x v="1"/>
    <s v="Sebastián S"/>
    <s v="Rodolfo O"/>
    <n v="102168"/>
    <n v="7437277"/>
    <n v="72.794401881720447"/>
    <n v="0"/>
    <n v="64.5"/>
    <n v="64"/>
    <m/>
    <n v="0"/>
  </r>
  <r>
    <x v="57"/>
    <n v="202512"/>
    <x v="1"/>
    <x v="1"/>
    <s v="Hernán P"/>
    <s v="Daniel R"/>
    <n v="102163"/>
    <n v="4434770"/>
    <n v="43.408655913978464"/>
    <n v="92957.429362222232"/>
    <n v="53.5"/>
    <n v="52"/>
    <n v="47.70753387251353"/>
    <n v="4821563"/>
  </r>
  <r>
    <x v="8"/>
    <n v="202406"/>
    <x v="2"/>
    <x v="11"/>
    <s v="Sebastián S"/>
    <s v="Vik E"/>
    <n v="102147"/>
    <n v="8107532"/>
    <n v="79.370909722222223"/>
    <n v="0"/>
    <n v="88"/>
    <n v="84"/>
    <m/>
    <n v="0"/>
  </r>
  <r>
    <x v="70"/>
    <n v="202512"/>
    <x v="1"/>
    <x v="1"/>
    <s v="Sebastián S"/>
    <s v="Vik E"/>
    <n v="102130"/>
    <n v="5573949"/>
    <n v="54.577137096774194"/>
    <n v="106224.3500749313"/>
    <n v="60.5"/>
    <n v="57.5"/>
    <n v="52.473366003822129"/>
    <n v="5963632"/>
  </r>
  <r>
    <x v="50"/>
    <n v="202503"/>
    <x v="1"/>
    <x v="0"/>
    <s v="Sebastián S"/>
    <s v="Vik E"/>
    <n v="102072"/>
    <n v="7340456"/>
    <n v="71.914650537634429"/>
    <n v="105753.88720346721"/>
    <n v="75.5"/>
    <n v="74"/>
    <n v="69.410747860995301"/>
    <n v="7876611"/>
  </r>
  <r>
    <x v="21"/>
    <n v="202403"/>
    <x v="2"/>
    <x v="0"/>
    <s v="Sebastián S"/>
    <s v="Rodolfo O"/>
    <n v="102029"/>
    <n v="8159013"/>
    <n v="79.967237903225808"/>
    <n v="0"/>
    <n v="84.5"/>
    <n v="86.5"/>
    <m/>
    <n v="0"/>
  </r>
  <r>
    <x v="53"/>
    <n v="202412"/>
    <x v="2"/>
    <x v="1"/>
    <s v="Sebastián S"/>
    <s v="Johanna V"/>
    <n v="101988"/>
    <n v="6589805"/>
    <n v="64.613481182795695"/>
    <n v="0"/>
    <n v="68"/>
    <n v="60.5"/>
    <m/>
    <n v="0"/>
  </r>
  <r>
    <x v="21"/>
    <n v="202606"/>
    <x v="0"/>
    <x v="11"/>
    <s v="Sebastián S"/>
    <s v="Rodolfo O"/>
    <n v="101949"/>
    <n v="7280441"/>
    <n v="71.412736111113404"/>
    <n v="97544.191137583024"/>
    <n v="84.5"/>
    <n v="86.5"/>
    <n v="71.456708642637324"/>
    <n v="6970187"/>
  </r>
  <r>
    <x v="33"/>
    <n v="202503"/>
    <x v="1"/>
    <x v="0"/>
    <s v="Sofía V"/>
    <s v="José A"/>
    <n v="101909"/>
    <n v="9051269"/>
    <n v="88.817063172042879"/>
    <n v="106696.73930929552"/>
    <n v="93.5"/>
    <n v="94"/>
    <n v="84.831725867103813"/>
    <n v="9225635"/>
  </r>
  <r>
    <x v="37"/>
    <n v="202507"/>
    <x v="1"/>
    <x v="6"/>
    <s v="Sofía V"/>
    <s v="Melany A"/>
    <n v="101845"/>
    <n v="6168740"/>
    <n v="60.570134408602129"/>
    <n v="116844.36090225566"/>
    <n v="72.5"/>
    <n v="68.5"/>
    <n v="52.79450529204712"/>
    <n v="7185540"/>
  </r>
  <r>
    <x v="36"/>
    <n v="202407"/>
    <x v="2"/>
    <x v="6"/>
    <s v="Sebastián S"/>
    <s v="Rodolfo O"/>
    <n v="101825"/>
    <n v="7042900"/>
    <n v="69.16682123655913"/>
    <n v="0"/>
    <n v="81"/>
    <n v="77"/>
    <m/>
    <n v="0"/>
  </r>
  <r>
    <x v="22"/>
    <n v="202408"/>
    <x v="2"/>
    <x v="5"/>
    <s v="Sebastián S"/>
    <s v="Johanna V"/>
    <n v="101810"/>
    <n v="8822377"/>
    <n v="86.655625000000043"/>
    <n v="0"/>
    <n v="104.5"/>
    <n v="99"/>
    <m/>
    <n v="0"/>
  </r>
  <r>
    <x v="40"/>
    <n v="202606"/>
    <x v="0"/>
    <x v="11"/>
    <s v="Sebastián S"/>
    <s v="Johanna V"/>
    <n v="101784"/>
    <n v="9047987"/>
    <n v="88.894312500002343"/>
    <n v="93926.935431288468"/>
    <n v="106"/>
    <n v="102.5"/>
    <n v="90.060822135394957"/>
    <n v="8459137"/>
  </r>
  <r>
    <x v="29"/>
    <n v="202602"/>
    <x v="0"/>
    <x v="2"/>
    <s v="Sebastián S"/>
    <s v="Vik E"/>
    <n v="101711"/>
    <n v="6710236"/>
    <n v="65.973854166666669"/>
    <n v="92254.833011497321"/>
    <n v="76.5"/>
    <n v="75.5"/>
    <n v="67.697971575339096"/>
    <n v="6245465"/>
  </r>
  <r>
    <x v="48"/>
    <n v="202508"/>
    <x v="1"/>
    <x v="5"/>
    <s v="Hernán P"/>
    <s v="Daniel R"/>
    <n v="101703"/>
    <n v="6007036"/>
    <n v="59.064569892473145"/>
    <n v="99478.104094011505"/>
    <n v="79.5"/>
    <n v="72.5"/>
    <n v="60.385510708196321"/>
    <n v="6001323"/>
  </r>
  <r>
    <x v="44"/>
    <n v="202504"/>
    <x v="1"/>
    <x v="9"/>
    <s v="Sebastián S"/>
    <s v="Johanna V"/>
    <n v="101661"/>
    <n v="9576095"/>
    <n v="94.196472222222212"/>
    <n v="103826.72737841868"/>
    <n v="117.5"/>
    <n v="99"/>
    <n v="92.23150360020378"/>
    <n v="9879676"/>
  </r>
  <r>
    <x v="22"/>
    <n v="202604"/>
    <x v="0"/>
    <x v="9"/>
    <s v="Sebastián S"/>
    <s v="Johanna V"/>
    <n v="101623"/>
    <n v="9111030"/>
    <n v="89.655222222224282"/>
    <n v="98771.109411515688"/>
    <n v="104.5"/>
    <n v="99"/>
    <n v="90.280982690474389"/>
    <n v="8917153"/>
  </r>
  <r>
    <x v="33"/>
    <n v="202403"/>
    <x v="2"/>
    <x v="0"/>
    <s v="Sofía V"/>
    <s v="José A"/>
    <n v="101616"/>
    <n v="8997767"/>
    <n v="88.546801075268789"/>
    <n v="0"/>
    <n v="93.5"/>
    <n v="94"/>
    <m/>
    <n v="0"/>
  </r>
  <r>
    <x v="17"/>
    <n v="202510"/>
    <x v="1"/>
    <x v="8"/>
    <s v="Sofía V"/>
    <s v="Joe H"/>
    <n v="101606"/>
    <n v="8475539"/>
    <n v="83.415678763440823"/>
    <n v="100628.78106173531"/>
    <n v="94"/>
    <n v="92"/>
    <n v="84.225791175988647"/>
    <n v="8006547"/>
  </r>
  <r>
    <x v="16"/>
    <n v="202407"/>
    <x v="2"/>
    <x v="6"/>
    <s v="Sofía V"/>
    <s v="José A"/>
    <n v="101599"/>
    <n v="6141428"/>
    <n v="60.447446236559145"/>
    <n v="0"/>
    <n v="64"/>
    <n v="67"/>
    <m/>
    <n v="0"/>
  </r>
  <r>
    <x v="2"/>
    <n v="202405"/>
    <x v="2"/>
    <x v="3"/>
    <s v="Sofía V"/>
    <s v="José A"/>
    <n v="101585"/>
    <n v="7281319"/>
    <n v="71.677271505376297"/>
    <n v="0"/>
    <n v="76.5"/>
    <n v="80"/>
    <m/>
    <n v="0"/>
  </r>
  <r>
    <x v="20"/>
    <n v="202502"/>
    <x v="1"/>
    <x v="2"/>
    <s v="Sofía V"/>
    <s v="Joe H"/>
    <n v="101574"/>
    <n v="9381120"/>
    <n v="92.357135416666679"/>
    <n v="99220.845089908093"/>
    <n v="96.5"/>
    <n v="96"/>
    <n v="94.547874708176295"/>
    <n v="8613283"/>
  </r>
  <r>
    <x v="4"/>
    <n v="202407"/>
    <x v="2"/>
    <x v="6"/>
    <s v="Sofía V"/>
    <s v="José A"/>
    <n v="101554"/>
    <n v="11001575"/>
    <n v="108.33215053763442"/>
    <n v="0"/>
    <n v="107.5"/>
    <n v="102.5"/>
    <m/>
    <n v="0"/>
  </r>
  <r>
    <x v="56"/>
    <n v="202605"/>
    <x v="0"/>
    <x v="3"/>
    <s v="Sofía V"/>
    <s v="Joe H"/>
    <n v="101518"/>
    <n v="6988920"/>
    <n v="68.843823924730657"/>
    <n v="99753.260557805013"/>
    <n v="79.5"/>
    <n v="81.5"/>
    <n v="68.773296674593993"/>
    <n v="6860361"/>
  </r>
  <r>
    <x v="40"/>
    <n v="202504"/>
    <x v="1"/>
    <x v="9"/>
    <s v="Sebastián S"/>
    <s v="Johanna V"/>
    <n v="101484"/>
    <n v="8798544"/>
    <n v="86.698548611111121"/>
    <n v="84897.29014856524"/>
    <n v="106"/>
    <n v="102.5"/>
    <n v="103.63751062728936"/>
    <n v="9604933"/>
  </r>
  <r>
    <x v="22"/>
    <n v="202508"/>
    <x v="1"/>
    <x v="5"/>
    <s v="Sebastián S"/>
    <s v="Johanna V"/>
    <n v="101457"/>
    <n v="8808163"/>
    <n v="86.816841397849473"/>
    <n v="106900.10800222137"/>
    <n v="104.5"/>
    <n v="99"/>
    <n v="82.396207119051425"/>
    <n v="9124119"/>
  </r>
  <r>
    <x v="49"/>
    <n v="202403"/>
    <x v="2"/>
    <x v="0"/>
    <s v="Sebastián S"/>
    <s v="Vik E"/>
    <n v="101455"/>
    <n v="6684313"/>
    <n v="65.884206989247346"/>
    <n v="0"/>
    <n v="66"/>
    <n v="64.5"/>
    <m/>
    <n v="0"/>
  </r>
  <r>
    <x v="62"/>
    <n v="202603"/>
    <x v="0"/>
    <x v="0"/>
    <s v="Sebastián S"/>
    <s v="Vik E"/>
    <n v="101328"/>
    <n v="6302852"/>
    <n v="62.202479838709699"/>
    <n v="107300.29933535568"/>
    <n v="65"/>
    <n v="67.5"/>
    <n v="56.772923994003762"/>
    <n v="6091752"/>
  </r>
  <r>
    <x v="57"/>
    <n v="202503"/>
    <x v="1"/>
    <x v="0"/>
    <s v="Hernán P"/>
    <s v="Daniel R"/>
    <n v="101315"/>
    <n v="4555194"/>
    <n v="44.960557795698925"/>
    <n v="94115.956414838292"/>
    <n v="53.5"/>
    <n v="52"/>
    <n v="48.39980215386548"/>
    <n v="4583728"/>
  </r>
  <r>
    <x v="6"/>
    <n v="202509"/>
    <x v="1"/>
    <x v="4"/>
    <s v="Sebastián S"/>
    <s v="Vik E"/>
    <n v="101268"/>
    <n v="8605098"/>
    <n v="84.973437500000045"/>
    <n v="99976.059882908899"/>
    <n v="100"/>
    <n v="98"/>
    <n v="86.071583637905064"/>
    <n v="9193875"/>
  </r>
  <r>
    <x v="37"/>
    <n v="202505"/>
    <x v="1"/>
    <x v="3"/>
    <s v="Sofía V"/>
    <s v="Melany A"/>
    <n v="101268"/>
    <n v="6101716"/>
    <n v="60.25329973118275"/>
    <n v="88919.115560465478"/>
    <n v="72.5"/>
    <n v="68.5"/>
    <n v="68.6209696479808"/>
    <n v="6011564"/>
  </r>
  <r>
    <x v="5"/>
    <n v="202408"/>
    <x v="2"/>
    <x v="5"/>
    <s v="Sebastián S"/>
    <s v="Rodolfo O"/>
    <n v="101264"/>
    <n v="5843283"/>
    <n v="57.703192204301068"/>
    <n v="0"/>
    <n v="68.5"/>
    <n v="66"/>
    <m/>
    <n v="0"/>
  </r>
  <r>
    <x v="44"/>
    <n v="202503"/>
    <x v="1"/>
    <x v="0"/>
    <s v="Sebastián S"/>
    <s v="Johanna V"/>
    <n v="101253"/>
    <n v="10716261"/>
    <n v="105.83665994623654"/>
    <n v="110263.92556683689"/>
    <n v="117.5"/>
    <n v="99"/>
    <n v="97.187372433101899"/>
    <n v="10006218"/>
  </r>
  <r>
    <x v="29"/>
    <n v="202604"/>
    <x v="0"/>
    <x v="9"/>
    <s v="Sebastián S"/>
    <s v="Vik E"/>
    <n v="101240"/>
    <n v="6235449"/>
    <n v="61.590763888889761"/>
    <n v="90383.249564436497"/>
    <n v="76.5"/>
    <n v="75.5"/>
    <n v="67.697971575339096"/>
    <n v="6118763"/>
  </r>
  <r>
    <x v="30"/>
    <n v="202502"/>
    <x v="1"/>
    <x v="2"/>
    <s v="Sebastián S"/>
    <s v="Vik E"/>
    <n v="101225"/>
    <n v="8598782"/>
    <n v="84.946979166666679"/>
    <n v="97945.278835583798"/>
    <n v="101.5"/>
    <n v="97.5"/>
    <n v="87.791694221774335"/>
    <n v="8660241"/>
  </r>
  <r>
    <x v="45"/>
    <n v="202603"/>
    <x v="0"/>
    <x v="0"/>
    <s v="Sofía V"/>
    <s v="Joe H"/>
    <n v="101192"/>
    <n v="6761612"/>
    <n v="66.819845430107534"/>
    <n v="106946.64545616548"/>
    <n v="68"/>
    <n v="68.5"/>
    <n v="60.397061823201135"/>
    <n v="6459263"/>
  </r>
  <r>
    <x v="70"/>
    <n v="202412"/>
    <x v="2"/>
    <x v="1"/>
    <s v="Sebastián S"/>
    <s v="Vik E"/>
    <n v="101166"/>
    <n v="5620953"/>
    <n v="55.561653225806445"/>
    <n v="0"/>
    <n v="60.5"/>
    <n v="57.5"/>
    <m/>
    <n v="0"/>
  </r>
  <r>
    <x v="25"/>
    <n v="202602"/>
    <x v="0"/>
    <x v="2"/>
    <s v="Sebastián S"/>
    <s v="Vik E"/>
    <n v="101126"/>
    <n v="6795456"/>
    <n v="67.197708333333338"/>
    <n v="89023.403267430214"/>
    <n v="77"/>
    <n v="79"/>
    <n v="66.09086292651952"/>
    <n v="5883634"/>
  </r>
  <r>
    <x v="4"/>
    <n v="202509"/>
    <x v="1"/>
    <x v="4"/>
    <s v="Sofía V"/>
    <s v="José A"/>
    <n v="101125"/>
    <n v="9042962"/>
    <n v="89.423444444444513"/>
    <n v="101303.30576405319"/>
    <n v="107.5"/>
    <n v="102.5"/>
    <n v="89.266209150786054"/>
    <n v="9808966"/>
  </r>
  <r>
    <x v="26"/>
    <n v="202508"/>
    <x v="1"/>
    <x v="5"/>
    <s v="Sofía V"/>
    <s v="Melany A"/>
    <n v="101084"/>
    <n v="4491491"/>
    <n v="44.433393817204319"/>
    <n v="97053.936340991437"/>
    <n v="55"/>
    <n v="50.5"/>
    <n v="46.278301832287326"/>
    <n v="4802678"/>
  </r>
  <r>
    <x v="43"/>
    <n v="202503"/>
    <x v="1"/>
    <x v="0"/>
    <s v="Sofía V"/>
    <s v="José A"/>
    <n v="101057"/>
    <n v="3275379"/>
    <n v="32.411270161290339"/>
    <n v="94599.712925979577"/>
    <n v="32.5"/>
    <n v="32"/>
    <n v="34.623557605960713"/>
    <n v="3042437"/>
  </r>
  <r>
    <x v="30"/>
    <n v="202401"/>
    <x v="2"/>
    <x v="10"/>
    <s v="Sebastián S"/>
    <s v="Vik E"/>
    <n v="101011"/>
    <n v="9161303"/>
    <n v="90.696525537634429"/>
    <n v="0"/>
    <n v="101.5"/>
    <n v="97.5"/>
    <m/>
    <n v="0"/>
  </r>
  <r>
    <x v="56"/>
    <n v="202511"/>
    <x v="1"/>
    <x v="7"/>
    <s v="Sofía V"/>
    <s v="Joe H"/>
    <n v="101003"/>
    <n v="6850586"/>
    <n v="67.825576388888919"/>
    <n v="88695.028050270004"/>
    <n v="79.5"/>
    <n v="81.5"/>
    <n v="77.237547138688171"/>
    <n v="6438372"/>
  </r>
  <r>
    <x v="58"/>
    <n v="202412"/>
    <x v="2"/>
    <x v="1"/>
    <s v="Sebastián S"/>
    <s v="Rodolfo O"/>
    <n v="100994"/>
    <n v="6900795"/>
    <n v="68.32893817204301"/>
    <n v="0"/>
    <n v="66.5"/>
    <n v="63.5"/>
    <m/>
    <n v="0"/>
  </r>
  <r>
    <x v="65"/>
    <n v="202603"/>
    <x v="0"/>
    <x v="0"/>
    <s v="Sebastián S"/>
    <s v="Johanna V"/>
    <n v="100936"/>
    <n v="8864263"/>
    <n v="87.820551075268838"/>
    <n v="103722.45893508771"/>
    <n v="103"/>
    <n v="91"/>
    <n v="85.91077884372821"/>
    <n v="8910877"/>
  </r>
  <r>
    <x v="24"/>
    <n v="202407"/>
    <x v="2"/>
    <x v="6"/>
    <s v="Sofía V"/>
    <s v="Joe H"/>
    <n v="100935"/>
    <n v="6716721"/>
    <n v="66.544737903225808"/>
    <n v="0"/>
    <n v="71"/>
    <n v="74.5"/>
    <m/>
    <n v="0"/>
  </r>
  <r>
    <x v="42"/>
    <n v="202501"/>
    <x v="1"/>
    <x v="10"/>
    <s v="Hernán P"/>
    <s v="Daniel R"/>
    <n v="100931"/>
    <n v="2501860"/>
    <n v="24.78780913978494"/>
    <n v="92844.012874231805"/>
    <n v="22.5"/>
    <n v="21"/>
    <n v="26.94691582740036"/>
    <n v="2267428"/>
  </r>
  <r>
    <x v="29"/>
    <n v="202511"/>
    <x v="1"/>
    <x v="7"/>
    <s v="Sebastián S"/>
    <s v="Vik E"/>
    <n v="100929"/>
    <n v="6568111"/>
    <n v="65.076326388888887"/>
    <n v="89625.940130928662"/>
    <n v="76.5"/>
    <n v="75.5"/>
    <n v="73.28359357129284"/>
    <n v="6757558"/>
  </r>
  <r>
    <x v="20"/>
    <n v="202506"/>
    <x v="1"/>
    <x v="11"/>
    <s v="Sofía V"/>
    <s v="Joe H"/>
    <n v="100889"/>
    <n v="8877064"/>
    <n v="87.988201388888811"/>
    <n v="110144.94260892339"/>
    <n v="96.5"/>
    <n v="96"/>
    <n v="80.594383815865044"/>
    <n v="8791220"/>
  </r>
  <r>
    <x v="68"/>
    <n v="202412"/>
    <x v="2"/>
    <x v="1"/>
    <s v="Sofía V"/>
    <s v="José A"/>
    <n v="100857"/>
    <n v="5421951"/>
    <n v="53.758541666666673"/>
    <n v="0"/>
    <n v="52"/>
    <n v="52"/>
    <m/>
    <n v="0"/>
  </r>
  <r>
    <x v="5"/>
    <n v="202504"/>
    <x v="1"/>
    <x v="9"/>
    <s v="Sebastián S"/>
    <s v="Rodolfo O"/>
    <n v="100827"/>
    <n v="5870635"/>
    <n v="58.224881944444462"/>
    <n v="90979.356378692435"/>
    <n v="68.5"/>
    <n v="66"/>
    <n v="64.527112013895447"/>
    <n v="6058277"/>
  </r>
  <r>
    <x v="33"/>
    <n v="202406"/>
    <x v="2"/>
    <x v="11"/>
    <s v="Sofía V"/>
    <s v="José A"/>
    <n v="100826"/>
    <n v="8299368"/>
    <n v="82.313826388888884"/>
    <n v="0"/>
    <n v="93.5"/>
    <n v="94"/>
    <m/>
    <n v="0"/>
  </r>
  <r>
    <x v="40"/>
    <n v="202510"/>
    <x v="1"/>
    <x v="8"/>
    <s v="Sebastián S"/>
    <s v="Johanna V"/>
    <n v="100812"/>
    <n v="8246654"/>
    <n v="81.802009408602217"/>
    <n v="91319.416104008938"/>
    <n v="106"/>
    <n v="102.5"/>
    <n v="90.305595368759413"/>
    <n v="9757027"/>
  </r>
  <r>
    <x v="26"/>
    <n v="202604"/>
    <x v="0"/>
    <x v="9"/>
    <s v="Sofía V"/>
    <s v="Melany A"/>
    <n v="100810"/>
    <n v="4707771"/>
    <n v="46.699333333332852"/>
    <n v="95837.611885332153"/>
    <n v="55"/>
    <n v="50.5"/>
    <n v="48.493991244906027"/>
    <n v="4647548"/>
  </r>
  <r>
    <x v="12"/>
    <n v="202601"/>
    <x v="0"/>
    <x v="10"/>
    <s v="Sofía V"/>
    <s v="Melany A"/>
    <n v="100807"/>
    <n v="8644499"/>
    <n v="85.753245967741918"/>
    <n v="100600.83617720856"/>
    <n v="96.5"/>
    <n v="94"/>
    <n v="87.753564014610347"/>
    <n v="8828082"/>
  </r>
  <r>
    <x v="26"/>
    <n v="202602"/>
    <x v="0"/>
    <x v="2"/>
    <s v="Sofía V"/>
    <s v="Melany A"/>
    <n v="100803"/>
    <n v="4490117"/>
    <n v="44.54328125"/>
    <n v="91071.573983177062"/>
    <n v="55"/>
    <n v="50.5"/>
    <n v="48.493991244906027"/>
    <n v="4416424"/>
  </r>
  <r>
    <x v="23"/>
    <n v="202511"/>
    <x v="1"/>
    <x v="7"/>
    <s v="Sebastián S"/>
    <s v="Rodolfo O"/>
    <n v="100758"/>
    <n v="8791064"/>
    <n v="87.249263888888976"/>
    <n v="89139.71033804366"/>
    <n v="94.5"/>
    <n v="97"/>
    <n v="98.621190114503747"/>
    <n v="7559131"/>
  </r>
  <r>
    <x v="5"/>
    <n v="202406"/>
    <x v="2"/>
    <x v="11"/>
    <s v="Sebastián S"/>
    <s v="Rodolfo O"/>
    <n v="100730"/>
    <n v="6143671"/>
    <n v="60.991486111111108"/>
    <n v="0"/>
    <n v="68.5"/>
    <n v="66"/>
    <m/>
    <n v="0"/>
  </r>
  <r>
    <x v="20"/>
    <n v="202404"/>
    <x v="2"/>
    <x v="9"/>
    <s v="Sofía V"/>
    <s v="Joe H"/>
    <n v="100728"/>
    <n v="8349190"/>
    <n v="82.888069444444525"/>
    <n v="0"/>
    <n v="96.5"/>
    <n v="96"/>
    <m/>
    <n v="0"/>
  </r>
  <r>
    <x v="51"/>
    <n v="202503"/>
    <x v="1"/>
    <x v="0"/>
    <s v="Sofía V"/>
    <s v="Melany A"/>
    <n v="100721"/>
    <n v="3996313"/>
    <n v="39.67701612903226"/>
    <n v="88847.525807322512"/>
    <n v="43.5"/>
    <n v="41"/>
    <n v="44.979449609733955"/>
    <n v="3739257"/>
  </r>
  <r>
    <x v="61"/>
    <n v="202605"/>
    <x v="0"/>
    <x v="3"/>
    <s v="Sofía V"/>
    <s v="Joe H"/>
    <n v="100718"/>
    <n v="3248906"/>
    <n v="32.25743951612916"/>
    <n v="74685.882300600308"/>
    <n v="41.5"/>
    <n v="35.5"/>
    <n v="37.124878906032741"/>
    <n v="2772704"/>
  </r>
  <r>
    <x v="50"/>
    <n v="202403"/>
    <x v="2"/>
    <x v="0"/>
    <s v="Sebastián S"/>
    <s v="Vik E"/>
    <n v="100718"/>
    <n v="7976345"/>
    <n v="79.194838709677413"/>
    <n v="0"/>
    <n v="75.5"/>
    <n v="74"/>
    <m/>
    <n v="0"/>
  </r>
  <r>
    <x v="33"/>
    <n v="202511"/>
    <x v="1"/>
    <x v="7"/>
    <s v="Sofía V"/>
    <s v="José A"/>
    <n v="100715"/>
    <n v="9101433"/>
    <n v="90.368250000000018"/>
    <n v="101977.32716431707"/>
    <n v="93.5"/>
    <n v="94"/>
    <n v="89.249572557778194"/>
    <n v="8300260"/>
  </r>
  <r>
    <x v="16"/>
    <n v="202408"/>
    <x v="2"/>
    <x v="5"/>
    <s v="Sofía V"/>
    <s v="José A"/>
    <n v="100697"/>
    <n v="5828210"/>
    <n v="57.878662634408613"/>
    <n v="0"/>
    <n v="64"/>
    <n v="67"/>
    <m/>
    <n v="0"/>
  </r>
  <r>
    <x v="15"/>
    <n v="202410"/>
    <x v="2"/>
    <x v="8"/>
    <s v="Sofía V"/>
    <s v="Joe H"/>
    <n v="100654"/>
    <n v="9182104"/>
    <n v="91.224348118279579"/>
    <n v="0"/>
    <n v="101"/>
    <n v="105"/>
    <m/>
    <n v="0"/>
  </r>
  <r>
    <x v="19"/>
    <n v="202403"/>
    <x v="2"/>
    <x v="0"/>
    <s v="Sofía V"/>
    <s v="Joe H"/>
    <n v="100641"/>
    <n v="5796795"/>
    <n v="57.598756720430089"/>
    <n v="0"/>
    <n v="57.5"/>
    <n v="56.5"/>
    <m/>
    <n v="0"/>
  </r>
  <r>
    <x v="15"/>
    <n v="202601"/>
    <x v="0"/>
    <x v="10"/>
    <s v="Sofía V"/>
    <s v="Joe H"/>
    <n v="100627"/>
    <n v="9710269"/>
    <n v="96.497587365591372"/>
    <n v="104104.19406846241"/>
    <n v="101"/>
    <n v="105"/>
    <n v="90.439897606894348"/>
    <n v="9415173"/>
  </r>
  <r>
    <x v="8"/>
    <n v="202509"/>
    <x v="1"/>
    <x v="4"/>
    <s v="Sebastián S"/>
    <s v="Vik E"/>
    <n v="100544"/>
    <n v="7263665"/>
    <n v="72.243986111111155"/>
    <n v="94427.476037354223"/>
    <n v="88"/>
    <n v="84"/>
    <n v="76.923218694594681"/>
    <n v="8207304"/>
  </r>
  <r>
    <x v="35"/>
    <n v="202602"/>
    <x v="0"/>
    <x v="2"/>
    <s v="Hernán P"/>
    <s v="Daniel R"/>
    <n v="100519"/>
    <n v="11084158"/>
    <n v="110.26927083333334"/>
    <n v="98099.930619558756"/>
    <n v="140.5"/>
    <n v="125.5"/>
    <n v="117.18897502469719"/>
    <n v="11496230"/>
  </r>
  <r>
    <x v="33"/>
    <n v="202507"/>
    <x v="1"/>
    <x v="6"/>
    <s v="Sofía V"/>
    <s v="José A"/>
    <n v="100490"/>
    <n v="8705609"/>
    <n v="86.631209677419349"/>
    <n v="104890.0162002357"/>
    <n v="93.5"/>
    <n v="94"/>
    <n v="82.997495809142961"/>
    <n v="9372393"/>
  </r>
  <r>
    <x v="7"/>
    <n v="202502"/>
    <x v="1"/>
    <x v="2"/>
    <s v="Sebastián S"/>
    <s v="Rodolfo O"/>
    <n v="100473"/>
    <n v="5664677"/>
    <n v="56.380260416666651"/>
    <n v="70286.04900450616"/>
    <n v="65.5"/>
    <n v="63"/>
    <n v="80.594614724137173"/>
    <n v="4642225"/>
  </r>
  <r>
    <x v="27"/>
    <n v="202503"/>
    <x v="1"/>
    <x v="0"/>
    <s v="Sofía V"/>
    <s v="Joe H"/>
    <n v="100423"/>
    <n v="6030728"/>
    <n v="60.053508064516123"/>
    <n v="91358.192082219233"/>
    <n v="62"/>
    <n v="58"/>
    <n v="66.011897811775356"/>
    <n v="5739674"/>
  </r>
  <r>
    <x v="6"/>
    <n v="202408"/>
    <x v="2"/>
    <x v="5"/>
    <s v="Sebastián S"/>
    <s v="Vik E"/>
    <n v="100383"/>
    <n v="9039938"/>
    <n v="90.054717741935491"/>
    <n v="0"/>
    <n v="100"/>
    <n v="98"/>
    <m/>
    <n v="0"/>
  </r>
  <r>
    <x v="23"/>
    <n v="202605"/>
    <x v="0"/>
    <x v="3"/>
    <s v="Sebastián S"/>
    <s v="Rodolfo O"/>
    <n v="100366"/>
    <n v="8978069"/>
    <n v="89.453225806452338"/>
    <n v="100813.75406759506"/>
    <n v="94.5"/>
    <n v="97"/>
    <n v="83.184435661200979"/>
    <n v="8386135"/>
  </r>
  <r>
    <x v="40"/>
    <n v="202503"/>
    <x v="1"/>
    <x v="0"/>
    <s v="Sebastián S"/>
    <s v="Johanna V"/>
    <n v="100366"/>
    <n v="10106526"/>
    <n v="100.69716397849457"/>
    <n v="96202.24476549626"/>
    <n v="106"/>
    <n v="102.5"/>
    <n v="105.05499164427805"/>
    <n v="10428529"/>
  </r>
  <r>
    <x v="22"/>
    <n v="202511"/>
    <x v="1"/>
    <x v="7"/>
    <s v="Sebastián S"/>
    <s v="Johanna V"/>
    <n v="100308"/>
    <n v="9172131"/>
    <n v="91.439444444444476"/>
    <n v="104260.62487978055"/>
    <n v="104.5"/>
    <n v="99"/>
    <n v="87.973106247694972"/>
    <n v="8958209"/>
  </r>
  <r>
    <x v="37"/>
    <n v="202508"/>
    <x v="1"/>
    <x v="5"/>
    <s v="Sofía V"/>
    <s v="Melany A"/>
    <n v="100259"/>
    <n v="6027621"/>
    <n v="60.120732526881746"/>
    <n v="109413.93095023186"/>
    <n v="72.5"/>
    <n v="68.5"/>
    <n v="55.090066115454078"/>
    <n v="6477228"/>
  </r>
  <r>
    <x v="4"/>
    <n v="202501"/>
    <x v="1"/>
    <x v="10"/>
    <s v="Sofía V"/>
    <s v="José A"/>
    <n v="100241"/>
    <n v="9351475"/>
    <n v="93.290053763440795"/>
    <n v="102241.38502867678"/>
    <n v="107.5"/>
    <n v="102.5"/>
    <n v="91.464674088453378"/>
    <n v="9577571"/>
  </r>
  <r>
    <x v="25"/>
    <n v="202511"/>
    <x v="1"/>
    <x v="7"/>
    <s v="Sebastián S"/>
    <s v="Vik E"/>
    <n v="100215"/>
    <n v="6977822"/>
    <n v="69.628513888888918"/>
    <n v="95560.715902760581"/>
    <n v="77"/>
    <n v="79"/>
    <n v="73.01977432965657"/>
    <n v="6203329"/>
  </r>
  <r>
    <x v="62"/>
    <n v="202512"/>
    <x v="1"/>
    <x v="1"/>
    <s v="Sebastián S"/>
    <s v="Vik E"/>
    <n v="100176"/>
    <n v="6662375"/>
    <n v="66.506868279569829"/>
    <n v="103462.72008382442"/>
    <n v="65"/>
    <n v="67.5"/>
    <n v="64.393965426408798"/>
    <n v="6684388"/>
  </r>
  <r>
    <x v="10"/>
    <n v="202407"/>
    <x v="2"/>
    <x v="6"/>
    <s v="Sofía V"/>
    <s v="Melany A"/>
    <n v="100142"/>
    <n v="10617912"/>
    <n v="106.02826612903223"/>
    <n v="0"/>
    <n v="125"/>
    <n v="118.5"/>
    <m/>
    <n v="0"/>
  </r>
  <r>
    <x v="31"/>
    <n v="202404"/>
    <x v="2"/>
    <x v="9"/>
    <s v="Sofía V"/>
    <s v="Melany A"/>
    <n v="100070"/>
    <n v="11537532"/>
    <n v="115.29495833333344"/>
    <n v="0"/>
    <n v="99"/>
    <n v="32.5"/>
    <m/>
    <n v="0"/>
  </r>
  <r>
    <x v="49"/>
    <n v="202603"/>
    <x v="0"/>
    <x v="0"/>
    <s v="Sebastián S"/>
    <s v="Vik E"/>
    <n v="100068"/>
    <n v="6265943"/>
    <n v="62.616740591397836"/>
    <n v="104860.49734075293"/>
    <n v="66"/>
    <n v="64.5"/>
    <n v="56.772923994003754"/>
    <n v="5953237"/>
  </r>
  <r>
    <x v="35"/>
    <n v="202601"/>
    <x v="0"/>
    <x v="10"/>
    <s v="Hernán P"/>
    <s v="Daniel R"/>
    <n v="100029"/>
    <n v="11806878"/>
    <n v="118.03467741935479"/>
    <n v="107200.77565788459"/>
    <n v="140.5"/>
    <n v="125.5"/>
    <n v="117.18897502469719"/>
    <n v="12562749"/>
  </r>
  <r>
    <x v="35"/>
    <n v="202403"/>
    <x v="2"/>
    <x v="0"/>
    <s v="Hernán P"/>
    <s v="Daniel R"/>
    <n v="100012"/>
    <n v="12353707"/>
    <n v="123.52205645161291"/>
    <n v="0"/>
    <n v="140.5"/>
    <n v="125.5"/>
    <m/>
    <n v="0"/>
  </r>
  <r>
    <x v="33"/>
    <n v="202505"/>
    <x v="1"/>
    <x v="3"/>
    <s v="Sofía V"/>
    <s v="José A"/>
    <n v="99913"/>
    <n v="8513628"/>
    <n v="85.210369623655865"/>
    <n v="95366.595770689863"/>
    <n v="93.5"/>
    <n v="94"/>
    <n v="89.272646792081417"/>
    <n v="8406913"/>
  </r>
  <r>
    <x v="36"/>
    <n v="202406"/>
    <x v="2"/>
    <x v="11"/>
    <s v="Sebastián S"/>
    <s v="Rodolfo O"/>
    <n v="99912"/>
    <n v="7042766"/>
    <n v="70.489659722222271"/>
    <n v="0"/>
    <n v="81"/>
    <n v="77"/>
    <m/>
    <n v="0"/>
  </r>
  <r>
    <x v="65"/>
    <n v="202604"/>
    <x v="0"/>
    <x v="9"/>
    <s v="Sebastián S"/>
    <s v="Johanna V"/>
    <n v="99908"/>
    <n v="7974107"/>
    <n v="79.814388888890221"/>
    <n v="95534.179825436062"/>
    <n v="103"/>
    <n v="91"/>
    <n v="85.91077884372821"/>
    <n v="8207416"/>
  </r>
  <r>
    <x v="48"/>
    <n v="202511"/>
    <x v="1"/>
    <x v="7"/>
    <s v="Hernán P"/>
    <s v="Daniel R"/>
    <n v="99907"/>
    <n v="6231915"/>
    <n v="62.377048611111142"/>
    <n v="95734.189536197271"/>
    <n v="79.5"/>
    <n v="72.5"/>
    <n v="65.096027972782935"/>
    <n v="5871502"/>
  </r>
  <r>
    <x v="35"/>
    <n v="202410"/>
    <x v="2"/>
    <x v="8"/>
    <s v="Hernán P"/>
    <s v="Daniel R"/>
    <n v="99905"/>
    <n v="11236486"/>
    <n v="112.47132392473112"/>
    <n v="0"/>
    <n v="140.5"/>
    <n v="125.5"/>
    <m/>
    <n v="0"/>
  </r>
  <r>
    <x v="33"/>
    <n v="202407"/>
    <x v="2"/>
    <x v="6"/>
    <s v="Sofía V"/>
    <s v="José A"/>
    <n v="99895"/>
    <n v="8879250"/>
    <n v="88.885604838709611"/>
    <n v="0"/>
    <n v="93.5"/>
    <n v="94"/>
    <m/>
    <n v="0"/>
  </r>
  <r>
    <x v="7"/>
    <n v="202501"/>
    <x v="1"/>
    <x v="10"/>
    <s v="Sebastián S"/>
    <s v="Rodolfo O"/>
    <n v="99825"/>
    <n v="5440157"/>
    <n v="54.497022849462383"/>
    <n v="66842.964879303152"/>
    <n v="65.5"/>
    <n v="63"/>
    <n v="81.387132510102887"/>
    <n v="4627072"/>
  </r>
  <r>
    <x v="43"/>
    <n v="202511"/>
    <x v="1"/>
    <x v="7"/>
    <s v="Sofía V"/>
    <s v="José A"/>
    <n v="99759"/>
    <n v="2773323"/>
    <n v="27.800354166666661"/>
    <n v="91591.652372414945"/>
    <n v="32.5"/>
    <n v="32"/>
    <n v="30.27920610847341"/>
    <n v="2181863"/>
  </r>
  <r>
    <x v="37"/>
    <n v="202601"/>
    <x v="0"/>
    <x v="10"/>
    <s v="Sofía V"/>
    <s v="Melany A"/>
    <n v="99750"/>
    <n v="6231313"/>
    <n v="62.469307795698924"/>
    <n v="107615.98490288221"/>
    <n v="72.5"/>
    <n v="68.5"/>
    <n v="63.042188618377821"/>
    <n v="6784347"/>
  </r>
  <r>
    <x v="4"/>
    <n v="202408"/>
    <x v="2"/>
    <x v="5"/>
    <s v="Sofía V"/>
    <s v="José A"/>
    <n v="99688"/>
    <n v="10408328"/>
    <n v="104.40862231182798"/>
    <n v="0"/>
    <n v="107.5"/>
    <n v="102.5"/>
    <m/>
    <n v="0"/>
  </r>
  <r>
    <x v="8"/>
    <n v="202506"/>
    <x v="1"/>
    <x v="11"/>
    <s v="Sebastián S"/>
    <s v="Vik E"/>
    <n v="99642"/>
    <n v="7766880"/>
    <n v="77.948111111111075"/>
    <n v="107254.7694211014"/>
    <n v="88"/>
    <n v="84"/>
    <n v="72.415241037028764"/>
    <n v="8085050"/>
  </r>
  <r>
    <x v="53"/>
    <n v="202603"/>
    <x v="0"/>
    <x v="0"/>
    <s v="Sebastián S"/>
    <s v="Johanna V"/>
    <n v="99615"/>
    <n v="5607846"/>
    <n v="56.295147849462353"/>
    <n v="94428.803697004492"/>
    <n v="68"/>
    <n v="60.5"/>
    <n v="56.717795741490448"/>
    <n v="5355794"/>
  </r>
  <r>
    <x v="19"/>
    <n v="202511"/>
    <x v="1"/>
    <x v="7"/>
    <s v="Sofía V"/>
    <s v="Joe H"/>
    <n v="99597"/>
    <n v="4734514"/>
    <n v="47.53680555555556"/>
    <n v="91102.317449322989"/>
    <n v="57.5"/>
    <n v="56.5"/>
    <n v="51.969192799443789"/>
    <n v="3999718"/>
  </r>
  <r>
    <x v="48"/>
    <n v="202504"/>
    <x v="1"/>
    <x v="9"/>
    <s v="Hernán P"/>
    <s v="Daniel R"/>
    <n v="99593"/>
    <n v="6066983"/>
    <n v="60.917694444444457"/>
    <n v="97419.84421189384"/>
    <n v="79.5"/>
    <n v="72.5"/>
    <n v="62.27666117802405"/>
    <n v="6065240"/>
  </r>
  <r>
    <x v="6"/>
    <n v="202410"/>
    <x v="2"/>
    <x v="8"/>
    <s v="Sebastián S"/>
    <s v="Vik E"/>
    <n v="99585"/>
    <n v="8718465"/>
    <n v="87.547607526881691"/>
    <n v="0"/>
    <n v="100"/>
    <n v="98"/>
    <m/>
    <n v="0"/>
  </r>
  <r>
    <x v="34"/>
    <n v="202605"/>
    <x v="0"/>
    <x v="3"/>
    <s v="Hernán P"/>
    <s v="Daniel R"/>
    <n v="99585"/>
    <n v="1253650"/>
    <n v="12.588756720430125"/>
    <n v="78881.522060076633"/>
    <n v="15"/>
    <n v="15"/>
    <n v="13.971887755419019"/>
    <n v="1102124"/>
  </r>
  <r>
    <x v="5"/>
    <n v="202510"/>
    <x v="1"/>
    <x v="8"/>
    <s v="Sebastián S"/>
    <s v="Rodolfo O"/>
    <n v="99560"/>
    <n v="5757671"/>
    <n v="57.831384408602162"/>
    <n v="98283.962602842177"/>
    <n v="68.5"/>
    <n v="66"/>
    <n v="58.58200074071393"/>
    <n v="5825251"/>
  </r>
  <r>
    <x v="35"/>
    <n v="202408"/>
    <x v="2"/>
    <x v="5"/>
    <s v="Hernán P"/>
    <s v="Daniel R"/>
    <n v="99555"/>
    <n v="11546638"/>
    <n v="115.9821438172042"/>
    <n v="0"/>
    <n v="140.5"/>
    <n v="125.5"/>
    <m/>
    <n v="0"/>
  </r>
  <r>
    <x v="31"/>
    <n v="202501"/>
    <x v="1"/>
    <x v="10"/>
    <s v="Sofía V"/>
    <s v="Melany A"/>
    <n v="99535"/>
    <n v="10998136"/>
    <n v="110.49481182795691"/>
    <n v="103273.68121792859"/>
    <n v="99"/>
    <n v="32.5"/>
    <n v="106.49505401857118"/>
    <n v="10821355"/>
  </r>
  <r>
    <x v="4"/>
    <n v="202602"/>
    <x v="0"/>
    <x v="2"/>
    <s v="Sofía V"/>
    <s v="José A"/>
    <n v="99490"/>
    <n v="9431544"/>
    <n v="94.798906249999959"/>
    <n v="94681.163770949817"/>
    <n v="107.5"/>
    <n v="102.5"/>
    <n v="96.70800932222366"/>
    <n v="9156427"/>
  </r>
  <r>
    <x v="4"/>
    <n v="202505"/>
    <x v="1"/>
    <x v="3"/>
    <s v="Sofía V"/>
    <s v="José A"/>
    <n v="99481"/>
    <n v="9905507"/>
    <n v="99.571801075268766"/>
    <n v="96818.416451395198"/>
    <n v="107.5"/>
    <n v="102.5"/>
    <n v="102.3101505174149"/>
    <n v="9948725"/>
  </r>
  <r>
    <x v="53"/>
    <n v="202602"/>
    <x v="0"/>
    <x v="2"/>
    <s v="Sebastián S"/>
    <s v="Johanna V"/>
    <n v="99477"/>
    <n v="5248583"/>
    <n v="52.761874999999996"/>
    <n v="83591.3782599939"/>
    <n v="68"/>
    <n v="60.5"/>
    <n v="56.717795741490448"/>
    <n v="4741119"/>
  </r>
  <r>
    <x v="62"/>
    <n v="202605"/>
    <x v="0"/>
    <x v="3"/>
    <s v="Sebastián S"/>
    <s v="Vik E"/>
    <n v="99456"/>
    <n v="5517917"/>
    <n v="55.480927419354778"/>
    <n v="91256.129549487247"/>
    <n v="65"/>
    <n v="67.5"/>
    <n v="56.772923994003762"/>
    <n v="5180877"/>
  </r>
  <r>
    <x v="45"/>
    <n v="202606"/>
    <x v="0"/>
    <x v="11"/>
    <s v="Sofía V"/>
    <s v="Joe H"/>
    <n v="99417"/>
    <n v="6079662"/>
    <n v="61.152875000000364"/>
    <n v="90533.9378495977"/>
    <n v="68"/>
    <n v="68.5"/>
    <n v="60.397061823201135"/>
    <n v="5467984"/>
  </r>
  <r>
    <x v="19"/>
    <n v="202605"/>
    <x v="0"/>
    <x v="3"/>
    <s v="Sofía V"/>
    <s v="Joe H"/>
    <n v="99397"/>
    <n v="5144020"/>
    <n v="51.75243951612952"/>
    <n v="100730.80856948419"/>
    <n v="57.5"/>
    <n v="56.5"/>
    <n v="50.698263574219922"/>
    <n v="5106877"/>
  </r>
  <r>
    <x v="51"/>
    <n v="202603"/>
    <x v="0"/>
    <x v="0"/>
    <s v="Sofía V"/>
    <s v="Melany A"/>
    <n v="99383"/>
    <n v="3987061"/>
    <n v="40.117950268817189"/>
    <n v="101618.09054015479"/>
    <n v="43.5"/>
    <n v="41"/>
    <n v="38.914029696684921"/>
    <n v="3954369"/>
  </r>
  <r>
    <x v="13"/>
    <n v="202601"/>
    <x v="0"/>
    <x v="10"/>
    <s v="Sebastián S"/>
    <s v="Rodolfo O"/>
    <n v="99382"/>
    <n v="6354838"/>
    <n v="63.943494623655944"/>
    <n v="94761.923130934927"/>
    <n v="78"/>
    <n v="74.5"/>
    <n v="66.954795775232199"/>
    <n v="6344765"/>
  </r>
  <r>
    <x v="26"/>
    <n v="202504"/>
    <x v="1"/>
    <x v="9"/>
    <s v="Sofía V"/>
    <s v="Melany A"/>
    <n v="99361"/>
    <n v="4566694"/>
    <n v="45.960444444444455"/>
    <n v="86924.690281450603"/>
    <n v="55"/>
    <n v="50.5"/>
    <n v="52.536213649006406"/>
    <n v="4578461"/>
  </r>
  <r>
    <x v="55"/>
    <n v="202403"/>
    <x v="2"/>
    <x v="0"/>
    <s v="Sebastián S"/>
    <s v="Vik E"/>
    <n v="99338"/>
    <n v="6604014"/>
    <n v="66.480288978494627"/>
    <n v="0"/>
    <n v="69.5"/>
    <n v="59"/>
    <m/>
    <n v="0"/>
  </r>
  <r>
    <x v="22"/>
    <n v="202411"/>
    <x v="2"/>
    <x v="7"/>
    <s v="Sebastián S"/>
    <s v="Johanna V"/>
    <n v="99296"/>
    <n v="8767889"/>
    <n v="88.300673611111193"/>
    <n v="0"/>
    <n v="104.5"/>
    <n v="99"/>
    <m/>
    <n v="0"/>
  </r>
  <r>
    <x v="18"/>
    <n v="202603"/>
    <x v="0"/>
    <x v="0"/>
    <s v="Sofía V"/>
    <s v="Joe H"/>
    <n v="99290"/>
    <n v="4846245"/>
    <n v="48.809005376344082"/>
    <n v="102989.02564430168"/>
    <n v="50.5"/>
    <n v="51.5"/>
    <n v="44.728769766304502"/>
    <n v="4606572"/>
  </r>
  <r>
    <x v="40"/>
    <n v="202511"/>
    <x v="1"/>
    <x v="7"/>
    <s v="Sebastián S"/>
    <s v="Johanna V"/>
    <n v="99234"/>
    <n v="8941114"/>
    <n v="90.101326388888936"/>
    <n v="90872.638750425758"/>
    <n v="106"/>
    <n v="102.5"/>
    <n v="98.391702199338965"/>
    <n v="9797451"/>
  </r>
  <r>
    <x v="33"/>
    <n v="202410"/>
    <x v="2"/>
    <x v="8"/>
    <s v="Sofía V"/>
    <s v="José A"/>
    <n v="99228"/>
    <n v="8185039"/>
    <n v="82.487002688171955"/>
    <n v="0"/>
    <n v="93.5"/>
    <n v="94"/>
    <m/>
    <n v="0"/>
  </r>
  <r>
    <x v="35"/>
    <n v="202501"/>
    <x v="1"/>
    <x v="10"/>
    <s v="Hernán P"/>
    <s v="Daniel R"/>
    <n v="99216"/>
    <n v="11721154"/>
    <n v="118.13788978494617"/>
    <n v="110698.81074940688"/>
    <n v="140.5"/>
    <n v="125.5"/>
    <n v="105.88329107287001"/>
    <n v="11611126"/>
  </r>
  <r>
    <x v="48"/>
    <n v="202403"/>
    <x v="2"/>
    <x v="0"/>
    <s v="Hernán P"/>
    <s v="Daniel R"/>
    <n v="99209"/>
    <n v="6794744"/>
    <n v="68.48940188172044"/>
    <n v="0"/>
    <n v="79.5"/>
    <n v="72.5"/>
    <m/>
    <n v="0"/>
  </r>
  <r>
    <x v="23"/>
    <n v="202606"/>
    <x v="0"/>
    <x v="11"/>
    <s v="Sebastián S"/>
    <s v="Rodolfo O"/>
    <n v="99177"/>
    <n v="8028846"/>
    <n v="80.954416666668834"/>
    <n v="93323.125799852554"/>
    <n v="94.5"/>
    <n v="97"/>
    <n v="83.184435661200979"/>
    <n v="7763032"/>
  </r>
  <r>
    <x v="35"/>
    <n v="202411"/>
    <x v="2"/>
    <x v="7"/>
    <s v="Hernán P"/>
    <s v="Daniel R"/>
    <n v="99158"/>
    <n v="11512476"/>
    <n v="116.10175694444446"/>
    <n v="0"/>
    <n v="140.5"/>
    <n v="125.5"/>
    <m/>
    <n v="0"/>
  </r>
  <r>
    <x v="38"/>
    <n v="202604"/>
    <x v="0"/>
    <x v="9"/>
    <s v="Sofía V"/>
    <s v="Melany A"/>
    <n v="99157"/>
    <n v="5347175"/>
    <n v="53.926201388889773"/>
    <n v="108064.0357056706"/>
    <n v="56"/>
    <n v="60"/>
    <n v="48.493991244906013"/>
    <n v="5240456"/>
  </r>
  <r>
    <x v="3"/>
    <n v="202405"/>
    <x v="2"/>
    <x v="3"/>
    <s v="Sebastián S"/>
    <s v="Rodolfo O"/>
    <n v="99151"/>
    <n v="9629115"/>
    <n v="97.115638440860195"/>
    <n v="0"/>
    <n v="98.5"/>
    <n v="96.5"/>
    <m/>
    <n v="0"/>
  </r>
  <r>
    <x v="2"/>
    <n v="202504"/>
    <x v="1"/>
    <x v="9"/>
    <s v="Sofía V"/>
    <s v="José A"/>
    <n v="99138"/>
    <n v="7281149"/>
    <n v="73.444583333333313"/>
    <n v="102861.36322079279"/>
    <n v="76.5"/>
    <n v="80"/>
    <n v="70.786043389012391"/>
    <n v="7991012"/>
  </r>
  <r>
    <x v="13"/>
    <n v="202401"/>
    <x v="2"/>
    <x v="10"/>
    <s v="Sebastián S"/>
    <s v="Rodolfo O"/>
    <n v="99130"/>
    <n v="6455615"/>
    <n v="65.122674731182812"/>
    <n v="0"/>
    <n v="78"/>
    <n v="74.5"/>
    <m/>
    <n v="0"/>
  </r>
  <r>
    <x v="59"/>
    <n v="202604"/>
    <x v="0"/>
    <x v="9"/>
    <s v="Sebastián S"/>
    <s v="Johanna V"/>
    <n v="99114"/>
    <n v="9181730"/>
    <n v="92.638194444445958"/>
    <n v="86134.378178466097"/>
    <n v="118"/>
    <n v="106"/>
    <n v="102.17544085783207"/>
    <n v="8800818"/>
  </r>
  <r>
    <x v="7"/>
    <n v="202510"/>
    <x v="1"/>
    <x v="8"/>
    <s v="Sebastián S"/>
    <s v="Rodolfo O"/>
    <n v="98988"/>
    <n v="5661587"/>
    <n v="57.194563172043033"/>
    <n v="90349.729839861509"/>
    <n v="65.5"/>
    <n v="63"/>
    <n v="62.663019579967333"/>
    <n v="4815513"/>
  </r>
  <r>
    <x v="44"/>
    <n v="202508"/>
    <x v="1"/>
    <x v="5"/>
    <s v="Sebastián S"/>
    <s v="Johanna V"/>
    <n v="98979"/>
    <n v="9380296"/>
    <n v="94.770591397849515"/>
    <n v="103803.55961170001"/>
    <n v="117.5"/>
    <n v="99"/>
    <n v="90.365841548103518"/>
    <n v="10012298"/>
  </r>
  <r>
    <x v="44"/>
    <n v="202404"/>
    <x v="2"/>
    <x v="9"/>
    <s v="Sebastián S"/>
    <s v="Johanna V"/>
    <n v="98883"/>
    <n v="9104167"/>
    <n v="92.070465277777814"/>
    <n v="0"/>
    <n v="117.5"/>
    <n v="99"/>
    <m/>
    <n v="0"/>
  </r>
  <r>
    <x v="44"/>
    <n v="202408"/>
    <x v="2"/>
    <x v="5"/>
    <s v="Sebastián S"/>
    <s v="Johanna V"/>
    <n v="98861"/>
    <n v="9481051"/>
    <n v="95.903293010752662"/>
    <n v="0"/>
    <n v="117.5"/>
    <n v="99"/>
    <m/>
    <n v="0"/>
  </r>
  <r>
    <x v="33"/>
    <n v="202510"/>
    <x v="1"/>
    <x v="8"/>
    <s v="Sofía V"/>
    <s v="José A"/>
    <n v="98847"/>
    <n v="8512701"/>
    <n v="86.119805107526858"/>
    <n v="104189.63698425618"/>
    <n v="93.5"/>
    <n v="94"/>
    <n v="81.703909298449076"/>
    <n v="8710485"/>
  </r>
  <r>
    <x v="47"/>
    <n v="202606"/>
    <x v="0"/>
    <x v="11"/>
    <s v="Sebastián S"/>
    <s v="Vik E"/>
    <n v="98828"/>
    <n v="4167586"/>
    <n v="42.169993055555572"/>
    <n v="82375.966201769668"/>
    <n v="61.5"/>
    <n v="48.5"/>
    <n v="53.715920394326645"/>
    <n v="4424901"/>
  </r>
  <r>
    <x v="65"/>
    <n v="202408"/>
    <x v="2"/>
    <x v="5"/>
    <s v="Sebastián S"/>
    <s v="Johanna V"/>
    <n v="98816"/>
    <n v="8036345"/>
    <n v="81.32616935483864"/>
    <n v="0"/>
    <n v="103"/>
    <n v="91"/>
    <m/>
    <n v="0"/>
  </r>
  <r>
    <x v="52"/>
    <n v="202605"/>
    <x v="0"/>
    <x v="3"/>
    <s v="Sebastián S"/>
    <s v="Vik E"/>
    <n v="98815"/>
    <n v="6949009"/>
    <n v="70.323420698924352"/>
    <n v="95755.727606050496"/>
    <n v="80"/>
    <n v="78"/>
    <n v="69.114627897013889"/>
    <n v="6618121"/>
  </r>
  <r>
    <x v="36"/>
    <n v="202604"/>
    <x v="0"/>
    <x v="9"/>
    <s v="Sebastián S"/>
    <s v="Rodolfo O"/>
    <n v="98740"/>
    <n v="6994807"/>
    <n v="70.840388888890871"/>
    <n v="86130.139712370001"/>
    <n v="81"/>
    <n v="77"/>
    <n v="69.978560745726568"/>
    <n v="6027263"/>
  </r>
  <r>
    <x v="6"/>
    <n v="202411"/>
    <x v="2"/>
    <x v="7"/>
    <s v="Sebastián S"/>
    <s v="Vik E"/>
    <n v="98692"/>
    <n v="9052888"/>
    <n v="91.72858333333329"/>
    <n v="0"/>
    <n v="100"/>
    <n v="98"/>
    <m/>
    <n v="0"/>
  </r>
  <r>
    <x v="8"/>
    <n v="202504"/>
    <x v="1"/>
    <x v="9"/>
    <s v="Sebastián S"/>
    <s v="Vik E"/>
    <n v="98611"/>
    <n v="8068931"/>
    <n v="81.826159722222229"/>
    <n v="97515.201894115336"/>
    <n v="88"/>
    <n v="84"/>
    <n v="82.745360654244095"/>
    <n v="8363531"/>
  </r>
  <r>
    <x v="59"/>
    <n v="202605"/>
    <x v="0"/>
    <x v="3"/>
    <s v="Sebastián S"/>
    <s v="Johanna V"/>
    <n v="98608"/>
    <n v="9552297"/>
    <n v="96.871626344086479"/>
    <n v="88605.444465826702"/>
    <n v="118"/>
    <n v="106"/>
    <n v="102.17544085783207"/>
    <n v="9053300"/>
  </r>
  <r>
    <x v="13"/>
    <n v="202407"/>
    <x v="2"/>
    <x v="6"/>
    <s v="Sebastián S"/>
    <s v="Rodolfo O"/>
    <n v="98546"/>
    <n v="6529467"/>
    <n v="66.257775537634402"/>
    <n v="0"/>
    <n v="78"/>
    <n v="74.5"/>
    <m/>
    <n v="0"/>
  </r>
  <r>
    <x v="62"/>
    <n v="202412"/>
    <x v="2"/>
    <x v="1"/>
    <s v="Sebastián S"/>
    <s v="Vik E"/>
    <n v="98536"/>
    <n v="6591669"/>
    <n v="66.896102150537644"/>
    <n v="0"/>
    <n v="65"/>
    <n v="67.5"/>
    <m/>
    <n v="0"/>
  </r>
  <r>
    <x v="39"/>
    <n v="202605"/>
    <x v="0"/>
    <x v="3"/>
    <s v="Sofía V"/>
    <s v="Melany A"/>
    <n v="98500"/>
    <n v="5256475"/>
    <n v="53.365450268817781"/>
    <n v="94001.815560954172"/>
    <n v="60.5"/>
    <n v="60.5"/>
    <n v="53.343390369396616"/>
    <n v="5014376"/>
  </r>
  <r>
    <x v="13"/>
    <n v="202503"/>
    <x v="1"/>
    <x v="0"/>
    <s v="Sebastián S"/>
    <s v="Rodolfo O"/>
    <n v="98496"/>
    <n v="7092530"/>
    <n v="72.008172043010731"/>
    <n v="107499.6245617488"/>
    <n v="78"/>
    <n v="74.5"/>
    <n v="65.977257398940822"/>
    <n v="7353992"/>
  </r>
  <r>
    <x v="52"/>
    <n v="202603"/>
    <x v="0"/>
    <x v="0"/>
    <s v="Sebastián S"/>
    <s v="Vik E"/>
    <n v="98481"/>
    <n v="7064048"/>
    <n v="71.729818548387087"/>
    <n v="107476.08157955424"/>
    <n v="80"/>
    <n v="78"/>
    <n v="69.114627897013889"/>
    <n v="7428169"/>
  </r>
  <r>
    <x v="24"/>
    <n v="202504"/>
    <x v="1"/>
    <x v="9"/>
    <s v="Sofía V"/>
    <s v="Joe H"/>
    <n v="98471"/>
    <n v="5857270"/>
    <n v="59.482208333333368"/>
    <n v="98023.632681075993"/>
    <n v="71"/>
    <n v="74.5"/>
    <n v="59.753653785275183"/>
    <n v="6120842"/>
  </r>
  <r>
    <x v="9"/>
    <n v="202605"/>
    <x v="0"/>
    <x v="3"/>
    <s v="Sofía V"/>
    <s v="Joe H"/>
    <n v="98423"/>
    <n v="5861971"/>
    <n v="59.558944892473214"/>
    <n v="80627.785295687907"/>
    <n v="70.5"/>
    <n v="69.5"/>
    <n v="63.576561684054447"/>
    <n v="5126037"/>
  </r>
  <r>
    <x v="31"/>
    <n v="202401"/>
    <x v="2"/>
    <x v="10"/>
    <s v="Sofía V"/>
    <s v="Melany A"/>
    <n v="98356"/>
    <n v="10442491"/>
    <n v="106.17047715053768"/>
    <n v="0"/>
    <n v="99"/>
    <n v="32.5"/>
    <m/>
    <n v="0"/>
  </r>
  <r>
    <x v="7"/>
    <n v="202508"/>
    <x v="1"/>
    <x v="5"/>
    <s v="Sebastián S"/>
    <s v="Rodolfo O"/>
    <n v="98346"/>
    <n v="5824160"/>
    <n v="59.221223118279575"/>
    <n v="91200.877709725522"/>
    <n v="65.5"/>
    <n v="63"/>
    <n v="63.860791324148849"/>
    <n v="5529618"/>
  </r>
  <r>
    <x v="6"/>
    <n v="202404"/>
    <x v="2"/>
    <x v="9"/>
    <s v="Sebastián S"/>
    <s v="Vik E"/>
    <n v="98215"/>
    <n v="8971889"/>
    <n v="91.349368055555573"/>
    <n v="0"/>
    <n v="100"/>
    <n v="98"/>
    <m/>
    <n v="0"/>
  </r>
  <r>
    <x v="52"/>
    <n v="202511"/>
    <x v="1"/>
    <x v="7"/>
    <s v="Sebastián S"/>
    <s v="Vik E"/>
    <n v="98185"/>
    <n v="6336895"/>
    <n v="64.540340277777801"/>
    <n v="92052.531000109928"/>
    <n v="80"/>
    <n v="78"/>
    <n v="68.839989961736421"/>
    <n v="6578987"/>
  </r>
  <r>
    <x v="3"/>
    <n v="202409"/>
    <x v="2"/>
    <x v="4"/>
    <s v="Sebastián S"/>
    <s v="Rodolfo O"/>
    <n v="98141"/>
    <n v="9127224"/>
    <n v="93.000881944444458"/>
    <n v="0"/>
    <n v="98.5"/>
    <n v="96.5"/>
    <m/>
    <n v="0"/>
  </r>
  <r>
    <x v="23"/>
    <n v="202403"/>
    <x v="2"/>
    <x v="0"/>
    <s v="Sebastián S"/>
    <s v="Rodolfo O"/>
    <n v="98126"/>
    <n v="9196247"/>
    <n v="93.718521505376316"/>
    <n v="0"/>
    <n v="94.5"/>
    <n v="97"/>
    <m/>
    <n v="0"/>
  </r>
  <r>
    <x v="18"/>
    <n v="202503"/>
    <x v="1"/>
    <x v="0"/>
    <s v="Sofía V"/>
    <s v="Joe H"/>
    <n v="98104"/>
    <n v="4819017"/>
    <n v="49.121512096774183"/>
    <n v="91944.026169990117"/>
    <n v="50.5"/>
    <n v="51.5"/>
    <n v="52.412509335738577"/>
    <n v="4560838"/>
  </r>
  <r>
    <x v="21"/>
    <n v="202508"/>
    <x v="1"/>
    <x v="5"/>
    <s v="Sebastián S"/>
    <s v="Rodolfo O"/>
    <n v="98097"/>
    <n v="6674512"/>
    <n v="68.039717741935505"/>
    <n v="94684.411186543963"/>
    <n v="84.5"/>
    <n v="86.5"/>
    <n v="70.492197357071831"/>
    <n v="7194502"/>
  </r>
  <r>
    <x v="13"/>
    <n v="202605"/>
    <x v="0"/>
    <x v="3"/>
    <s v="Sebastián S"/>
    <s v="Rodolfo O"/>
    <n v="98067"/>
    <n v="6203228"/>
    <n v="63.255161290322796"/>
    <n v="92209.991287641868"/>
    <n v="78"/>
    <n v="74.5"/>
    <n v="66.954795775232199"/>
    <n v="6173901"/>
  </r>
  <r>
    <x v="65"/>
    <n v="202511"/>
    <x v="1"/>
    <x v="7"/>
    <s v="Sebastián S"/>
    <s v="Johanna V"/>
    <n v="98027"/>
    <n v="8054313"/>
    <n v="82.163909722222272"/>
    <n v="91115.942952302692"/>
    <n v="103"/>
    <n v="91"/>
    <n v="88.396303314517255"/>
    <n v="8683067"/>
  </r>
  <r>
    <x v="37"/>
    <n v="202604"/>
    <x v="0"/>
    <x v="9"/>
    <s v="Sofía V"/>
    <s v="Melany A"/>
    <n v="98019"/>
    <n v="6117805"/>
    <n v="62.41438194444617"/>
    <n v="117010.55428062343"/>
    <n v="72.5"/>
    <n v="68.5"/>
    <n v="63.042188618377821"/>
    <n v="7376601"/>
  </r>
  <r>
    <x v="53"/>
    <n v="202604"/>
    <x v="0"/>
    <x v="9"/>
    <s v="Sebastián S"/>
    <s v="Johanna V"/>
    <n v="97996"/>
    <n v="5092167"/>
    <n v="51.962895833332993"/>
    <n v="88169.728562666933"/>
    <n v="68"/>
    <n v="60.5"/>
    <n v="56.717795741490448"/>
    <n v="5000793"/>
  </r>
  <r>
    <x v="0"/>
    <n v="202604"/>
    <x v="0"/>
    <x v="9"/>
    <s v="Fátima L"/>
    <s v="Fátima L"/>
    <n v="97980"/>
    <n v="1141410"/>
    <n v="11.649458333333332"/>
    <n v="117521.43141039924"/>
    <n v="13.5"/>
    <n v="12.5"/>
    <n v="11.712938172043014"/>
    <n v="1376521"/>
  </r>
  <r>
    <x v="59"/>
    <n v="202503"/>
    <x v="1"/>
    <x v="0"/>
    <s v="Sebastián S"/>
    <s v="Johanna V"/>
    <n v="97972"/>
    <n v="10358837"/>
    <n v="105.73222446236558"/>
    <n v="95673.359631614818"/>
    <n v="118"/>
    <n v="106"/>
    <n v="108.2729520515027"/>
    <n v="10723147"/>
  </r>
  <r>
    <x v="2"/>
    <n v="202404"/>
    <x v="2"/>
    <x v="9"/>
    <s v="Sofía V"/>
    <s v="José A"/>
    <n v="97963"/>
    <n v="7000516"/>
    <n v="71.460666666666683"/>
    <n v="0"/>
    <n v="76.5"/>
    <n v="80"/>
    <m/>
    <n v="0"/>
  </r>
  <r>
    <x v="65"/>
    <n v="202508"/>
    <x v="1"/>
    <x v="5"/>
    <s v="Sebastián S"/>
    <s v="Johanna V"/>
    <n v="97961"/>
    <n v="7813015"/>
    <n v="79.756720430107535"/>
    <n v="103757.03225591504"/>
    <n v="103"/>
    <n v="91"/>
    <n v="75.301068179449487"/>
    <n v="8387807"/>
  </r>
  <r>
    <x v="48"/>
    <n v="202505"/>
    <x v="1"/>
    <x v="3"/>
    <s v="Hernán P"/>
    <s v="Daniel R"/>
    <n v="97919"/>
    <n v="6136818"/>
    <n v="62.672345430107519"/>
    <n v="95051.658065703203"/>
    <n v="79.5"/>
    <n v="72.5"/>
    <n v="64.562973386092921"/>
    <n v="6270064"/>
  </r>
  <r>
    <x v="22"/>
    <n v="202606"/>
    <x v="0"/>
    <x v="11"/>
    <s v="Sebastián S"/>
    <s v="Johanna V"/>
    <n v="97911"/>
    <n v="8653464"/>
    <n v="88.380590277780044"/>
    <n v="94721.103128868315"/>
    <n v="104.5"/>
    <n v="99"/>
    <n v="90.280982690474389"/>
    <n v="8551514"/>
  </r>
  <r>
    <x v="33"/>
    <n v="202601"/>
    <x v="0"/>
    <x v="10"/>
    <s v="Sofía V"/>
    <s v="José A"/>
    <n v="97845"/>
    <n v="8456733"/>
    <n v="86.429724462365542"/>
    <n v="96511.239231655389"/>
    <n v="93.5"/>
    <n v="94"/>
    <n v="84.619508156945685"/>
    <n v="8166734"/>
  </r>
  <r>
    <x v="71"/>
    <n v="202503"/>
    <x v="1"/>
    <x v="0"/>
    <s v="Sebastián S"/>
    <s v="Rodolfo O"/>
    <n v="97830"/>
    <n v="5410300"/>
    <n v="55.303245967741944"/>
    <n v="86154.596661681266"/>
    <n v="53.5"/>
    <n v="54"/>
    <n v="62.797582829452494"/>
    <n v="4874530"/>
  </r>
  <r>
    <x v="21"/>
    <n v="202507"/>
    <x v="1"/>
    <x v="6"/>
    <s v="Sebastián S"/>
    <s v="Rodolfo O"/>
    <n v="97795"/>
    <n v="7087805"/>
    <n v="72.475873655914"/>
    <n v="98820.598766046547"/>
    <n v="84.5"/>
    <n v="86.5"/>
    <n v="71.723967457230984"/>
    <n v="7823333"/>
  </r>
  <r>
    <x v="13"/>
    <n v="202511"/>
    <x v="1"/>
    <x v="7"/>
    <s v="Sebastián S"/>
    <s v="Rodolfo O"/>
    <n v="97748"/>
    <n v="6012269"/>
    <n v="61.507930555555582"/>
    <n v="93925.688623030306"/>
    <n v="78"/>
    <n v="74.5"/>
    <n v="64.01091477891822"/>
    <n v="5367086"/>
  </r>
  <r>
    <x v="37"/>
    <n v="202403"/>
    <x v="2"/>
    <x v="0"/>
    <s v="Sofía V"/>
    <s v="Melany A"/>
    <n v="97731"/>
    <n v="6393376"/>
    <n v="65.418198924731158"/>
    <n v="0"/>
    <n v="72.5"/>
    <n v="68.5"/>
    <m/>
    <n v="0"/>
  </r>
  <r>
    <x v="40"/>
    <n v="202604"/>
    <x v="0"/>
    <x v="9"/>
    <s v="Sebastián S"/>
    <s v="Johanna V"/>
    <n v="97714"/>
    <n v="8756421"/>
    <n v="89.612979166668921"/>
    <n v="98193.367093686"/>
    <n v="106"/>
    <n v="102.5"/>
    <n v="90.060822135394957"/>
    <n v="8843375"/>
  </r>
  <r>
    <x v="3"/>
    <n v="202404"/>
    <x v="2"/>
    <x v="9"/>
    <s v="Sebastián S"/>
    <s v="Rodolfo O"/>
    <n v="97682"/>
    <n v="9433471"/>
    <n v="96.573555555555558"/>
    <n v="0"/>
    <n v="98.5"/>
    <n v="96.5"/>
    <m/>
    <n v="0"/>
  </r>
  <r>
    <x v="8"/>
    <n v="202408"/>
    <x v="2"/>
    <x v="5"/>
    <s v="Sebastián S"/>
    <s v="Vik E"/>
    <n v="97594"/>
    <n v="7795500"/>
    <n v="79.876774193548371"/>
    <n v="0"/>
    <n v="88"/>
    <n v="84"/>
    <m/>
    <n v="0"/>
  </r>
  <r>
    <x v="32"/>
    <n v="202511"/>
    <x v="1"/>
    <x v="7"/>
    <s v="Sofía V"/>
    <s v="Melany A"/>
    <n v="97582"/>
    <n v="5825328"/>
    <n v="59.697020833333355"/>
    <n v="87554.328270299666"/>
    <n v="75.5"/>
    <n v="68"/>
    <n v="66.533862974951063"/>
    <n v="5860097"/>
  </r>
  <r>
    <x v="36"/>
    <n v="202508"/>
    <x v="1"/>
    <x v="5"/>
    <s v="Sebastián S"/>
    <s v="Rodolfo O"/>
    <n v="97544"/>
    <n v="6311970"/>
    <n v="64.708837365591393"/>
    <n v="96874.345093488795"/>
    <n v="81"/>
    <n v="77"/>
    <n v="65.156264271088688"/>
    <n v="6747268"/>
  </r>
  <r>
    <x v="15"/>
    <n v="202409"/>
    <x v="2"/>
    <x v="4"/>
    <s v="Sofía V"/>
    <s v="Joe H"/>
    <n v="97489"/>
    <n v="8986374"/>
    <n v="92.178187500000021"/>
    <n v="0"/>
    <n v="101"/>
    <n v="105"/>
    <m/>
    <n v="0"/>
  </r>
  <r>
    <x v="30"/>
    <n v="202405"/>
    <x v="2"/>
    <x v="3"/>
    <s v="Sebastián S"/>
    <s v="Vik E"/>
    <n v="97476"/>
    <n v="8776776"/>
    <n v="90.040510752688149"/>
    <n v="0"/>
    <n v="101.5"/>
    <n v="97.5"/>
    <m/>
    <n v="0"/>
  </r>
  <r>
    <x v="25"/>
    <n v="202505"/>
    <x v="1"/>
    <x v="3"/>
    <s v="Sebastián S"/>
    <s v="Vik E"/>
    <n v="97465"/>
    <n v="6914032"/>
    <n v="70.938366935483899"/>
    <n v="97297.730720451422"/>
    <n v="77"/>
    <n v="79"/>
    <n v="71.060564607255642"/>
    <n v="6659732"/>
  </r>
  <r>
    <x v="27"/>
    <n v="202605"/>
    <x v="0"/>
    <x v="3"/>
    <s v="Sofía V"/>
    <s v="Joe H"/>
    <n v="97463"/>
    <n v="5415275"/>
    <n v="55.562170698924923"/>
    <n v="94583.050718172264"/>
    <n v="62"/>
    <n v="58"/>
    <n v="54.66595376698497"/>
    <n v="5170473"/>
  </r>
  <r>
    <x v="17"/>
    <n v="202508"/>
    <x v="1"/>
    <x v="5"/>
    <s v="Sofía V"/>
    <s v="Joe H"/>
    <n v="97431"/>
    <n v="8385422"/>
    <n v="86.065141129032298"/>
    <n v="97909.928477327994"/>
    <n v="94"/>
    <n v="92"/>
    <n v="85.644241400316474"/>
    <n v="8230322"/>
  </r>
  <r>
    <x v="11"/>
    <n v="202404"/>
    <x v="2"/>
    <x v="9"/>
    <s v="Sofía V"/>
    <s v="José A"/>
    <n v="97427"/>
    <n v="8902483"/>
    <n v="91.375472222222228"/>
    <n v="0"/>
    <n v="86.5"/>
    <n v="81.5"/>
    <m/>
    <n v="0"/>
  </r>
  <r>
    <x v="26"/>
    <n v="202606"/>
    <x v="0"/>
    <x v="11"/>
    <s v="Sofía V"/>
    <s v="Melany A"/>
    <n v="97401"/>
    <n v="4407221"/>
    <n v="45.248194444444302"/>
    <n v="92868.585420323987"/>
    <n v="55"/>
    <n v="50.5"/>
    <n v="48.493991244906027"/>
    <n v="4503568"/>
  </r>
  <r>
    <x v="72"/>
    <n v="202604"/>
    <x v="0"/>
    <x v="9"/>
    <s v="Sebastián S"/>
    <s v="Vik E"/>
    <n v="97399"/>
    <n v="6423046"/>
    <n v="65.945395833334999"/>
    <n v="83220.743782263875"/>
    <n v="79.5"/>
    <n v="67"/>
    <n v="68.682661472657543"/>
    <n v="5715822"/>
  </r>
  <r>
    <x v="19"/>
    <n v="202601"/>
    <x v="0"/>
    <x v="10"/>
    <s v="Sofía V"/>
    <s v="Joe H"/>
    <n v="97397"/>
    <n v="5370817"/>
    <n v="55.143440860215065"/>
    <n v="96903.494335813491"/>
    <n v="57.5"/>
    <n v="56.5"/>
    <n v="50.698263574219922"/>
    <n v="4912839"/>
  </r>
  <r>
    <x v="20"/>
    <n v="202408"/>
    <x v="2"/>
    <x v="5"/>
    <s v="Sofía V"/>
    <s v="Joe H"/>
    <n v="97395"/>
    <n v="8709220"/>
    <n v="89.421330645161291"/>
    <n v="0"/>
    <n v="96.5"/>
    <n v="96"/>
    <m/>
    <n v="0"/>
  </r>
  <r>
    <x v="4"/>
    <n v="202401"/>
    <x v="2"/>
    <x v="10"/>
    <s v="Sofía V"/>
    <s v="José A"/>
    <n v="97373"/>
    <n v="9437993"/>
    <n v="96.926431451612899"/>
    <n v="0"/>
    <n v="107.5"/>
    <n v="102.5"/>
    <m/>
    <n v="0"/>
  </r>
  <r>
    <x v="23"/>
    <n v="202602"/>
    <x v="0"/>
    <x v="2"/>
    <s v="Sebastián S"/>
    <s v="Rodolfo O"/>
    <n v="97344"/>
    <n v="8633392"/>
    <n v="88.689479166666672"/>
    <n v="83857.241146778353"/>
    <n v="94.5"/>
    <n v="97"/>
    <n v="83.184435661200979"/>
    <n v="6975617"/>
  </r>
  <r>
    <x v="13"/>
    <n v="202406"/>
    <x v="2"/>
    <x v="11"/>
    <s v="Sebastián S"/>
    <s v="Rodolfo O"/>
    <n v="97307"/>
    <n v="6423241"/>
    <n v="66.010388888888883"/>
    <n v="0"/>
    <n v="78"/>
    <n v="74.5"/>
    <m/>
    <n v="0"/>
  </r>
  <r>
    <x v="28"/>
    <n v="202602"/>
    <x v="0"/>
    <x v="2"/>
    <s v="Sebastián S"/>
    <s v="Rodolfo O"/>
    <n v="97283"/>
    <n v="5719413"/>
    <n v="58.791249999999991"/>
    <n v="98291.871308202783"/>
    <n v="65.5"/>
    <n v="66"/>
    <n v="55.812340478272937"/>
    <n v="5485899"/>
  </r>
  <r>
    <x v="45"/>
    <n v="202511"/>
    <x v="1"/>
    <x v="7"/>
    <s v="Sofía V"/>
    <s v="Joe H"/>
    <n v="97270"/>
    <n v="5852510"/>
    <n v="60.167576388888918"/>
    <n v="85995.093922390311"/>
    <n v="68"/>
    <n v="68.5"/>
    <n v="68.05632534434848"/>
    <n v="5159856"/>
  </r>
  <r>
    <x v="37"/>
    <n v="202511"/>
    <x v="1"/>
    <x v="7"/>
    <s v="Sofía V"/>
    <s v="Melany A"/>
    <n v="97252"/>
    <n v="6310556"/>
    <n v="64.888833333333366"/>
    <n v="96057.745203846222"/>
    <n v="72.5"/>
    <n v="68.5"/>
    <n v="65.695442950573451"/>
    <n v="5590889"/>
  </r>
  <r>
    <x v="56"/>
    <n v="202503"/>
    <x v="1"/>
    <x v="0"/>
    <s v="Sofía V"/>
    <s v="Joe H"/>
    <n v="97229"/>
    <n v="6617838"/>
    <n v="68.064791666666707"/>
    <n v="95369.108909370843"/>
    <n v="79.5"/>
    <n v="81.5"/>
    <n v="69.391841401065449"/>
    <n v="6620537"/>
  </r>
  <r>
    <x v="35"/>
    <n v="202406"/>
    <x v="2"/>
    <x v="11"/>
    <s v="Hernán P"/>
    <s v="Daniel R"/>
    <n v="97205"/>
    <n v="11281958"/>
    <n v="116.06345138888892"/>
    <n v="0"/>
    <n v="140.5"/>
    <n v="125.5"/>
    <m/>
    <n v="0"/>
  </r>
  <r>
    <x v="28"/>
    <n v="202507"/>
    <x v="1"/>
    <x v="6"/>
    <s v="Sebastián S"/>
    <s v="Rodolfo O"/>
    <n v="97135"/>
    <n v="5708286"/>
    <n v="58.766223118279598"/>
    <n v="99977.837013544733"/>
    <n v="65.5"/>
    <n v="66"/>
    <n v="57.095517071715179"/>
    <n v="6108501"/>
  </r>
  <r>
    <x v="5"/>
    <n v="202411"/>
    <x v="2"/>
    <x v="7"/>
    <s v="Sebastián S"/>
    <s v="Rodolfo O"/>
    <n v="97130"/>
    <n v="5793000"/>
    <n v="59.641847222222218"/>
    <n v="0"/>
    <n v="68.5"/>
    <n v="66"/>
    <m/>
    <n v="0"/>
  </r>
  <r>
    <x v="33"/>
    <n v="202411"/>
    <x v="2"/>
    <x v="7"/>
    <s v="Sofía V"/>
    <s v="José A"/>
    <n v="97121"/>
    <n v="8461200"/>
    <n v="87.119958333333315"/>
    <n v="0"/>
    <n v="93.5"/>
    <n v="94"/>
    <m/>
    <n v="0"/>
  </r>
  <r>
    <x v="40"/>
    <n v="202605"/>
    <x v="0"/>
    <x v="3"/>
    <s v="Sebastián S"/>
    <s v="Johanna V"/>
    <n v="97118"/>
    <n v="9447544"/>
    <n v="97.279206989247569"/>
    <n v="100905.517266297"/>
    <n v="106"/>
    <n v="102.5"/>
    <n v="90.060822135394957"/>
    <n v="9087634"/>
  </r>
  <r>
    <x v="13"/>
    <n v="202602"/>
    <x v="0"/>
    <x v="2"/>
    <s v="Sebastián S"/>
    <s v="Rodolfo O"/>
    <n v="97062"/>
    <n v="6747684"/>
    <n v="69.519427083333341"/>
    <n v="89613.959908746998"/>
    <n v="78"/>
    <n v="74.5"/>
    <n v="66.954795775232199"/>
    <n v="6000084"/>
  </r>
  <r>
    <x v="2"/>
    <n v="202502"/>
    <x v="1"/>
    <x v="2"/>
    <s v="Sofía V"/>
    <s v="José A"/>
    <n v="97060"/>
    <n v="6425955"/>
    <n v="66.206041666666692"/>
    <n v="109970.25156611548"/>
    <n v="76.5"/>
    <n v="80"/>
    <n v="58.433572702492519"/>
    <n v="7451797"/>
  </r>
  <r>
    <x v="7"/>
    <n v="202506"/>
    <x v="1"/>
    <x v="11"/>
    <s v="Sebastián S"/>
    <s v="Rodolfo O"/>
    <n v="96980"/>
    <n v="5596372"/>
    <n v="57.706736111111113"/>
    <n v="85039.642443843841"/>
    <n v="65.5"/>
    <n v="63"/>
    <n v="65.808981307695163"/>
    <n v="5469043"/>
  </r>
  <r>
    <x v="33"/>
    <n v="202506"/>
    <x v="1"/>
    <x v="11"/>
    <s v="Sofía V"/>
    <s v="José A"/>
    <n v="96967"/>
    <n v="8091213"/>
    <n v="83.442527777777812"/>
    <n v="105867.2243631272"/>
    <n v="93.5"/>
    <n v="94"/>
    <n v="76.427928555555027"/>
    <n v="8569623"/>
  </r>
  <r>
    <x v="29"/>
    <n v="202605"/>
    <x v="0"/>
    <x v="3"/>
    <s v="Sebastián S"/>
    <s v="Vik E"/>
    <n v="96954"/>
    <n v="6248431"/>
    <n v="64.44723118279569"/>
    <n v="92752.465157868341"/>
    <n v="76.5"/>
    <n v="75.5"/>
    <n v="67.697971575339096"/>
    <n v="6279154"/>
  </r>
  <r>
    <x v="23"/>
    <n v="202601"/>
    <x v="0"/>
    <x v="10"/>
    <s v="Sebastián S"/>
    <s v="Rodolfo O"/>
    <n v="96919"/>
    <n v="8110029"/>
    <n v="83.678790322580667"/>
    <n v="83434.19981193867"/>
    <n v="94.5"/>
    <n v="97"/>
    <n v="83.184435661200979"/>
    <n v="6940427"/>
  </r>
  <r>
    <x v="48"/>
    <n v="202407"/>
    <x v="2"/>
    <x v="6"/>
    <s v="Hernán P"/>
    <s v="Daniel R"/>
    <n v="96903"/>
    <n v="5762281"/>
    <n v="59.464341397849459"/>
    <n v="0"/>
    <n v="79.5"/>
    <n v="72.5"/>
    <m/>
    <n v="0"/>
  </r>
  <r>
    <x v="20"/>
    <n v="202405"/>
    <x v="2"/>
    <x v="3"/>
    <s v="Sofía V"/>
    <s v="Joe H"/>
    <n v="96889"/>
    <n v="8500725"/>
    <n v="87.736579301075253"/>
    <n v="0"/>
    <n v="96.5"/>
    <n v="96"/>
    <m/>
    <n v="0"/>
  </r>
  <r>
    <x v="28"/>
    <n v="202605"/>
    <x v="0"/>
    <x v="3"/>
    <s v="Sebastián S"/>
    <s v="Rodolfo O"/>
    <n v="96883"/>
    <n v="5909448"/>
    <n v="60.995920698925524"/>
    <n v="102308.20515263741"/>
    <n v="65.5"/>
    <n v="66"/>
    <n v="55.812340478272937"/>
    <n v="5710060"/>
  </r>
  <r>
    <x v="16"/>
    <n v="202604"/>
    <x v="0"/>
    <x v="9"/>
    <s v="Sofía V"/>
    <s v="José A"/>
    <n v="96862"/>
    <n v="6471814"/>
    <n v="66.815000000001859"/>
    <n v="127633.79427771839"/>
    <n v="64"/>
    <n v="67"/>
    <n v="56.429371630436094"/>
    <n v="7202295"/>
  </r>
  <r>
    <x v="23"/>
    <n v="202604"/>
    <x v="0"/>
    <x v="9"/>
    <s v="Sebastián S"/>
    <s v="Rodolfo O"/>
    <n v="96857"/>
    <n v="8567293"/>
    <n v="88.453458333335561"/>
    <n v="90405.468019633903"/>
    <n v="94.5"/>
    <n v="97"/>
    <n v="83.184435661200979"/>
    <n v="7520328"/>
  </r>
  <r>
    <x v="25"/>
    <n v="202408"/>
    <x v="2"/>
    <x v="5"/>
    <s v="Sebastián S"/>
    <s v="Vik E"/>
    <n v="96854"/>
    <n v="6532263"/>
    <n v="67.444482526881714"/>
    <n v="0"/>
    <n v="77"/>
    <n v="79"/>
    <m/>
    <n v="0"/>
  </r>
  <r>
    <x v="16"/>
    <n v="202406"/>
    <x v="2"/>
    <x v="11"/>
    <s v="Sofía V"/>
    <s v="José A"/>
    <n v="96778"/>
    <n v="5537688"/>
    <n v="57.220381944444441"/>
    <n v="0"/>
    <n v="64"/>
    <n v="67"/>
    <m/>
    <n v="0"/>
  </r>
  <r>
    <x v="19"/>
    <n v="202602"/>
    <x v="0"/>
    <x v="2"/>
    <s v="Sofía V"/>
    <s v="Joe H"/>
    <n v="96774"/>
    <n v="5312500"/>
    <n v="54.895833333333329"/>
    <n v="93771.729107452978"/>
    <n v="57.5"/>
    <n v="56.5"/>
    <n v="50.698263574219922"/>
    <n v="4754064"/>
  </r>
  <r>
    <x v="65"/>
    <n v="202401"/>
    <x v="2"/>
    <x v="10"/>
    <s v="Sebastián S"/>
    <s v="Johanna V"/>
    <n v="96768"/>
    <n v="7905160"/>
    <n v="81.692116935483853"/>
    <n v="0"/>
    <n v="103"/>
    <n v="91"/>
    <m/>
    <n v="0"/>
  </r>
  <r>
    <x v="38"/>
    <n v="202605"/>
    <x v="0"/>
    <x v="3"/>
    <s v="Sofía V"/>
    <s v="Melany A"/>
    <n v="96745"/>
    <n v="5521085"/>
    <n v="57.068346774193373"/>
    <n v="112002.37378626858"/>
    <n v="56"/>
    <n v="60"/>
    <n v="48.493991244906013"/>
    <n v="5431442"/>
  </r>
  <r>
    <x v="73"/>
    <n v="202512"/>
    <x v="1"/>
    <x v="1"/>
    <s v="Fátima L"/>
    <s v="Fátima L"/>
    <n v="96606"/>
    <n v="1168928"/>
    <n v="12.09997983870967"/>
    <n v="92539.289013412461"/>
    <n v="13.5"/>
    <n v="12"/>
    <n v="12.631693008043081"/>
    <n v="1330952"/>
  </r>
  <r>
    <x v="29"/>
    <n v="202406"/>
    <x v="2"/>
    <x v="11"/>
    <s v="Sebastián S"/>
    <s v="Vik E"/>
    <n v="96598"/>
    <n v="6377903"/>
    <n v="66.024972222222189"/>
    <n v="0"/>
    <n v="76.5"/>
    <n v="75.5"/>
    <m/>
    <n v="0"/>
  </r>
  <r>
    <x v="30"/>
    <n v="202510"/>
    <x v="1"/>
    <x v="8"/>
    <s v="Sebastián S"/>
    <s v="Vik E"/>
    <n v="96596"/>
    <n v="7123901"/>
    <n v="73.749186827957018"/>
    <n v="108459.73895876079"/>
    <n v="101.5"/>
    <n v="97.5"/>
    <n v="65.682445010389443"/>
    <n v="9857315"/>
  </r>
  <r>
    <x v="21"/>
    <n v="202505"/>
    <x v="1"/>
    <x v="3"/>
    <s v="Sebastián S"/>
    <s v="Rodolfo O"/>
    <n v="96590"/>
    <n v="7244880"/>
    <n v="75.006834677419349"/>
    <n v="91509.77274090772"/>
    <n v="84.5"/>
    <n v="86.5"/>
    <n v="79.170565317788373"/>
    <n v="7046078"/>
  </r>
  <r>
    <x v="35"/>
    <n v="202502"/>
    <x v="1"/>
    <x v="2"/>
    <s v="Hernán P"/>
    <s v="Daniel R"/>
    <n v="96588"/>
    <n v="10847518"/>
    <n v="112.30656249999994"/>
    <n v="95476.869675014008"/>
    <n v="140.5"/>
    <n v="125.5"/>
    <n v="113.61409131785514"/>
    <n v="10738156"/>
  </r>
  <r>
    <x v="32"/>
    <n v="202602"/>
    <x v="0"/>
    <x v="2"/>
    <s v="Sofía V"/>
    <s v="Melany A"/>
    <n v="96583"/>
    <n v="6051370"/>
    <n v="62.654791666666654"/>
    <n v="84219.142615352263"/>
    <n v="75.5"/>
    <n v="68"/>
    <n v="66.56902434528007"/>
    <n v="5606386"/>
  </r>
  <r>
    <x v="38"/>
    <n v="202602"/>
    <x v="0"/>
    <x v="2"/>
    <s v="Sofía V"/>
    <s v="Melany A"/>
    <n v="96582"/>
    <n v="5040093"/>
    <n v="52.184583333333329"/>
    <n v="101922.53906960468"/>
    <n v="56"/>
    <n v="60"/>
    <n v="48.493991244906013"/>
    <n v="4942631"/>
  </r>
  <r>
    <x v="41"/>
    <n v="202603"/>
    <x v="0"/>
    <x v="0"/>
    <s v="Sebastián S"/>
    <s v="Rodolfo O"/>
    <n v="96560"/>
    <n v="6011558"/>
    <n v="62.257096774193592"/>
    <n v="115277.34525383502"/>
    <n v="64.5"/>
    <n v="64"/>
    <n v="54.966698955874868"/>
    <n v="6336415"/>
  </r>
  <r>
    <x v="54"/>
    <n v="202412"/>
    <x v="2"/>
    <x v="1"/>
    <s v="Sebastián S"/>
    <s v="Rodolfo O"/>
    <n v="96545"/>
    <n v="8544279"/>
    <n v="88.500557795698938"/>
    <n v="0"/>
    <n v="80"/>
    <n v="80.5"/>
    <m/>
    <n v="0"/>
  </r>
  <r>
    <x v="36"/>
    <n v="202507"/>
    <x v="1"/>
    <x v="6"/>
    <s v="Sebastián S"/>
    <s v="Rodolfo O"/>
    <n v="96533"/>
    <n v="6374185"/>
    <n v="66.030981182795728"/>
    <n v="106916.0679469139"/>
    <n v="81"/>
    <n v="77"/>
    <n v="59.618589351461353"/>
    <n v="7282512"/>
  </r>
  <r>
    <x v="4"/>
    <n v="202409"/>
    <x v="2"/>
    <x v="4"/>
    <s v="Sofía V"/>
    <s v="José A"/>
    <n v="96479"/>
    <n v="9690585"/>
    <n v="100.44207638888889"/>
    <n v="0"/>
    <n v="107.5"/>
    <n v="102.5"/>
    <m/>
    <n v="0"/>
  </r>
  <r>
    <x v="24"/>
    <n v="202501"/>
    <x v="1"/>
    <x v="10"/>
    <s v="Sofía V"/>
    <s v="Joe H"/>
    <n v="96474"/>
    <n v="6030239"/>
    <n v="62.506424731182811"/>
    <n v="111123.79721613509"/>
    <n v="71"/>
    <n v="74.5"/>
    <n v="54.265951947909265"/>
    <n v="6155100"/>
  </r>
  <r>
    <x v="33"/>
    <n v="202409"/>
    <x v="2"/>
    <x v="4"/>
    <s v="Sofía V"/>
    <s v="José A"/>
    <n v="96472"/>
    <n v="8222124"/>
    <n v="85.228256944444411"/>
    <n v="0"/>
    <n v="93.5"/>
    <n v="94"/>
    <m/>
    <n v="0"/>
  </r>
  <r>
    <x v="31"/>
    <n v="202402"/>
    <x v="2"/>
    <x v="2"/>
    <s v="Sofía V"/>
    <s v="Melany A"/>
    <n v="96442"/>
    <n v="11810683"/>
    <n v="122.46404454022989"/>
    <n v="0"/>
    <n v="99"/>
    <n v="32.5"/>
    <m/>
    <n v="0"/>
  </r>
  <r>
    <x v="74"/>
    <n v="202512"/>
    <x v="1"/>
    <x v="1"/>
    <s v="Sebastián S"/>
    <s v="Rodolfo O"/>
    <n v="96434"/>
    <n v="2185488"/>
    <n v="22.663111559139768"/>
    <n v="76052.274710285768"/>
    <n v="27"/>
    <n v="27"/>
    <n v="28.736650393764243"/>
    <n v="2195731"/>
  </r>
  <r>
    <x v="48"/>
    <n v="202510"/>
    <x v="1"/>
    <x v="8"/>
    <s v="Hernán P"/>
    <s v="Daniel R"/>
    <n v="96418"/>
    <n v="5788509"/>
    <n v="60.035302419354835"/>
    <n v="94929.816770805483"/>
    <n v="79.5"/>
    <n v="72.5"/>
    <n v="60.976718136679104"/>
    <n v="6091984"/>
  </r>
  <r>
    <x v="64"/>
    <n v="202412"/>
    <x v="2"/>
    <x v="1"/>
    <s v="Sebastián S"/>
    <s v="Johanna V"/>
    <n v="96410"/>
    <n v="7581528"/>
    <n v="78.638508064516103"/>
    <n v="0"/>
    <n v="75.5"/>
    <n v="70.5"/>
    <m/>
    <n v="0"/>
  </r>
  <r>
    <x v="4"/>
    <n v="202406"/>
    <x v="2"/>
    <x v="11"/>
    <s v="Sofía V"/>
    <s v="José A"/>
    <n v="96399"/>
    <n v="10211778"/>
    <n v="105.93294444444449"/>
    <n v="0"/>
    <n v="107.5"/>
    <n v="102.5"/>
    <m/>
    <n v="0"/>
  </r>
  <r>
    <x v="16"/>
    <n v="202510"/>
    <x v="1"/>
    <x v="8"/>
    <s v="Sofía V"/>
    <s v="José A"/>
    <n v="96393"/>
    <n v="5462797"/>
    <n v="56.671868279569914"/>
    <n v="98755.781973844947"/>
    <n v="64"/>
    <n v="67"/>
    <n v="55.316219575343951"/>
    <n v="5011775"/>
  </r>
  <r>
    <x v="27"/>
    <n v="202501"/>
    <x v="1"/>
    <x v="10"/>
    <s v="Sofía V"/>
    <s v="Joe H"/>
    <n v="96389"/>
    <n v="5715029"/>
    <n v="59.291364247311833"/>
    <n v="93207.709728894057"/>
    <n v="62"/>
    <n v="58"/>
    <n v="61.314979057235242"/>
    <n v="5445161"/>
  </r>
  <r>
    <x v="27"/>
    <n v="202606"/>
    <x v="0"/>
    <x v="11"/>
    <s v="Sofía V"/>
    <s v="Joe H"/>
    <n v="96366"/>
    <n v="5096594"/>
    <n v="52.887673611110984"/>
    <n v="87676.616865224176"/>
    <n v="62"/>
    <n v="58"/>
    <n v="54.66595376698497"/>
    <n v="4792926"/>
  </r>
  <r>
    <x v="46"/>
    <n v="202603"/>
    <x v="0"/>
    <x v="0"/>
    <s v="Sofía V"/>
    <s v="José A"/>
    <n v="96360"/>
    <n v="5282065"/>
    <n v="54.816115591397867"/>
    <n v="101268.08453248843"/>
    <n v="58"/>
    <n v="58.5"/>
    <n v="51.139118040082707"/>
    <n v="5178761"/>
  </r>
  <r>
    <x v="71"/>
    <n v="202512"/>
    <x v="1"/>
    <x v="1"/>
    <s v="Sebastián S"/>
    <s v="Rodolfo O"/>
    <n v="96352"/>
    <n v="5578714"/>
    <n v="57.899267473118286"/>
    <n v="98125.267905618603"/>
    <n v="53.5"/>
    <n v="54"/>
    <n v="56.85298138870678"/>
    <n v="5725519"/>
  </r>
  <r>
    <x v="66"/>
    <n v="202412"/>
    <x v="2"/>
    <x v="1"/>
    <s v="Sebastián S"/>
    <s v="Rodolfo O"/>
    <n v="96349"/>
    <n v="5775348"/>
    <n v="59.941922043010763"/>
    <n v="0"/>
    <n v="55"/>
    <n v="55.5"/>
    <m/>
    <n v="0"/>
  </r>
  <r>
    <x v="14"/>
    <n v="202410"/>
    <x v="2"/>
    <x v="8"/>
    <s v="Sofía V"/>
    <s v="Melany A"/>
    <n v="96346"/>
    <n v="4576912"/>
    <n v="47.504831989247307"/>
    <n v="0"/>
    <n v="59.5"/>
    <n v="55.5"/>
    <m/>
    <n v="0"/>
  </r>
  <r>
    <x v="22"/>
    <n v="202403"/>
    <x v="2"/>
    <x v="0"/>
    <s v="Sebastián S"/>
    <s v="Johanna V"/>
    <n v="96290"/>
    <n v="9806206"/>
    <n v="101.83988575268816"/>
    <n v="0"/>
    <n v="104.5"/>
    <n v="99"/>
    <m/>
    <n v="0"/>
  </r>
  <r>
    <x v="62"/>
    <n v="202403"/>
    <x v="2"/>
    <x v="0"/>
    <s v="Sebastián S"/>
    <s v="Vik E"/>
    <n v="96191"/>
    <n v="5896293"/>
    <n v="61.297983870967755"/>
    <n v="0"/>
    <n v="65"/>
    <n v="67.5"/>
    <m/>
    <n v="0"/>
  </r>
  <r>
    <x v="25"/>
    <n v="202606"/>
    <x v="0"/>
    <x v="11"/>
    <s v="Sebastián S"/>
    <s v="Vik E"/>
    <n v="96179"/>
    <n v="6861655"/>
    <n v="71.34234722222395"/>
    <n v="100280.22901090939"/>
    <n v="77"/>
    <n v="79"/>
    <n v="66.09086292651952"/>
    <n v="6627607"/>
  </r>
  <r>
    <x v="11"/>
    <n v="202603"/>
    <x v="0"/>
    <x v="0"/>
    <s v="Sofía V"/>
    <s v="José A"/>
    <n v="96124"/>
    <n v="8043442"/>
    <n v="83.678178763440826"/>
    <n v="110956.3198390922"/>
    <n v="86.5"/>
    <n v="81.5"/>
    <n v="76.26782259426129"/>
    <n v="8462397"/>
  </r>
  <r>
    <x v="25"/>
    <n v="202507"/>
    <x v="1"/>
    <x v="6"/>
    <s v="Sebastián S"/>
    <s v="Vik E"/>
    <n v="96117"/>
    <n v="6799851"/>
    <n v="70.745631720430168"/>
    <n v="116308.20726301074"/>
    <n v="77"/>
    <n v="79"/>
    <n v="58.46406534857271"/>
    <n v="7647594"/>
  </r>
  <r>
    <x v="5"/>
    <n v="202506"/>
    <x v="1"/>
    <x v="11"/>
    <s v="Sebastián S"/>
    <s v="Rodolfo O"/>
    <n v="96113"/>
    <n v="5862529"/>
    <n v="60.99595833333332"/>
    <n v="105766.4818208917"/>
    <n v="68.5"/>
    <n v="66"/>
    <n v="55.428989497143249"/>
    <n v="6243907"/>
  </r>
  <r>
    <x v="13"/>
    <n v="202408"/>
    <x v="2"/>
    <x v="5"/>
    <s v="Sebastián S"/>
    <s v="Rodolfo O"/>
    <n v="96104"/>
    <n v="6119968"/>
    <n v="63.680571236559132"/>
    <n v="0"/>
    <n v="78"/>
    <n v="74.5"/>
    <m/>
    <n v="0"/>
  </r>
  <r>
    <x v="44"/>
    <n v="202411"/>
    <x v="2"/>
    <x v="7"/>
    <s v="Sebastián S"/>
    <s v="Johanna V"/>
    <n v="96100"/>
    <n v="9506773"/>
    <n v="98.925895833333328"/>
    <n v="0"/>
    <n v="117.5"/>
    <n v="99"/>
    <m/>
    <n v="0"/>
  </r>
  <r>
    <x v="46"/>
    <n v="202601"/>
    <x v="0"/>
    <x v="10"/>
    <s v="Sofía V"/>
    <s v="José A"/>
    <n v="96082"/>
    <n v="4801563"/>
    <n v="49.973696236559164"/>
    <n v="86889.636636228824"/>
    <n v="58"/>
    <n v="58.5"/>
    <n v="51.139118040082707"/>
    <n v="4443459"/>
  </r>
  <r>
    <x v="53"/>
    <n v="202606"/>
    <x v="0"/>
    <x v="11"/>
    <s v="Sebastián S"/>
    <s v="Johanna V"/>
    <n v="96082"/>
    <n v="5011815"/>
    <n v="52.16210416666631"/>
    <n v="94844.148300792935"/>
    <n v="68"/>
    <n v="60.5"/>
    <n v="56.717795741490448"/>
    <n v="5379351"/>
  </r>
  <r>
    <x v="35"/>
    <n v="202510"/>
    <x v="1"/>
    <x v="8"/>
    <s v="Hernán P"/>
    <s v="Daniel R"/>
    <n v="95966"/>
    <n v="11379513"/>
    <n v="118.57905913978493"/>
    <n v="104900.61038932689"/>
    <n v="140.5"/>
    <n v="125.5"/>
    <n v="108.47899881388874"/>
    <n v="12006571"/>
  </r>
  <r>
    <x v="59"/>
    <n v="202508"/>
    <x v="1"/>
    <x v="5"/>
    <s v="Sebastián S"/>
    <s v="Johanna V"/>
    <n v="95940"/>
    <n v="9126843"/>
    <n v="95.130611559139822"/>
    <n v="99342.401583532672"/>
    <n v="118"/>
    <n v="106"/>
    <n v="91.872581038074017"/>
    <n v="9933414"/>
  </r>
  <r>
    <x v="26"/>
    <n v="202403"/>
    <x v="2"/>
    <x v="0"/>
    <s v="Sofía V"/>
    <s v="Melany A"/>
    <n v="95926"/>
    <n v="5207754"/>
    <n v="54.289375"/>
    <n v="0"/>
    <n v="55"/>
    <n v="50.5"/>
    <m/>
    <n v="0"/>
  </r>
  <r>
    <x v="37"/>
    <n v="202501"/>
    <x v="1"/>
    <x v="10"/>
    <s v="Sofía V"/>
    <s v="Melany A"/>
    <n v="95903"/>
    <n v="6163135"/>
    <n v="64.26432795698922"/>
    <n v="92433.89129843688"/>
    <n v="72.5"/>
    <n v="68.5"/>
    <n v="66.676142521160131"/>
    <n v="5866863"/>
  </r>
  <r>
    <x v="56"/>
    <n v="202604"/>
    <x v="0"/>
    <x v="9"/>
    <s v="Sofía V"/>
    <s v="Joe H"/>
    <n v="95870"/>
    <n v="6799272"/>
    <n v="70.921618055558156"/>
    <n v="98210.448319182236"/>
    <n v="79.5"/>
    <n v="81.5"/>
    <n v="68.773296674593993"/>
    <n v="6754256"/>
  </r>
  <r>
    <x v="17"/>
    <n v="202410"/>
    <x v="2"/>
    <x v="8"/>
    <s v="Sofía V"/>
    <s v="Joe H"/>
    <n v="95837"/>
    <n v="8196909"/>
    <n v="85.529744623655873"/>
    <n v="0"/>
    <n v="94"/>
    <n v="92"/>
    <m/>
    <n v="0"/>
  </r>
  <r>
    <x v="43"/>
    <n v="202605"/>
    <x v="0"/>
    <x v="3"/>
    <s v="Sofía V"/>
    <s v="José A"/>
    <n v="95801"/>
    <n v="2764626"/>
    <n v="28.858017473118352"/>
    <n v="93672.444112473371"/>
    <n v="32.5"/>
    <n v="32"/>
    <n v="29.073700348097926"/>
    <n v="2723405"/>
  </r>
  <r>
    <x v="4"/>
    <n v="202411"/>
    <x v="2"/>
    <x v="7"/>
    <s v="Sofía V"/>
    <s v="José A"/>
    <n v="95776"/>
    <n v="9977247"/>
    <n v="104.17302777777778"/>
    <n v="0"/>
    <n v="107.5"/>
    <n v="102.5"/>
    <m/>
    <n v="0"/>
  </r>
  <r>
    <x v="56"/>
    <n v="202510"/>
    <x v="1"/>
    <x v="8"/>
    <s v="Sofía V"/>
    <s v="Joe H"/>
    <n v="95765"/>
    <n v="6278383"/>
    <n v="65.560174731182812"/>
    <n v="85317.059531493855"/>
    <n v="79.5"/>
    <n v="81.5"/>
    <n v="73.588833516729508"/>
    <n v="6312164"/>
  </r>
  <r>
    <x v="65"/>
    <n v="202606"/>
    <x v="0"/>
    <x v="11"/>
    <s v="Sebastián S"/>
    <s v="Johanna V"/>
    <n v="95735"/>
    <n v="7705173"/>
    <n v="80.484638888890004"/>
    <n v="97035.378589267493"/>
    <n v="103"/>
    <n v="91"/>
    <n v="85.91077884372821"/>
    <n v="8336385"/>
  </r>
  <r>
    <x v="44"/>
    <n v="202510"/>
    <x v="1"/>
    <x v="8"/>
    <s v="Sebastián S"/>
    <s v="Johanna V"/>
    <n v="95704"/>
    <n v="8935897"/>
    <n v="93.370591397849481"/>
    <n v="98038.424808736265"/>
    <n v="117.5"/>
    <n v="99"/>
    <n v="91.14688947148116"/>
    <n v="9744799"/>
  </r>
  <r>
    <x v="26"/>
    <n v="202407"/>
    <x v="2"/>
    <x v="6"/>
    <s v="Sofía V"/>
    <s v="Melany A"/>
    <n v="95698"/>
    <n v="5155335"/>
    <n v="53.871115591397846"/>
    <n v="0"/>
    <n v="55"/>
    <n v="50.5"/>
    <m/>
    <n v="0"/>
  </r>
  <r>
    <x v="33"/>
    <n v="202602"/>
    <x v="0"/>
    <x v="2"/>
    <s v="Sofía V"/>
    <s v="José A"/>
    <n v="95683"/>
    <n v="8174587"/>
    <n v="85.434479166666634"/>
    <n v="90428.152350019474"/>
    <n v="93.5"/>
    <n v="94"/>
    <n v="84.619508156945685"/>
    <n v="7651986"/>
  </r>
  <r>
    <x v="13"/>
    <n v="202604"/>
    <x v="0"/>
    <x v="9"/>
    <s v="Sebastián S"/>
    <s v="Rodolfo O"/>
    <n v="95662"/>
    <n v="6058057"/>
    <n v="63.327736111113005"/>
    <n v="86155.719504619701"/>
    <n v="78"/>
    <n v="74.5"/>
    <n v="66.954795775232199"/>
    <n v="5768539"/>
  </r>
  <r>
    <x v="44"/>
    <n v="202405"/>
    <x v="2"/>
    <x v="3"/>
    <s v="Sebastián S"/>
    <s v="Johanna V"/>
    <n v="95652"/>
    <n v="9230904"/>
    <n v="96.504643817204325"/>
    <n v="0"/>
    <n v="117.5"/>
    <n v="99"/>
    <m/>
    <n v="0"/>
  </r>
  <r>
    <x v="43"/>
    <n v="202601"/>
    <x v="0"/>
    <x v="10"/>
    <s v="Sofía V"/>
    <s v="José A"/>
    <n v="95641"/>
    <n v="2713915"/>
    <n v="28.376108870967734"/>
    <n v="89194.566035680255"/>
    <n v="32.5"/>
    <n v="32"/>
    <n v="29.073700348097926"/>
    <n v="2593216"/>
  </r>
  <r>
    <x v="23"/>
    <n v="202407"/>
    <x v="2"/>
    <x v="6"/>
    <s v="Sebastián S"/>
    <s v="Rodolfo O"/>
    <n v="95634"/>
    <n v="8607382"/>
    <n v="90.00325268817204"/>
    <n v="0"/>
    <n v="94.5"/>
    <n v="97"/>
    <m/>
    <n v="0"/>
  </r>
  <r>
    <x v="35"/>
    <n v="202505"/>
    <x v="1"/>
    <x v="3"/>
    <s v="Hernán P"/>
    <s v="Daniel R"/>
    <n v="95624"/>
    <n v="11511534"/>
    <n v="120.38315860215056"/>
    <n v="96177.576235112545"/>
    <n v="140.5"/>
    <n v="125.5"/>
    <n v="119.69041704543771"/>
    <n v="12049182"/>
  </r>
  <r>
    <x v="35"/>
    <n v="202509"/>
    <x v="1"/>
    <x v="4"/>
    <s v="Hernán P"/>
    <s v="Daniel R"/>
    <n v="95606"/>
    <n v="11203001"/>
    <n v="117.1794166666667"/>
    <n v="97225.077572618524"/>
    <n v="140.5"/>
    <n v="125.5"/>
    <n v="115.22748564157581"/>
    <n v="11692699"/>
  </r>
  <r>
    <x v="12"/>
    <n v="202501"/>
    <x v="1"/>
    <x v="10"/>
    <s v="Sofía V"/>
    <s v="Melany A"/>
    <n v="95593"/>
    <n v="8267945"/>
    <n v="86.490739247311737"/>
    <n v="96377.041159769797"/>
    <n v="96.5"/>
    <n v="94"/>
    <n v="85.787493893838786"/>
    <n v="8046504"/>
  </r>
  <r>
    <x v="35"/>
    <n v="202506"/>
    <x v="1"/>
    <x v="11"/>
    <s v="Hernán P"/>
    <s v="Daniel R"/>
    <n v="95583"/>
    <n v="11339493"/>
    <n v="118.63527083333344"/>
    <n v="102065.34316137059"/>
    <n v="140.5"/>
    <n v="125.5"/>
    <n v="111.10032875774174"/>
    <n v="11851253"/>
  </r>
  <r>
    <x v="44"/>
    <n v="202406"/>
    <x v="2"/>
    <x v="11"/>
    <s v="Sebastián S"/>
    <s v="Johanna V"/>
    <n v="95492"/>
    <n v="9318815"/>
    <n v="97.587486111111133"/>
    <n v="0"/>
    <n v="117.5"/>
    <n v="99"/>
    <m/>
    <n v="0"/>
  </r>
  <r>
    <x v="11"/>
    <n v="202402"/>
    <x v="2"/>
    <x v="2"/>
    <s v="Sofía V"/>
    <s v="José A"/>
    <n v="95448"/>
    <n v="8804246"/>
    <n v="92.241494252873622"/>
    <n v="0"/>
    <n v="86.5"/>
    <n v="81.5"/>
    <m/>
    <n v="0"/>
  </r>
  <r>
    <x v="59"/>
    <n v="202606"/>
    <x v="0"/>
    <x v="11"/>
    <s v="Sebastián S"/>
    <s v="Johanna V"/>
    <n v="95333"/>
    <n v="8885351"/>
    <n v="93.203250000002143"/>
    <n v="86731.165506106219"/>
    <n v="118"/>
    <n v="106"/>
    <n v="102.17544085783207"/>
    <n v="8861795"/>
  </r>
  <r>
    <x v="12"/>
    <n v="202402"/>
    <x v="2"/>
    <x v="2"/>
    <s v="Sofía V"/>
    <s v="Melany A"/>
    <n v="95327"/>
    <n v="9023638"/>
    <n v="94.659461206896665"/>
    <n v="0"/>
    <n v="96.5"/>
    <n v="94"/>
    <m/>
    <n v="0"/>
  </r>
  <r>
    <x v="10"/>
    <n v="202606"/>
    <x v="0"/>
    <x v="11"/>
    <s v="Sofía V"/>
    <s v="Melany A"/>
    <n v="95288"/>
    <n v="9609769"/>
    <n v="100.84972916666906"/>
    <n v="90076.662981094007"/>
    <n v="125"/>
    <n v="118.5"/>
    <n v="102.97612103755296"/>
    <n v="9275745"/>
  </r>
  <r>
    <x v="31"/>
    <n v="202408"/>
    <x v="2"/>
    <x v="5"/>
    <s v="Sofía V"/>
    <s v="Melany A"/>
    <n v="95287"/>
    <n v="11311575"/>
    <n v="118.71082661290319"/>
    <n v="0"/>
    <n v="99"/>
    <n v="32.5"/>
    <m/>
    <n v="0"/>
  </r>
  <r>
    <x v="16"/>
    <n v="202404"/>
    <x v="2"/>
    <x v="9"/>
    <s v="Sofía V"/>
    <s v="José A"/>
    <n v="95268"/>
    <n v="5337720"/>
    <n v="56.028486111111114"/>
    <n v="0"/>
    <n v="64"/>
    <n v="67"/>
    <m/>
    <n v="0"/>
  </r>
  <r>
    <x v="56"/>
    <n v="202412"/>
    <x v="2"/>
    <x v="1"/>
    <s v="Sofía V"/>
    <s v="Joe H"/>
    <n v="95259"/>
    <n v="7980665"/>
    <n v="83.778474462365594"/>
    <n v="0"/>
    <n v="79.5"/>
    <n v="81.5"/>
    <m/>
    <n v="0"/>
  </r>
  <r>
    <x v="75"/>
    <n v="202512"/>
    <x v="1"/>
    <x v="1"/>
    <s v="Hernán P"/>
    <s v="Daniel R"/>
    <n v="95252"/>
    <n v="2535489"/>
    <n v="26.61881720430107"/>
    <n v="97733.109394131039"/>
    <n v="31"/>
    <n v="27"/>
    <n v="25.942989798626609"/>
    <n v="2437851"/>
  </r>
  <r>
    <x v="65"/>
    <n v="202506"/>
    <x v="1"/>
    <x v="11"/>
    <s v="Sebastián S"/>
    <s v="Johanna V"/>
    <n v="95248"/>
    <n v="8028120"/>
    <n v="84.286708333333337"/>
    <n v="90688.539114746687"/>
    <n v="103"/>
    <n v="91"/>
    <n v="88.524085935954446"/>
    <n v="8362455"/>
  </r>
  <r>
    <x v="12"/>
    <n v="202411"/>
    <x v="2"/>
    <x v="7"/>
    <s v="Sofía V"/>
    <s v="Melany A"/>
    <n v="95227"/>
    <n v="8512622"/>
    <n v="89.393208333333376"/>
    <n v="0"/>
    <n v="96.5"/>
    <n v="94"/>
    <m/>
    <n v="0"/>
  </r>
  <r>
    <x v="28"/>
    <n v="202407"/>
    <x v="2"/>
    <x v="6"/>
    <s v="Sebastián S"/>
    <s v="Rodolfo O"/>
    <n v="95217"/>
    <n v="5903727"/>
    <n v="62.002876344086026"/>
    <n v="0"/>
    <n v="65.5"/>
    <n v="66"/>
    <m/>
    <n v="0"/>
  </r>
  <r>
    <x v="6"/>
    <n v="202409"/>
    <x v="2"/>
    <x v="4"/>
    <s v="Sebastián S"/>
    <s v="Vik E"/>
    <n v="95215"/>
    <n v="8534368"/>
    <n v="89.632326388888956"/>
    <n v="0"/>
    <n v="100"/>
    <n v="98"/>
    <m/>
    <n v="0"/>
  </r>
  <r>
    <x v="15"/>
    <n v="202602"/>
    <x v="0"/>
    <x v="2"/>
    <s v="Sofía V"/>
    <s v="Joe H"/>
    <n v="95202"/>
    <n v="9353533"/>
    <n v="98.249739583333351"/>
    <n v="94958.948929032413"/>
    <n v="101"/>
    <n v="105"/>
    <n v="90.439897606894348"/>
    <n v="8588078"/>
  </r>
  <r>
    <x v="33"/>
    <n v="202509"/>
    <x v="1"/>
    <x v="4"/>
    <s v="Sofía V"/>
    <s v="José A"/>
    <n v="95171"/>
    <n v="8096166"/>
    <n v="85.069979166666684"/>
    <n v="101295.39655055397"/>
    <n v="93.5"/>
    <n v="94"/>
    <n v="79.926301645498839"/>
    <n v="8265286"/>
  </r>
  <r>
    <x v="48"/>
    <n v="202601"/>
    <x v="0"/>
    <x v="10"/>
    <s v="Hernán P"/>
    <s v="Daniel R"/>
    <n v="95165"/>
    <n v="5950274"/>
    <n v="62.52575940860217"/>
    <n v="93101.052719767395"/>
    <n v="79.5"/>
    <n v="72.5"/>
    <n v="64.209802769832038"/>
    <n v="5978000"/>
  </r>
  <r>
    <x v="16"/>
    <n v="202506"/>
    <x v="1"/>
    <x v="11"/>
    <s v="Sofía V"/>
    <s v="José A"/>
    <n v="95136"/>
    <n v="5372116"/>
    <n v="56.467833333333331"/>
    <n v="101617.16251991114"/>
    <n v="64"/>
    <n v="67"/>
    <n v="52.866227680263897"/>
    <n v="5393647"/>
  </r>
  <r>
    <x v="15"/>
    <n v="202402"/>
    <x v="2"/>
    <x v="2"/>
    <s v="Sofía V"/>
    <s v="Joe H"/>
    <n v="95087"/>
    <n v="8247647"/>
    <n v="86.737643678160936"/>
    <n v="0"/>
    <n v="101"/>
    <n v="105"/>
    <m/>
    <n v="0"/>
  </r>
  <r>
    <x v="31"/>
    <n v="202411"/>
    <x v="2"/>
    <x v="7"/>
    <s v="Sofía V"/>
    <s v="Melany A"/>
    <n v="95082"/>
    <n v="11438677"/>
    <n v="120.30292361111104"/>
    <n v="0"/>
    <n v="99"/>
    <n v="32.5"/>
    <m/>
    <n v="0"/>
  </r>
  <r>
    <x v="44"/>
    <n v="202501"/>
    <x v="1"/>
    <x v="10"/>
    <s v="Sebastián S"/>
    <s v="Johanna V"/>
    <n v="95075"/>
    <n v="9785448"/>
    <n v="102.92305107526877"/>
    <n v="109746.07059748794"/>
    <n v="117.5"/>
    <n v="99"/>
    <n v="89.164454059496734"/>
    <n v="9492669"/>
  </r>
  <r>
    <x v="33"/>
    <n v="202401"/>
    <x v="2"/>
    <x v="10"/>
    <s v="Sofía V"/>
    <s v="José A"/>
    <n v="95060"/>
    <n v="7367001"/>
    <n v="77.498514784946167"/>
    <n v="0"/>
    <n v="93.5"/>
    <n v="94"/>
    <m/>
    <n v="0"/>
  </r>
  <r>
    <x v="12"/>
    <n v="202507"/>
    <x v="1"/>
    <x v="6"/>
    <s v="Sofía V"/>
    <s v="Melany A"/>
    <n v="95052"/>
    <n v="8758051"/>
    <n v="92.139569892473162"/>
    <n v="109474.18320738868"/>
    <n v="96.5"/>
    <n v="94"/>
    <n v="80.001061194571236"/>
    <n v="9101028"/>
  </r>
  <r>
    <x v="8"/>
    <n v="202401"/>
    <x v="2"/>
    <x v="10"/>
    <s v="Sebastián S"/>
    <s v="Vik E"/>
    <n v="95037"/>
    <n v="7496254"/>
    <n v="78.876922043010779"/>
    <n v="0"/>
    <n v="88"/>
    <n v="84"/>
    <m/>
    <n v="0"/>
  </r>
  <r>
    <x v="52"/>
    <n v="202601"/>
    <x v="0"/>
    <x v="10"/>
    <s v="Sebastián S"/>
    <s v="Vik E"/>
    <n v="95035"/>
    <n v="6335617"/>
    <n v="66.665967741935489"/>
    <n v="95204.829948658269"/>
    <n v="80"/>
    <n v="78"/>
    <n v="69.114627897013889"/>
    <n v="6580046"/>
  </r>
  <r>
    <x v="17"/>
    <n v="202507"/>
    <x v="1"/>
    <x v="6"/>
    <s v="Sofía V"/>
    <s v="Joe H"/>
    <n v="95016"/>
    <n v="8411060"/>
    <n v="88.522573924731262"/>
    <n v="99139.539591084467"/>
    <n v="94"/>
    <n v="92"/>
    <n v="84.840616011458664"/>
    <n v="8761964"/>
  </r>
  <r>
    <x v="37"/>
    <n v="202603"/>
    <x v="0"/>
    <x v="0"/>
    <s v="Sofía V"/>
    <s v="Melany A"/>
    <n v="94998"/>
    <n v="6413220"/>
    <n v="67.508884408602185"/>
    <n v="140497.11824119583"/>
    <n v="72.5"/>
    <n v="68.5"/>
    <n v="63.042188618377821"/>
    <n v="8857246"/>
  </r>
  <r>
    <x v="61"/>
    <n v="202606"/>
    <x v="0"/>
    <x v="11"/>
    <s v="Sofía V"/>
    <s v="Joe H"/>
    <n v="94974"/>
    <n v="3014442"/>
    <n v="31.73955555555542"/>
    <n v="75032.560732402766"/>
    <n v="41.5"/>
    <n v="35.5"/>
    <n v="37.124878906032741"/>
    <n v="2785575"/>
  </r>
  <r>
    <x v="76"/>
    <n v="202605"/>
    <x v="0"/>
    <x v="3"/>
    <s v="Hernán P"/>
    <s v="Daniel R"/>
    <n v="94971"/>
    <n v="8044748"/>
    <n v="84.707056451612914"/>
    <n v="89135.317800844423"/>
    <n v="106"/>
    <n v="94.5"/>
    <n v="88.413034538205707"/>
    <n v="7880724"/>
  </r>
  <r>
    <x v="73"/>
    <n v="202403"/>
    <x v="2"/>
    <x v="0"/>
    <s v="Fátima L"/>
    <s v="Fátima L"/>
    <n v="94963"/>
    <n v="1116765"/>
    <n v="11.760047043010754"/>
    <n v="0"/>
    <n v="13.5"/>
    <n v="12"/>
    <m/>
    <n v="0"/>
  </r>
  <r>
    <x v="72"/>
    <n v="202512"/>
    <x v="1"/>
    <x v="1"/>
    <s v="Sebastián S"/>
    <s v="Vik E"/>
    <n v="94962"/>
    <n v="7230944"/>
    <n v="76.145604838709673"/>
    <n v="89570.752755000329"/>
    <n v="79.5"/>
    <n v="67"/>
    <n v="80.728849067267987"/>
    <n v="7429222"/>
  </r>
  <r>
    <x v="5"/>
    <n v="202405"/>
    <x v="2"/>
    <x v="3"/>
    <s v="Sebastián S"/>
    <s v="Rodolfo O"/>
    <n v="94918"/>
    <n v="5820637"/>
    <n v="61.322869623655905"/>
    <n v="0"/>
    <n v="68.5"/>
    <n v="66"/>
    <m/>
    <n v="0"/>
  </r>
  <r>
    <x v="26"/>
    <n v="202510"/>
    <x v="1"/>
    <x v="8"/>
    <s v="Sofía V"/>
    <s v="Melany A"/>
    <n v="94877"/>
    <n v="4298854"/>
    <n v="45.3095698924731"/>
    <n v="94192.325330250795"/>
    <n v="55"/>
    <n v="50.5"/>
    <n v="45.639107909563201"/>
    <n v="4818761"/>
  </r>
  <r>
    <x v="8"/>
    <n v="202405"/>
    <x v="2"/>
    <x v="3"/>
    <s v="Sebastián S"/>
    <s v="Vik E"/>
    <n v="94877"/>
    <n v="7814307"/>
    <n v="82.362668010752728"/>
    <n v="0"/>
    <n v="88"/>
    <n v="84"/>
    <m/>
    <n v="0"/>
  </r>
  <r>
    <x v="24"/>
    <n v="202406"/>
    <x v="2"/>
    <x v="11"/>
    <s v="Sofía V"/>
    <s v="Joe H"/>
    <n v="94866"/>
    <n v="5941879"/>
    <n v="62.634347222222232"/>
    <n v="0"/>
    <n v="71"/>
    <n v="74.5"/>
    <m/>
    <n v="0"/>
  </r>
  <r>
    <x v="30"/>
    <n v="202602"/>
    <x v="0"/>
    <x v="2"/>
    <s v="Sebastián S"/>
    <s v="Vik E"/>
    <n v="94843"/>
    <n v="8633173"/>
    <n v="91.0260416666667"/>
    <n v="103083.7535131045"/>
    <n v="101.5"/>
    <n v="97.5"/>
    <n v="87.689184144336366"/>
    <n v="9039330"/>
  </r>
  <r>
    <x v="11"/>
    <n v="202605"/>
    <x v="0"/>
    <x v="3"/>
    <s v="Sofía V"/>
    <s v="José A"/>
    <n v="94838"/>
    <n v="7382461"/>
    <n v="77.843151881720672"/>
    <n v="97191.731131940745"/>
    <n v="86.5"/>
    <n v="81.5"/>
    <n v="76.26782259426129"/>
    <n v="7412602"/>
  </r>
  <r>
    <x v="48"/>
    <n v="202408"/>
    <x v="2"/>
    <x v="5"/>
    <s v="Hernán P"/>
    <s v="Daniel R"/>
    <n v="94741"/>
    <n v="5737894"/>
    <n v="60.56397177419354"/>
    <n v="0"/>
    <n v="79.5"/>
    <n v="72.5"/>
    <m/>
    <n v="0"/>
  </r>
  <r>
    <x v="22"/>
    <n v="202602"/>
    <x v="0"/>
    <x v="2"/>
    <s v="Sebastián S"/>
    <s v="Johanna V"/>
    <n v="94732"/>
    <n v="8664829"/>
    <n v="91.4668229166667"/>
    <n v="90637.194840407654"/>
    <n v="104.5"/>
    <n v="99"/>
    <n v="90.280982690474389"/>
    <n v="8182815"/>
  </r>
  <r>
    <x v="32"/>
    <n v="202408"/>
    <x v="2"/>
    <x v="5"/>
    <s v="Sofía V"/>
    <s v="Melany A"/>
    <n v="94730"/>
    <n v="5698041"/>
    <n v="60.150510752688177"/>
    <n v="0"/>
    <n v="75.5"/>
    <n v="68"/>
    <m/>
    <n v="0"/>
  </r>
  <r>
    <x v="21"/>
    <n v="202510"/>
    <x v="1"/>
    <x v="8"/>
    <s v="Sebastián S"/>
    <s v="Rodolfo O"/>
    <n v="94702"/>
    <n v="6308362"/>
    <n v="66.612809139784972"/>
    <n v="91350.324356848112"/>
    <n v="84.5"/>
    <n v="86.5"/>
    <n v="69.056815117122127"/>
    <n v="6756699"/>
  </r>
  <r>
    <x v="72"/>
    <n v="202603"/>
    <x v="0"/>
    <x v="0"/>
    <s v="Sebastián S"/>
    <s v="Vik E"/>
    <n v="94682"/>
    <n v="6937209"/>
    <n v="73.268642473118263"/>
    <n v="91302.87956293665"/>
    <n v="79.5"/>
    <n v="67"/>
    <n v="68.682661472657543"/>
    <n v="6270925"/>
  </r>
  <r>
    <x v="4"/>
    <n v="202410"/>
    <x v="2"/>
    <x v="8"/>
    <s v="Sofía V"/>
    <s v="José A"/>
    <n v="94652"/>
    <n v="9300371"/>
    <n v="98.258501344086028"/>
    <n v="0"/>
    <n v="107.5"/>
    <n v="102.5"/>
    <m/>
    <n v="0"/>
  </r>
  <r>
    <x v="44"/>
    <n v="202505"/>
    <x v="1"/>
    <x v="3"/>
    <s v="Sebastián S"/>
    <s v="Johanna V"/>
    <n v="94647"/>
    <n v="8809963"/>
    <n v="93.082641129032211"/>
    <n v="100435.059470911"/>
    <n v="117.5"/>
    <n v="99"/>
    <n v="87.718006206305162"/>
    <n v="9916033"/>
  </r>
  <r>
    <x v="7"/>
    <n v="202509"/>
    <x v="1"/>
    <x v="4"/>
    <s v="Sebastián S"/>
    <s v="Rodolfo O"/>
    <n v="94642"/>
    <n v="5367930"/>
    <n v="56.717986111111109"/>
    <n v="86760.245227821128"/>
    <n v="65.5"/>
    <n v="63"/>
    <n v="61.870844254814109"/>
    <n v="4491442"/>
  </r>
  <r>
    <x v="18"/>
    <n v="202604"/>
    <x v="0"/>
    <x v="9"/>
    <s v="Sofía V"/>
    <s v="Joe H"/>
    <n v="94619"/>
    <n v="4247926"/>
    <n v="44.895131944444266"/>
    <n v="87397.564447321405"/>
    <n v="50.5"/>
    <n v="51.5"/>
    <n v="44.728769766304502"/>
    <n v="3909186"/>
  </r>
  <r>
    <x v="59"/>
    <n v="202408"/>
    <x v="2"/>
    <x v="5"/>
    <s v="Sebastián S"/>
    <s v="Johanna V"/>
    <n v="94612"/>
    <n v="9531623"/>
    <n v="100.74453629032256"/>
    <n v="0"/>
    <n v="118"/>
    <n v="106"/>
    <m/>
    <n v="0"/>
  </r>
  <r>
    <x v="65"/>
    <n v="202403"/>
    <x v="2"/>
    <x v="0"/>
    <s v="Sebastián S"/>
    <s v="Johanna V"/>
    <n v="94611"/>
    <n v="8779397"/>
    <n v="92.794220430107515"/>
    <n v="0"/>
    <n v="103"/>
    <n v="91"/>
    <m/>
    <n v="0"/>
  </r>
  <r>
    <x v="25"/>
    <n v="202504"/>
    <x v="1"/>
    <x v="9"/>
    <s v="Sebastián S"/>
    <s v="Vik E"/>
    <n v="94601"/>
    <n v="6302287"/>
    <n v="66.619972222222231"/>
    <n v="91189.171364977476"/>
    <n v="77"/>
    <n v="79"/>
    <n v="69.112234442569829"/>
    <n v="6444231"/>
  </r>
  <r>
    <x v="65"/>
    <n v="202505"/>
    <x v="1"/>
    <x v="3"/>
    <s v="Sebastián S"/>
    <s v="Johanna V"/>
    <n v="94583"/>
    <n v="8045367"/>
    <n v="85.061619623655901"/>
    <n v="94092.308994474894"/>
    <n v="103"/>
    <n v="91"/>
    <n v="85.505046331389565"/>
    <n v="8409677"/>
  </r>
  <r>
    <x v="52"/>
    <n v="202604"/>
    <x v="0"/>
    <x v="9"/>
    <s v="Sebastián S"/>
    <s v="Vik E"/>
    <n v="94569"/>
    <n v="6479343"/>
    <n v="68.514347222223876"/>
    <n v="91487.173478267272"/>
    <n v="80"/>
    <n v="78"/>
    <n v="69.114627897013889"/>
    <n v="6323102"/>
  </r>
  <r>
    <x v="65"/>
    <n v="202503"/>
    <x v="1"/>
    <x v="0"/>
    <s v="Sebastián S"/>
    <s v="Johanna V"/>
    <n v="94564"/>
    <n v="8817575"/>
    <n v="93.244986559139733"/>
    <n v="99342.034646901928"/>
    <n v="103"/>
    <n v="91"/>
    <n v="88.759756344239378"/>
    <n v="8971212"/>
  </r>
  <r>
    <x v="34"/>
    <n v="202604"/>
    <x v="0"/>
    <x v="9"/>
    <s v="Hernán P"/>
    <s v="Daniel R"/>
    <n v="94552"/>
    <n v="1180435"/>
    <n v="12.48454861111111"/>
    <n v="76504.644469779683"/>
    <n v="15"/>
    <n v="15"/>
    <n v="13.971887755419019"/>
    <n v="1068914"/>
  </r>
  <r>
    <x v="24"/>
    <n v="202505"/>
    <x v="1"/>
    <x v="3"/>
    <s v="Sofía V"/>
    <s v="Joe H"/>
    <n v="94546"/>
    <n v="5803496"/>
    <n v="61.382802419354839"/>
    <n v="94200.808821464379"/>
    <n v="71"/>
    <n v="74.5"/>
    <n v="61.607713591920131"/>
    <n v="5765207"/>
  </r>
  <r>
    <x v="60"/>
    <n v="202604"/>
    <x v="0"/>
    <x v="9"/>
    <s v="Sofía V"/>
    <s v="Melany A"/>
    <n v="94534"/>
    <n v="10181196"/>
    <n v="107.69893750000358"/>
    <n v="89866.168492841753"/>
    <n v="88.5"/>
    <n v="92.5"/>
    <n v="102.97612103755296"/>
    <n v="9254069"/>
  </r>
  <r>
    <x v="36"/>
    <n v="202401"/>
    <x v="2"/>
    <x v="10"/>
    <s v="Sebastián S"/>
    <s v="Rodolfo O"/>
    <n v="94529"/>
    <n v="6425604"/>
    <n v="67.975080645161285"/>
    <n v="0"/>
    <n v="81"/>
    <n v="77"/>
    <m/>
    <n v="0"/>
  </r>
  <r>
    <x v="17"/>
    <n v="202501"/>
    <x v="1"/>
    <x v="10"/>
    <s v="Sofía V"/>
    <s v="Joe H"/>
    <n v="94518"/>
    <n v="8088638"/>
    <n v="85.57796370967742"/>
    <n v="93484.943561593973"/>
    <n v="94"/>
    <n v="92"/>
    <n v="86.523433419742915"/>
    <n v="7239192"/>
  </r>
  <r>
    <x v="20"/>
    <n v="202402"/>
    <x v="2"/>
    <x v="2"/>
    <s v="Sofía V"/>
    <s v="Joe H"/>
    <n v="94496"/>
    <n v="8845296"/>
    <n v="93.604935344827581"/>
    <n v="0"/>
    <n v="96.5"/>
    <n v="96"/>
    <m/>
    <n v="0"/>
  </r>
  <r>
    <x v="29"/>
    <n v="202402"/>
    <x v="2"/>
    <x v="2"/>
    <s v="Sebastián S"/>
    <s v="Vik E"/>
    <n v="94480"/>
    <n v="6895113"/>
    <n v="72.979978448275872"/>
    <n v="0"/>
    <n v="76.5"/>
    <n v="75.5"/>
    <m/>
    <n v="0"/>
  </r>
  <r>
    <x v="75"/>
    <n v="202503"/>
    <x v="1"/>
    <x v="0"/>
    <s v="Hernán P"/>
    <s v="Daniel R"/>
    <n v="94474"/>
    <n v="2452740"/>
    <n v="25.962049731182795"/>
    <n v="66151.788381754683"/>
    <n v="31"/>
    <n v="27"/>
    <n v="37.077460640149383"/>
    <n v="1609718"/>
  </r>
  <r>
    <x v="28"/>
    <n v="202505"/>
    <x v="1"/>
    <x v="3"/>
    <s v="Sebastián S"/>
    <s v="Rodolfo O"/>
    <n v="94436"/>
    <n v="5537331"/>
    <n v="58.635819892473116"/>
    <n v="84491.679197343852"/>
    <n v="65.5"/>
    <n v="66"/>
    <n v="65.536997519799272"/>
    <n v="5525438"/>
  </r>
  <r>
    <x v="32"/>
    <n v="202601"/>
    <x v="0"/>
    <x v="10"/>
    <s v="Sofía V"/>
    <s v="Melany A"/>
    <n v="94435"/>
    <n v="5732262"/>
    <n v="60.700913978494611"/>
    <n v="90712.841362653344"/>
    <n v="75.5"/>
    <n v="68"/>
    <n v="66.56902434528007"/>
    <n v="6038665"/>
  </r>
  <r>
    <x v="17"/>
    <n v="202407"/>
    <x v="2"/>
    <x v="6"/>
    <s v="Sofía V"/>
    <s v="Joe H"/>
    <n v="94419"/>
    <n v="8097795"/>
    <n v="85.764818548387126"/>
    <n v="0"/>
    <n v="94"/>
    <n v="92"/>
    <m/>
    <n v="0"/>
  </r>
  <r>
    <x v="21"/>
    <n v="202501"/>
    <x v="1"/>
    <x v="10"/>
    <s v="Sebastián S"/>
    <s v="Rodolfo O"/>
    <n v="94405"/>
    <n v="6778287"/>
    <n v="71.799959677419338"/>
    <n v="89102.895879688251"/>
    <n v="84.5"/>
    <n v="86.5"/>
    <n v="76.072575454252643"/>
    <n v="6456367"/>
  </r>
  <r>
    <x v="17"/>
    <n v="202505"/>
    <x v="1"/>
    <x v="3"/>
    <s v="Sofía V"/>
    <s v="Joe H"/>
    <n v="94403"/>
    <n v="8347340"/>
    <n v="88.422231182795755"/>
    <n v="91152.400195018912"/>
    <n v="94"/>
    <n v="92"/>
    <n v="91.575643780536936"/>
    <n v="7748843"/>
  </r>
  <r>
    <x v="37"/>
    <n v="202606"/>
    <x v="0"/>
    <x v="11"/>
    <s v="Sofía V"/>
    <s v="Melany A"/>
    <n v="94382"/>
    <n v="5474442"/>
    <n v="58.003312500000682"/>
    <n v="101599.7146969739"/>
    <n v="72.5"/>
    <n v="68.5"/>
    <n v="63.042188618377821"/>
    <n v="6405068"/>
  </r>
  <r>
    <x v="6"/>
    <n v="202402"/>
    <x v="2"/>
    <x v="2"/>
    <s v="Sebastián S"/>
    <s v="Vik E"/>
    <n v="94377"/>
    <n v="8524599"/>
    <n v="90.325395114942538"/>
    <n v="0"/>
    <n v="100"/>
    <n v="98"/>
    <m/>
    <n v="0"/>
  </r>
  <r>
    <x v="17"/>
    <n v="202504"/>
    <x v="1"/>
    <x v="9"/>
    <s v="Sofía V"/>
    <s v="Joe H"/>
    <n v="94285"/>
    <n v="8494729"/>
    <n v="90.096416666666713"/>
    <n v="96612.817347702905"/>
    <n v="94"/>
    <n v="92"/>
    <n v="87.925490770319371"/>
    <n v="7662704"/>
  </r>
  <r>
    <x v="10"/>
    <n v="202406"/>
    <x v="2"/>
    <x v="11"/>
    <s v="Sofía V"/>
    <s v="Melany A"/>
    <n v="94245"/>
    <n v="9804161"/>
    <n v="104.02855555555558"/>
    <n v="0"/>
    <n v="125"/>
    <n v="118.5"/>
    <m/>
    <n v="0"/>
  </r>
  <r>
    <x v="8"/>
    <n v="202411"/>
    <x v="2"/>
    <x v="7"/>
    <s v="Sebastián S"/>
    <s v="Vik E"/>
    <n v="94232"/>
    <n v="7611920"/>
    <n v="80.778444444444446"/>
    <n v="0"/>
    <n v="88"/>
    <n v="84"/>
    <m/>
    <n v="0"/>
  </r>
  <r>
    <x v="26"/>
    <n v="202501"/>
    <x v="1"/>
    <x v="10"/>
    <s v="Sofía V"/>
    <s v="Melany A"/>
    <n v="94175"/>
    <n v="4611334"/>
    <n v="48.965564516129028"/>
    <n v="109536.47790537088"/>
    <n v="55"/>
    <n v="50.5"/>
    <n v="42.098611879631143"/>
    <n v="4820393"/>
  </r>
  <r>
    <x v="24"/>
    <n v="202508"/>
    <x v="1"/>
    <x v="5"/>
    <s v="Sofía V"/>
    <s v="Joe H"/>
    <n v="94151"/>
    <n v="5625500"/>
    <n v="59.749798387096774"/>
    <n v="95837.99994948681"/>
    <n v="71"/>
    <n v="74.5"/>
    <n v="58.698009588733306"/>
    <n v="5967955"/>
  </r>
  <r>
    <x v="26"/>
    <n v="202505"/>
    <x v="1"/>
    <x v="3"/>
    <s v="Sofía V"/>
    <s v="Melany A"/>
    <n v="94142"/>
    <n v="4603620"/>
    <n v="48.900739247311819"/>
    <n v="96436.927844726175"/>
    <n v="55"/>
    <n v="50.5"/>
    <n v="47.737109973187088"/>
    <n v="4979171"/>
  </r>
  <r>
    <x v="22"/>
    <n v="202501"/>
    <x v="1"/>
    <x v="10"/>
    <s v="Sebastián S"/>
    <s v="Johanna V"/>
    <n v="94129"/>
    <n v="8652871"/>
    <n v="91.92571236559138"/>
    <n v="95248.542454725233"/>
    <n v="104.5"/>
    <n v="99"/>
    <n v="90.845175338121265"/>
    <n v="8960280"/>
  </r>
  <r>
    <x v="21"/>
    <n v="202407"/>
    <x v="2"/>
    <x v="6"/>
    <s v="Sebastián S"/>
    <s v="Rodolfo O"/>
    <n v="94115"/>
    <n v="7633865"/>
    <n v="81.112217741935439"/>
    <n v="0"/>
    <n v="84.5"/>
    <n v="86.5"/>
    <m/>
    <n v="0"/>
  </r>
  <r>
    <x v="48"/>
    <n v="202507"/>
    <x v="1"/>
    <x v="6"/>
    <s v="Hernán P"/>
    <s v="Daniel R"/>
    <n v="94096"/>
    <n v="5793049"/>
    <n v="61.565000000000026"/>
    <n v="101748.2860613809"/>
    <n v="79.5"/>
    <n v="72.5"/>
    <n v="56.935098312174745"/>
    <n v="6070535"/>
  </r>
  <r>
    <x v="23"/>
    <n v="202406"/>
    <x v="2"/>
    <x v="11"/>
    <s v="Sebastián S"/>
    <s v="Rodolfo O"/>
    <n v="94095"/>
    <n v="7865898"/>
    <n v="83.594874999999973"/>
    <n v="0"/>
    <n v="94.5"/>
    <n v="97"/>
    <m/>
    <n v="0"/>
  </r>
  <r>
    <x v="16"/>
    <n v="202410"/>
    <x v="2"/>
    <x v="8"/>
    <s v="Sofía V"/>
    <s v="José A"/>
    <n v="94053"/>
    <n v="5246520"/>
    <n v="55.782520161290336"/>
    <n v="0"/>
    <n v="64"/>
    <n v="67"/>
    <m/>
    <n v="0"/>
  </r>
  <r>
    <x v="31"/>
    <n v="202409"/>
    <x v="2"/>
    <x v="4"/>
    <s v="Sofía V"/>
    <s v="Melany A"/>
    <n v="94038"/>
    <n v="10985952"/>
    <n v="116.8241180555555"/>
    <n v="0"/>
    <n v="99"/>
    <n v="32.5"/>
    <m/>
    <n v="0"/>
  </r>
  <r>
    <x v="28"/>
    <n v="202508"/>
    <x v="1"/>
    <x v="5"/>
    <s v="Sebastián S"/>
    <s v="Rodolfo O"/>
    <n v="94035"/>
    <n v="5154384"/>
    <n v="54.813293010752687"/>
    <n v="97197.647267207358"/>
    <n v="65.5"/>
    <n v="66"/>
    <n v="53.029920835738082"/>
    <n v="5420372"/>
  </r>
  <r>
    <x v="47"/>
    <n v="202412"/>
    <x v="2"/>
    <x v="1"/>
    <s v="Sebastián S"/>
    <s v="Vik E"/>
    <n v="94022"/>
    <n v="5973585"/>
    <n v="63.533655913978521"/>
    <n v="0"/>
    <n v="61.5"/>
    <n v="48.5"/>
    <m/>
    <n v="0"/>
  </r>
  <r>
    <x v="33"/>
    <n v="202408"/>
    <x v="2"/>
    <x v="5"/>
    <s v="Sofía V"/>
    <s v="José A"/>
    <n v="94018"/>
    <n v="8640476"/>
    <n v="91.902614247311732"/>
    <n v="0"/>
    <n v="93.5"/>
    <n v="94"/>
    <m/>
    <n v="0"/>
  </r>
  <r>
    <x v="39"/>
    <n v="202603"/>
    <x v="0"/>
    <x v="0"/>
    <s v="Sofía V"/>
    <s v="Melany A"/>
    <n v="94008"/>
    <n v="5387372"/>
    <n v="57.307419354838707"/>
    <n v="96406.587796308653"/>
    <n v="60.5"/>
    <n v="60.5"/>
    <n v="53.343390369396616"/>
    <n v="5142654"/>
  </r>
  <r>
    <x v="11"/>
    <n v="202601"/>
    <x v="0"/>
    <x v="10"/>
    <s v="Sofía V"/>
    <s v="José A"/>
    <n v="94005"/>
    <n v="6780165"/>
    <n v="72.125544354838681"/>
    <n v="119655.23794154664"/>
    <n v="86.5"/>
    <n v="81.5"/>
    <n v="76.26782259426129"/>
    <n v="9125844"/>
  </r>
  <r>
    <x v="60"/>
    <n v="202403"/>
    <x v="2"/>
    <x v="0"/>
    <s v="Sofía V"/>
    <s v="Melany A"/>
    <n v="93968"/>
    <n v="7740735"/>
    <n v="82.376169354838723"/>
    <n v="0"/>
    <n v="88.5"/>
    <n v="92.5"/>
    <m/>
    <n v="0"/>
  </r>
  <r>
    <x v="9"/>
    <n v="202411"/>
    <x v="2"/>
    <x v="7"/>
    <s v="Sofía V"/>
    <s v="Joe H"/>
    <n v="93942"/>
    <n v="5957710"/>
    <n v="63.418881944444472"/>
    <n v="0"/>
    <n v="70.5"/>
    <n v="69.5"/>
    <m/>
    <n v="0"/>
  </r>
  <r>
    <x v="44"/>
    <n v="202402"/>
    <x v="2"/>
    <x v="2"/>
    <s v="Sebastián S"/>
    <s v="Johanna V"/>
    <n v="93913"/>
    <n v="8815777"/>
    <n v="93.872061781609176"/>
    <n v="0"/>
    <n v="117.5"/>
    <n v="99"/>
    <m/>
    <n v="0"/>
  </r>
  <r>
    <x v="29"/>
    <n v="202508"/>
    <x v="1"/>
    <x v="5"/>
    <s v="Sebastián S"/>
    <s v="Vik E"/>
    <n v="93902"/>
    <n v="5540328"/>
    <n v="59.001485215053755"/>
    <n v="97865.645380498026"/>
    <n v="76.5"/>
    <n v="75.5"/>
    <n v="56.611574352362418"/>
    <n v="6013045"/>
  </r>
  <r>
    <x v="45"/>
    <n v="202604"/>
    <x v="0"/>
    <x v="9"/>
    <s v="Sofía V"/>
    <s v="Joe H"/>
    <n v="93900"/>
    <n v="6003071"/>
    <n v="63.930562500000931"/>
    <n v="92739.829586351334"/>
    <n v="68"/>
    <n v="68.5"/>
    <n v="60.397061823201135"/>
    <n v="5601213"/>
  </r>
  <r>
    <x v="11"/>
    <n v="202604"/>
    <x v="0"/>
    <x v="9"/>
    <s v="Sofía V"/>
    <s v="José A"/>
    <n v="93893"/>
    <n v="7255945"/>
    <n v="77.278979166667298"/>
    <n v="94290.432360410734"/>
    <n v="86.5"/>
    <n v="81.5"/>
    <n v="76.26782259426129"/>
    <n v="7191326"/>
  </r>
  <r>
    <x v="22"/>
    <n v="202406"/>
    <x v="2"/>
    <x v="11"/>
    <s v="Sebastián S"/>
    <s v="Johanna V"/>
    <n v="93879"/>
    <n v="8785062"/>
    <n v="93.57823611111111"/>
    <n v="0"/>
    <n v="104.5"/>
    <n v="99"/>
    <m/>
    <n v="0"/>
  </r>
  <r>
    <x v="72"/>
    <n v="202605"/>
    <x v="0"/>
    <x v="3"/>
    <s v="Sebastián S"/>
    <s v="Vik E"/>
    <n v="93869"/>
    <n v="6072336"/>
    <n v="64.689737903225463"/>
    <n v="80253.555466750942"/>
    <n v="79.5"/>
    <n v="67"/>
    <n v="68.682661472657543"/>
    <n v="5512028"/>
  </r>
  <r>
    <x v="12"/>
    <n v="202408"/>
    <x v="2"/>
    <x v="5"/>
    <s v="Sofía V"/>
    <s v="Melany A"/>
    <n v="93853"/>
    <n v="8134366"/>
    <n v="86.671008064516158"/>
    <n v="0"/>
    <n v="96.5"/>
    <n v="94"/>
    <m/>
    <n v="0"/>
  </r>
  <r>
    <x v="22"/>
    <n v="202510"/>
    <x v="1"/>
    <x v="8"/>
    <s v="Sebastián S"/>
    <s v="Johanna V"/>
    <n v="93830"/>
    <n v="8406490"/>
    <n v="89.593037634408574"/>
    <n v="96417.701445830564"/>
    <n v="104.5"/>
    <n v="99"/>
    <n v="87.188239544612415"/>
    <n v="9176907"/>
  </r>
  <r>
    <x v="21"/>
    <n v="202406"/>
    <x v="2"/>
    <x v="11"/>
    <s v="Sebastián S"/>
    <s v="Rodolfo O"/>
    <n v="93815"/>
    <n v="7099340"/>
    <n v="75.673597222222256"/>
    <n v="0"/>
    <n v="84.5"/>
    <n v="86.5"/>
    <m/>
    <n v="0"/>
  </r>
  <r>
    <x v="60"/>
    <n v="202602"/>
    <x v="0"/>
    <x v="2"/>
    <s v="Sofía V"/>
    <s v="Melany A"/>
    <n v="93776"/>
    <n v="9907585"/>
    <n v="105.65171874999996"/>
    <n v="72374.255859590325"/>
    <n v="88.5"/>
    <n v="92.5"/>
    <n v="102.97612103755296"/>
    <n v="7452820"/>
  </r>
  <r>
    <x v="4"/>
    <n v="202504"/>
    <x v="1"/>
    <x v="9"/>
    <s v="Sofía V"/>
    <s v="José A"/>
    <n v="93766"/>
    <n v="9296042"/>
    <n v="99.140513888888876"/>
    <n v="94786.307702774371"/>
    <n v="107.5"/>
    <n v="102.5"/>
    <n v="98.07368485277442"/>
    <n v="10380714"/>
  </r>
  <r>
    <x v="73"/>
    <n v="202504"/>
    <x v="1"/>
    <x v="9"/>
    <s v="Fátima L"/>
    <s v="Fátima L"/>
    <n v="93757"/>
    <n v="911123"/>
    <n v="9.7178958333333334"/>
    <n v="98180.662804041203"/>
    <n v="13.5"/>
    <n v="12"/>
    <n v="9.2800657887033271"/>
    <n v="1025443"/>
  </r>
  <r>
    <x v="19"/>
    <n v="202501"/>
    <x v="1"/>
    <x v="10"/>
    <s v="Sofía V"/>
    <s v="Joe H"/>
    <n v="93693"/>
    <n v="5124832"/>
    <n v="54.698037634408593"/>
    <n v="93986.87369718228"/>
    <n v="57.5"/>
    <n v="56.5"/>
    <n v="54.527105098864915"/>
    <n v="4692061"/>
  </r>
  <r>
    <x v="5"/>
    <n v="202410"/>
    <x v="2"/>
    <x v="8"/>
    <s v="Sebastián S"/>
    <s v="Rodolfo O"/>
    <n v="93604"/>
    <n v="5475236"/>
    <n v="58.493749999999991"/>
    <n v="0"/>
    <n v="68.5"/>
    <n v="66"/>
    <m/>
    <n v="0"/>
  </r>
  <r>
    <x v="33"/>
    <n v="202504"/>
    <x v="1"/>
    <x v="9"/>
    <s v="Sofía V"/>
    <s v="José A"/>
    <n v="93547"/>
    <n v="7969404"/>
    <n v="85.191847222222265"/>
    <n v="92361.892227572258"/>
    <n v="93.5"/>
    <n v="94"/>
    <n v="86.284544608116434"/>
    <n v="8293194"/>
  </r>
  <r>
    <x v="47"/>
    <n v="202503"/>
    <x v="1"/>
    <x v="0"/>
    <s v="Sebastián S"/>
    <s v="Vik E"/>
    <n v="93543"/>
    <n v="5149693"/>
    <n v="55.051377688172039"/>
    <n v="87505.019270908626"/>
    <n v="61.5"/>
    <n v="48.5"/>
    <n v="58.85026359524538"/>
    <n v="5111690"/>
  </r>
  <r>
    <x v="10"/>
    <n v="202408"/>
    <x v="2"/>
    <x v="5"/>
    <s v="Sofía V"/>
    <s v="Melany A"/>
    <n v="93535"/>
    <n v="9766935"/>
    <n v="104.42005376344089"/>
    <n v="0"/>
    <n v="125"/>
    <n v="118.5"/>
    <m/>
    <n v="0"/>
  </r>
  <r>
    <x v="73"/>
    <n v="202404"/>
    <x v="2"/>
    <x v="9"/>
    <s v="Fátima L"/>
    <s v="Fátima L"/>
    <n v="93505"/>
    <n v="970439"/>
    <n v="10.378423611111113"/>
    <n v="0"/>
    <n v="13.5"/>
    <n v="12"/>
    <m/>
    <n v="0"/>
  </r>
  <r>
    <x v="14"/>
    <n v="202508"/>
    <x v="1"/>
    <x v="5"/>
    <s v="Sofía V"/>
    <s v="Melany A"/>
    <n v="93475"/>
    <n v="4831449"/>
    <n v="51.687143817204323"/>
    <n v="93203.882542812513"/>
    <n v="59.5"/>
    <n v="55.5"/>
    <n v="51.837421448411355"/>
    <n v="4940436"/>
  </r>
  <r>
    <x v="32"/>
    <n v="202604"/>
    <x v="0"/>
    <x v="9"/>
    <s v="Sofía V"/>
    <s v="Melany A"/>
    <n v="93466"/>
    <n v="5565095"/>
    <n v="59.541659722222882"/>
    <n v="86896.305723160913"/>
    <n v="75.5"/>
    <n v="68"/>
    <n v="66.56902434528007"/>
    <n v="5784602"/>
  </r>
  <r>
    <x v="71"/>
    <n v="202412"/>
    <x v="2"/>
    <x v="1"/>
    <s v="Sebastián S"/>
    <s v="Rodolfo O"/>
    <n v="93453"/>
    <n v="5621844"/>
    <n v="60.157143817204293"/>
    <n v="0"/>
    <n v="53.5"/>
    <n v="54"/>
    <m/>
    <n v="0"/>
  </r>
  <r>
    <x v="45"/>
    <n v="202510"/>
    <x v="1"/>
    <x v="8"/>
    <s v="Sofía V"/>
    <s v="Joe H"/>
    <n v="93395"/>
    <n v="5449828"/>
    <n v="58.352573924731196"/>
    <n v="80497.395426472853"/>
    <n v="68"/>
    <n v="68.5"/>
    <n v="67.701919809044355"/>
    <n v="5331336"/>
  </r>
  <r>
    <x v="7"/>
    <n v="202411"/>
    <x v="2"/>
    <x v="7"/>
    <s v="Sebastián S"/>
    <s v="Rodolfo O"/>
    <n v="93380"/>
    <n v="5488982"/>
    <n v="58.781090277777771"/>
    <n v="0"/>
    <n v="65.5"/>
    <n v="63"/>
    <m/>
    <n v="0"/>
  </r>
  <r>
    <x v="48"/>
    <n v="202509"/>
    <x v="1"/>
    <x v="4"/>
    <s v="Hernán P"/>
    <s v="Daniel R"/>
    <n v="93379"/>
    <n v="5648571"/>
    <n v="60.490645833333367"/>
    <n v="90695.079951148829"/>
    <n v="79.5"/>
    <n v="72.5"/>
    <n v="62.280902371357904"/>
    <n v="5986850"/>
  </r>
  <r>
    <x v="44"/>
    <n v="202410"/>
    <x v="2"/>
    <x v="8"/>
    <s v="Sebastián S"/>
    <s v="Johanna V"/>
    <n v="93370"/>
    <n v="9156209"/>
    <n v="98.063790322580644"/>
    <n v="0"/>
    <n v="117.5"/>
    <n v="99"/>
    <m/>
    <n v="0"/>
  </r>
  <r>
    <x v="59"/>
    <n v="202511"/>
    <x v="1"/>
    <x v="7"/>
    <s v="Sebastián S"/>
    <s v="Johanna V"/>
    <n v="93360"/>
    <n v="9267133"/>
    <n v="99.261944444444495"/>
    <n v="94096.124768171299"/>
    <n v="118"/>
    <n v="106"/>
    <n v="98.485813234411438"/>
    <n v="10166622"/>
  </r>
  <r>
    <x v="24"/>
    <n v="202404"/>
    <x v="2"/>
    <x v="9"/>
    <s v="Sofía V"/>
    <s v="Joe H"/>
    <n v="93356"/>
    <n v="5983748"/>
    <n v="64.096131944444437"/>
    <n v="0"/>
    <n v="71"/>
    <n v="74.5"/>
    <m/>
    <n v="0"/>
  </r>
  <r>
    <x v="30"/>
    <n v="202402"/>
    <x v="2"/>
    <x v="2"/>
    <s v="Sebastián S"/>
    <s v="Vik E"/>
    <n v="93281"/>
    <n v="8888511"/>
    <n v="95.287248563218341"/>
    <n v="0"/>
    <n v="101.5"/>
    <n v="97.5"/>
    <m/>
    <n v="0"/>
  </r>
  <r>
    <x v="17"/>
    <n v="202408"/>
    <x v="2"/>
    <x v="5"/>
    <s v="Sofía V"/>
    <s v="Joe H"/>
    <n v="93248"/>
    <n v="7933472"/>
    <n v="85.079684139784931"/>
    <n v="0"/>
    <n v="94"/>
    <n v="92"/>
    <m/>
    <n v="0"/>
  </r>
  <r>
    <x v="71"/>
    <n v="202603"/>
    <x v="0"/>
    <x v="0"/>
    <s v="Sebastián S"/>
    <s v="Rodolfo O"/>
    <n v="93241"/>
    <n v="4881000"/>
    <n v="52.347956989247329"/>
    <n v="118254.49120106069"/>
    <n v="53.5"/>
    <n v="54"/>
    <n v="47.165198395018514"/>
    <n v="5577497"/>
  </r>
  <r>
    <x v="22"/>
    <n v="202407"/>
    <x v="2"/>
    <x v="6"/>
    <s v="Sebastián S"/>
    <s v="Johanna V"/>
    <n v="93232"/>
    <n v="8881666"/>
    <n v="95.264448924731198"/>
    <n v="0"/>
    <n v="104.5"/>
    <n v="99"/>
    <m/>
    <n v="0"/>
  </r>
  <r>
    <x v="10"/>
    <n v="202402"/>
    <x v="2"/>
    <x v="2"/>
    <s v="Sofía V"/>
    <s v="Melany A"/>
    <n v="93211"/>
    <n v="10285057"/>
    <n v="110.34217672413796"/>
    <n v="0"/>
    <n v="125"/>
    <n v="118.5"/>
    <m/>
    <n v="0"/>
  </r>
  <r>
    <x v="29"/>
    <n v="202408"/>
    <x v="2"/>
    <x v="5"/>
    <s v="Sebastián S"/>
    <s v="Vik E"/>
    <n v="93205"/>
    <n v="5938108"/>
    <n v="63.709926075268804"/>
    <n v="0"/>
    <n v="76.5"/>
    <n v="75.5"/>
    <m/>
    <n v="0"/>
  </r>
  <r>
    <x v="43"/>
    <n v="202604"/>
    <x v="0"/>
    <x v="9"/>
    <s v="Sofía V"/>
    <s v="José A"/>
    <n v="93175"/>
    <n v="2747750"/>
    <n v="29.490124999999878"/>
    <n v="89542.555675074793"/>
    <n v="32.5"/>
    <n v="32"/>
    <n v="29.073700348097926"/>
    <n v="2603333"/>
  </r>
  <r>
    <x v="41"/>
    <n v="202407"/>
    <x v="2"/>
    <x v="6"/>
    <s v="Sebastián S"/>
    <s v="Rodolfo O"/>
    <n v="93158"/>
    <n v="5986236"/>
    <n v="64.258635752688178"/>
    <n v="0"/>
    <n v="64.5"/>
    <n v="64"/>
    <m/>
    <n v="0"/>
  </r>
  <r>
    <x v="59"/>
    <n v="202603"/>
    <x v="0"/>
    <x v="0"/>
    <s v="Sebastián S"/>
    <s v="Johanna V"/>
    <n v="93110"/>
    <n v="10069020"/>
    <n v="108.14153225806459"/>
    <n v="97530.842733194164"/>
    <n v="118"/>
    <n v="106"/>
    <n v="102.17544085783207"/>
    <n v="9965257"/>
  </r>
  <r>
    <x v="75"/>
    <n v="202412"/>
    <x v="2"/>
    <x v="1"/>
    <s v="Hernán P"/>
    <s v="Daniel R"/>
    <n v="93079"/>
    <n v="2562035"/>
    <n v="27.525336021505371"/>
    <n v="0"/>
    <n v="31"/>
    <n v="27"/>
    <m/>
    <n v="0"/>
  </r>
  <r>
    <x v="25"/>
    <n v="202508"/>
    <x v="1"/>
    <x v="5"/>
    <s v="Sebastián S"/>
    <s v="Vik E"/>
    <n v="93079"/>
    <n v="6379262"/>
    <n v="68.536115591397902"/>
    <n v="101696.61592060138"/>
    <n v="77"/>
    <n v="79"/>
    <n v="62.728359269894945"/>
    <n v="6628385"/>
  </r>
  <r>
    <x v="28"/>
    <n v="202606"/>
    <x v="0"/>
    <x v="11"/>
    <s v="Sebastián S"/>
    <s v="Rodolfo O"/>
    <n v="93059"/>
    <n v="5354998"/>
    <n v="57.54437499999969"/>
    <n v="98314.955853465668"/>
    <n v="65.5"/>
    <n v="66"/>
    <n v="55.812340478272937"/>
    <n v="5487188"/>
  </r>
  <r>
    <x v="36"/>
    <n v="202505"/>
    <x v="1"/>
    <x v="3"/>
    <s v="Sebastián S"/>
    <s v="Rodolfo O"/>
    <n v="93058"/>
    <n v="6387287"/>
    <n v="68.637775537634425"/>
    <n v="94897.42315135822"/>
    <n v="81"/>
    <n v="77"/>
    <n v="67.307273241892872"/>
    <n v="6778870"/>
  </r>
  <r>
    <x v="50"/>
    <n v="202605"/>
    <x v="0"/>
    <x v="3"/>
    <s v="Sebastián S"/>
    <s v="Vik E"/>
    <n v="93057"/>
    <n v="6172549"/>
    <n v="66.330504032258361"/>
    <n v="95763.765018788225"/>
    <n v="75.5"/>
    <n v="74"/>
    <n v="63.845934941054651"/>
    <n v="6114127"/>
  </r>
  <r>
    <x v="10"/>
    <n v="202411"/>
    <x v="2"/>
    <x v="7"/>
    <s v="Sofía V"/>
    <s v="Melany A"/>
    <n v="93035"/>
    <n v="9206293"/>
    <n v="98.955451388888946"/>
    <n v="0"/>
    <n v="125"/>
    <n v="118.5"/>
    <m/>
    <n v="0"/>
  </r>
  <r>
    <x v="39"/>
    <n v="202601"/>
    <x v="0"/>
    <x v="10"/>
    <s v="Sofía V"/>
    <s v="Melany A"/>
    <n v="93032"/>
    <n v="4618851"/>
    <n v="49.648111559139807"/>
    <n v="86332.544577857712"/>
    <n v="60.5"/>
    <n v="60.5"/>
    <n v="53.343390369396616"/>
    <n v="4605271"/>
  </r>
  <r>
    <x v="65"/>
    <n v="202510"/>
    <x v="1"/>
    <x v="8"/>
    <s v="Sebastián S"/>
    <s v="Johanna V"/>
    <n v="93001"/>
    <n v="7544427"/>
    <n v="81.122143817204332"/>
    <n v="92503.352423903256"/>
    <n v="103"/>
    <n v="91"/>
    <n v="81.558419693019587"/>
    <n v="8515354"/>
  </r>
  <r>
    <x v="5"/>
    <n v="202509"/>
    <x v="1"/>
    <x v="4"/>
    <s v="Sebastián S"/>
    <s v="Rodolfo O"/>
    <n v="92954"/>
    <n v="5566743"/>
    <n v="59.887381944444499"/>
    <n v="92400.639445430716"/>
    <n v="68.5"/>
    <n v="66"/>
    <n v="60.245715542775713"/>
    <n v="5656695"/>
  </r>
  <r>
    <x v="8"/>
    <n v="202404"/>
    <x v="2"/>
    <x v="9"/>
    <s v="Sebastián S"/>
    <s v="Vik E"/>
    <n v="92872"/>
    <n v="7230536"/>
    <n v="77.85516666666669"/>
    <n v="0"/>
    <n v="88"/>
    <n v="84"/>
    <m/>
    <n v="0"/>
  </r>
  <r>
    <x v="12"/>
    <n v="202406"/>
    <x v="2"/>
    <x v="11"/>
    <s v="Sofía V"/>
    <s v="Melany A"/>
    <n v="92845"/>
    <n v="8154585"/>
    <n v="87.829680555555598"/>
    <n v="0"/>
    <n v="96.5"/>
    <n v="94"/>
    <m/>
    <n v="0"/>
  </r>
  <r>
    <x v="28"/>
    <n v="202601"/>
    <x v="0"/>
    <x v="10"/>
    <s v="Sebastián S"/>
    <s v="Rodolfo O"/>
    <n v="92811"/>
    <n v="5402380"/>
    <n v="58.20815188172044"/>
    <n v="95614.636565499779"/>
    <n v="65.5"/>
    <n v="66"/>
    <n v="55.812340478272937"/>
    <n v="5336477"/>
  </r>
  <r>
    <x v="25"/>
    <n v="202401"/>
    <x v="2"/>
    <x v="10"/>
    <s v="Sebastián S"/>
    <s v="Vik E"/>
    <n v="92811"/>
    <n v="5616607"/>
    <n v="60.516599462365591"/>
    <n v="0"/>
    <n v="77"/>
    <n v="79"/>
    <m/>
    <n v="0"/>
  </r>
  <r>
    <x v="41"/>
    <n v="202605"/>
    <x v="0"/>
    <x v="3"/>
    <s v="Sebastián S"/>
    <s v="Rodolfo O"/>
    <n v="92805"/>
    <n v="5526601"/>
    <n v="59.550430107526942"/>
    <n v="97422.154848679682"/>
    <n v="64.5"/>
    <n v="64"/>
    <n v="54.966698955874868"/>
    <n v="5354974"/>
  </r>
  <r>
    <x v="25"/>
    <n v="202501"/>
    <x v="1"/>
    <x v="10"/>
    <s v="Sebastián S"/>
    <s v="Vik E"/>
    <n v="92789"/>
    <n v="6152401"/>
    <n v="66.30561827956987"/>
    <n v="97451.562445565563"/>
    <n v="77"/>
    <n v="79"/>
    <n v="63.132915631153736"/>
    <n v="5766002"/>
  </r>
  <r>
    <x v="48"/>
    <n v="202602"/>
    <x v="0"/>
    <x v="2"/>
    <s v="Hernán P"/>
    <s v="Daniel R"/>
    <n v="92783"/>
    <n v="5866426"/>
    <n v="63.227656249999988"/>
    <n v="88091.937039207871"/>
    <n v="79.5"/>
    <n v="72.5"/>
    <n v="64.209802769832038"/>
    <n v="5656366"/>
  </r>
  <r>
    <x v="48"/>
    <n v="202404"/>
    <x v="2"/>
    <x v="9"/>
    <s v="Hernán P"/>
    <s v="Daniel R"/>
    <n v="92781"/>
    <n v="5735138"/>
    <n v="61.8138402777778"/>
    <n v="0"/>
    <n v="79.5"/>
    <n v="72.5"/>
    <m/>
    <n v="0"/>
  </r>
  <r>
    <x v="18"/>
    <n v="202601"/>
    <x v="0"/>
    <x v="10"/>
    <s v="Sofía V"/>
    <s v="Joe H"/>
    <n v="92778"/>
    <n v="4092156"/>
    <n v="44.107150537634411"/>
    <n v="90791.025090058465"/>
    <n v="50.5"/>
    <n v="51.5"/>
    <n v="44.728769766304502"/>
    <n v="4060971"/>
  </r>
  <r>
    <x v="9"/>
    <n v="202407"/>
    <x v="2"/>
    <x v="6"/>
    <s v="Sofía V"/>
    <s v="Joe H"/>
    <n v="92753"/>
    <n v="5911299"/>
    <n v="63.731330645161279"/>
    <n v="0"/>
    <n v="70.5"/>
    <n v="69.5"/>
    <m/>
    <n v="0"/>
  </r>
  <r>
    <x v="76"/>
    <n v="202601"/>
    <x v="0"/>
    <x v="10"/>
    <s v="Hernán P"/>
    <s v="Daniel R"/>
    <n v="92722"/>
    <n v="7439451"/>
    <n v="80.234018817204287"/>
    <n v="89761.998708126906"/>
    <n v="106"/>
    <n v="94.5"/>
    <n v="88.413034538205707"/>
    <n v="7936131"/>
  </r>
  <r>
    <x v="76"/>
    <n v="202606"/>
    <x v="0"/>
    <x v="11"/>
    <s v="Hernán P"/>
    <s v="Daniel R"/>
    <n v="92697"/>
    <n v="7766438"/>
    <n v="83.783194444446778"/>
    <n v="85052.613258631056"/>
    <n v="106"/>
    <n v="94.5"/>
    <n v="88.413034538205707"/>
    <n v="7519760"/>
  </r>
  <r>
    <x v="10"/>
    <n v="202508"/>
    <x v="1"/>
    <x v="5"/>
    <s v="Sofía V"/>
    <s v="Melany A"/>
    <n v="92680"/>
    <n v="9309700"/>
    <n v="100.4497647849462"/>
    <n v="98211.801195131527"/>
    <n v="125"/>
    <n v="118.5"/>
    <n v="94.792075256853039"/>
    <n v="9486917"/>
  </r>
  <r>
    <x v="25"/>
    <n v="202405"/>
    <x v="2"/>
    <x v="3"/>
    <s v="Sebastián S"/>
    <s v="Vik E"/>
    <n v="92665"/>
    <n v="6333302"/>
    <n v="68.346579301075266"/>
    <n v="0"/>
    <n v="77"/>
    <n v="79"/>
    <m/>
    <n v="0"/>
  </r>
  <r>
    <x v="35"/>
    <n v="202409"/>
    <x v="2"/>
    <x v="4"/>
    <s v="Hernán P"/>
    <s v="Daniel R"/>
    <n v="92595"/>
    <n v="11085468"/>
    <n v="119.71954166666663"/>
    <n v="0"/>
    <n v="140.5"/>
    <n v="125.5"/>
    <m/>
    <n v="0"/>
  </r>
  <r>
    <x v="28"/>
    <n v="202408"/>
    <x v="2"/>
    <x v="5"/>
    <s v="Sebastián S"/>
    <s v="Rodolfo O"/>
    <n v="92569"/>
    <n v="5367501"/>
    <n v="57.983662634408596"/>
    <n v="0"/>
    <n v="65.5"/>
    <n v="66"/>
    <m/>
    <n v="0"/>
  </r>
  <r>
    <x v="8"/>
    <n v="202501"/>
    <x v="1"/>
    <x v="10"/>
    <s v="Sebastián S"/>
    <s v="Vik E"/>
    <n v="92554"/>
    <n v="7655103"/>
    <n v="82.709422043010719"/>
    <n v="99789.222064319198"/>
    <n v="88"/>
    <n v="84"/>
    <n v="76.712724797733159"/>
    <n v="7834878"/>
  </r>
  <r>
    <x v="28"/>
    <n v="202406"/>
    <x v="2"/>
    <x v="11"/>
    <s v="Sebastián S"/>
    <s v="Rodolfo O"/>
    <n v="92539"/>
    <n v="5578005"/>
    <n v="60.277437499999991"/>
    <n v="0"/>
    <n v="65.5"/>
    <n v="66"/>
    <m/>
    <n v="0"/>
  </r>
  <r>
    <x v="24"/>
    <n v="202411"/>
    <x v="2"/>
    <x v="7"/>
    <s v="Sofía V"/>
    <s v="Joe H"/>
    <n v="92513"/>
    <n v="6057464"/>
    <n v="65.476638888888886"/>
    <n v="0"/>
    <n v="71"/>
    <n v="74.5"/>
    <m/>
    <n v="0"/>
  </r>
  <r>
    <x v="68"/>
    <n v="202603"/>
    <x v="0"/>
    <x v="0"/>
    <s v="Sofía V"/>
    <s v="José A"/>
    <n v="92466"/>
    <n v="4321005"/>
    <n v="46.730927419354856"/>
    <n v="91218.694754519078"/>
    <n v="52"/>
    <n v="52"/>
    <n v="46.517920556956689"/>
    <n v="4243304"/>
  </r>
  <r>
    <x v="65"/>
    <n v="202509"/>
    <x v="1"/>
    <x v="4"/>
    <s v="Sebastián S"/>
    <s v="Johanna V"/>
    <n v="92447"/>
    <n v="7367446"/>
    <n v="79.69363888888897"/>
    <n v="97056.525876674685"/>
    <n v="103"/>
    <n v="91"/>
    <n v="75.908812245778066"/>
    <n v="8301449"/>
  </r>
  <r>
    <x v="60"/>
    <n v="202502"/>
    <x v="1"/>
    <x v="2"/>
    <s v="Sofía V"/>
    <s v="Melany A"/>
    <n v="92441"/>
    <n v="7387253"/>
    <n v="79.913385416666685"/>
    <n v="83465.932779651193"/>
    <n v="88.5"/>
    <n v="92.5"/>
    <n v="88.506199643179428"/>
    <n v="5933284"/>
  </r>
  <r>
    <x v="65"/>
    <n v="202409"/>
    <x v="2"/>
    <x v="4"/>
    <s v="Sebastián S"/>
    <s v="Johanna V"/>
    <n v="92435"/>
    <n v="7574399"/>
    <n v="81.943166666666684"/>
    <n v="0"/>
    <n v="103"/>
    <n v="91"/>
    <m/>
    <n v="0"/>
  </r>
  <r>
    <x v="26"/>
    <n v="202408"/>
    <x v="2"/>
    <x v="5"/>
    <s v="Sofía V"/>
    <s v="Melany A"/>
    <n v="92432"/>
    <n v="4739428"/>
    <n v="51.274576612903239"/>
    <n v="0"/>
    <n v="55"/>
    <n v="50.5"/>
    <m/>
    <n v="0"/>
  </r>
  <r>
    <x v="52"/>
    <n v="202606"/>
    <x v="0"/>
    <x v="11"/>
    <s v="Sebastián S"/>
    <s v="Vik E"/>
    <n v="92416"/>
    <n v="6257457"/>
    <n v="67.709833333334487"/>
    <n v="88702.632326041596"/>
    <n v="80"/>
    <n v="78"/>
    <n v="69.114627897013889"/>
    <n v="6130649"/>
  </r>
  <r>
    <x v="45"/>
    <n v="202503"/>
    <x v="1"/>
    <x v="0"/>
    <s v="Sofía V"/>
    <s v="Joe H"/>
    <n v="92402"/>
    <n v="6134959"/>
    <n v="66.394012096774205"/>
    <n v="94432.254178611518"/>
    <n v="68"/>
    <n v="68.5"/>
    <n v="64.966774047309997"/>
    <n v="5543023"/>
  </r>
  <r>
    <x v="44"/>
    <n v="202409"/>
    <x v="2"/>
    <x v="4"/>
    <s v="Sebastián S"/>
    <s v="Johanna V"/>
    <n v="92388"/>
    <n v="9025811"/>
    <n v="97.694770833333351"/>
    <n v="0"/>
    <n v="117.5"/>
    <n v="99"/>
    <m/>
    <n v="0"/>
  </r>
  <r>
    <x v="16"/>
    <n v="202405"/>
    <x v="2"/>
    <x v="3"/>
    <s v="Sofía V"/>
    <s v="José A"/>
    <n v="92385"/>
    <n v="5464947"/>
    <n v="59.153951612903221"/>
    <n v="0"/>
    <n v="64"/>
    <n v="67"/>
    <m/>
    <n v="0"/>
  </r>
  <r>
    <x v="19"/>
    <n v="202606"/>
    <x v="0"/>
    <x v="11"/>
    <s v="Sofía V"/>
    <s v="Joe H"/>
    <n v="92381"/>
    <n v="4419981"/>
    <n v="47.845097222222314"/>
    <n v="87291.274051649685"/>
    <n v="57.5"/>
    <n v="56.5"/>
    <n v="50.698263574219922"/>
    <n v="4425516"/>
  </r>
  <r>
    <x v="61"/>
    <n v="202604"/>
    <x v="0"/>
    <x v="9"/>
    <s v="Sofía V"/>
    <s v="Joe H"/>
    <n v="92375"/>
    <n v="3295944"/>
    <n v="35.679972222222354"/>
    <n v="69175.744742501527"/>
    <n v="41.5"/>
    <n v="35.5"/>
    <n v="37.124878906032741"/>
    <n v="2568141"/>
  </r>
  <r>
    <x v="46"/>
    <n v="202501"/>
    <x v="1"/>
    <x v="10"/>
    <s v="Sofía V"/>
    <s v="José A"/>
    <n v="92360"/>
    <n v="4765753"/>
    <n v="51.600020161290303"/>
    <n v="83749.09897237517"/>
    <n v="58"/>
    <n v="58.5"/>
    <n v="56.905127678710826"/>
    <n v="4457547"/>
  </r>
  <r>
    <x v="21"/>
    <n v="202509"/>
    <x v="1"/>
    <x v="4"/>
    <s v="Sebastián S"/>
    <s v="Rodolfo O"/>
    <n v="92351"/>
    <n v="6128222"/>
    <n v="66.357861111111163"/>
    <n v="86077.358643636384"/>
    <n v="84.5"/>
    <n v="86.5"/>
    <n v="71.194356292588878"/>
    <n v="6406806"/>
  </r>
  <r>
    <x v="36"/>
    <n v="202511"/>
    <x v="1"/>
    <x v="7"/>
    <s v="Sebastián S"/>
    <s v="Rodolfo O"/>
    <n v="92336"/>
    <n v="6608649"/>
    <n v="71.571791666666684"/>
    <n v="95211.987304675175"/>
    <n v="81"/>
    <n v="77"/>
    <n v="69.409837847964937"/>
    <n v="6754229"/>
  </r>
  <r>
    <x v="50"/>
    <n v="202604"/>
    <x v="0"/>
    <x v="9"/>
    <s v="Sebastián S"/>
    <s v="Vik E"/>
    <n v="92315"/>
    <n v="5886462"/>
    <n v="63.765284722223363"/>
    <n v="89160.202967590332"/>
    <n v="75.5"/>
    <n v="74"/>
    <n v="63.845934941054651"/>
    <n v="5692517"/>
  </r>
  <r>
    <x v="49"/>
    <n v="202605"/>
    <x v="0"/>
    <x v="3"/>
    <s v="Sebastián S"/>
    <s v="Vik E"/>
    <n v="92300"/>
    <n v="5126938"/>
    <n v="55.546505376344513"/>
    <n v="89598.234132475773"/>
    <n v="66"/>
    <n v="64.5"/>
    <n v="56.772923994003754"/>
    <n v="5086754"/>
  </r>
  <r>
    <x v="40"/>
    <n v="202602"/>
    <x v="0"/>
    <x v="2"/>
    <s v="Sebastián S"/>
    <s v="Johanna V"/>
    <n v="92296"/>
    <n v="8593961"/>
    <n v="93.112708333333288"/>
    <n v="97858.66739868786"/>
    <n v="106"/>
    <n v="102.5"/>
    <n v="90.060822135394957"/>
    <n v="8813232"/>
  </r>
  <r>
    <x v="63"/>
    <n v="202408"/>
    <x v="2"/>
    <x v="5"/>
    <s v="Sebastián S"/>
    <s v="Johanna V"/>
    <n v="92277"/>
    <n v="9073747"/>
    <n v="98.33202956989247"/>
    <n v="0"/>
    <n v="123"/>
    <n v="115.5"/>
    <m/>
    <n v="0"/>
  </r>
  <r>
    <x v="36"/>
    <n v="202408"/>
    <x v="2"/>
    <x v="5"/>
    <s v="Sebastián S"/>
    <s v="Rodolfo O"/>
    <n v="92261"/>
    <n v="6523228"/>
    <n v="70.703857526881677"/>
    <n v="0"/>
    <n v="81"/>
    <n v="77"/>
    <m/>
    <n v="0"/>
  </r>
  <r>
    <x v="77"/>
    <n v="202412"/>
    <x v="2"/>
    <x v="1"/>
    <s v="Fátima L"/>
    <s v="Fátima L"/>
    <n v="92261"/>
    <n v="1281742"/>
    <n v="13.89255376344086"/>
    <n v="0"/>
    <n v="17"/>
    <n v="13.5"/>
    <m/>
    <n v="0"/>
  </r>
  <r>
    <x v="14"/>
    <n v="202510"/>
    <x v="1"/>
    <x v="8"/>
    <s v="Sofía V"/>
    <s v="Melany A"/>
    <n v="92228"/>
    <n v="4615629"/>
    <n v="50.046001344086008"/>
    <n v="101163.54771211024"/>
    <n v="59.5"/>
    <n v="55.5"/>
    <n v="45.625413050312247"/>
    <n v="4954749"/>
  </r>
  <r>
    <x v="4"/>
    <n v="202405"/>
    <x v="2"/>
    <x v="3"/>
    <s v="Sofía V"/>
    <s v="José A"/>
    <n v="92208"/>
    <n v="9619322"/>
    <n v="104.32196908602145"/>
    <n v="0"/>
    <n v="107.5"/>
    <n v="102.5"/>
    <m/>
    <n v="0"/>
  </r>
  <r>
    <x v="76"/>
    <n v="202512"/>
    <x v="1"/>
    <x v="1"/>
    <s v="Hernán P"/>
    <s v="Daniel R"/>
    <n v="92163"/>
    <n v="8865141"/>
    <n v="96.189973118279511"/>
    <n v="86912.709617242101"/>
    <n v="106"/>
    <n v="94.5"/>
    <n v="102.00051119153343"/>
    <n v="9649556"/>
  </r>
  <r>
    <x v="63"/>
    <n v="202603"/>
    <x v="0"/>
    <x v="0"/>
    <s v="Sebastián S"/>
    <s v="Johanna V"/>
    <n v="92132"/>
    <n v="10068047"/>
    <n v="109.27870295698924"/>
    <n v="99470.288049203606"/>
    <n v="123"/>
    <n v="115.5"/>
    <n v="102.59248347357834"/>
    <n v="10204904"/>
  </r>
  <r>
    <x v="38"/>
    <n v="202505"/>
    <x v="1"/>
    <x v="3"/>
    <s v="Sofía V"/>
    <s v="Melany A"/>
    <n v="92126"/>
    <n v="5002698"/>
    <n v="54.302688172042991"/>
    <n v="67495.275292099948"/>
    <n v="56"/>
    <n v="60"/>
    <n v="74.119234988668097"/>
    <n v="4852985"/>
  </r>
  <r>
    <x v="65"/>
    <n v="202507"/>
    <x v="1"/>
    <x v="6"/>
    <s v="Sebastián S"/>
    <s v="Johanna V"/>
    <n v="92097"/>
    <n v="7627029"/>
    <n v="82.815362903225846"/>
    <n v="94854.01581884874"/>
    <n v="103"/>
    <n v="91"/>
    <n v="80.408076602323519"/>
    <n v="8494016"/>
  </r>
  <r>
    <x v="51"/>
    <n v="202412"/>
    <x v="2"/>
    <x v="1"/>
    <s v="Sofía V"/>
    <s v="Melany A"/>
    <n v="92094"/>
    <n v="3938829"/>
    <n v="42.769576612903222"/>
    <n v="0"/>
    <n v="43.5"/>
    <n v="41"/>
    <m/>
    <n v="0"/>
  </r>
  <r>
    <x v="5"/>
    <n v="202401"/>
    <x v="2"/>
    <x v="10"/>
    <s v="Sebastián S"/>
    <s v="Rodolfo O"/>
    <n v="92037"/>
    <n v="5449296"/>
    <n v="59.207533602150534"/>
    <n v="0"/>
    <n v="68.5"/>
    <n v="66"/>
    <m/>
    <n v="0"/>
  </r>
  <r>
    <x v="42"/>
    <n v="202402"/>
    <x v="2"/>
    <x v="2"/>
    <s v="Hernán P"/>
    <s v="Daniel R"/>
    <n v="92021"/>
    <n v="2660186"/>
    <n v="28.908591954022992"/>
    <n v="0"/>
    <n v="22.5"/>
    <n v="21"/>
    <m/>
    <n v="0"/>
  </r>
  <r>
    <x v="17"/>
    <n v="202404"/>
    <x v="2"/>
    <x v="9"/>
    <s v="Sofía V"/>
    <s v="Joe H"/>
    <n v="92012"/>
    <n v="7560910"/>
    <n v="82.172902777777836"/>
    <n v="0"/>
    <n v="94"/>
    <n v="92"/>
    <m/>
    <n v="0"/>
  </r>
  <r>
    <x v="36"/>
    <n v="202601"/>
    <x v="0"/>
    <x v="10"/>
    <s v="Sebastián S"/>
    <s v="Rodolfo O"/>
    <n v="92005"/>
    <n v="6594402"/>
    <n v="71.674401881720428"/>
    <n v="92127.210807114214"/>
    <n v="81"/>
    <n v="77"/>
    <n v="69.978560745726568"/>
    <n v="6446930"/>
  </r>
  <r>
    <x v="18"/>
    <n v="202605"/>
    <x v="0"/>
    <x v="3"/>
    <s v="Sofía V"/>
    <s v="Joe H"/>
    <n v="91947"/>
    <n v="4230278"/>
    <n v="46.00787634408681"/>
    <n v="89956.691715924084"/>
    <n v="50.5"/>
    <n v="51.5"/>
    <n v="44.728769766304502"/>
    <n v="4023652"/>
  </r>
  <r>
    <x v="8"/>
    <n v="202410"/>
    <x v="2"/>
    <x v="8"/>
    <s v="Sebastián S"/>
    <s v="Vik E"/>
    <n v="91912"/>
    <n v="7064895"/>
    <n v="76.865598118279578"/>
    <n v="0"/>
    <n v="88"/>
    <n v="84"/>
    <m/>
    <n v="0"/>
  </r>
  <r>
    <x v="73"/>
    <n v="202401"/>
    <x v="2"/>
    <x v="10"/>
    <s v="Fátima L"/>
    <s v="Fátima L"/>
    <n v="91894"/>
    <n v="1042773"/>
    <n v="11.347526881720432"/>
    <n v="0"/>
    <n v="13.5"/>
    <n v="12"/>
    <m/>
    <n v="0"/>
  </r>
  <r>
    <x v="44"/>
    <n v="202507"/>
    <x v="1"/>
    <x v="6"/>
    <s v="Sebastián S"/>
    <s v="Johanna V"/>
    <n v="91858"/>
    <n v="8926181"/>
    <n v="97.173877688172041"/>
    <n v="91167.039090072081"/>
    <n v="117.5"/>
    <n v="99"/>
    <n v="97.91017629936438"/>
    <n v="9877281"/>
  </r>
  <r>
    <x v="54"/>
    <n v="202403"/>
    <x v="2"/>
    <x v="0"/>
    <s v="Sebastián S"/>
    <s v="Rodolfo O"/>
    <n v="91856"/>
    <n v="7581612"/>
    <n v="82.537620967741987"/>
    <n v="0"/>
    <n v="80"/>
    <n v="80.5"/>
    <m/>
    <n v="0"/>
  </r>
  <r>
    <x v="26"/>
    <n v="202405"/>
    <x v="2"/>
    <x v="3"/>
    <s v="Sofía V"/>
    <s v="Melany A"/>
    <n v="91845"/>
    <n v="4856416"/>
    <n v="52.876391129032228"/>
    <n v="0"/>
    <n v="55"/>
    <n v="50.5"/>
    <m/>
    <n v="0"/>
  </r>
  <r>
    <x v="67"/>
    <n v="202512"/>
    <x v="1"/>
    <x v="1"/>
    <s v="Hernán P"/>
    <s v="Daniel R"/>
    <n v="91840"/>
    <n v="1359341"/>
    <n v="14.801189516129019"/>
    <n v="108461.12099482983"/>
    <n v="15.5"/>
    <n v="14.5"/>
    <n v="12.5329787073176"/>
    <n v="1515718"/>
  </r>
  <r>
    <x v="24"/>
    <n v="202511"/>
    <x v="1"/>
    <x v="7"/>
    <s v="Sofía V"/>
    <s v="Joe H"/>
    <n v="91839"/>
    <n v="5978568"/>
    <n v="65.098590277777816"/>
    <n v="97139.029521555422"/>
    <n v="71"/>
    <n v="74.5"/>
    <n v="61.546512142921294"/>
    <n v="5835085"/>
  </r>
  <r>
    <x v="52"/>
    <n v="202504"/>
    <x v="1"/>
    <x v="9"/>
    <s v="Sebastián S"/>
    <s v="Vik E"/>
    <n v="91832"/>
    <n v="6086905"/>
    <n v="66.283097222222224"/>
    <n v="79398.739307862939"/>
    <n v="80"/>
    <n v="78"/>
    <n v="76.662495186459552"/>
    <n v="6476508"/>
  </r>
  <r>
    <x v="22"/>
    <n v="202410"/>
    <x v="2"/>
    <x v="8"/>
    <s v="Sebastián S"/>
    <s v="Johanna V"/>
    <n v="91826"/>
    <n v="8156575"/>
    <n v="88.826048387096833"/>
    <n v="0"/>
    <n v="104.5"/>
    <n v="99"/>
    <m/>
    <n v="0"/>
  </r>
  <r>
    <x v="12"/>
    <n v="202401"/>
    <x v="2"/>
    <x v="10"/>
    <s v="Sofía V"/>
    <s v="Melany A"/>
    <n v="91788"/>
    <n v="7993698"/>
    <n v="87.089032258064492"/>
    <n v="0"/>
    <n v="96.5"/>
    <n v="94"/>
    <m/>
    <n v="0"/>
  </r>
  <r>
    <x v="63"/>
    <n v="202503"/>
    <x v="1"/>
    <x v="0"/>
    <s v="Sebastián S"/>
    <s v="Johanna V"/>
    <n v="91781"/>
    <n v="10084511"/>
    <n v="109.87614919354841"/>
    <n v="86666.236001250974"/>
    <n v="123"/>
    <n v="115.5"/>
    <n v="116.36031718112733"/>
    <n v="10505001"/>
  </r>
  <r>
    <x v="16"/>
    <n v="202509"/>
    <x v="1"/>
    <x v="4"/>
    <s v="Sofía V"/>
    <s v="José A"/>
    <n v="91780"/>
    <n v="5294488"/>
    <n v="57.686513888888946"/>
    <n v="93958.359006658226"/>
    <n v="64"/>
    <n v="67"/>
    <n v="56.349300753803234"/>
    <n v="5033648"/>
  </r>
  <r>
    <x v="37"/>
    <n v="202510"/>
    <x v="1"/>
    <x v="8"/>
    <s v="Sofía V"/>
    <s v="Melany A"/>
    <n v="91693"/>
    <n v="5252949"/>
    <n v="57.288555107526868"/>
    <n v="91233.621802364243"/>
    <n v="72.5"/>
    <n v="68.5"/>
    <n v="57.576901982245715"/>
    <n v="5479986"/>
  </r>
  <r>
    <x v="36"/>
    <n v="202602"/>
    <x v="0"/>
    <x v="2"/>
    <s v="Sebastián S"/>
    <s v="Rodolfo O"/>
    <n v="91683"/>
    <n v="6759673"/>
    <n v="73.728489583333328"/>
    <n v="88476.221190046359"/>
    <n v="81"/>
    <n v="77"/>
    <n v="69.978560745726568"/>
    <n v="6191439"/>
  </r>
  <r>
    <x v="10"/>
    <n v="202501"/>
    <x v="1"/>
    <x v="10"/>
    <s v="Sofía V"/>
    <s v="Melany A"/>
    <n v="91678"/>
    <n v="9224309"/>
    <n v="100.61629704301075"/>
    <n v="86538.59523685748"/>
    <n v="125"/>
    <n v="118.5"/>
    <n v="106.59184754216228"/>
    <n v="8998857"/>
  </r>
  <r>
    <x v="25"/>
    <n v="202506"/>
    <x v="1"/>
    <x v="11"/>
    <s v="Sebastián S"/>
    <s v="Vik E"/>
    <n v="91678"/>
    <n v="6190576"/>
    <n v="67.525256944444436"/>
    <n v="107498.49460835051"/>
    <n v="77"/>
    <n v="79"/>
    <n v="57.58755592396097"/>
    <n v="6962900"/>
  </r>
  <r>
    <x v="16"/>
    <n v="202501"/>
    <x v="1"/>
    <x v="10"/>
    <s v="Sofía V"/>
    <s v="José A"/>
    <n v="91629"/>
    <n v="5200158"/>
    <n v="56.752170698924722"/>
    <n v="107955.7586198568"/>
    <n v="64"/>
    <n v="67"/>
    <n v="48.169344521131563"/>
    <n v="5233224"/>
  </r>
  <r>
    <x v="40"/>
    <n v="202403"/>
    <x v="2"/>
    <x v="0"/>
    <s v="Sebastián S"/>
    <s v="Johanna V"/>
    <n v="91621"/>
    <n v="10289852"/>
    <n v="112.30864919354839"/>
    <n v="0"/>
    <n v="106"/>
    <n v="102.5"/>
    <m/>
    <n v="0"/>
  </r>
  <r>
    <x v="35"/>
    <n v="202405"/>
    <x v="2"/>
    <x v="3"/>
    <s v="Hernán P"/>
    <s v="Daniel R"/>
    <n v="91598"/>
    <n v="11253397"/>
    <n v="122.8567741935483"/>
    <n v="0"/>
    <n v="140.5"/>
    <n v="125.5"/>
    <m/>
    <n v="0"/>
  </r>
  <r>
    <x v="62"/>
    <n v="202604"/>
    <x v="0"/>
    <x v="9"/>
    <s v="Sebastián S"/>
    <s v="Vik E"/>
    <n v="91569"/>
    <n v="5337820"/>
    <n v="58.292645833334063"/>
    <n v="88003.76131811869"/>
    <n v="65"/>
    <n v="67.5"/>
    <n v="56.772923994003762"/>
    <n v="4996231"/>
  </r>
  <r>
    <x v="70"/>
    <n v="202603"/>
    <x v="0"/>
    <x v="0"/>
    <s v="Sebastián S"/>
    <s v="Vik E"/>
    <n v="91558"/>
    <n v="4863032"/>
    <n v="53.114287634408591"/>
    <n v="89989.354748048732"/>
    <n v="60.5"/>
    <n v="57.5"/>
    <n v="51.161312105083525"/>
    <n v="4603973"/>
  </r>
  <r>
    <x v="21"/>
    <n v="202504"/>
    <x v="1"/>
    <x v="9"/>
    <s v="Sebastián S"/>
    <s v="Rodolfo O"/>
    <n v="91553"/>
    <n v="6729230"/>
    <n v="73.500923611111119"/>
    <n v="86434.82946919091"/>
    <n v="84.5"/>
    <n v="86.5"/>
    <n v="77.853220181322726"/>
    <n v="6867241"/>
  </r>
  <r>
    <x v="50"/>
    <n v="202602"/>
    <x v="0"/>
    <x v="2"/>
    <s v="Sebastián S"/>
    <s v="Vik E"/>
    <n v="91532"/>
    <n v="5628881"/>
    <n v="61.496302083333347"/>
    <n v="93227.747818171076"/>
    <n v="75.5"/>
    <n v="74"/>
    <n v="63.845934941054651"/>
    <n v="5952213"/>
  </r>
  <r>
    <x v="37"/>
    <n v="202411"/>
    <x v="2"/>
    <x v="7"/>
    <s v="Sofía V"/>
    <s v="Melany A"/>
    <n v="91484"/>
    <n v="6251821"/>
    <n v="68.338180555555624"/>
    <n v="0"/>
    <n v="72.5"/>
    <n v="68.5"/>
    <m/>
    <n v="0"/>
  </r>
  <r>
    <x v="50"/>
    <n v="202401"/>
    <x v="2"/>
    <x v="10"/>
    <s v="Sebastián S"/>
    <s v="Vik E"/>
    <n v="91470"/>
    <n v="6309839"/>
    <n v="68.982694892473091"/>
    <n v="0"/>
    <n v="75.5"/>
    <n v="74"/>
    <m/>
    <n v="0"/>
  </r>
  <r>
    <x v="45"/>
    <n v="202407"/>
    <x v="2"/>
    <x v="6"/>
    <s v="Sofía V"/>
    <s v="Joe H"/>
    <n v="91441"/>
    <n v="5616648"/>
    <n v="61.423588709677432"/>
    <n v="0"/>
    <n v="68"/>
    <n v="68.5"/>
    <m/>
    <n v="0"/>
  </r>
  <r>
    <x v="8"/>
    <n v="202402"/>
    <x v="2"/>
    <x v="2"/>
    <s v="Sebastián S"/>
    <s v="Vik E"/>
    <n v="91441"/>
    <n v="7861297"/>
    <n v="85.971616379310376"/>
    <n v="0"/>
    <n v="88"/>
    <n v="84"/>
    <m/>
    <n v="0"/>
  </r>
  <r>
    <x v="25"/>
    <n v="202410"/>
    <x v="2"/>
    <x v="8"/>
    <s v="Sebastián S"/>
    <s v="Vik E"/>
    <n v="91425"/>
    <n v="5748204"/>
    <n v="62.873689516129048"/>
    <n v="0"/>
    <n v="77"/>
    <n v="79"/>
    <m/>
    <n v="0"/>
  </r>
  <r>
    <x v="48"/>
    <n v="202406"/>
    <x v="2"/>
    <x v="11"/>
    <s v="Hernán P"/>
    <s v="Daniel R"/>
    <n v="91422"/>
    <n v="5904310"/>
    <n v="64.58282638888889"/>
    <n v="0"/>
    <n v="79.5"/>
    <n v="72.5"/>
    <m/>
    <n v="0"/>
  </r>
  <r>
    <x v="48"/>
    <n v="202501"/>
    <x v="1"/>
    <x v="10"/>
    <s v="Hernán P"/>
    <s v="Daniel R"/>
    <n v="91415"/>
    <n v="5487015"/>
    <n v="60.023212365591348"/>
    <n v="91110.615209695912"/>
    <n v="79.5"/>
    <n v="72.5"/>
    <n v="60.223666335380798"/>
    <n v="5705960"/>
  </r>
  <r>
    <x v="47"/>
    <n v="202511"/>
    <x v="1"/>
    <x v="7"/>
    <s v="Sebastián S"/>
    <s v="Vik E"/>
    <n v="91376"/>
    <n v="4447292"/>
    <n v="48.670124999999999"/>
    <n v="82108.304326916346"/>
    <n v="61.5"/>
    <n v="48.5"/>
    <n v="54.163733454937649"/>
    <n v="4649319"/>
  </r>
  <r>
    <x v="23"/>
    <n v="202508"/>
    <x v="1"/>
    <x v="5"/>
    <s v="Sebastián S"/>
    <s v="Rodolfo O"/>
    <n v="91373"/>
    <n v="7583978"/>
    <n v="83.000241935483913"/>
    <n v="95874.710320192273"/>
    <n v="94.5"/>
    <n v="97"/>
    <n v="79.103009173866909"/>
    <n v="7823391"/>
  </r>
  <r>
    <x v="78"/>
    <n v="202512"/>
    <x v="1"/>
    <x v="1"/>
    <s v="Sebastián S"/>
    <s v="Vik E"/>
    <n v="91342"/>
    <n v="5154659"/>
    <n v="56.432654569892435"/>
    <n v="92435.929116333849"/>
    <n v="63"/>
    <n v="59"/>
    <n v="55.764664122244973"/>
    <n v="6011013"/>
  </r>
  <r>
    <x v="28"/>
    <n v="202510"/>
    <x v="1"/>
    <x v="8"/>
    <s v="Sebastián S"/>
    <s v="Rodolfo O"/>
    <n v="91335"/>
    <n v="4960512"/>
    <n v="54.311391129032259"/>
    <n v="89444.530377785326"/>
    <n v="65.5"/>
    <n v="66"/>
    <n v="55.459085078186149"/>
    <n v="6347250"/>
  </r>
  <r>
    <x v="19"/>
    <n v="202407"/>
    <x v="2"/>
    <x v="6"/>
    <s v="Sofía V"/>
    <s v="Joe H"/>
    <n v="91333"/>
    <n v="4998750"/>
    <n v="54.731014784946218"/>
    <n v="0"/>
    <n v="57.5"/>
    <n v="56.5"/>
    <m/>
    <n v="0"/>
  </r>
  <r>
    <x v="56"/>
    <n v="202606"/>
    <x v="0"/>
    <x v="11"/>
    <s v="Sofía V"/>
    <s v="Joe H"/>
    <n v="91333"/>
    <n v="6622233"/>
    <n v="72.506826388891"/>
    <n v="92238.866281415598"/>
    <n v="79.5"/>
    <n v="81.5"/>
    <n v="68.773296674593993"/>
    <n v="6343571"/>
  </r>
  <r>
    <x v="23"/>
    <n v="202408"/>
    <x v="2"/>
    <x v="5"/>
    <s v="Sebastián S"/>
    <s v="Rodolfo O"/>
    <n v="91309"/>
    <n v="7668297"/>
    <n v="83.981606182795659"/>
    <n v="0"/>
    <n v="94.5"/>
    <n v="97"/>
    <m/>
    <n v="0"/>
  </r>
  <r>
    <x v="24"/>
    <n v="202408"/>
    <x v="2"/>
    <x v="5"/>
    <s v="Sofía V"/>
    <s v="Joe H"/>
    <n v="91274"/>
    <n v="6018270"/>
    <n v="65.936095430107514"/>
    <n v="0"/>
    <n v="71"/>
    <n v="74.5"/>
    <m/>
    <n v="0"/>
  </r>
  <r>
    <x v="42"/>
    <n v="202502"/>
    <x v="1"/>
    <x v="2"/>
    <s v="Hernán P"/>
    <s v="Daniel R"/>
    <n v="91273"/>
    <n v="2376295"/>
    <n v="26.034895833333337"/>
    <n v="96621.613772900906"/>
    <n v="22.5"/>
    <n v="21"/>
    <n v="24.59382499639506"/>
    <n v="2282621"/>
  </r>
  <r>
    <x v="13"/>
    <n v="202501"/>
    <x v="1"/>
    <x v="10"/>
    <s v="Sebastián S"/>
    <s v="Rodolfo O"/>
    <n v="91253"/>
    <n v="6142072"/>
    <n v="67.307916666666628"/>
    <n v="104086.57277945445"/>
    <n v="78"/>
    <n v="74.5"/>
    <n v="59.009263116139181"/>
    <n v="6220755"/>
  </r>
  <r>
    <x v="37"/>
    <n v="202409"/>
    <x v="2"/>
    <x v="4"/>
    <s v="Sofía V"/>
    <s v="Melany A"/>
    <n v="91209"/>
    <n v="5638389"/>
    <n v="61.818361111111088"/>
    <n v="0"/>
    <n v="72.5"/>
    <n v="68.5"/>
    <m/>
    <n v="0"/>
  </r>
  <r>
    <x v="26"/>
    <n v="202411"/>
    <x v="2"/>
    <x v="7"/>
    <s v="Sofía V"/>
    <s v="Melany A"/>
    <n v="91209"/>
    <n v="4549494"/>
    <n v="49.879958333333327"/>
    <n v="0"/>
    <n v="55"/>
    <n v="50.5"/>
    <m/>
    <n v="0"/>
  </r>
  <r>
    <x v="35"/>
    <n v="202507"/>
    <x v="1"/>
    <x v="6"/>
    <s v="Hernán P"/>
    <s v="Daniel R"/>
    <n v="91197"/>
    <n v="10978506"/>
    <n v="120.38193548387089"/>
    <n v="94798.108544064933"/>
    <n v="140.5"/>
    <n v="125.5"/>
    <n v="115.80933162708483"/>
    <n v="11750313"/>
  </r>
  <r>
    <x v="17"/>
    <n v="202509"/>
    <x v="1"/>
    <x v="4"/>
    <s v="Sofía V"/>
    <s v="Joe H"/>
    <n v="91193"/>
    <n v="7621148"/>
    <n v="83.572076388889002"/>
    <n v="88430.06838310766"/>
    <n v="94"/>
    <n v="92"/>
    <n v="86.182767008419845"/>
    <n v="7166578"/>
  </r>
  <r>
    <x v="8"/>
    <n v="202502"/>
    <x v="1"/>
    <x v="2"/>
    <s v="Sebastián S"/>
    <s v="Vik E"/>
    <n v="91190"/>
    <n v="7265441"/>
    <n v="79.673749999999984"/>
    <n v="96012.643010937536"/>
    <n v="88"/>
    <n v="84"/>
    <n v="75.671709080775287"/>
    <n v="7753496"/>
  </r>
  <r>
    <x v="45"/>
    <n v="202601"/>
    <x v="0"/>
    <x v="10"/>
    <s v="Sofía V"/>
    <s v="Joe H"/>
    <n v="91183"/>
    <n v="5718851"/>
    <n v="62.718353494623678"/>
    <n v="89137.037590658394"/>
    <n v="68"/>
    <n v="68.5"/>
    <n v="60.397061823201135"/>
    <n v="5383615"/>
  </r>
  <r>
    <x v="48"/>
    <n v="202411"/>
    <x v="2"/>
    <x v="7"/>
    <s v="Hernán P"/>
    <s v="Daniel R"/>
    <n v="91175"/>
    <n v="5543581"/>
    <n v="60.801270833333376"/>
    <n v="0"/>
    <n v="79.5"/>
    <n v="72.5"/>
    <m/>
    <n v="0"/>
  </r>
  <r>
    <x v="24"/>
    <n v="202604"/>
    <x v="0"/>
    <x v="9"/>
    <s v="Sofía V"/>
    <s v="Joe H"/>
    <n v="91170"/>
    <n v="6091625"/>
    <n v="66.81577777777953"/>
    <n v="92753.857184476656"/>
    <n v="71"/>
    <n v="74.5"/>
    <n v="62.681117153293116"/>
    <n v="5813915"/>
  </r>
  <r>
    <x v="32"/>
    <n v="202507"/>
    <x v="1"/>
    <x v="6"/>
    <s v="Sofía V"/>
    <s v="Melany A"/>
    <n v="91153"/>
    <n v="5702562"/>
    <n v="62.560618279569887"/>
    <n v="109432.99646219518"/>
    <n v="75.5"/>
    <n v="68"/>
    <n v="52.11008219052114"/>
    <n v="6419727"/>
  </r>
  <r>
    <x v="73"/>
    <n v="202511"/>
    <x v="1"/>
    <x v="7"/>
    <s v="Fátima L"/>
    <s v="Fátima L"/>
    <n v="91151"/>
    <n v="902221"/>
    <n v="9.8980486111111112"/>
    <n v="90084.606294465208"/>
    <n v="13.5"/>
    <n v="12"/>
    <n v="10.015267059622287"/>
    <n v="1070492"/>
  </r>
  <r>
    <x v="59"/>
    <n v="202403"/>
    <x v="2"/>
    <x v="0"/>
    <s v="Sebastián S"/>
    <s v="Johanna V"/>
    <n v="91117"/>
    <n v="10511279"/>
    <n v="115.35962365591405"/>
    <n v="0"/>
    <n v="118"/>
    <n v="106"/>
    <m/>
    <n v="0"/>
  </r>
  <r>
    <x v="31"/>
    <n v="202410"/>
    <x v="2"/>
    <x v="8"/>
    <s v="Sofía V"/>
    <s v="Melany A"/>
    <n v="91073"/>
    <n v="10781401"/>
    <n v="118.38147849462364"/>
    <n v="0"/>
    <n v="99"/>
    <n v="32.5"/>
    <m/>
    <n v="0"/>
  </r>
  <r>
    <x v="60"/>
    <n v="202605"/>
    <x v="0"/>
    <x v="3"/>
    <s v="Sofía V"/>
    <s v="Melany A"/>
    <n v="91046"/>
    <n v="9929231"/>
    <n v="109.05680107526388"/>
    <n v="90889.521866791096"/>
    <n v="88.5"/>
    <n v="92.5"/>
    <n v="102.97612103755296"/>
    <n v="9359450"/>
  </r>
  <r>
    <x v="61"/>
    <n v="202603"/>
    <x v="0"/>
    <x v="0"/>
    <s v="Sofía V"/>
    <s v="Joe H"/>
    <n v="91028"/>
    <n v="3280732"/>
    <n v="36.041061827956995"/>
    <n v="70401.060935859074"/>
    <n v="41.5"/>
    <n v="35.5"/>
    <n v="37.124878906032741"/>
    <n v="2613631"/>
  </r>
  <r>
    <x v="41"/>
    <n v="202601"/>
    <x v="0"/>
    <x v="10"/>
    <s v="Sebastián S"/>
    <s v="Rodolfo O"/>
    <n v="91017"/>
    <n v="5263425"/>
    <n v="57.829032258064515"/>
    <n v="94293.154567289894"/>
    <n v="64.5"/>
    <n v="64"/>
    <n v="54.966698955874868"/>
    <n v="5182983"/>
  </r>
  <r>
    <x v="25"/>
    <n v="202411"/>
    <x v="2"/>
    <x v="7"/>
    <s v="Sebastián S"/>
    <s v="Vik E"/>
    <n v="91010"/>
    <n v="6162852"/>
    <n v="67.716055555555599"/>
    <n v="0"/>
    <n v="77"/>
    <n v="79"/>
    <m/>
    <n v="0"/>
  </r>
  <r>
    <x v="33"/>
    <n v="202501"/>
    <x v="1"/>
    <x v="10"/>
    <s v="Sofía V"/>
    <s v="José A"/>
    <n v="90992"/>
    <n v="7927205"/>
    <n v="87.119704301075174"/>
    <n v="99812.90047899817"/>
    <n v="93.5"/>
    <n v="94"/>
    <n v="79.420646749645158"/>
    <n v="7762310"/>
  </r>
  <r>
    <x v="26"/>
    <n v="202507"/>
    <x v="1"/>
    <x v="6"/>
    <s v="Sofía V"/>
    <s v="Melany A"/>
    <n v="90989"/>
    <n v="4696274"/>
    <n v="51.613568548387086"/>
    <n v="100482.44878679224"/>
    <n v="55"/>
    <n v="50.5"/>
    <n v="46.73725816500297"/>
    <n v="5244692"/>
  </r>
  <r>
    <x v="41"/>
    <n v="202511"/>
    <x v="1"/>
    <x v="7"/>
    <s v="Sebastián S"/>
    <s v="Rodolfo O"/>
    <n v="90979"/>
    <n v="5389428"/>
    <n v="59.237840277777785"/>
    <n v="86248.34444143837"/>
    <n v="64.5"/>
    <n v="64"/>
    <n v="62.48731653810885"/>
    <n v="5415909"/>
  </r>
  <r>
    <x v="79"/>
    <n v="202412"/>
    <x v="2"/>
    <x v="1"/>
    <s v="Sebastián S"/>
    <s v="Vik E"/>
    <n v="90956"/>
    <n v="7909612"/>
    <n v="86.961122311828007"/>
    <n v="0"/>
    <n v="84.5"/>
    <n v="78.5"/>
    <m/>
    <n v="0"/>
  </r>
  <r>
    <x v="35"/>
    <n v="202402"/>
    <x v="2"/>
    <x v="2"/>
    <s v="Hernán P"/>
    <s v="Daniel R"/>
    <n v="90930"/>
    <n v="10670203"/>
    <n v="117.34479166666664"/>
    <n v="0"/>
    <n v="140.5"/>
    <n v="125.5"/>
    <m/>
    <n v="0"/>
  </r>
  <r>
    <x v="55"/>
    <n v="202503"/>
    <x v="1"/>
    <x v="0"/>
    <s v="Sebastián S"/>
    <s v="Vik E"/>
    <n v="90921"/>
    <n v="5889750"/>
    <n v="64.77893145161292"/>
    <n v="104304.81918848326"/>
    <n v="69.5"/>
    <n v="59"/>
    <n v="56.466710319079034"/>
    <n v="6648608"/>
  </r>
  <r>
    <x v="28"/>
    <n v="202501"/>
    <x v="1"/>
    <x v="10"/>
    <s v="Sebastián S"/>
    <s v="Rodolfo O"/>
    <n v="90900"/>
    <n v="5074248"/>
    <n v="55.822083333333339"/>
    <n v="91381.584746206907"/>
    <n v="65.5"/>
    <n v="66"/>
    <n v="55.528125432412381"/>
    <n v="5458384"/>
  </r>
  <r>
    <x v="35"/>
    <n v="202404"/>
    <x v="2"/>
    <x v="9"/>
    <s v="Hernán P"/>
    <s v="Daniel R"/>
    <n v="90899"/>
    <n v="11420406"/>
    <n v="125.63804166666665"/>
    <n v="0"/>
    <n v="140.5"/>
    <n v="125.5"/>
    <m/>
    <n v="0"/>
  </r>
  <r>
    <x v="32"/>
    <n v="202505"/>
    <x v="1"/>
    <x v="3"/>
    <s v="Sofía V"/>
    <s v="Melany A"/>
    <n v="90873"/>
    <n v="5740738"/>
    <n v="63.173212365591411"/>
    <n v="89465.313994959215"/>
    <n v="75.5"/>
    <n v="68"/>
    <n v="64.167188529886033"/>
    <n v="5857423"/>
  </r>
  <r>
    <x v="56"/>
    <n v="202507"/>
    <x v="1"/>
    <x v="6"/>
    <s v="Sofía V"/>
    <s v="Joe H"/>
    <n v="90858"/>
    <n v="6528854"/>
    <n v="71.858104838709693"/>
    <n v="88826.481470094019"/>
    <n v="79.5"/>
    <n v="81.5"/>
    <n v="73.501207995029361"/>
    <n v="6772599"/>
  </r>
  <r>
    <x v="56"/>
    <n v="202403"/>
    <x v="2"/>
    <x v="0"/>
    <s v="Sofía V"/>
    <s v="Joe H"/>
    <n v="90828"/>
    <n v="6611669"/>
    <n v="72.793508064516104"/>
    <n v="0"/>
    <n v="79.5"/>
    <n v="81.5"/>
    <m/>
    <n v="0"/>
  </r>
  <r>
    <x v="33"/>
    <n v="202405"/>
    <x v="2"/>
    <x v="3"/>
    <s v="Sofía V"/>
    <s v="José A"/>
    <n v="90825"/>
    <n v="7822432"/>
    <n v="86.12610887096767"/>
    <n v="0"/>
    <n v="93.5"/>
    <n v="94"/>
    <m/>
    <n v="0"/>
  </r>
  <r>
    <x v="53"/>
    <n v="202508"/>
    <x v="1"/>
    <x v="5"/>
    <s v="Sebastián S"/>
    <s v="Johanna V"/>
    <n v="90823"/>
    <n v="4790414"/>
    <n v="52.744294354838708"/>
    <n v="90572.641233716335"/>
    <n v="68"/>
    <n v="60.5"/>
    <n v="52.890297387250456"/>
    <n v="5097421"/>
  </r>
  <r>
    <x v="56"/>
    <n v="202601"/>
    <x v="0"/>
    <x v="10"/>
    <s v="Sofía V"/>
    <s v="Joe H"/>
    <n v="90802"/>
    <n v="6226452"/>
    <n v="68.57200940860217"/>
    <n v="98922.465408194199"/>
    <n v="79.5"/>
    <n v="81.5"/>
    <n v="68.773296674593993"/>
    <n v="6803224"/>
  </r>
  <r>
    <x v="47"/>
    <n v="202508"/>
    <x v="1"/>
    <x v="5"/>
    <s v="Sebastián S"/>
    <s v="Vik E"/>
    <n v="90770"/>
    <n v="4398411"/>
    <n v="48.456700268817215"/>
    <n v="86839.599080305357"/>
    <n v="61.5"/>
    <n v="48.5"/>
    <n v="50.649825616220859"/>
    <n v="4798846"/>
  </r>
  <r>
    <x v="32"/>
    <n v="202403"/>
    <x v="2"/>
    <x v="0"/>
    <s v="Sofía V"/>
    <s v="Melany A"/>
    <n v="90768"/>
    <n v="6705127"/>
    <n v="73.870698924731215"/>
    <n v="0"/>
    <n v="75.5"/>
    <n v="68"/>
    <m/>
    <n v="0"/>
  </r>
  <r>
    <x v="33"/>
    <n v="202402"/>
    <x v="2"/>
    <x v="2"/>
    <s v="Sofía V"/>
    <s v="José A"/>
    <n v="90762"/>
    <n v="7353139"/>
    <n v="81.015344827586205"/>
    <n v="0"/>
    <n v="93.5"/>
    <n v="94"/>
    <m/>
    <n v="0"/>
  </r>
  <r>
    <x v="55"/>
    <n v="202603"/>
    <x v="0"/>
    <x v="0"/>
    <s v="Sebastián S"/>
    <s v="Vik E"/>
    <n v="90735"/>
    <n v="5387484"/>
    <n v="59.375712365591404"/>
    <n v="99780.262864671109"/>
    <n v="69.5"/>
    <n v="59"/>
    <n v="57.926444284268129"/>
    <n v="5779916"/>
  </r>
  <r>
    <x v="22"/>
    <n v="202401"/>
    <x v="2"/>
    <x v="10"/>
    <s v="Sebastián S"/>
    <s v="Johanna V"/>
    <n v="90713"/>
    <n v="8616852"/>
    <n v="94.990376344085988"/>
    <n v="0"/>
    <n v="104.5"/>
    <n v="99"/>
    <m/>
    <n v="0"/>
  </r>
  <r>
    <x v="28"/>
    <n v="202504"/>
    <x v="1"/>
    <x v="9"/>
    <s v="Sebastián S"/>
    <s v="Rodolfo O"/>
    <n v="90688"/>
    <n v="5193865"/>
    <n v="57.271763888888877"/>
    <n v="81205.062719238456"/>
    <n v="65.5"/>
    <n v="66"/>
    <n v="63.959872649288783"/>
    <n v="5540049"/>
  </r>
  <r>
    <x v="32"/>
    <n v="202504"/>
    <x v="1"/>
    <x v="9"/>
    <s v="Sofía V"/>
    <s v="Melany A"/>
    <n v="90685"/>
    <n v="5761791"/>
    <n v="63.536083333333345"/>
    <n v="82054.323803662366"/>
    <n v="75.5"/>
    <n v="68"/>
    <n v="70.219220303206384"/>
    <n v="5905438"/>
  </r>
  <r>
    <x v="36"/>
    <n v="202411"/>
    <x v="2"/>
    <x v="7"/>
    <s v="Sebastián S"/>
    <s v="Rodolfo O"/>
    <n v="90678"/>
    <n v="6308138"/>
    <n v="69.566291666666686"/>
    <n v="0"/>
    <n v="81"/>
    <n v="77"/>
    <m/>
    <n v="0"/>
  </r>
  <r>
    <x v="80"/>
    <n v="202512"/>
    <x v="1"/>
    <x v="1"/>
    <s v="Fátima L"/>
    <s v="Fátima L"/>
    <n v="90640"/>
    <n v="765041"/>
    <n v="8.4404569892473038"/>
    <n v="80544.47115796787"/>
    <n v="10"/>
    <n v="9"/>
    <n v="9.4983648039548694"/>
    <n v="884020"/>
  </r>
  <r>
    <x v="40"/>
    <n v="202601"/>
    <x v="0"/>
    <x v="10"/>
    <s v="Sebastián S"/>
    <s v="Johanna V"/>
    <n v="90621"/>
    <n v="8816959"/>
    <n v="97.294401881720404"/>
    <n v="107714.56035029294"/>
    <n v="106"/>
    <n v="102.5"/>
    <n v="90.060822135394957"/>
    <n v="9700862"/>
  </r>
  <r>
    <x v="65"/>
    <n v="202504"/>
    <x v="1"/>
    <x v="9"/>
    <s v="Sebastián S"/>
    <s v="Johanna V"/>
    <n v="90596"/>
    <n v="7750847"/>
    <n v="85.554388888888894"/>
    <n v="92254.767196952744"/>
    <n v="103"/>
    <n v="91"/>
    <n v="84.015683042729691"/>
    <n v="8459158"/>
  </r>
  <r>
    <x v="49"/>
    <n v="202509"/>
    <x v="1"/>
    <x v="4"/>
    <s v="Sebastián S"/>
    <s v="Vik E"/>
    <n v="90587"/>
    <n v="4355275"/>
    <n v="48.078479166666668"/>
    <n v="82909.125166953352"/>
    <n v="66"/>
    <n v="64.5"/>
    <n v="52.530706375562673"/>
    <n v="5269188"/>
  </r>
  <r>
    <x v="81"/>
    <n v="202512"/>
    <x v="1"/>
    <x v="1"/>
    <s v="Fátima L"/>
    <s v="Fátima L"/>
    <n v="90561"/>
    <n v="926054"/>
    <n v="10.22573924731182"/>
    <n v="86079.5674711803"/>
    <n v="11.5"/>
    <n v="12"/>
    <n v="10.758110864230879"/>
    <n v="1147737"/>
  </r>
  <r>
    <x v="48"/>
    <n v="202405"/>
    <x v="2"/>
    <x v="3"/>
    <s v="Hernán P"/>
    <s v="Daniel R"/>
    <n v="90525"/>
    <n v="5925176"/>
    <n v="65.453198924731154"/>
    <n v="0"/>
    <n v="79.5"/>
    <n v="72.5"/>
    <m/>
    <n v="0"/>
  </r>
  <r>
    <x v="29"/>
    <n v="202404"/>
    <x v="2"/>
    <x v="9"/>
    <s v="Sebastián S"/>
    <s v="Vik E"/>
    <n v="90489"/>
    <n v="6398985"/>
    <n v="70.715701388888931"/>
    <n v="0"/>
    <n v="76.5"/>
    <n v="75.5"/>
    <m/>
    <n v="0"/>
  </r>
  <r>
    <x v="12"/>
    <n v="202502"/>
    <x v="1"/>
    <x v="2"/>
    <s v="Sofía V"/>
    <s v="Melany A"/>
    <n v="90420"/>
    <n v="8383686"/>
    <n v="92.719635416666662"/>
    <n v="100093.74612634798"/>
    <n v="96.5"/>
    <n v="94"/>
    <n v="83.758337303284719"/>
    <n v="8684620"/>
  </r>
  <r>
    <x v="48"/>
    <n v="202410"/>
    <x v="2"/>
    <x v="8"/>
    <s v="Hernán P"/>
    <s v="Daniel R"/>
    <n v="90409"/>
    <n v="5422998"/>
    <n v="59.982708333333328"/>
    <n v="0"/>
    <n v="79.5"/>
    <n v="72.5"/>
    <m/>
    <n v="0"/>
  </r>
  <r>
    <x v="38"/>
    <n v="202412"/>
    <x v="2"/>
    <x v="1"/>
    <s v="Sofía V"/>
    <s v="Melany A"/>
    <n v="90408"/>
    <n v="5285748"/>
    <n v="58.465430107526892"/>
    <n v="0"/>
    <n v="56"/>
    <n v="60"/>
    <m/>
    <n v="0"/>
  </r>
  <r>
    <x v="45"/>
    <n v="202508"/>
    <x v="1"/>
    <x v="5"/>
    <s v="Sofía V"/>
    <s v="Joe H"/>
    <n v="90382"/>
    <n v="5526164"/>
    <n v="61.142600806451611"/>
    <n v="91356.373018865343"/>
    <n v="68"/>
    <n v="68.5"/>
    <n v="60.490184509172998"/>
    <n v="5364972"/>
  </r>
  <r>
    <x v="63"/>
    <n v="202508"/>
    <x v="1"/>
    <x v="5"/>
    <s v="Sebastián S"/>
    <s v="Johanna V"/>
    <n v="90380"/>
    <n v="8625038"/>
    <n v="95.430793010752708"/>
    <n v="96890.448795507575"/>
    <n v="123"/>
    <n v="115.5"/>
    <n v="89.01844957085089"/>
    <n v="9415952"/>
  </r>
  <r>
    <x v="36"/>
    <n v="202405"/>
    <x v="2"/>
    <x v="3"/>
    <s v="Sebastián S"/>
    <s v="Rodolfo O"/>
    <n v="90378"/>
    <n v="6529164"/>
    <n v="72.242446236559132"/>
    <n v="0"/>
    <n v="81"/>
    <n v="77"/>
    <m/>
    <n v="0"/>
  </r>
  <r>
    <x v="65"/>
    <n v="202407"/>
    <x v="2"/>
    <x v="6"/>
    <s v="Sebastián S"/>
    <s v="Johanna V"/>
    <n v="90337"/>
    <n v="8049825"/>
    <n v="89.10868279569894"/>
    <n v="0"/>
    <n v="103"/>
    <n v="91"/>
    <m/>
    <n v="0"/>
  </r>
  <r>
    <x v="32"/>
    <n v="202605"/>
    <x v="0"/>
    <x v="3"/>
    <s v="Sofía V"/>
    <s v="Melany A"/>
    <n v="90325"/>
    <n v="5573921"/>
    <n v="61.70946908602194"/>
    <n v="88914.581187183518"/>
    <n v="75.5"/>
    <n v="68"/>
    <n v="66.56902434528007"/>
    <n v="5918957"/>
  </r>
  <r>
    <x v="19"/>
    <n v="202408"/>
    <x v="2"/>
    <x v="5"/>
    <s v="Sofía V"/>
    <s v="Joe H"/>
    <n v="90319"/>
    <n v="4597157"/>
    <n v="50.899126344086007"/>
    <n v="0"/>
    <n v="57.5"/>
    <n v="56.5"/>
    <m/>
    <n v="0"/>
  </r>
  <r>
    <x v="25"/>
    <n v="202402"/>
    <x v="2"/>
    <x v="2"/>
    <s v="Sebastián S"/>
    <s v="Vik E"/>
    <n v="90285"/>
    <n v="5771877"/>
    <n v="63.929762931034482"/>
    <n v="0"/>
    <n v="77"/>
    <n v="79"/>
    <m/>
    <n v="0"/>
  </r>
  <r>
    <x v="35"/>
    <n v="202407"/>
    <x v="2"/>
    <x v="6"/>
    <s v="Hernán P"/>
    <s v="Daniel R"/>
    <n v="90284"/>
    <n v="11106235"/>
    <n v="123.01455645161276"/>
    <n v="0"/>
    <n v="140.5"/>
    <n v="125.5"/>
    <m/>
    <n v="0"/>
  </r>
  <r>
    <x v="49"/>
    <n v="202604"/>
    <x v="0"/>
    <x v="9"/>
    <s v="Sebastián S"/>
    <s v="Vik E"/>
    <n v="90275"/>
    <n v="4908748"/>
    <n v="54.375756944444881"/>
    <n v="86831.32274498776"/>
    <n v="66"/>
    <n v="64.5"/>
    <n v="56.772923994003754"/>
    <n v="4929668"/>
  </r>
  <r>
    <x v="4"/>
    <n v="202404"/>
    <x v="2"/>
    <x v="9"/>
    <s v="Sofía V"/>
    <s v="José A"/>
    <n v="90273"/>
    <n v="9417222"/>
    <n v="104.31973611111108"/>
    <n v="0"/>
    <n v="107.5"/>
    <n v="102.5"/>
    <m/>
    <n v="0"/>
  </r>
  <r>
    <x v="22"/>
    <n v="202509"/>
    <x v="1"/>
    <x v="4"/>
    <s v="Sebastián S"/>
    <s v="Johanna V"/>
    <n v="90241"/>
    <n v="8158286"/>
    <n v="90.40572916666666"/>
    <n v="94262.109240230464"/>
    <n v="104.5"/>
    <n v="99"/>
    <n v="86.548944382395561"/>
    <n v="8792977"/>
  </r>
  <r>
    <x v="19"/>
    <n v="202502"/>
    <x v="1"/>
    <x v="2"/>
    <s v="Sofía V"/>
    <s v="Joe H"/>
    <n v="90235"/>
    <n v="4919073"/>
    <n v="54.513906249999991"/>
    <n v="89937.754323040921"/>
    <n v="57.5"/>
    <n v="56.5"/>
    <n v="54.694190410086712"/>
    <n v="4553872"/>
  </r>
  <r>
    <x v="41"/>
    <n v="202602"/>
    <x v="0"/>
    <x v="2"/>
    <s v="Sebastián S"/>
    <s v="Rodolfo O"/>
    <n v="90226"/>
    <n v="5208573"/>
    <n v="57.728281250000009"/>
    <n v="91811.160816682459"/>
    <n v="64.5"/>
    <n v="64"/>
    <n v="54.966698955874868"/>
    <n v="5046556"/>
  </r>
  <r>
    <x v="24"/>
    <n v="202605"/>
    <x v="0"/>
    <x v="3"/>
    <s v="Sofía V"/>
    <s v="Joe H"/>
    <n v="90223"/>
    <n v="5973842"/>
    <n v="66.212049731183086"/>
    <n v="95487.159889994873"/>
    <n v="71"/>
    <n v="74.5"/>
    <n v="62.681117153293116"/>
    <n v="5985242"/>
  </r>
  <r>
    <x v="28"/>
    <n v="202502"/>
    <x v="1"/>
    <x v="2"/>
    <s v="Sebastián S"/>
    <s v="Rodolfo O"/>
    <n v="90197"/>
    <n v="5420739"/>
    <n v="60.098593749999992"/>
    <n v="91687.954506974638"/>
    <n v="65.5"/>
    <n v="66"/>
    <n v="59.121603695364882"/>
    <n v="5510414"/>
  </r>
  <r>
    <x v="52"/>
    <n v="202505"/>
    <x v="1"/>
    <x v="3"/>
    <s v="Sebastián S"/>
    <s v="Vik E"/>
    <n v="90185"/>
    <n v="6472697"/>
    <n v="71.771263440860196"/>
    <n v="84062.427903354095"/>
    <n v="80"/>
    <n v="78"/>
    <n v="76.998691108964977"/>
    <n v="6593349"/>
  </r>
  <r>
    <x v="21"/>
    <n v="202408"/>
    <x v="2"/>
    <x v="5"/>
    <s v="Sebastián S"/>
    <s v="Rodolfo O"/>
    <n v="90176"/>
    <n v="7029024"/>
    <n v="77.948151881720463"/>
    <n v="0"/>
    <n v="84.5"/>
    <n v="86.5"/>
    <m/>
    <n v="0"/>
  </r>
  <r>
    <x v="23"/>
    <n v="202507"/>
    <x v="1"/>
    <x v="6"/>
    <s v="Sebastián S"/>
    <s v="Rodolfo O"/>
    <n v="90144"/>
    <n v="7964007"/>
    <n v="88.347150537634434"/>
    <n v="100415.82730695815"/>
    <n v="94.5"/>
    <n v="97"/>
    <n v="79.310281093985921"/>
    <n v="8986765"/>
  </r>
  <r>
    <x v="43"/>
    <n v="202403"/>
    <x v="2"/>
    <x v="0"/>
    <s v="Sofía V"/>
    <s v="José A"/>
    <n v="90095"/>
    <n v="3063242"/>
    <n v="34.000147849462358"/>
    <n v="0"/>
    <n v="32.5"/>
    <n v="32"/>
    <m/>
    <n v="0"/>
  </r>
  <r>
    <x v="39"/>
    <n v="202606"/>
    <x v="0"/>
    <x v="11"/>
    <s v="Sofía V"/>
    <s v="Melany A"/>
    <n v="90082"/>
    <n v="4853515"/>
    <n v="53.878999999999991"/>
    <n v="82247.775271087026"/>
    <n v="60.5"/>
    <n v="60.5"/>
    <n v="53.343390369396616"/>
    <n v="4387375"/>
  </r>
  <r>
    <x v="49"/>
    <n v="202508"/>
    <x v="1"/>
    <x v="5"/>
    <s v="Sebastián S"/>
    <s v="Vik E"/>
    <n v="90078"/>
    <n v="4671109"/>
    <n v="51.856545698924727"/>
    <n v="85144.686138207675"/>
    <n v="66"/>
    <n v="64.5"/>
    <n v="54.860845718754646"/>
    <n v="5312082"/>
  </r>
  <r>
    <x v="10"/>
    <n v="202510"/>
    <x v="1"/>
    <x v="8"/>
    <s v="Sofía V"/>
    <s v="Melany A"/>
    <n v="90058"/>
    <n v="8949986"/>
    <n v="99.379959677419393"/>
    <n v="91498.478985008071"/>
    <n v="125"/>
    <n v="118.5"/>
    <n v="97.815683487661516"/>
    <n v="9670322"/>
  </r>
  <r>
    <x v="36"/>
    <n v="202506"/>
    <x v="1"/>
    <x v="11"/>
    <s v="Sebastián S"/>
    <s v="Rodolfo O"/>
    <n v="89997"/>
    <n v="6103751"/>
    <n v="67.821784722222191"/>
    <n v="104907.64852803954"/>
    <n v="81"/>
    <n v="77"/>
    <n v="58.182137867370081"/>
    <n v="7067718"/>
  </r>
  <r>
    <x v="52"/>
    <n v="202508"/>
    <x v="1"/>
    <x v="5"/>
    <s v="Sebastián S"/>
    <s v="Vik E"/>
    <n v="89994"/>
    <n v="6212410"/>
    <n v="69.031196236559154"/>
    <n v="90326.073414591679"/>
    <n v="80"/>
    <n v="78"/>
    <n v="68.777596823957794"/>
    <n v="6627923"/>
  </r>
  <r>
    <x v="37"/>
    <n v="202406"/>
    <x v="2"/>
    <x v="11"/>
    <s v="Sofía V"/>
    <s v="Melany A"/>
    <n v="89966"/>
    <n v="5455126"/>
    <n v="60.635555555555563"/>
    <n v="0"/>
    <n v="72.5"/>
    <n v="68.5"/>
    <m/>
    <n v="0"/>
  </r>
  <r>
    <x v="59"/>
    <n v="202505"/>
    <x v="1"/>
    <x v="3"/>
    <s v="Sebastián S"/>
    <s v="Johanna V"/>
    <n v="89956"/>
    <n v="9364853"/>
    <n v="104.10486559139784"/>
    <n v="88925.776042350364"/>
    <n v="118"/>
    <n v="106"/>
    <n v="105.31089091131518"/>
    <n v="10093724"/>
  </r>
  <r>
    <x v="24"/>
    <n v="202602"/>
    <x v="0"/>
    <x v="2"/>
    <s v="Sofía V"/>
    <s v="Joe H"/>
    <n v="89945"/>
    <n v="5940355"/>
    <n v="66.044062499999995"/>
    <n v="90512.940707884787"/>
    <n v="71"/>
    <n v="74.5"/>
    <n v="62.681117153293116"/>
    <n v="5673452"/>
  </r>
  <r>
    <x v="45"/>
    <n v="202403"/>
    <x v="2"/>
    <x v="0"/>
    <s v="Sofía V"/>
    <s v="Joe H"/>
    <n v="89935"/>
    <n v="5510723"/>
    <n v="61.274180107526895"/>
    <n v="0"/>
    <n v="68"/>
    <n v="68.5"/>
    <m/>
    <n v="0"/>
  </r>
  <r>
    <x v="27"/>
    <n v="202510"/>
    <x v="1"/>
    <x v="8"/>
    <s v="Sofía V"/>
    <s v="Joe H"/>
    <n v="89932"/>
    <n v="4814160"/>
    <n v="53.530994623655907"/>
    <n v="80384.646324073532"/>
    <n v="62"/>
    <n v="58"/>
    <n v="59.889046604640704"/>
    <n v="4875096"/>
  </r>
  <r>
    <x v="73"/>
    <n v="202510"/>
    <x v="1"/>
    <x v="8"/>
    <s v="Fátima L"/>
    <s v="Fátima L"/>
    <n v="89932"/>
    <n v="841465"/>
    <n v="9.3567137096774182"/>
    <n v="87529.393666641816"/>
    <n v="13.5"/>
    <n v="12"/>
    <n v="9.6135144407002713"/>
    <n v="1060409"/>
  </r>
  <r>
    <x v="8"/>
    <n v="202409"/>
    <x v="2"/>
    <x v="4"/>
    <s v="Sebastián S"/>
    <s v="Vik E"/>
    <n v="89931"/>
    <n v="7036910"/>
    <n v="78.247944444444443"/>
    <n v="0"/>
    <n v="88"/>
    <n v="84"/>
    <m/>
    <n v="0"/>
  </r>
  <r>
    <x v="65"/>
    <n v="202501"/>
    <x v="1"/>
    <x v="10"/>
    <s v="Sebastián S"/>
    <s v="Johanna V"/>
    <n v="89848"/>
    <n v="7827389"/>
    <n v="87.117963709677383"/>
    <n v="101606.1070562688"/>
    <n v="103"/>
    <n v="91"/>
    <n v="77.036602688313266"/>
    <n v="8170173"/>
  </r>
  <r>
    <x v="32"/>
    <n v="202508"/>
    <x v="1"/>
    <x v="5"/>
    <s v="Sofía V"/>
    <s v="Melany A"/>
    <n v="89836"/>
    <n v="5224448"/>
    <n v="58.155134408602159"/>
    <n v="99466.197420985569"/>
    <n v="75.5"/>
    <n v="68"/>
    <n v="52.52485754419456"/>
    <n v="5739501"/>
  </r>
  <r>
    <x v="22"/>
    <n v="202409"/>
    <x v="2"/>
    <x v="4"/>
    <s v="Sebastián S"/>
    <s v="Johanna V"/>
    <n v="89773"/>
    <n v="8123613"/>
    <n v="90.49016666666671"/>
    <n v="0"/>
    <n v="104.5"/>
    <n v="99"/>
    <m/>
    <n v="0"/>
  </r>
  <r>
    <x v="12"/>
    <n v="202410"/>
    <x v="2"/>
    <x v="8"/>
    <s v="Sofía V"/>
    <s v="Melany A"/>
    <n v="89734"/>
    <n v="7587773"/>
    <n v="84.55896505376343"/>
    <n v="0"/>
    <n v="96.5"/>
    <n v="94"/>
    <m/>
    <n v="0"/>
  </r>
  <r>
    <x v="40"/>
    <n v="202408"/>
    <x v="2"/>
    <x v="5"/>
    <s v="Sebastián S"/>
    <s v="Johanna V"/>
    <n v="89719"/>
    <n v="8982564"/>
    <n v="100.11848790322584"/>
    <n v="0"/>
    <n v="106"/>
    <n v="102.5"/>
    <m/>
    <n v="0"/>
  </r>
  <r>
    <x v="24"/>
    <n v="202405"/>
    <x v="2"/>
    <x v="3"/>
    <s v="Sofía V"/>
    <s v="Joe H"/>
    <n v="89715"/>
    <n v="5686445"/>
    <n v="63.383400537634401"/>
    <n v="0"/>
    <n v="71"/>
    <n v="74.5"/>
    <m/>
    <n v="0"/>
  </r>
  <r>
    <x v="52"/>
    <n v="202502"/>
    <x v="1"/>
    <x v="2"/>
    <s v="Sebastián S"/>
    <s v="Vik E"/>
    <n v="89715"/>
    <n v="5995508"/>
    <n v="66.828437500000021"/>
    <n v="80575.531252107205"/>
    <n v="80"/>
    <n v="78"/>
    <n v="74.408542603846698"/>
    <n v="6033261"/>
  </r>
  <r>
    <x v="39"/>
    <n v="202604"/>
    <x v="0"/>
    <x v="9"/>
    <s v="Sofía V"/>
    <s v="Melany A"/>
    <n v="89713"/>
    <n v="4686481"/>
    <n v="52.238715277778311"/>
    <n v="88316.642593883371"/>
    <n v="60.5"/>
    <n v="60.5"/>
    <n v="53.343390369396616"/>
    <n v="4711109"/>
  </r>
  <r>
    <x v="26"/>
    <n v="202410"/>
    <x v="2"/>
    <x v="8"/>
    <s v="Sofía V"/>
    <s v="Melany A"/>
    <n v="89707"/>
    <n v="4453921"/>
    <n v="49.64966397849463"/>
    <n v="0"/>
    <n v="55"/>
    <n v="50.5"/>
    <m/>
    <n v="0"/>
  </r>
  <r>
    <x v="3"/>
    <n v="202502"/>
    <x v="1"/>
    <x v="2"/>
    <s v="Sebastián S"/>
    <s v="Rodolfo O"/>
    <n v="89673"/>
    <n v="7783095"/>
    <n v="86.793906249999992"/>
    <n v="83930.022370775347"/>
    <n v="98.5"/>
    <n v="96.5"/>
    <n v="92.733148164989572"/>
    <n v="9579922"/>
  </r>
  <r>
    <x v="73"/>
    <n v="202601"/>
    <x v="0"/>
    <x v="10"/>
    <s v="Fátima L"/>
    <s v="Fátima L"/>
    <n v="89639"/>
    <n v="909841"/>
    <n v="10.150094086021507"/>
    <n v="90012.555732584849"/>
    <n v="13.5"/>
    <n v="12"/>
    <n v="11.788780293634797"/>
    <n v="1061138"/>
  </r>
  <r>
    <x v="57"/>
    <n v="202403"/>
    <x v="2"/>
    <x v="0"/>
    <s v="Hernán P"/>
    <s v="Daniel R"/>
    <n v="89634"/>
    <n v="4865753"/>
    <n v="54.28452956989247"/>
    <n v="0"/>
    <n v="53.5"/>
    <n v="52"/>
    <m/>
    <n v="0"/>
  </r>
  <r>
    <x v="50"/>
    <n v="202407"/>
    <x v="2"/>
    <x v="6"/>
    <s v="Sebastián S"/>
    <s v="Vik E"/>
    <n v="89617"/>
    <n v="6922140"/>
    <n v="77.241330645161284"/>
    <n v="0"/>
    <n v="75.5"/>
    <n v="74"/>
    <m/>
    <n v="0"/>
  </r>
  <r>
    <x v="59"/>
    <n v="202411"/>
    <x v="2"/>
    <x v="7"/>
    <s v="Sebastián S"/>
    <s v="Johanna V"/>
    <n v="89615"/>
    <n v="9407264"/>
    <n v="104.97379861111111"/>
    <n v="0"/>
    <n v="118"/>
    <n v="106"/>
    <m/>
    <n v="0"/>
  </r>
  <r>
    <x v="4"/>
    <n v="202506"/>
    <x v="1"/>
    <x v="11"/>
    <s v="Sofía V"/>
    <s v="José A"/>
    <n v="89614"/>
    <n v="8961782"/>
    <n v="100.0042361111111"/>
    <n v="101218.43426737978"/>
    <n v="107.5"/>
    <n v="102.5"/>
    <n v="88.539026955568758"/>
    <n v="9985463"/>
  </r>
  <r>
    <x v="65"/>
    <n v="202405"/>
    <x v="2"/>
    <x v="3"/>
    <s v="Sebastián S"/>
    <s v="Johanna V"/>
    <n v="89612"/>
    <n v="7848795"/>
    <n v="87.586700268817154"/>
    <n v="0"/>
    <n v="103"/>
    <n v="91"/>
    <m/>
    <n v="0"/>
  </r>
  <r>
    <x v="61"/>
    <n v="202511"/>
    <x v="1"/>
    <x v="7"/>
    <s v="Sofía V"/>
    <s v="Joe H"/>
    <n v="89602"/>
    <n v="2809285"/>
    <n v="31.352805555555555"/>
    <n v="74617.652906531745"/>
    <n v="41.5"/>
    <n v="35.5"/>
    <n v="37.649069497254132"/>
    <n v="2190596"/>
  </r>
  <r>
    <x v="79"/>
    <n v="202512"/>
    <x v="1"/>
    <x v="1"/>
    <s v="Sebastián S"/>
    <s v="Vik E"/>
    <n v="89591"/>
    <n v="7378671"/>
    <n v="82.359657258064416"/>
    <n v="95503.514912322891"/>
    <n v="84.5"/>
    <n v="78.5"/>
    <n v="77.260725605481611"/>
    <n v="7937628"/>
  </r>
  <r>
    <x v="29"/>
    <n v="202507"/>
    <x v="1"/>
    <x v="6"/>
    <s v="Sebastián S"/>
    <s v="Vik E"/>
    <n v="89560"/>
    <n v="6141771"/>
    <n v="68.577466397849477"/>
    <n v="112422.17353278089"/>
    <n v="76.5"/>
    <n v="75.5"/>
    <n v="54.631314775364451"/>
    <n v="7144633"/>
  </r>
  <r>
    <x v="48"/>
    <n v="202506"/>
    <x v="1"/>
    <x v="11"/>
    <s v="Hernán P"/>
    <s v="Daniel R"/>
    <n v="89553"/>
    <n v="5710411"/>
    <n v="63.765576388888881"/>
    <n v="95993.411439896227"/>
    <n v="79.5"/>
    <n v="72.5"/>
    <n v="59.487526949445119"/>
    <n v="6134700"/>
  </r>
  <r>
    <x v="52"/>
    <n v="202501"/>
    <x v="1"/>
    <x v="10"/>
    <s v="Sebastián S"/>
    <s v="Vik E"/>
    <n v="89552"/>
    <n v="6151557"/>
    <n v="68.692204301075265"/>
    <n v="88441.033693215635"/>
    <n v="80"/>
    <n v="78"/>
    <n v="69.555463715389493"/>
    <n v="6457196"/>
  </r>
  <r>
    <x v="22"/>
    <n v="202405"/>
    <x v="2"/>
    <x v="3"/>
    <s v="Sebastián S"/>
    <s v="Johanna V"/>
    <n v="89549"/>
    <n v="8771428"/>
    <n v="97.951686827956976"/>
    <n v="0"/>
    <n v="104.5"/>
    <n v="99"/>
    <m/>
    <n v="0"/>
  </r>
  <r>
    <x v="36"/>
    <n v="202402"/>
    <x v="2"/>
    <x v="2"/>
    <s v="Sebastián S"/>
    <s v="Rodolfo O"/>
    <n v="89541"/>
    <n v="6490839"/>
    <n v="72.489777298850584"/>
    <n v="0"/>
    <n v="81"/>
    <n v="77"/>
    <m/>
    <n v="0"/>
  </r>
  <r>
    <x v="72"/>
    <n v="202503"/>
    <x v="1"/>
    <x v="0"/>
    <s v="Sebastián S"/>
    <s v="Vik E"/>
    <n v="89515"/>
    <n v="6350866"/>
    <n v="70.94768145161288"/>
    <n v="86639.436176340459"/>
    <n v="79.5"/>
    <n v="67"/>
    <n v="73.302254034454322"/>
    <n v="6279082"/>
  </r>
  <r>
    <x v="53"/>
    <n v="202511"/>
    <x v="1"/>
    <x v="7"/>
    <s v="Sebastián S"/>
    <s v="Johanna V"/>
    <n v="89512"/>
    <n v="5233223"/>
    <n v="58.463854166666664"/>
    <n v="84227.157732814376"/>
    <n v="68"/>
    <n v="60.5"/>
    <n v="62.13225248085476"/>
    <n v="5720280"/>
  </r>
  <r>
    <x v="19"/>
    <n v="202401"/>
    <x v="2"/>
    <x v="10"/>
    <s v="Sofía V"/>
    <s v="Joe H"/>
    <n v="89511"/>
    <n v="4582277"/>
    <n v="51.192157258064505"/>
    <n v="0"/>
    <n v="57.5"/>
    <n v="56.5"/>
    <m/>
    <n v="0"/>
  </r>
  <r>
    <x v="16"/>
    <n v="202409"/>
    <x v="2"/>
    <x v="4"/>
    <s v="Sofía V"/>
    <s v="José A"/>
    <n v="89484"/>
    <n v="5221266"/>
    <n v="58.348500000000016"/>
    <n v="0"/>
    <n v="64"/>
    <n v="67"/>
    <m/>
    <n v="0"/>
  </r>
  <r>
    <x v="24"/>
    <n v="202507"/>
    <x v="1"/>
    <x v="6"/>
    <s v="Sofía V"/>
    <s v="Joe H"/>
    <n v="89474"/>
    <n v="5650099"/>
    <n v="63.147715053763449"/>
    <n v="105982.18280995172"/>
    <n v="71"/>
    <n v="74.5"/>
    <n v="53.311783643216835"/>
    <n v="6716653"/>
  </r>
  <r>
    <x v="13"/>
    <n v="202411"/>
    <x v="2"/>
    <x v="7"/>
    <s v="Sebastián S"/>
    <s v="Rodolfo O"/>
    <n v="89453"/>
    <n v="6231313"/>
    <n v="69.660159722222204"/>
    <n v="0"/>
    <n v="78"/>
    <n v="74.5"/>
    <m/>
    <n v="0"/>
  </r>
  <r>
    <x v="62"/>
    <n v="202501"/>
    <x v="1"/>
    <x v="10"/>
    <s v="Sebastián S"/>
    <s v="Vik E"/>
    <n v="89440"/>
    <n v="4827976"/>
    <n v="53.980114247311825"/>
    <n v="83963.412358594156"/>
    <n v="65"/>
    <n v="67.5"/>
    <n v="57.500944928018136"/>
    <n v="4755550"/>
  </r>
  <r>
    <x v="73"/>
    <n v="202604"/>
    <x v="0"/>
    <x v="9"/>
    <s v="Fátima L"/>
    <s v="Fátima L"/>
    <n v="89430"/>
    <n v="864911"/>
    <n v="9.6714236111111163"/>
    <n v="73571.915872272235"/>
    <n v="13.5"/>
    <n v="12"/>
    <n v="11.788780293634797"/>
    <n v="867323"/>
  </r>
  <r>
    <x v="19"/>
    <n v="202507"/>
    <x v="1"/>
    <x v="6"/>
    <s v="Sofía V"/>
    <s v="Joe H"/>
    <n v="89418"/>
    <n v="4713655"/>
    <n v="52.714892473118262"/>
    <n v="95899.699048585069"/>
    <n v="57.5"/>
    <n v="56.5"/>
    <n v="49.151922547869013"/>
    <n v="4908714"/>
  </r>
  <r>
    <x v="48"/>
    <n v="202502"/>
    <x v="1"/>
    <x v="2"/>
    <s v="Hernán P"/>
    <s v="Daniel R"/>
    <n v="89334"/>
    <n v="5397340"/>
    <n v="60.417656250000007"/>
    <n v="85041.170618933349"/>
    <n v="79.5"/>
    <n v="72.5"/>
    <n v="63.467381513188492"/>
    <n v="5481427"/>
  </r>
  <r>
    <x v="11"/>
    <n v="202602"/>
    <x v="0"/>
    <x v="2"/>
    <s v="Sofía V"/>
    <s v="José A"/>
    <n v="89316"/>
    <n v="6432948"/>
    <n v="72.024687499999999"/>
    <n v="111276.42485808405"/>
    <n v="86.5"/>
    <n v="81.5"/>
    <n v="76.26782259426129"/>
    <n v="8486811"/>
  </r>
  <r>
    <x v="77"/>
    <n v="202504"/>
    <x v="1"/>
    <x v="9"/>
    <s v="Fátima L"/>
    <s v="Fátima L"/>
    <n v="89315"/>
    <n v="1000023"/>
    <n v="11.196597222222225"/>
    <n v="62960.405917186406"/>
    <n v="17"/>
    <n v="13.5"/>
    <n v="15.883362971251465"/>
    <n v="1104646"/>
  </r>
  <r>
    <x v="58"/>
    <n v="202511"/>
    <x v="1"/>
    <x v="7"/>
    <s v="Sebastián S"/>
    <s v="Rodolfo O"/>
    <n v="89267"/>
    <n v="4726245"/>
    <n v="52.945229166666692"/>
    <n v="85082.982803407271"/>
    <n v="66.5"/>
    <n v="63.5"/>
    <n v="55.548654787061963"/>
    <n v="4875858"/>
  </r>
  <r>
    <x v="67"/>
    <n v="202603"/>
    <x v="0"/>
    <x v="0"/>
    <s v="Hernán P"/>
    <s v="Daniel R"/>
    <n v="89209"/>
    <n v="1236118"/>
    <n v="13.856471774193544"/>
    <n v="89093.964351180693"/>
    <n v="15.5"/>
    <n v="14.5"/>
    <n v="13.971887755419019"/>
    <n v="1244811"/>
  </r>
  <r>
    <x v="59"/>
    <n v="202410"/>
    <x v="2"/>
    <x v="8"/>
    <s v="Sebastián S"/>
    <s v="Johanna V"/>
    <n v="89206"/>
    <n v="9117490"/>
    <n v="102.20691532258061"/>
    <n v="0"/>
    <n v="118"/>
    <n v="106"/>
    <m/>
    <n v="0"/>
  </r>
  <r>
    <x v="29"/>
    <n v="202405"/>
    <x v="2"/>
    <x v="3"/>
    <s v="Sebastián S"/>
    <s v="Vik E"/>
    <n v="89175"/>
    <n v="6167177"/>
    <n v="69.158024193548414"/>
    <n v="0"/>
    <n v="76.5"/>
    <n v="75.5"/>
    <m/>
    <n v="0"/>
  </r>
  <r>
    <x v="39"/>
    <n v="202511"/>
    <x v="1"/>
    <x v="7"/>
    <s v="Sofía V"/>
    <s v="Melany A"/>
    <n v="89152"/>
    <n v="4710518"/>
    <n v="52.83716666666669"/>
    <n v="75332.840128254815"/>
    <n v="60.5"/>
    <n v="60.5"/>
    <n v="62.529403935658124"/>
    <n v="4702326"/>
  </r>
  <r>
    <x v="76"/>
    <n v="202403"/>
    <x v="2"/>
    <x v="0"/>
    <s v="Hernán P"/>
    <s v="Daniel R"/>
    <n v="89108"/>
    <n v="8059338"/>
    <n v="90.444139784946188"/>
    <n v="0"/>
    <n v="106"/>
    <n v="94.5"/>
    <m/>
    <n v="0"/>
  </r>
  <r>
    <x v="38"/>
    <n v="202504"/>
    <x v="1"/>
    <x v="9"/>
    <s v="Sofía V"/>
    <s v="Melany A"/>
    <n v="89108"/>
    <n v="4761071"/>
    <n v="53.43046527777777"/>
    <n v="64479.660279576317"/>
    <n v="56"/>
    <n v="60"/>
    <n v="73.838337071823105"/>
    <n v="4031746"/>
  </r>
  <r>
    <x v="27"/>
    <n v="202508"/>
    <x v="1"/>
    <x v="5"/>
    <s v="Sofía V"/>
    <s v="Joe H"/>
    <n v="89047"/>
    <n v="4867322"/>
    <n v="54.660073924731194"/>
    <n v="83535.471313357732"/>
    <n v="62"/>
    <n v="58"/>
    <n v="58.266525746191505"/>
    <n v="4749745"/>
  </r>
  <r>
    <x v="21"/>
    <n v="202411"/>
    <x v="2"/>
    <x v="7"/>
    <s v="Sebastián S"/>
    <s v="Rodolfo O"/>
    <n v="89036"/>
    <n v="7014573"/>
    <n v="78.783833333333362"/>
    <n v="0"/>
    <n v="84.5"/>
    <n v="86.5"/>
    <m/>
    <n v="0"/>
  </r>
  <r>
    <x v="17"/>
    <n v="202401"/>
    <x v="2"/>
    <x v="10"/>
    <s v="Sofía V"/>
    <s v="Joe H"/>
    <n v="89033"/>
    <n v="7178563"/>
    <n v="80.627862903225804"/>
    <n v="0"/>
    <n v="94"/>
    <n v="92"/>
    <m/>
    <n v="0"/>
  </r>
  <r>
    <x v="12"/>
    <n v="202504"/>
    <x v="1"/>
    <x v="9"/>
    <s v="Sofía V"/>
    <s v="Melany A"/>
    <n v="89000"/>
    <n v="8281450"/>
    <n v="93.050416666666692"/>
    <n v="90831.096293284267"/>
    <n v="96.5"/>
    <n v="94"/>
    <n v="91.174167415749906"/>
    <n v="8301415"/>
  </r>
  <r>
    <x v="64"/>
    <n v="202508"/>
    <x v="1"/>
    <x v="5"/>
    <s v="Sebastián S"/>
    <s v="Johanna V"/>
    <n v="88996"/>
    <n v="4861639"/>
    <n v="54.627802419354865"/>
    <n v="81699.26391442983"/>
    <n v="75.5"/>
    <n v="70.5"/>
    <n v="59.506516302178476"/>
    <n v="5490370"/>
  </r>
  <r>
    <x v="16"/>
    <n v="202502"/>
    <x v="1"/>
    <x v="2"/>
    <s v="Sofía V"/>
    <s v="José A"/>
    <n v="88964"/>
    <n v="5349294"/>
    <n v="60.128802083333348"/>
    <n v="116959.17389401076"/>
    <n v="64"/>
    <n v="67"/>
    <n v="45.736419657405996"/>
    <n v="5793568"/>
  </r>
  <r>
    <x v="38"/>
    <n v="202511"/>
    <x v="1"/>
    <x v="7"/>
    <s v="Sofía V"/>
    <s v="Melany A"/>
    <n v="88948"/>
    <n v="4609139"/>
    <n v="51.818423611111093"/>
    <n v="63112.758670106545"/>
    <n v="56"/>
    <n v="60"/>
    <n v="73.030226013288271"/>
    <n v="4011253"/>
  </r>
  <r>
    <x v="9"/>
    <n v="202502"/>
    <x v="1"/>
    <x v="2"/>
    <s v="Sofía V"/>
    <s v="Joe H"/>
    <n v="88940"/>
    <n v="5965040"/>
    <n v="67.067916666666676"/>
    <n v="91141.834972849072"/>
    <n v="70.5"/>
    <n v="69.5"/>
    <n v="65.447881006312528"/>
    <n v="5477118"/>
  </r>
  <r>
    <x v="67"/>
    <n v="202411"/>
    <x v="2"/>
    <x v="7"/>
    <s v="Hernán P"/>
    <s v="Daniel R"/>
    <n v="88938"/>
    <n v="1013930"/>
    <n v="11.400375000000002"/>
    <n v="0"/>
    <n v="15.5"/>
    <n v="14.5"/>
    <m/>
    <n v="0"/>
  </r>
  <r>
    <x v="29"/>
    <n v="202401"/>
    <x v="2"/>
    <x v="10"/>
    <s v="Sebastián S"/>
    <s v="Vik E"/>
    <n v="88937"/>
    <n v="6225525"/>
    <n v="69.999435483870968"/>
    <n v="0"/>
    <n v="76.5"/>
    <n v="75.5"/>
    <m/>
    <n v="0"/>
  </r>
  <r>
    <x v="13"/>
    <n v="202606"/>
    <x v="0"/>
    <x v="11"/>
    <s v="Sebastián S"/>
    <s v="Rodolfo O"/>
    <n v="88921"/>
    <n v="5656095"/>
    <n v="63.60783333333481"/>
    <n v="82387.837409259446"/>
    <n v="78"/>
    <n v="74.5"/>
    <n v="66.954795775232199"/>
    <n v="5516261"/>
  </r>
  <r>
    <x v="65"/>
    <n v="202601"/>
    <x v="0"/>
    <x v="10"/>
    <s v="Sebastián S"/>
    <s v="Johanna V"/>
    <n v="88915"/>
    <n v="7702672"/>
    <n v="86.629704301075307"/>
    <n v="99634.457811982516"/>
    <n v="103"/>
    <n v="91"/>
    <n v="85.91077884372821"/>
    <n v="8559674"/>
  </r>
  <r>
    <x v="25"/>
    <n v="202502"/>
    <x v="1"/>
    <x v="2"/>
    <s v="Sebastián S"/>
    <s v="Vik E"/>
    <n v="88914"/>
    <n v="6340296"/>
    <n v="71.308437499999997"/>
    <n v="94798.896940034872"/>
    <n v="77"/>
    <n v="79"/>
    <n v="66.881539075402529"/>
    <n v="5649831"/>
  </r>
  <r>
    <x v="15"/>
    <n v="202502"/>
    <x v="1"/>
    <x v="2"/>
    <s v="Sofía V"/>
    <s v="Joe H"/>
    <n v="88903"/>
    <n v="7931521"/>
    <n v="89.215156249999978"/>
    <n v="99841.650525266101"/>
    <n v="101"/>
    <n v="105"/>
    <n v="79.441007918762679"/>
    <n v="8362990"/>
  </r>
  <r>
    <x v="52"/>
    <n v="202602"/>
    <x v="0"/>
    <x v="2"/>
    <s v="Sebastián S"/>
    <s v="Vik E"/>
    <n v="88873"/>
    <n v="6070053"/>
    <n v="68.300312500000004"/>
    <n v="88408.977671194254"/>
    <n v="80"/>
    <n v="78"/>
    <n v="69.114627897013889"/>
    <n v="6110354"/>
  </r>
  <r>
    <x v="67"/>
    <n v="202606"/>
    <x v="0"/>
    <x v="11"/>
    <s v="Hernán P"/>
    <s v="Daniel R"/>
    <n v="88871"/>
    <n v="1148547"/>
    <n v="12.923701388888864"/>
    <n v="70758.329275624128"/>
    <n v="15.5"/>
    <n v="14.5"/>
    <n v="13.971887755419019"/>
    <n v="988627"/>
  </r>
  <r>
    <x v="10"/>
    <n v="202505"/>
    <x v="1"/>
    <x v="3"/>
    <s v="Sofía V"/>
    <s v="Melany A"/>
    <n v="88848"/>
    <n v="9890773"/>
    <n v="111.32272177419355"/>
    <n v="90358.485881147411"/>
    <n v="125"/>
    <n v="118.5"/>
    <n v="109.46147407792753"/>
    <n v="9373948"/>
  </r>
  <r>
    <x v="47"/>
    <n v="202601"/>
    <x v="0"/>
    <x v="10"/>
    <s v="Sebastián S"/>
    <s v="Vik E"/>
    <n v="88817"/>
    <n v="4354373"/>
    <n v="49.026344086021524"/>
    <n v="89835.033702776622"/>
    <n v="61.5"/>
    <n v="48.5"/>
    <n v="53.715920394326645"/>
    <n v="4825572"/>
  </r>
  <r>
    <x v="14"/>
    <n v="202411"/>
    <x v="2"/>
    <x v="7"/>
    <s v="Sofía V"/>
    <s v="Melany A"/>
    <n v="88813"/>
    <n v="4757462"/>
    <n v="53.567062499999999"/>
    <n v="0"/>
    <n v="59.5"/>
    <n v="55.5"/>
    <m/>
    <n v="0"/>
  </r>
  <r>
    <x v="76"/>
    <n v="202401"/>
    <x v="2"/>
    <x v="10"/>
    <s v="Hernán P"/>
    <s v="Daniel R"/>
    <n v="88779"/>
    <n v="7380550"/>
    <n v="83.133749999999949"/>
    <n v="0"/>
    <n v="106"/>
    <n v="94.5"/>
    <m/>
    <n v="0"/>
  </r>
  <r>
    <x v="27"/>
    <n v="202401"/>
    <x v="2"/>
    <x v="10"/>
    <s v="Sofía V"/>
    <s v="Joe H"/>
    <n v="88769"/>
    <n v="5145529"/>
    <n v="57.965221774193537"/>
    <n v="0"/>
    <n v="62"/>
    <n v="58"/>
    <m/>
    <n v="0"/>
  </r>
  <r>
    <x v="14"/>
    <n v="202408"/>
    <x v="2"/>
    <x v="5"/>
    <s v="Sofía V"/>
    <s v="Melany A"/>
    <n v="88766"/>
    <n v="4955365"/>
    <n v="55.825282258064505"/>
    <n v="0"/>
    <n v="59.5"/>
    <n v="55.5"/>
    <m/>
    <n v="0"/>
  </r>
  <r>
    <x v="24"/>
    <n v="202601"/>
    <x v="0"/>
    <x v="10"/>
    <s v="Sofía V"/>
    <s v="Joe H"/>
    <n v="88742"/>
    <n v="5892825"/>
    <n v="66.40384408602155"/>
    <n v="100910.39272850117"/>
    <n v="71"/>
    <n v="74.5"/>
    <n v="62.681117153293116"/>
    <n v="6325176"/>
  </r>
  <r>
    <x v="76"/>
    <n v="202604"/>
    <x v="0"/>
    <x v="9"/>
    <s v="Hernán P"/>
    <s v="Daniel R"/>
    <n v="88733"/>
    <n v="7788630"/>
    <n v="87.776013888890731"/>
    <n v="86102.564309229667"/>
    <n v="106"/>
    <n v="94.5"/>
    <n v="88.413034538205707"/>
    <n v="7612589"/>
  </r>
  <r>
    <x v="39"/>
    <n v="202503"/>
    <x v="1"/>
    <x v="0"/>
    <s v="Sofía V"/>
    <s v="Melany A"/>
    <n v="88729"/>
    <n v="5049665"/>
    <n v="56.911129032258039"/>
    <n v="90374.979717185692"/>
    <n v="60.5"/>
    <n v="60.5"/>
    <n v="55.874585928562638"/>
    <n v="6601552"/>
  </r>
  <r>
    <x v="12"/>
    <n v="202409"/>
    <x v="2"/>
    <x v="4"/>
    <s v="Sofía V"/>
    <s v="Melany A"/>
    <n v="88626"/>
    <n v="7493896"/>
    <n v="84.5567430555556"/>
    <n v="0"/>
    <n v="96.5"/>
    <n v="94"/>
    <m/>
    <n v="0"/>
  </r>
  <r>
    <x v="62"/>
    <n v="202407"/>
    <x v="2"/>
    <x v="6"/>
    <s v="Sebastián S"/>
    <s v="Vik E"/>
    <n v="88587"/>
    <n v="5125917"/>
    <n v="57.863279569892484"/>
    <n v="0"/>
    <n v="65"/>
    <n v="67.5"/>
    <m/>
    <n v="0"/>
  </r>
  <r>
    <x v="32"/>
    <n v="202406"/>
    <x v="2"/>
    <x v="11"/>
    <s v="Sofía V"/>
    <s v="Melany A"/>
    <n v="88574"/>
    <n v="5597276"/>
    <n v="63.192888888888881"/>
    <n v="0"/>
    <n v="75.5"/>
    <n v="68"/>
    <m/>
    <n v="0"/>
  </r>
  <r>
    <x v="43"/>
    <n v="202602"/>
    <x v="0"/>
    <x v="2"/>
    <s v="Sofía V"/>
    <s v="José A"/>
    <n v="88574"/>
    <n v="2702396"/>
    <n v="30.510156250000001"/>
    <n v="86422.56168002302"/>
    <n v="32.5"/>
    <n v="32"/>
    <n v="29.073700348097926"/>
    <n v="2512624"/>
  </r>
  <r>
    <x v="34"/>
    <n v="202406"/>
    <x v="2"/>
    <x v="11"/>
    <s v="Hernán P"/>
    <s v="Daniel R"/>
    <n v="88572"/>
    <n v="1046023"/>
    <n v="11.809826388888892"/>
    <n v="0"/>
    <n v="15"/>
    <n v="15"/>
    <m/>
    <n v="0"/>
  </r>
  <r>
    <x v="28"/>
    <n v="202509"/>
    <x v="1"/>
    <x v="4"/>
    <s v="Sebastián S"/>
    <s v="Rodolfo O"/>
    <n v="88571"/>
    <n v="4598957"/>
    <n v="51.924006944444436"/>
    <n v="89530.964891471987"/>
    <n v="65.5"/>
    <n v="66"/>
    <n v="51.367225021809858"/>
    <n v="6158772"/>
  </r>
  <r>
    <x v="67"/>
    <n v="202403"/>
    <x v="2"/>
    <x v="0"/>
    <s v="Hernán P"/>
    <s v="Daniel R"/>
    <n v="88553"/>
    <n v="1232762"/>
    <n v="13.921155913978497"/>
    <n v="0"/>
    <n v="15.5"/>
    <n v="14.5"/>
    <m/>
    <n v="0"/>
  </r>
  <r>
    <x v="63"/>
    <n v="202410"/>
    <x v="2"/>
    <x v="8"/>
    <s v="Sebastián S"/>
    <s v="Johanna V"/>
    <n v="88550"/>
    <n v="8504191"/>
    <n v="96.038212365591306"/>
    <n v="0"/>
    <n v="123"/>
    <n v="115.5"/>
    <m/>
    <n v="0"/>
  </r>
  <r>
    <x v="26"/>
    <n v="202402"/>
    <x v="2"/>
    <x v="2"/>
    <s v="Sofía V"/>
    <s v="Melany A"/>
    <n v="88546"/>
    <n v="4565394"/>
    <n v="51.559676724137951"/>
    <n v="0"/>
    <n v="55"/>
    <n v="50.5"/>
    <m/>
    <n v="0"/>
  </r>
  <r>
    <x v="57"/>
    <n v="202412"/>
    <x v="2"/>
    <x v="1"/>
    <s v="Hernán P"/>
    <s v="Daniel R"/>
    <n v="88531"/>
    <n v="4610193"/>
    <n v="52.074401881720448"/>
    <n v="0"/>
    <n v="53.5"/>
    <n v="52"/>
    <m/>
    <n v="0"/>
  </r>
  <r>
    <x v="43"/>
    <n v="202507"/>
    <x v="1"/>
    <x v="6"/>
    <s v="Sofía V"/>
    <s v="José A"/>
    <n v="88515"/>
    <n v="2546618"/>
    <n v="28.770564516129031"/>
    <n v="90962.66702287423"/>
    <n v="32.5"/>
    <n v="32"/>
    <n v="27.996299507792649"/>
    <n v="2566237"/>
  </r>
  <r>
    <x v="60"/>
    <n v="202601"/>
    <x v="0"/>
    <x v="10"/>
    <s v="Sofía V"/>
    <s v="Melany A"/>
    <n v="88511"/>
    <n v="9423205"/>
    <n v="106.46374327956993"/>
    <n v="79751.74011851821"/>
    <n v="88.5"/>
    <n v="92.5"/>
    <n v="102.97612103755296"/>
    <n v="8212525"/>
  </r>
  <r>
    <x v="27"/>
    <n v="202502"/>
    <x v="1"/>
    <x v="2"/>
    <s v="Sofía V"/>
    <s v="Joe H"/>
    <n v="88485"/>
    <n v="5446165"/>
    <n v="61.548854166666672"/>
    <n v="84185.970575629544"/>
    <n v="62"/>
    <n v="58"/>
    <n v="64.692073902116149"/>
    <n v="5044223"/>
  </r>
  <r>
    <x v="42"/>
    <n v="202403"/>
    <x v="2"/>
    <x v="0"/>
    <s v="Hernán P"/>
    <s v="Daniel R"/>
    <n v="88466"/>
    <n v="2273853"/>
    <n v="25.703266129032265"/>
    <n v="0"/>
    <n v="22.5"/>
    <n v="21"/>
    <m/>
    <n v="0"/>
  </r>
  <r>
    <x v="49"/>
    <n v="202501"/>
    <x v="1"/>
    <x v="10"/>
    <s v="Sebastián S"/>
    <s v="Vik E"/>
    <n v="88437"/>
    <n v="4731755"/>
    <n v="53.504321236559143"/>
    <n v="83390.117247417249"/>
    <n v="66"/>
    <n v="64.5"/>
    <n v="56.742390299811575"/>
    <n v="5157284"/>
  </r>
  <r>
    <x v="14"/>
    <n v="202407"/>
    <x v="2"/>
    <x v="6"/>
    <s v="Sofía V"/>
    <s v="Melany A"/>
    <n v="88433"/>
    <n v="5319483"/>
    <n v="60.152627688172053"/>
    <n v="0"/>
    <n v="59.5"/>
    <n v="55.5"/>
    <m/>
    <n v="0"/>
  </r>
  <r>
    <x v="42"/>
    <n v="202401"/>
    <x v="2"/>
    <x v="10"/>
    <s v="Hernán P"/>
    <s v="Daniel R"/>
    <n v="88423"/>
    <n v="2528718"/>
    <n v="28.598010752688165"/>
    <n v="0"/>
    <n v="22.5"/>
    <n v="21"/>
    <m/>
    <n v="0"/>
  </r>
  <r>
    <x v="59"/>
    <n v="202504"/>
    <x v="1"/>
    <x v="9"/>
    <s v="Sebastián S"/>
    <s v="Johanna V"/>
    <n v="88422"/>
    <n v="9286509"/>
    <n v="105.02484027777781"/>
    <n v="87517.515994939429"/>
    <n v="118"/>
    <n v="106"/>
    <n v="106.11029351583717"/>
    <n v="10218984"/>
  </r>
  <r>
    <x v="53"/>
    <n v="202506"/>
    <x v="1"/>
    <x v="11"/>
    <s v="Sebastián S"/>
    <s v="Johanna V"/>
    <n v="88420"/>
    <n v="5220375"/>
    <n v="59.040527777777797"/>
    <n v="86922.30356426131"/>
    <n v="68"/>
    <n v="60.5"/>
    <n v="60.057945842871014"/>
    <n v="5065111"/>
  </r>
  <r>
    <x v="47"/>
    <n v="202602"/>
    <x v="0"/>
    <x v="2"/>
    <s v="Sebastián S"/>
    <s v="Vik E"/>
    <n v="88391"/>
    <n v="4417794"/>
    <n v="49.980208333333337"/>
    <n v="83597.679010900451"/>
    <n v="61.5"/>
    <n v="48.5"/>
    <n v="53.715920394326645"/>
    <n v="4490526"/>
  </r>
  <r>
    <x v="25"/>
    <n v="202409"/>
    <x v="2"/>
    <x v="4"/>
    <s v="Sebastián S"/>
    <s v="Vik E"/>
    <n v="88390"/>
    <n v="5803138"/>
    <n v="65.654118055555557"/>
    <n v="0"/>
    <n v="77"/>
    <n v="79"/>
    <m/>
    <n v="0"/>
  </r>
  <r>
    <x v="13"/>
    <n v="202402"/>
    <x v="2"/>
    <x v="2"/>
    <s v="Sebastián S"/>
    <s v="Rodolfo O"/>
    <n v="88359"/>
    <n v="6436373"/>
    <n v="72.843850574712633"/>
    <n v="0"/>
    <n v="78"/>
    <n v="74.5"/>
    <m/>
    <n v="0"/>
  </r>
  <r>
    <x v="46"/>
    <n v="202511"/>
    <x v="1"/>
    <x v="7"/>
    <s v="Sofía V"/>
    <s v="José A"/>
    <n v="88357"/>
    <n v="4399312"/>
    <n v="49.790270833333345"/>
    <n v="92566.897328037376"/>
    <n v="58"/>
    <n v="58.5"/>
    <n v="47.525758418906221"/>
    <n v="4785224"/>
  </r>
  <r>
    <x v="14"/>
    <n v="202406"/>
    <x v="2"/>
    <x v="11"/>
    <s v="Sofía V"/>
    <s v="Melany A"/>
    <n v="88338"/>
    <n v="4895054"/>
    <n v="55.412534722222212"/>
    <n v="0"/>
    <n v="59.5"/>
    <n v="55.5"/>
    <m/>
    <n v="0"/>
  </r>
  <r>
    <x v="19"/>
    <n v="202504"/>
    <x v="1"/>
    <x v="9"/>
    <s v="Sofía V"/>
    <s v="Joe H"/>
    <n v="88317"/>
    <n v="4768102"/>
    <n v="53.988375000000012"/>
    <n v="83891.582842215663"/>
    <n v="57.5"/>
    <n v="56.5"/>
    <n v="56.836475823419669"/>
    <n v="4585167"/>
  </r>
  <r>
    <x v="77"/>
    <n v="202605"/>
    <x v="0"/>
    <x v="3"/>
    <s v="Fátima L"/>
    <s v="Fátima L"/>
    <n v="88301"/>
    <n v="1111855"/>
    <n v="12.591673387096812"/>
    <n v="66639.257849416317"/>
    <n v="17"/>
    <n v="13.5"/>
    <n v="14.845130740132706"/>
    <n v="989268"/>
  </r>
  <r>
    <x v="32"/>
    <n v="202401"/>
    <x v="2"/>
    <x v="10"/>
    <s v="Sofía V"/>
    <s v="Melany A"/>
    <n v="88298"/>
    <n v="5792103"/>
    <n v="65.597197580645172"/>
    <n v="0"/>
    <n v="75.5"/>
    <n v="68"/>
    <m/>
    <n v="0"/>
  </r>
  <r>
    <x v="7"/>
    <n v="202407"/>
    <x v="2"/>
    <x v="6"/>
    <s v="Sebastián S"/>
    <s v="Rodolfo O"/>
    <n v="88273"/>
    <n v="5677827"/>
    <n v="64.321579301075289"/>
    <n v="0"/>
    <n v="65.5"/>
    <n v="63"/>
    <m/>
    <n v="0"/>
  </r>
  <r>
    <x v="13"/>
    <n v="202510"/>
    <x v="1"/>
    <x v="8"/>
    <s v="Sebastián S"/>
    <s v="Rodolfo O"/>
    <n v="88256"/>
    <n v="5194602"/>
    <n v="58.858051075268826"/>
    <n v="84630.019038687256"/>
    <n v="78"/>
    <n v="74.5"/>
    <n v="61.380131293901407"/>
    <n v="5528093"/>
  </r>
  <r>
    <x v="52"/>
    <n v="202510"/>
    <x v="1"/>
    <x v="8"/>
    <s v="Sebastián S"/>
    <s v="Vik E"/>
    <n v="88255"/>
    <n v="5785891"/>
    <n v="65.558434139784978"/>
    <n v="90069.109576340503"/>
    <n v="80"/>
    <n v="78"/>
    <n v="64.238348055345355"/>
    <n v="6657644"/>
  </r>
  <r>
    <x v="43"/>
    <n v="202508"/>
    <x v="1"/>
    <x v="5"/>
    <s v="Sofía V"/>
    <s v="José A"/>
    <n v="88242"/>
    <n v="2424261"/>
    <n v="27.472930107526881"/>
    <n v="80719.608774580192"/>
    <n v="32.5"/>
    <n v="32"/>
    <n v="30.033109015308259"/>
    <n v="2294199"/>
  </r>
  <r>
    <x v="77"/>
    <n v="202606"/>
    <x v="0"/>
    <x v="11"/>
    <s v="Fátima L"/>
    <s v="Fátima L"/>
    <n v="88238"/>
    <n v="991635"/>
    <n v="11.238159722222216"/>
    <n v="62331.274920905707"/>
    <n v="17"/>
    <n v="13.5"/>
    <n v="14.845130740132706"/>
    <n v="925316"/>
  </r>
  <r>
    <x v="79"/>
    <n v="202605"/>
    <x v="0"/>
    <x v="3"/>
    <s v="Sebastián S"/>
    <s v="Vik E"/>
    <n v="88222"/>
    <n v="6165922"/>
    <n v="69.891283602150736"/>
    <n v="84078.134647349085"/>
    <n v="84.5"/>
    <n v="78.5"/>
    <n v="72.494656792343278"/>
    <n v="6095216"/>
  </r>
  <r>
    <x v="29"/>
    <n v="202606"/>
    <x v="0"/>
    <x v="11"/>
    <s v="Sebastián S"/>
    <s v="Vik E"/>
    <n v="88182"/>
    <n v="5615133"/>
    <n v="63.676326388889862"/>
    <n v="88230.596093308108"/>
    <n v="76.5"/>
    <n v="75.5"/>
    <n v="67.697971575339096"/>
    <n v="5973032"/>
  </r>
  <r>
    <x v="59"/>
    <n v="202507"/>
    <x v="1"/>
    <x v="6"/>
    <s v="Sebastián S"/>
    <s v="Johanna V"/>
    <n v="88179"/>
    <n v="8891587"/>
    <n v="100.83575268817208"/>
    <n v="89111.957039488392"/>
    <n v="118"/>
    <n v="106"/>
    <n v="99.779959226569915"/>
    <n v="10124985"/>
  </r>
  <r>
    <x v="62"/>
    <n v="202601"/>
    <x v="0"/>
    <x v="10"/>
    <s v="Sebastián S"/>
    <s v="Vik E"/>
    <n v="88172"/>
    <n v="5081790"/>
    <n v="57.635026881720457"/>
    <n v="89598.966710561843"/>
    <n v="65"/>
    <n v="67.5"/>
    <n v="56.772923994003762"/>
    <n v="5086795"/>
  </r>
  <r>
    <x v="46"/>
    <n v="202407"/>
    <x v="2"/>
    <x v="6"/>
    <s v="Sofía V"/>
    <s v="José A"/>
    <n v="88160"/>
    <n v="5128266"/>
    <n v="58.170188172042991"/>
    <n v="0"/>
    <n v="58"/>
    <n v="58.5"/>
    <m/>
    <n v="0"/>
  </r>
  <r>
    <x v="46"/>
    <n v="202411"/>
    <x v="2"/>
    <x v="7"/>
    <s v="Sofía V"/>
    <s v="José A"/>
    <n v="88159"/>
    <n v="4530477"/>
    <n v="51.389868055555574"/>
    <n v="0"/>
    <n v="58"/>
    <n v="58.5"/>
    <m/>
    <n v="0"/>
  </r>
  <r>
    <x v="26"/>
    <n v="202506"/>
    <x v="1"/>
    <x v="11"/>
    <s v="Sofía V"/>
    <s v="Melany A"/>
    <n v="88150"/>
    <n v="4328492"/>
    <n v="49.103541666666672"/>
    <n v="91881.75757339719"/>
    <n v="55"/>
    <n v="50.5"/>
    <n v="47.109377686232264"/>
    <n v="4633955"/>
  </r>
  <r>
    <x v="73"/>
    <n v="202412"/>
    <x v="2"/>
    <x v="1"/>
    <s v="Fátima L"/>
    <s v="Fátima L"/>
    <n v="88133"/>
    <n v="1195664"/>
    <n v="13.56663978494624"/>
    <n v="0"/>
    <n v="13.5"/>
    <n v="12"/>
    <m/>
    <n v="0"/>
  </r>
  <r>
    <x v="0"/>
    <n v="202512"/>
    <x v="1"/>
    <x v="1"/>
    <s v="Fátima L"/>
    <s v="Fátima L"/>
    <n v="88112"/>
    <n v="1404790"/>
    <n v="15.943299731182792"/>
    <n v="74280.824902418244"/>
    <n v="13.5"/>
    <n v="12.5"/>
    <n v="18.911875465107642"/>
    <n v="1257101"/>
  </r>
  <r>
    <x v="65"/>
    <n v="202410"/>
    <x v="2"/>
    <x v="8"/>
    <s v="Sebastián S"/>
    <s v="Johanna V"/>
    <n v="88098"/>
    <n v="7583352"/>
    <n v="86.078172043010767"/>
    <n v="0"/>
    <n v="103"/>
    <n v="91"/>
    <m/>
    <n v="0"/>
  </r>
  <r>
    <x v="39"/>
    <n v="202508"/>
    <x v="1"/>
    <x v="5"/>
    <s v="Sofía V"/>
    <s v="Melany A"/>
    <n v="88095"/>
    <n v="4573501"/>
    <n v="51.915584677419361"/>
    <n v="84221.908672305537"/>
    <n v="60.5"/>
    <n v="60.5"/>
    <n v="54.302983535967904"/>
    <n v="5171181"/>
  </r>
  <r>
    <x v="19"/>
    <n v="202505"/>
    <x v="1"/>
    <x v="3"/>
    <s v="Sofía V"/>
    <s v="Joe H"/>
    <n v="88083"/>
    <n v="4795836"/>
    <n v="54.446686827956988"/>
    <n v="87849.571491045761"/>
    <n v="57.5"/>
    <n v="56.5"/>
    <n v="54.591458428329666"/>
    <n v="4357533"/>
  </r>
  <r>
    <x v="79"/>
    <n v="202603"/>
    <x v="0"/>
    <x v="0"/>
    <s v="Sebastián S"/>
    <s v="Vik E"/>
    <n v="88081"/>
    <n v="6404195"/>
    <n v="72.708266129032282"/>
    <n v="91350.882268049434"/>
    <n v="84.5"/>
    <n v="78.5"/>
    <n v="72.494656792343278"/>
    <n v="6622451"/>
  </r>
  <r>
    <x v="50"/>
    <n v="202505"/>
    <x v="1"/>
    <x v="3"/>
    <s v="Sebastián S"/>
    <s v="Vik E"/>
    <n v="88042"/>
    <n v="5930508"/>
    <n v="67.360087365591411"/>
    <n v="88017.757034605122"/>
    <n v="75.5"/>
    <n v="74"/>
    <n v="67.378538374573182"/>
    <n v="6405470"/>
  </r>
  <r>
    <x v="78"/>
    <n v="202412"/>
    <x v="2"/>
    <x v="1"/>
    <s v="Sebastián S"/>
    <s v="Vik E"/>
    <n v="88034"/>
    <n v="5569000"/>
    <n v="63.259489247311812"/>
    <n v="0"/>
    <n v="63"/>
    <n v="59"/>
    <m/>
    <n v="0"/>
  </r>
  <r>
    <x v="37"/>
    <n v="202401"/>
    <x v="2"/>
    <x v="10"/>
    <s v="Sofía V"/>
    <s v="Melany A"/>
    <n v="88032"/>
    <n v="5385583"/>
    <n v="61.177365591397844"/>
    <n v="0"/>
    <n v="72.5"/>
    <n v="68.5"/>
    <m/>
    <n v="0"/>
  </r>
  <r>
    <x v="23"/>
    <n v="202503"/>
    <x v="1"/>
    <x v="0"/>
    <s v="Sebastián S"/>
    <s v="Rodolfo O"/>
    <n v="88006"/>
    <n v="7663921"/>
    <n v="87.083669354838662"/>
    <n v="103032.55834489517"/>
    <n v="94.5"/>
    <n v="97"/>
    <n v="74.383484532583324"/>
    <n v="9394613"/>
  </r>
  <r>
    <x v="5"/>
    <n v="202409"/>
    <x v="2"/>
    <x v="4"/>
    <s v="Sebastián S"/>
    <s v="Rodolfo O"/>
    <n v="88001"/>
    <n v="5465036"/>
    <n v="62.102249999999991"/>
    <n v="0"/>
    <n v="68.5"/>
    <n v="66"/>
    <m/>
    <n v="0"/>
  </r>
  <r>
    <x v="12"/>
    <n v="202405"/>
    <x v="2"/>
    <x v="3"/>
    <s v="Sofía V"/>
    <s v="Melany A"/>
    <n v="87984"/>
    <n v="7862064"/>
    <n v="89.357399193548375"/>
    <n v="0"/>
    <n v="96.5"/>
    <n v="94"/>
    <m/>
    <n v="0"/>
  </r>
  <r>
    <x v="24"/>
    <n v="202502"/>
    <x v="1"/>
    <x v="2"/>
    <s v="Sofía V"/>
    <s v="Joe H"/>
    <n v="87983"/>
    <n v="5505677"/>
    <n v="62.576927083333324"/>
    <n v="91351.641121312787"/>
    <n v="71"/>
    <n v="74.5"/>
    <n v="60.269058797625696"/>
    <n v="5416410"/>
  </r>
  <r>
    <x v="82"/>
    <n v="202412"/>
    <x v="2"/>
    <x v="1"/>
    <s v="Sebastián S"/>
    <s v="Vik E"/>
    <n v="87978"/>
    <n v="5173380"/>
    <n v="58.803151881720446"/>
    <n v="0"/>
    <n v="61.5"/>
    <n v="56"/>
    <m/>
    <n v="0"/>
  </r>
  <r>
    <x v="33"/>
    <n v="202404"/>
    <x v="2"/>
    <x v="9"/>
    <s v="Sofía V"/>
    <s v="José A"/>
    <n v="87964"/>
    <n v="7380669"/>
    <n v="83.905840277777742"/>
    <n v="0"/>
    <n v="93.5"/>
    <n v="94"/>
    <m/>
    <n v="0"/>
  </r>
  <r>
    <x v="59"/>
    <n v="202510"/>
    <x v="1"/>
    <x v="8"/>
    <s v="Sebastián S"/>
    <s v="Johanna V"/>
    <n v="87930"/>
    <n v="8610763"/>
    <n v="97.927506720430117"/>
    <n v="93666.505175163606"/>
    <n v="118"/>
    <n v="106"/>
    <n v="91.930016006225543"/>
    <n v="10013630"/>
  </r>
  <r>
    <x v="50"/>
    <n v="202501"/>
    <x v="1"/>
    <x v="10"/>
    <s v="Sebastián S"/>
    <s v="Vik E"/>
    <n v="87928"/>
    <n v="5757214"/>
    <n v="65.476814516129025"/>
    <n v="96043.379572619597"/>
    <n v="75.5"/>
    <n v="74"/>
    <n v="59.943891141886553"/>
    <n v="6560589"/>
  </r>
  <r>
    <x v="58"/>
    <n v="202508"/>
    <x v="1"/>
    <x v="5"/>
    <s v="Sebastián S"/>
    <s v="Rodolfo O"/>
    <n v="87906"/>
    <n v="4453911"/>
    <n v="50.666969086021517"/>
    <n v="82008.058539540914"/>
    <n v="66.5"/>
    <n v="63.5"/>
    <n v="54.31065372499345"/>
    <n v="4914528"/>
  </r>
  <r>
    <x v="24"/>
    <n v="202510"/>
    <x v="1"/>
    <x v="8"/>
    <s v="Sofía V"/>
    <s v="Joe H"/>
    <n v="87901"/>
    <n v="5313793"/>
    <n v="60.452244623655886"/>
    <n v="88563.211475483724"/>
    <n v="71"/>
    <n v="74.5"/>
    <n v="60.000000581177851"/>
    <n v="6094813"/>
  </r>
  <r>
    <x v="19"/>
    <n v="202508"/>
    <x v="1"/>
    <x v="5"/>
    <s v="Sofía V"/>
    <s v="Joe H"/>
    <n v="87864"/>
    <n v="4395962"/>
    <n v="50.03127688172043"/>
    <n v="94834.93283103974"/>
    <n v="57.5"/>
    <n v="56.5"/>
    <n v="46.353827843501023"/>
    <n v="4482008"/>
  </r>
  <r>
    <x v="65"/>
    <n v="202404"/>
    <x v="2"/>
    <x v="9"/>
    <s v="Sebastián S"/>
    <s v="Johanna V"/>
    <n v="87862"/>
    <n v="7777179"/>
    <n v="88.516166666666649"/>
    <n v="0"/>
    <n v="103"/>
    <n v="91"/>
    <m/>
    <n v="0"/>
  </r>
  <r>
    <x v="66"/>
    <n v="202603"/>
    <x v="0"/>
    <x v="0"/>
    <s v="Sebastián S"/>
    <s v="Rodolfo O"/>
    <n v="87858"/>
    <n v="4898567"/>
    <n v="55.755329301075264"/>
    <n v="94145.868473673807"/>
    <n v="55"/>
    <n v="55.5"/>
    <n v="48.91205759483401"/>
    <n v="4604868"/>
  </r>
  <r>
    <x v="78"/>
    <n v="202603"/>
    <x v="0"/>
    <x v="0"/>
    <s v="Sebastián S"/>
    <s v="Vik E"/>
    <n v="87795"/>
    <n v="4720487"/>
    <n v="53.767056451612923"/>
    <n v="90615.795529805662"/>
    <n v="63"/>
    <n v="59"/>
    <n v="55.026064794188251"/>
    <n v="4986231"/>
  </r>
  <r>
    <x v="62"/>
    <n v="202606"/>
    <x v="0"/>
    <x v="11"/>
    <s v="Sebastián S"/>
    <s v="Vik E"/>
    <n v="87789"/>
    <n v="5040977"/>
    <n v="57.421437500000373"/>
    <n v="84371.030484635761"/>
    <n v="65"/>
    <n v="67.5"/>
    <n v="56.772923994003762"/>
    <n v="4789990"/>
  </r>
  <r>
    <x v="38"/>
    <n v="202606"/>
    <x v="0"/>
    <x v="11"/>
    <s v="Sofía V"/>
    <s v="Melany A"/>
    <n v="87725"/>
    <n v="4724789"/>
    <n v="53.859263888889366"/>
    <n v="100178.05887467151"/>
    <n v="56"/>
    <n v="60"/>
    <n v="48.493991244906013"/>
    <n v="4858034"/>
  </r>
  <r>
    <x v="46"/>
    <n v="202604"/>
    <x v="0"/>
    <x v="9"/>
    <s v="Sofía V"/>
    <s v="José A"/>
    <n v="87688"/>
    <n v="4569013"/>
    <n v="52.105180555556011"/>
    <n v="86043.52635395751"/>
    <n v="58"/>
    <n v="58.5"/>
    <n v="51.139118040082707"/>
    <n v="4400190"/>
  </r>
  <r>
    <x v="65"/>
    <n v="202402"/>
    <x v="2"/>
    <x v="2"/>
    <s v="Sebastián S"/>
    <s v="Johanna V"/>
    <n v="87685"/>
    <n v="7714247"/>
    <n v="87.976875000000049"/>
    <n v="0"/>
    <n v="103"/>
    <n v="91"/>
    <m/>
    <n v="0"/>
  </r>
  <r>
    <x v="50"/>
    <n v="202606"/>
    <x v="0"/>
    <x v="11"/>
    <s v="Sebastián S"/>
    <s v="Vik E"/>
    <n v="87675"/>
    <n v="5671532"/>
    <n v="64.688409722223057"/>
    <n v="84392.043132808976"/>
    <n v="75.5"/>
    <n v="74"/>
    <n v="63.845934941054651"/>
    <n v="5388089"/>
  </r>
  <r>
    <x v="43"/>
    <n v="202504"/>
    <x v="1"/>
    <x v="9"/>
    <s v="Sofía V"/>
    <s v="José A"/>
    <n v="87671"/>
    <n v="2583201"/>
    <n v="29.464847222222222"/>
    <n v="81258.080494266615"/>
    <n v="32.5"/>
    <n v="32"/>
    <n v="31.79007729800195"/>
    <n v="2417364"/>
  </r>
  <r>
    <x v="52"/>
    <n v="202411"/>
    <x v="2"/>
    <x v="7"/>
    <s v="Sebastián S"/>
    <s v="Vik E"/>
    <n v="87669"/>
    <n v="6281298"/>
    <n v="71.647819444444451"/>
    <n v="0"/>
    <n v="80"/>
    <n v="78"/>
    <m/>
    <n v="0"/>
  </r>
  <r>
    <x v="60"/>
    <n v="202401"/>
    <x v="2"/>
    <x v="10"/>
    <s v="Sofía V"/>
    <s v="Melany A"/>
    <n v="87604"/>
    <n v="6447157"/>
    <n v="73.594509408602136"/>
    <n v="0"/>
    <n v="88.5"/>
    <n v="92.5"/>
    <m/>
    <n v="0"/>
  </r>
  <r>
    <x v="73"/>
    <n v="202503"/>
    <x v="1"/>
    <x v="0"/>
    <s v="Fátima L"/>
    <s v="Fátima L"/>
    <n v="87587"/>
    <n v="1000801"/>
    <n v="11.426323924731184"/>
    <n v="99710.776131367864"/>
    <n v="13.5"/>
    <n v="12"/>
    <n v="10.037041218909534"/>
    <n v="1103945"/>
  </r>
  <r>
    <x v="46"/>
    <n v="202408"/>
    <x v="2"/>
    <x v="5"/>
    <s v="Sofía V"/>
    <s v="José A"/>
    <n v="87567"/>
    <n v="4830571"/>
    <n v="55.164469086021491"/>
    <n v="0"/>
    <n v="58"/>
    <n v="58.5"/>
    <m/>
    <n v="0"/>
  </r>
  <r>
    <x v="18"/>
    <n v="202403"/>
    <x v="2"/>
    <x v="0"/>
    <s v="Sofía V"/>
    <s v="Joe H"/>
    <n v="87566"/>
    <n v="4604740"/>
    <n v="52.586088709677405"/>
    <n v="0"/>
    <n v="50.5"/>
    <n v="51.5"/>
    <m/>
    <n v="0"/>
  </r>
  <r>
    <x v="59"/>
    <n v="202409"/>
    <x v="2"/>
    <x v="4"/>
    <s v="Sebastián S"/>
    <s v="Johanna V"/>
    <n v="87553"/>
    <n v="9059462"/>
    <n v="103.47443750000001"/>
    <n v="0"/>
    <n v="118"/>
    <n v="106"/>
    <m/>
    <n v="0"/>
  </r>
  <r>
    <x v="59"/>
    <n v="202501"/>
    <x v="1"/>
    <x v="10"/>
    <s v="Sebastián S"/>
    <s v="Johanna V"/>
    <n v="87539"/>
    <n v="9150518"/>
    <n v="104.53055779569887"/>
    <n v="90125.790148887623"/>
    <n v="118"/>
    <n v="106"/>
    <n v="101.53052045239616"/>
    <n v="9881997"/>
  </r>
  <r>
    <x v="21"/>
    <n v="202506"/>
    <x v="1"/>
    <x v="11"/>
    <s v="Sebastián S"/>
    <s v="Rodolfo O"/>
    <n v="87528"/>
    <n v="6433169"/>
    <n v="73.498687500000003"/>
    <n v="98506.047163448093"/>
    <n v="84.5"/>
    <n v="86.5"/>
    <n v="65.307350617019864"/>
    <n v="7303631"/>
  </r>
  <r>
    <x v="10"/>
    <n v="202507"/>
    <x v="1"/>
    <x v="6"/>
    <s v="Sofía V"/>
    <s v="Melany A"/>
    <n v="87526"/>
    <n v="9455800"/>
    <n v="108.03366263440867"/>
    <n v="105149.39019121883"/>
    <n v="125"/>
    <n v="118.5"/>
    <n v="89.927289666675293"/>
    <n v="10511744"/>
  </r>
  <r>
    <x v="26"/>
    <n v="202406"/>
    <x v="2"/>
    <x v="11"/>
    <s v="Sofía V"/>
    <s v="Melany A"/>
    <n v="87506"/>
    <n v="4696583"/>
    <n v="53.671284722222239"/>
    <n v="0"/>
    <n v="55"/>
    <n v="50.5"/>
    <m/>
    <n v="0"/>
  </r>
  <r>
    <x v="66"/>
    <n v="202605"/>
    <x v="0"/>
    <x v="3"/>
    <s v="Sebastián S"/>
    <s v="Rodolfo O"/>
    <n v="87496"/>
    <n v="4505027"/>
    <n v="51.488622311828152"/>
    <n v="87314.602795427418"/>
    <n v="55"/>
    <n v="55.5"/>
    <n v="48.91205759483401"/>
    <n v="4270737"/>
  </r>
  <r>
    <x v="76"/>
    <n v="202603"/>
    <x v="0"/>
    <x v="0"/>
    <s v="Hernán P"/>
    <s v="Daniel R"/>
    <n v="87492"/>
    <n v="8235621"/>
    <n v="94.130524193548382"/>
    <n v="93859.205990877323"/>
    <n v="106"/>
    <n v="94.5"/>
    <n v="88.413034538205707"/>
    <n v="8298377"/>
  </r>
  <r>
    <x v="58"/>
    <n v="202503"/>
    <x v="1"/>
    <x v="0"/>
    <s v="Sebastián S"/>
    <s v="Rodolfo O"/>
    <n v="87425"/>
    <n v="5293162"/>
    <n v="60.545013440860238"/>
    <n v="85277.176250358156"/>
    <n v="66.5"/>
    <n v="63.5"/>
    <n v="62.070089357324036"/>
    <n v="5608921"/>
  </r>
  <r>
    <x v="54"/>
    <n v="202602"/>
    <x v="0"/>
    <x v="2"/>
    <s v="Sebastián S"/>
    <s v="Rodolfo O"/>
    <n v="87411"/>
    <n v="6261384"/>
    <n v="71.631614583333317"/>
    <n v="92600.887191461632"/>
    <n v="80"/>
    <n v="80.5"/>
    <n v="67.651321791845987"/>
    <n v="6264572"/>
  </r>
  <r>
    <x v="9"/>
    <n v="202504"/>
    <x v="1"/>
    <x v="9"/>
    <s v="Sofía V"/>
    <s v="Joe H"/>
    <n v="87396"/>
    <n v="5536075"/>
    <n v="63.344361111111148"/>
    <n v="82604.678894560231"/>
    <n v="70.5"/>
    <n v="69.5"/>
    <n v="67.018905636888391"/>
    <n v="5428027"/>
  </r>
  <r>
    <x v="37"/>
    <n v="202506"/>
    <x v="1"/>
    <x v="11"/>
    <s v="Sofía V"/>
    <s v="Melany A"/>
    <n v="87396"/>
    <n v="5554799"/>
    <n v="63.558638888888893"/>
    <n v="94464.08092611593"/>
    <n v="72.5"/>
    <n v="68.5"/>
    <n v="58.803291743711853"/>
    <n v="6008003"/>
  </r>
  <r>
    <x v="34"/>
    <n v="202403"/>
    <x v="2"/>
    <x v="0"/>
    <s v="Hernán P"/>
    <s v="Daniel R"/>
    <n v="87374"/>
    <n v="1227250"/>
    <n v="14.045961021505375"/>
    <n v="0"/>
    <n v="15"/>
    <n v="15"/>
    <m/>
    <n v="0"/>
  </r>
  <r>
    <x v="18"/>
    <n v="202407"/>
    <x v="2"/>
    <x v="6"/>
    <s v="Sofía V"/>
    <s v="Joe H"/>
    <n v="87373"/>
    <n v="4416300"/>
    <n v="50.545598118279571"/>
    <n v="0"/>
    <n v="50.5"/>
    <n v="51.5"/>
    <m/>
    <n v="0"/>
  </r>
  <r>
    <x v="37"/>
    <n v="202502"/>
    <x v="1"/>
    <x v="2"/>
    <s v="Sofía V"/>
    <s v="Melany A"/>
    <n v="87358"/>
    <n v="5427544"/>
    <n v="62.129947916666666"/>
    <n v="91121.869439858448"/>
    <n v="72.5"/>
    <n v="68.5"/>
    <n v="59.563576047814152"/>
    <n v="5718677"/>
  </r>
  <r>
    <x v="76"/>
    <n v="202508"/>
    <x v="1"/>
    <x v="5"/>
    <s v="Hernán P"/>
    <s v="Daniel R"/>
    <n v="87343"/>
    <n v="7530769"/>
    <n v="86.22071236559141"/>
    <n v="86572.720314740698"/>
    <n v="106"/>
    <n v="94.5"/>
    <n v="86.987777588845574"/>
    <n v="7661773"/>
  </r>
  <r>
    <x v="47"/>
    <n v="202509"/>
    <x v="1"/>
    <x v="4"/>
    <s v="Sebastián S"/>
    <s v="Vik E"/>
    <n v="87335"/>
    <n v="4038238"/>
    <n v="46.238256944444473"/>
    <n v="83291.305498924368"/>
    <n v="61.5"/>
    <n v="48.5"/>
    <n v="48.483309582080572"/>
    <n v="4838014"/>
  </r>
  <r>
    <x v="53"/>
    <n v="202601"/>
    <x v="0"/>
    <x v="10"/>
    <s v="Sebastián S"/>
    <s v="Johanna V"/>
    <n v="87330"/>
    <n v="4844291"/>
    <n v="55.470860215053769"/>
    <n v="90386.273826044213"/>
    <n v="68"/>
    <n v="60.5"/>
    <n v="56.717795741490448"/>
    <n v="5126510"/>
  </r>
  <r>
    <x v="28"/>
    <n v="202402"/>
    <x v="2"/>
    <x v="2"/>
    <s v="Sebastián S"/>
    <s v="Rodolfo O"/>
    <n v="87322"/>
    <n v="5434013"/>
    <n v="62.229698275862056"/>
    <n v="0"/>
    <n v="65.5"/>
    <n v="66"/>
    <m/>
    <n v="0"/>
  </r>
  <r>
    <x v="49"/>
    <n v="202504"/>
    <x v="1"/>
    <x v="9"/>
    <s v="Sebastián S"/>
    <s v="Vik E"/>
    <n v="87303"/>
    <n v="4860857"/>
    <n v="55.677999999999997"/>
    <n v="78869.770872055917"/>
    <n v="66"/>
    <n v="64.5"/>
    <n v="61.631432629433867"/>
    <n v="5200934"/>
  </r>
  <r>
    <x v="64"/>
    <n v="202503"/>
    <x v="1"/>
    <x v="0"/>
    <s v="Sebastián S"/>
    <s v="Johanna V"/>
    <n v="87298"/>
    <n v="5878384"/>
    <n v="67.336989247311834"/>
    <n v="79522.2157276199"/>
    <n v="75.5"/>
    <n v="70.5"/>
    <n v="73.921283080625997"/>
    <n v="6235173"/>
  </r>
  <r>
    <x v="50"/>
    <n v="202406"/>
    <x v="2"/>
    <x v="11"/>
    <s v="Sebastián S"/>
    <s v="Vik E"/>
    <n v="87298"/>
    <n v="6544105"/>
    <n v="74.962951388888882"/>
    <n v="0"/>
    <n v="75.5"/>
    <n v="74"/>
    <m/>
    <n v="0"/>
  </r>
  <r>
    <x v="22"/>
    <n v="202404"/>
    <x v="2"/>
    <x v="9"/>
    <s v="Sebastián S"/>
    <s v="Johanna V"/>
    <n v="87297"/>
    <n v="8466780"/>
    <n v="96.988159722222207"/>
    <n v="0"/>
    <n v="104.5"/>
    <n v="99"/>
    <m/>
    <n v="0"/>
  </r>
  <r>
    <x v="39"/>
    <n v="202602"/>
    <x v="0"/>
    <x v="2"/>
    <s v="Sofía V"/>
    <s v="Melany A"/>
    <n v="87288"/>
    <n v="4656237"/>
    <n v="53.343229166666674"/>
    <n v="80960.752207412603"/>
    <n v="60.5"/>
    <n v="60.5"/>
    <n v="53.343390369396616"/>
    <n v="4318721"/>
  </r>
  <r>
    <x v="38"/>
    <n v="202507"/>
    <x v="1"/>
    <x v="6"/>
    <s v="Sofía V"/>
    <s v="Melany A"/>
    <n v="87275"/>
    <n v="4534973"/>
    <n v="51.962157258064529"/>
    <n v="86410.718220186798"/>
    <n v="56"/>
    <n v="60"/>
    <n v="52.481602090660154"/>
    <n v="5134999"/>
  </r>
  <r>
    <x v="56"/>
    <n v="202401"/>
    <x v="2"/>
    <x v="10"/>
    <s v="Sofía V"/>
    <s v="Joe H"/>
    <n v="87270"/>
    <n v="5763831"/>
    <n v="66.046223118279599"/>
    <n v="0"/>
    <n v="79.5"/>
    <n v="81.5"/>
    <m/>
    <n v="0"/>
  </r>
  <r>
    <x v="68"/>
    <n v="202602"/>
    <x v="0"/>
    <x v="2"/>
    <s v="Sofía V"/>
    <s v="José A"/>
    <n v="87250"/>
    <n v="3532325"/>
    <n v="40.485312499999992"/>
    <n v="72088.089584617221"/>
    <n v="52"/>
    <n v="52"/>
    <n v="46.517920556956689"/>
    <n v="3353388"/>
  </r>
  <r>
    <x v="83"/>
    <n v="202503"/>
    <x v="1"/>
    <x v="0"/>
    <s v="Hernán P"/>
    <s v="Daniel R"/>
    <n v="87246"/>
    <n v="3715064"/>
    <n v="42.581451612903223"/>
    <n v="85995.825190307238"/>
    <n v="51"/>
    <n v="49"/>
    <n v="43.200518650511562"/>
    <n v="3717322"/>
  </r>
  <r>
    <x v="43"/>
    <n v="202411"/>
    <x v="2"/>
    <x v="7"/>
    <s v="Sofía V"/>
    <s v="José A"/>
    <n v="87230"/>
    <n v="2466822"/>
    <n v="28.279465277777778"/>
    <n v="0"/>
    <n v="32.5"/>
    <n v="32"/>
    <m/>
    <n v="0"/>
  </r>
  <r>
    <x v="36"/>
    <n v="202510"/>
    <x v="1"/>
    <x v="8"/>
    <s v="Sebastián S"/>
    <s v="Rodolfo O"/>
    <n v="87219"/>
    <n v="5980175"/>
    <n v="68.564952956989288"/>
    <n v="90137.211039756046"/>
    <n v="81"/>
    <n v="77"/>
    <n v="66.345240783657886"/>
    <n v="6886414"/>
  </r>
  <r>
    <x v="34"/>
    <n v="202411"/>
    <x v="2"/>
    <x v="7"/>
    <s v="Hernán P"/>
    <s v="Daniel R"/>
    <n v="87208"/>
    <n v="1034963"/>
    <n v="11.867770833333337"/>
    <n v="0"/>
    <n v="15"/>
    <n v="15"/>
    <m/>
    <n v="0"/>
  </r>
  <r>
    <x v="38"/>
    <n v="202510"/>
    <x v="1"/>
    <x v="8"/>
    <s v="Sofía V"/>
    <s v="Melany A"/>
    <n v="87204"/>
    <n v="4547677"/>
    <n v="52.149623655913977"/>
    <n v="63948.471683267766"/>
    <n v="56"/>
    <n v="60"/>
    <n v="71.114711740482576"/>
    <n v="4088628"/>
  </r>
  <r>
    <x v="18"/>
    <n v="202511"/>
    <x v="1"/>
    <x v="7"/>
    <s v="Sofía V"/>
    <s v="Joe H"/>
    <n v="87188"/>
    <n v="3819231"/>
    <n v="43.804541666666665"/>
    <n v="81064.841904024404"/>
    <n v="50.5"/>
    <n v="51.5"/>
    <n v="47.113290179751743"/>
    <n v="3728800"/>
  </r>
  <r>
    <x v="40"/>
    <n v="202406"/>
    <x v="2"/>
    <x v="11"/>
    <s v="Sebastián S"/>
    <s v="Johanna V"/>
    <n v="87187"/>
    <n v="9076590"/>
    <n v="104.10511805555551"/>
    <n v="0"/>
    <n v="106"/>
    <n v="102.5"/>
    <m/>
    <n v="0"/>
  </r>
  <r>
    <x v="13"/>
    <n v="202404"/>
    <x v="2"/>
    <x v="9"/>
    <s v="Sebastián S"/>
    <s v="Rodolfo O"/>
    <n v="87187"/>
    <n v="5729311"/>
    <n v="65.713083333333373"/>
    <n v="0"/>
    <n v="78"/>
    <n v="74.5"/>
    <m/>
    <n v="0"/>
  </r>
  <r>
    <x v="9"/>
    <n v="202401"/>
    <x v="2"/>
    <x v="10"/>
    <s v="Sofía V"/>
    <s v="Joe H"/>
    <n v="87174"/>
    <n v="5093762"/>
    <n v="58.432311827957001"/>
    <n v="0"/>
    <n v="70.5"/>
    <n v="69.5"/>
    <m/>
    <n v="0"/>
  </r>
  <r>
    <x v="25"/>
    <n v="202510"/>
    <x v="1"/>
    <x v="8"/>
    <s v="Sebastián S"/>
    <s v="Vik E"/>
    <n v="87153"/>
    <n v="5913473"/>
    <n v="67.851592741935505"/>
    <n v="95995.860151513451"/>
    <n v="77"/>
    <n v="79"/>
    <n v="61.601331772709486"/>
    <n v="6414009"/>
  </r>
  <r>
    <x v="21"/>
    <n v="202405"/>
    <x v="2"/>
    <x v="3"/>
    <s v="Sebastián S"/>
    <s v="Rodolfo O"/>
    <n v="87152"/>
    <n v="6620642"/>
    <n v="75.966465053763471"/>
    <n v="0"/>
    <n v="84.5"/>
    <n v="86.5"/>
    <m/>
    <n v="0"/>
  </r>
  <r>
    <x v="10"/>
    <n v="202410"/>
    <x v="2"/>
    <x v="8"/>
    <s v="Sofía V"/>
    <s v="Melany A"/>
    <n v="87141"/>
    <n v="8555887"/>
    <n v="98.183938172042915"/>
    <n v="0"/>
    <n v="125"/>
    <n v="118.5"/>
    <m/>
    <n v="0"/>
  </r>
  <r>
    <x v="58"/>
    <n v="202505"/>
    <x v="1"/>
    <x v="3"/>
    <s v="Sebastián S"/>
    <s v="Rodolfo O"/>
    <n v="87126"/>
    <n v="4736377"/>
    <n v="54.362668010752678"/>
    <n v="76325.155710767242"/>
    <n v="66.5"/>
    <n v="63.5"/>
    <n v="62.055261281724924"/>
    <n v="5071062"/>
  </r>
  <r>
    <x v="62"/>
    <n v="202502"/>
    <x v="1"/>
    <x v="2"/>
    <s v="Sebastián S"/>
    <s v="Vik E"/>
    <n v="87101"/>
    <n v="4835070"/>
    <n v="55.511302083333355"/>
    <n v="82839.828761386292"/>
    <n v="65"/>
    <n v="67.5"/>
    <n v="58.366483759002477"/>
    <n v="4685103"/>
  </r>
  <r>
    <x v="28"/>
    <n v="202401"/>
    <x v="2"/>
    <x v="10"/>
    <s v="Sebastián S"/>
    <s v="Rodolfo O"/>
    <n v="87030"/>
    <n v="5218175"/>
    <n v="59.958293010752683"/>
    <n v="0"/>
    <n v="65.5"/>
    <n v="66"/>
    <m/>
    <n v="0"/>
  </r>
  <r>
    <x v="29"/>
    <n v="202502"/>
    <x v="1"/>
    <x v="2"/>
    <s v="Sebastián S"/>
    <s v="Vik E"/>
    <n v="87024"/>
    <n v="5980202"/>
    <n v="68.718854166666659"/>
    <n v="99203.497821408877"/>
    <n v="76.5"/>
    <n v="75.5"/>
    <n v="60.282173424629242"/>
    <n v="6805566"/>
  </r>
  <r>
    <x v="62"/>
    <n v="202507"/>
    <x v="1"/>
    <x v="6"/>
    <s v="Sebastián S"/>
    <s v="Vik E"/>
    <n v="87021"/>
    <n v="4899458"/>
    <n v="56.301733870967773"/>
    <n v="93016.031764996616"/>
    <n v="65"/>
    <n v="67.5"/>
    <n v="52.673260587791944"/>
    <n v="5250059"/>
  </r>
  <r>
    <x v="68"/>
    <n v="202605"/>
    <x v="0"/>
    <x v="3"/>
    <s v="Sofía V"/>
    <s v="José A"/>
    <n v="87014"/>
    <n v="3902377"/>
    <n v="44.847466397849821"/>
    <n v="81315.949645008586"/>
    <n v="52"/>
    <n v="52"/>
    <n v="46.517920556956689"/>
    <n v="3782649"/>
  </r>
  <r>
    <x v="27"/>
    <n v="202403"/>
    <x v="2"/>
    <x v="0"/>
    <s v="Sofía V"/>
    <s v="Joe H"/>
    <n v="87008"/>
    <n v="5636219"/>
    <n v="64.778319892473093"/>
    <n v="0"/>
    <n v="62"/>
    <n v="58"/>
    <m/>
    <n v="0"/>
  </r>
  <r>
    <x v="45"/>
    <n v="202408"/>
    <x v="2"/>
    <x v="5"/>
    <s v="Sofía V"/>
    <s v="Joe H"/>
    <n v="87006"/>
    <n v="5302083"/>
    <n v="60.939233870967719"/>
    <n v="0"/>
    <n v="68"/>
    <n v="68.5"/>
    <m/>
    <n v="0"/>
  </r>
  <r>
    <x v="24"/>
    <n v="202402"/>
    <x v="2"/>
    <x v="2"/>
    <s v="Sofía V"/>
    <s v="Joe H"/>
    <n v="87002"/>
    <n v="5736192"/>
    <n v="65.932054597701182"/>
    <n v="0"/>
    <n v="71"/>
    <n v="74.5"/>
    <m/>
    <n v="0"/>
  </r>
  <r>
    <x v="21"/>
    <n v="202410"/>
    <x v="2"/>
    <x v="8"/>
    <s v="Sebastián S"/>
    <s v="Rodolfo O"/>
    <n v="87000"/>
    <n v="6579000"/>
    <n v="75.620416666666642"/>
    <n v="0"/>
    <n v="84.5"/>
    <n v="86.5"/>
    <m/>
    <n v="0"/>
  </r>
  <r>
    <x v="53"/>
    <n v="202510"/>
    <x v="1"/>
    <x v="8"/>
    <s v="Sebastián S"/>
    <s v="Johanna V"/>
    <n v="86988"/>
    <n v="4844242"/>
    <n v="55.688481182795705"/>
    <n v="84683.092134247956"/>
    <n v="68"/>
    <n v="60.5"/>
    <n v="57.204355059690442"/>
    <n v="5471913"/>
  </r>
  <r>
    <x v="40"/>
    <n v="202410"/>
    <x v="2"/>
    <x v="8"/>
    <s v="Sebastián S"/>
    <s v="Johanna V"/>
    <n v="86971"/>
    <n v="8668246"/>
    <n v="99.668380376344089"/>
    <n v="0"/>
    <n v="106"/>
    <n v="102.5"/>
    <m/>
    <n v="0"/>
  </r>
  <r>
    <x v="14"/>
    <n v="202504"/>
    <x v="1"/>
    <x v="9"/>
    <s v="Sofía V"/>
    <s v="Melany A"/>
    <n v="86933"/>
    <n v="4984716"/>
    <n v="57.339722222222242"/>
    <n v="85282.15655474666"/>
    <n v="59.5"/>
    <n v="55.5"/>
    <n v="58.449696177653223"/>
    <n v="4894738"/>
  </r>
  <r>
    <x v="14"/>
    <n v="202401"/>
    <x v="2"/>
    <x v="10"/>
    <s v="Sofía V"/>
    <s v="Melany A"/>
    <n v="86912"/>
    <n v="4811763"/>
    <n v="55.363413978494627"/>
    <n v="0"/>
    <n v="59.5"/>
    <n v="55.5"/>
    <m/>
    <n v="0"/>
  </r>
  <r>
    <x v="50"/>
    <n v="202601"/>
    <x v="0"/>
    <x v="10"/>
    <s v="Sebastián S"/>
    <s v="Vik E"/>
    <n v="86907"/>
    <n v="5374283"/>
    <n v="61.839637096774183"/>
    <n v="100382.99439450784"/>
    <n v="75.5"/>
    <n v="74"/>
    <n v="63.845934941054651"/>
    <n v="6409046"/>
  </r>
  <r>
    <x v="37"/>
    <n v="202410"/>
    <x v="2"/>
    <x v="8"/>
    <s v="Sofía V"/>
    <s v="Melany A"/>
    <n v="86889"/>
    <n v="5717119"/>
    <n v="65.797836021505347"/>
    <n v="0"/>
    <n v="72.5"/>
    <n v="68.5"/>
    <m/>
    <n v="0"/>
  </r>
  <r>
    <x v="68"/>
    <n v="202601"/>
    <x v="0"/>
    <x v="10"/>
    <s v="Sofía V"/>
    <s v="José A"/>
    <n v="86878"/>
    <n v="3687231"/>
    <n v="42.441545698924742"/>
    <n v="79251.514103819311"/>
    <n v="52"/>
    <n v="52"/>
    <n v="46.517920556956689"/>
    <n v="3686616"/>
  </r>
  <r>
    <x v="43"/>
    <n v="202501"/>
    <x v="1"/>
    <x v="10"/>
    <s v="Sofía V"/>
    <s v="José A"/>
    <n v="86866"/>
    <n v="2428365"/>
    <n v="27.9553561827957"/>
    <n v="88535.973864775035"/>
    <n v="32.5"/>
    <n v="32"/>
    <n v="27.428005860182338"/>
    <n v="2488686"/>
  </r>
  <r>
    <x v="7"/>
    <n v="202408"/>
    <x v="2"/>
    <x v="5"/>
    <s v="Sebastián S"/>
    <s v="Rodolfo O"/>
    <n v="86858"/>
    <n v="5419216"/>
    <n v="62.39168682795701"/>
    <n v="0"/>
    <n v="65.5"/>
    <n v="63"/>
    <m/>
    <n v="0"/>
  </r>
  <r>
    <x v="82"/>
    <n v="202503"/>
    <x v="1"/>
    <x v="0"/>
    <s v="Sebastián S"/>
    <s v="Vik E"/>
    <n v="86853"/>
    <n v="4667423"/>
    <n v="53.739395161290332"/>
    <n v="72865.682798315451"/>
    <n v="61.5"/>
    <n v="56"/>
    <n v="64.055162468166756"/>
    <n v="4574810"/>
  </r>
  <r>
    <x v="25"/>
    <n v="202404"/>
    <x v="2"/>
    <x v="9"/>
    <s v="Sebastián S"/>
    <s v="Vik E"/>
    <n v="86847"/>
    <n v="5709160"/>
    <n v="65.738263888888895"/>
    <n v="0"/>
    <n v="77"/>
    <n v="79"/>
    <m/>
    <n v="0"/>
  </r>
  <r>
    <x v="12"/>
    <n v="202505"/>
    <x v="1"/>
    <x v="3"/>
    <s v="Sofía V"/>
    <s v="Melany A"/>
    <n v="86832"/>
    <n v="8278367"/>
    <n v="95.337553763440908"/>
    <n v="92383.698451420714"/>
    <n v="96.5"/>
    <n v="94"/>
    <n v="89.608520645588982"/>
    <n v="8138034"/>
  </r>
  <r>
    <x v="17"/>
    <n v="202506"/>
    <x v="1"/>
    <x v="11"/>
    <s v="Sofía V"/>
    <s v="Joe H"/>
    <n v="86828"/>
    <n v="7601473"/>
    <n v="87.546763888888833"/>
    <n v="89356.925897739464"/>
    <n v="94"/>
    <n v="92"/>
    <n v="85.068652973795949"/>
    <n v="7493596"/>
  </r>
  <r>
    <x v="44"/>
    <n v="202407"/>
    <x v="2"/>
    <x v="6"/>
    <s v="Sebastián S"/>
    <s v="Johanna V"/>
    <n v="86826"/>
    <n v="9244910"/>
    <n v="106.47658602150533"/>
    <n v="0"/>
    <n v="117.5"/>
    <n v="99"/>
    <m/>
    <n v="0"/>
  </r>
  <r>
    <x v="17"/>
    <n v="202405"/>
    <x v="2"/>
    <x v="3"/>
    <s v="Sofía V"/>
    <s v="Joe H"/>
    <n v="86812"/>
    <n v="7270711"/>
    <n v="83.752553763440886"/>
    <n v="0"/>
    <n v="94"/>
    <n v="92"/>
    <m/>
    <n v="0"/>
  </r>
  <r>
    <x v="13"/>
    <n v="202405"/>
    <x v="2"/>
    <x v="3"/>
    <s v="Sebastián S"/>
    <s v="Rodolfo O"/>
    <n v="86807"/>
    <n v="5951841"/>
    <n v="68.564341397849461"/>
    <n v="0"/>
    <n v="78"/>
    <n v="74.5"/>
    <m/>
    <n v="0"/>
  </r>
  <r>
    <x v="9"/>
    <n v="202402"/>
    <x v="2"/>
    <x v="2"/>
    <s v="Sofía V"/>
    <s v="Joe H"/>
    <n v="86802"/>
    <n v="5731416"/>
    <n v="66.028807471264372"/>
    <n v="0"/>
    <n v="70.5"/>
    <n v="69.5"/>
    <m/>
    <n v="0"/>
  </r>
  <r>
    <x v="73"/>
    <n v="202501"/>
    <x v="1"/>
    <x v="10"/>
    <s v="Fátima L"/>
    <s v="Fátima L"/>
    <n v="86800"/>
    <n v="939055"/>
    <n v="10.818669354838711"/>
    <n v="96488.978956619787"/>
    <n v="13.5"/>
    <n v="12"/>
    <n v="9.7322549181724387"/>
    <n v="1063779"/>
  </r>
  <r>
    <x v="62"/>
    <n v="202410"/>
    <x v="2"/>
    <x v="8"/>
    <s v="Sebastián S"/>
    <s v="Vik E"/>
    <n v="86788"/>
    <n v="4786584"/>
    <n v="55.152708333333344"/>
    <n v="0"/>
    <n v="65"/>
    <n v="67.5"/>
    <m/>
    <n v="0"/>
  </r>
  <r>
    <x v="70"/>
    <n v="202503"/>
    <x v="1"/>
    <x v="0"/>
    <s v="Sebastián S"/>
    <s v="Vik E"/>
    <n v="86785"/>
    <n v="4826621"/>
    <n v="55.615752688172037"/>
    <n v="84673.966202722644"/>
    <n v="60.5"/>
    <n v="57.5"/>
    <n v="57.00242384352611"/>
    <n v="4440672"/>
  </r>
  <r>
    <x v="37"/>
    <n v="202402"/>
    <x v="2"/>
    <x v="2"/>
    <s v="Sofía V"/>
    <s v="Melany A"/>
    <n v="86783"/>
    <n v="5683238"/>
    <n v="65.488117816091972"/>
    <n v="0"/>
    <n v="72.5"/>
    <n v="68.5"/>
    <m/>
    <n v="0"/>
  </r>
  <r>
    <x v="65"/>
    <n v="202411"/>
    <x v="2"/>
    <x v="7"/>
    <s v="Sebastián S"/>
    <s v="Johanna V"/>
    <n v="86777"/>
    <n v="7951338"/>
    <n v="91.629465277777797"/>
    <n v="0"/>
    <n v="103"/>
    <n v="91"/>
    <m/>
    <n v="0"/>
  </r>
  <r>
    <x v="48"/>
    <n v="202401"/>
    <x v="2"/>
    <x v="10"/>
    <s v="Hernán P"/>
    <s v="Daniel R"/>
    <n v="86772"/>
    <n v="5583538"/>
    <n v="64.347217741935452"/>
    <n v="0"/>
    <n v="79.5"/>
    <n v="72.5"/>
    <m/>
    <n v="0"/>
  </r>
  <r>
    <x v="19"/>
    <n v="202411"/>
    <x v="2"/>
    <x v="7"/>
    <s v="Sofía V"/>
    <s v="Joe H"/>
    <n v="86764"/>
    <n v="4518190"/>
    <n v="52.074409722222207"/>
    <n v="0"/>
    <n v="57.5"/>
    <n v="56.5"/>
    <m/>
    <n v="0"/>
  </r>
  <r>
    <x v="61"/>
    <n v="202510"/>
    <x v="1"/>
    <x v="8"/>
    <s v="Sofía V"/>
    <s v="Joe H"/>
    <n v="86756"/>
    <n v="2741730"/>
    <n v="31.602647849462354"/>
    <n v="75546.766338253947"/>
    <n v="41.5"/>
    <n v="35.5"/>
    <n v="36.291826677585988"/>
    <n v="2185061"/>
  </r>
  <r>
    <x v="83"/>
    <n v="202512"/>
    <x v="1"/>
    <x v="1"/>
    <s v="Hernán P"/>
    <s v="Daniel R"/>
    <n v="86749"/>
    <n v="3901515"/>
    <n v="44.974576612903199"/>
    <n v="83508.545087170613"/>
    <n v="51"/>
    <n v="49"/>
    <n v="46.719944838308386"/>
    <n v="4551462"/>
  </r>
  <r>
    <x v="84"/>
    <n v="202512"/>
    <x v="1"/>
    <x v="1"/>
    <s v="Sofía V"/>
    <s v="Melany A"/>
    <n v="86712"/>
    <n v="4406034"/>
    <n v="50.812520161290294"/>
    <n v="86898.182095419252"/>
    <n v="52.5"/>
    <n v="52.5"/>
    <n v="50.703413509409415"/>
    <n v="5289174"/>
  </r>
  <r>
    <x v="60"/>
    <n v="202606"/>
    <x v="0"/>
    <x v="11"/>
    <s v="Sofía V"/>
    <s v="Melany A"/>
    <n v="86703"/>
    <n v="9178038"/>
    <n v="105.8557013888923"/>
    <n v="81145.52633860374"/>
    <n v="88.5"/>
    <n v="92.5"/>
    <n v="102.97612103755296"/>
    <n v="8356052"/>
  </r>
  <r>
    <x v="73"/>
    <n v="202507"/>
    <x v="1"/>
    <x v="6"/>
    <s v="Fátima L"/>
    <s v="Fátima L"/>
    <n v="86682"/>
    <n v="911923"/>
    <n v="10.520369623655915"/>
    <n v="83909.100013346935"/>
    <n v="13.5"/>
    <n v="12"/>
    <n v="10.867984281263242"/>
    <n v="1056507"/>
  </r>
  <r>
    <x v="27"/>
    <n v="202507"/>
    <x v="1"/>
    <x v="6"/>
    <s v="Sofía V"/>
    <s v="Joe H"/>
    <n v="86677"/>
    <n v="5078571"/>
    <n v="58.591881720430081"/>
    <n v="85654.254346087982"/>
    <n v="62"/>
    <n v="58"/>
    <n v="59.291518311278693"/>
    <n v="5403232"/>
  </r>
  <r>
    <x v="18"/>
    <n v="202507"/>
    <x v="1"/>
    <x v="6"/>
    <s v="Sofía V"/>
    <s v="Joe H"/>
    <n v="86667"/>
    <n v="3967619"/>
    <n v="45.78018817204299"/>
    <n v="91741.22571759636"/>
    <n v="50.5"/>
    <n v="51.5"/>
    <n v="43.247941140587926"/>
    <n v="4324454"/>
  </r>
  <r>
    <x v="31"/>
    <n v="202502"/>
    <x v="1"/>
    <x v="2"/>
    <s v="Sofía V"/>
    <s v="Melany A"/>
    <n v="86662"/>
    <n v="9091264"/>
    <n v="104.9054166666666"/>
    <n v="101264.14446834766"/>
    <n v="99"/>
    <n v="32.5"/>
    <n v="89.777720907341219"/>
    <n v="12042986"/>
  </r>
  <r>
    <x v="5"/>
    <n v="202404"/>
    <x v="2"/>
    <x v="9"/>
    <s v="Sebastián S"/>
    <s v="Rodolfo O"/>
    <n v="86647"/>
    <n v="5300095"/>
    <n v="61.168819444444452"/>
    <n v="0"/>
    <n v="68.5"/>
    <n v="66"/>
    <m/>
    <n v="0"/>
  </r>
  <r>
    <x v="43"/>
    <n v="202407"/>
    <x v="2"/>
    <x v="6"/>
    <s v="Sofía V"/>
    <s v="José A"/>
    <n v="86631"/>
    <n v="2602457"/>
    <n v="30.040678763440862"/>
    <n v="0"/>
    <n v="32.5"/>
    <n v="32"/>
    <m/>
    <n v="0"/>
  </r>
  <r>
    <x v="25"/>
    <n v="202509"/>
    <x v="1"/>
    <x v="4"/>
    <s v="Sebastián S"/>
    <s v="Vik E"/>
    <n v="86627"/>
    <n v="5791061"/>
    <n v="66.850486111111167"/>
    <n v="92809.031968778319"/>
    <n v="77"/>
    <n v="79"/>
    <n v="62.397606107433162"/>
    <n v="6381448"/>
  </r>
  <r>
    <x v="59"/>
    <n v="202406"/>
    <x v="2"/>
    <x v="11"/>
    <s v="Sebastián S"/>
    <s v="Johanna V"/>
    <n v="86621"/>
    <n v="9611792"/>
    <n v="110.96322222222221"/>
    <n v="0"/>
    <n v="118"/>
    <n v="106"/>
    <m/>
    <n v="0"/>
  </r>
  <r>
    <x v="19"/>
    <n v="202510"/>
    <x v="1"/>
    <x v="8"/>
    <s v="Sofía V"/>
    <s v="Joe H"/>
    <n v="86594"/>
    <n v="4167631"/>
    <n v="48.128340053763438"/>
    <n v="83754.469900287353"/>
    <n v="57.5"/>
    <n v="56.5"/>
    <n v="49.760098117291065"/>
    <n v="4081537"/>
  </r>
  <r>
    <x v="9"/>
    <n v="202601"/>
    <x v="0"/>
    <x v="10"/>
    <s v="Sofía V"/>
    <s v="Joe H"/>
    <n v="86584"/>
    <n v="5093224"/>
    <n v="58.824086021505352"/>
    <n v="82854.243645282841"/>
    <n v="70.5"/>
    <n v="69.5"/>
    <n v="63.576561684054447"/>
    <n v="5267588"/>
  </r>
  <r>
    <x v="46"/>
    <n v="202507"/>
    <x v="1"/>
    <x v="6"/>
    <s v="Sofía V"/>
    <s v="José A"/>
    <n v="86572"/>
    <n v="4700254"/>
    <n v="54.29323252688171"/>
    <n v="92567.685213160701"/>
    <n v="58"/>
    <n v="58.5"/>
    <n v="50.77640268498093"/>
    <n v="5128144"/>
  </r>
  <r>
    <x v="40"/>
    <n v="202411"/>
    <x v="2"/>
    <x v="7"/>
    <s v="Sebastián S"/>
    <s v="Johanna V"/>
    <n v="86545"/>
    <n v="8930370"/>
    <n v="103.18714583333337"/>
    <n v="0"/>
    <n v="106"/>
    <n v="102.5"/>
    <m/>
    <n v="0"/>
  </r>
  <r>
    <x v="49"/>
    <n v="202407"/>
    <x v="2"/>
    <x v="6"/>
    <s v="Sebastián S"/>
    <s v="Vik E"/>
    <n v="86544"/>
    <n v="5154914"/>
    <n v="59.564025537634407"/>
    <n v="0"/>
    <n v="66"/>
    <n v="64.5"/>
    <m/>
    <n v="0"/>
  </r>
  <r>
    <x v="37"/>
    <n v="202602"/>
    <x v="0"/>
    <x v="2"/>
    <s v="Sofía V"/>
    <s v="Melany A"/>
    <n v="86530"/>
    <n v="5792634"/>
    <n v="66.943906249999984"/>
    <n v="104547.41695117239"/>
    <n v="72.5"/>
    <n v="68.5"/>
    <n v="63.042188618377821"/>
    <n v="6590898"/>
  </r>
  <r>
    <x v="12"/>
    <n v="202404"/>
    <x v="2"/>
    <x v="9"/>
    <s v="Sofía V"/>
    <s v="Melany A"/>
    <n v="86506"/>
    <n v="7673415"/>
    <n v="88.704048611111105"/>
    <n v="0"/>
    <n v="96.5"/>
    <n v="94"/>
    <m/>
    <n v="0"/>
  </r>
  <r>
    <x v="69"/>
    <n v="202605"/>
    <x v="0"/>
    <x v="3"/>
    <s v="Sofía V"/>
    <s v="José A"/>
    <n v="86487"/>
    <n v="6172300"/>
    <n v="71.366458333333611"/>
    <n v="80789.24452619048"/>
    <n v="84"/>
    <n v="76"/>
    <n v="84"/>
    <n v="6786297"/>
  </r>
  <r>
    <x v="26"/>
    <n v="202509"/>
    <x v="1"/>
    <x v="4"/>
    <s v="Sofía V"/>
    <s v="Melany A"/>
    <n v="86471"/>
    <n v="4125863"/>
    <n v="47.714090277777792"/>
    <n v="86378.528260922176"/>
    <n v="55"/>
    <n v="50.5"/>
    <n v="47.764917891829242"/>
    <n v="4673929"/>
  </r>
  <r>
    <x v="68"/>
    <n v="202604"/>
    <x v="0"/>
    <x v="9"/>
    <s v="Sofía V"/>
    <s v="José A"/>
    <n v="86460"/>
    <n v="3775308"/>
    <n v="43.665416666666168"/>
    <n v="78147.116009818186"/>
    <n v="52"/>
    <n v="52"/>
    <n v="46.517920556956689"/>
    <n v="3635241"/>
  </r>
  <r>
    <x v="10"/>
    <n v="202409"/>
    <x v="2"/>
    <x v="4"/>
    <s v="Sofía V"/>
    <s v="Melany A"/>
    <n v="86447"/>
    <n v="8730314"/>
    <n v="100.99021527777782"/>
    <n v="0"/>
    <n v="125"/>
    <n v="118.5"/>
    <m/>
    <n v="0"/>
  </r>
  <r>
    <x v="76"/>
    <n v="202511"/>
    <x v="1"/>
    <x v="7"/>
    <s v="Hernán P"/>
    <s v="Daniel R"/>
    <n v="86420"/>
    <n v="7524630"/>
    <n v="87.070812500000031"/>
    <n v="76488.130163010224"/>
    <n v="106"/>
    <n v="94.5"/>
    <n v="98.376434669845366"/>
    <n v="7939529"/>
  </r>
  <r>
    <x v="0"/>
    <n v="202606"/>
    <x v="0"/>
    <x v="11"/>
    <s v="Fátima L"/>
    <s v="Fátima L"/>
    <n v="86392"/>
    <n v="909515"/>
    <n v="10.527708333333319"/>
    <n v="85402.564335872477"/>
    <n v="13.5"/>
    <n v="12.5"/>
    <n v="11.712938172043014"/>
    <n v="1000315"/>
  </r>
  <r>
    <x v="65"/>
    <n v="202602"/>
    <x v="0"/>
    <x v="2"/>
    <s v="Sebastián S"/>
    <s v="Johanna V"/>
    <n v="86383"/>
    <n v="7737545"/>
    <n v="89.572968750000044"/>
    <n v="91121.865633877896"/>
    <n v="103"/>
    <n v="91"/>
    <n v="85.91077884372821"/>
    <n v="7828350"/>
  </r>
  <r>
    <x v="48"/>
    <n v="202409"/>
    <x v="2"/>
    <x v="4"/>
    <s v="Hernán P"/>
    <s v="Daniel R"/>
    <n v="86376"/>
    <n v="5322138"/>
    <n v="61.615750000000013"/>
    <n v="0"/>
    <n v="79.5"/>
    <n v="72.5"/>
    <m/>
    <n v="0"/>
  </r>
  <r>
    <x v="76"/>
    <n v="202510"/>
    <x v="1"/>
    <x v="8"/>
    <s v="Hernán P"/>
    <s v="Daniel R"/>
    <n v="86375"/>
    <n v="7381591"/>
    <n v="85.460073924731219"/>
    <n v="83882.683762090339"/>
    <n v="106"/>
    <n v="94.5"/>
    <n v="87.998988455541181"/>
    <n v="7919671"/>
  </r>
  <r>
    <x v="65"/>
    <n v="202406"/>
    <x v="2"/>
    <x v="11"/>
    <s v="Sebastián S"/>
    <s v="Johanna V"/>
    <n v="86370"/>
    <n v="8168455"/>
    <n v="94.575104166666748"/>
    <n v="0"/>
    <n v="103"/>
    <n v="91"/>
    <m/>
    <n v="0"/>
  </r>
  <r>
    <x v="14"/>
    <n v="202409"/>
    <x v="2"/>
    <x v="4"/>
    <s v="Sofía V"/>
    <s v="Melany A"/>
    <n v="86334"/>
    <n v="4666868"/>
    <n v="54.055895833333331"/>
    <n v="0"/>
    <n v="59.5"/>
    <n v="55.5"/>
    <m/>
    <n v="0"/>
  </r>
  <r>
    <x v="40"/>
    <n v="202401"/>
    <x v="2"/>
    <x v="10"/>
    <s v="Sebastián S"/>
    <s v="Johanna V"/>
    <n v="86328"/>
    <n v="8980870"/>
    <n v="104.03180779569894"/>
    <n v="0"/>
    <n v="106"/>
    <n v="102.5"/>
    <m/>
    <n v="0"/>
  </r>
  <r>
    <x v="85"/>
    <n v="202512"/>
    <x v="1"/>
    <x v="1"/>
    <s v="Hernán P"/>
    <s v="Daniel R"/>
    <n v="86292"/>
    <n v="3463835"/>
    <n v="40.141048387096745"/>
    <n v="84949.929513119656"/>
    <n v="44"/>
    <n v="40.5"/>
    <n v="40.775015822291479"/>
    <n v="3829880"/>
  </r>
  <r>
    <x v="49"/>
    <n v="202511"/>
    <x v="1"/>
    <x v="7"/>
    <s v="Sebastián S"/>
    <s v="Vik E"/>
    <n v="86283"/>
    <n v="4813689"/>
    <n v="55.789416666666689"/>
    <n v="89018.293261589046"/>
    <n v="66"/>
    <n v="64.5"/>
    <n v="54.075276705817082"/>
    <n v="5354134"/>
  </r>
  <r>
    <x v="29"/>
    <n v="202601"/>
    <x v="0"/>
    <x v="10"/>
    <s v="Sebastián S"/>
    <s v="Vik E"/>
    <n v="86281"/>
    <n v="5965605"/>
    <n v="69.14155913978496"/>
    <n v="89248.215076519991"/>
    <n v="76.5"/>
    <n v="75.5"/>
    <n v="67.697971575339096"/>
    <n v="6041923"/>
  </r>
  <r>
    <x v="52"/>
    <n v="202406"/>
    <x v="2"/>
    <x v="11"/>
    <s v="Sebastián S"/>
    <s v="Vik E"/>
    <n v="86278"/>
    <n v="6560570"/>
    <n v="76.039493055555539"/>
    <n v="0"/>
    <n v="80"/>
    <n v="78"/>
    <m/>
    <n v="0"/>
  </r>
  <r>
    <x v="47"/>
    <n v="202510"/>
    <x v="1"/>
    <x v="8"/>
    <s v="Sebastián S"/>
    <s v="Vik E"/>
    <n v="86277"/>
    <n v="4139846"/>
    <n v="47.982930107526876"/>
    <n v="87207.789165371825"/>
    <n v="61.5"/>
    <n v="48.5"/>
    <n v="47.471059748454628"/>
    <n v="4828900"/>
  </r>
  <r>
    <x v="28"/>
    <n v="202411"/>
    <x v="2"/>
    <x v="7"/>
    <s v="Sebastián S"/>
    <s v="Rodolfo O"/>
    <n v="86272"/>
    <n v="5094279"/>
    <n v="59.048888888888882"/>
    <n v="0"/>
    <n v="65.5"/>
    <n v="66"/>
    <m/>
    <n v="0"/>
  </r>
  <r>
    <x v="56"/>
    <n v="202505"/>
    <x v="1"/>
    <x v="3"/>
    <s v="Sofía V"/>
    <s v="Joe H"/>
    <n v="86263"/>
    <n v="6207317"/>
    <n v="71.957647849462347"/>
    <n v="83892.534911035182"/>
    <n v="79.5"/>
    <n v="81.5"/>
    <n v="73.991286907501603"/>
    <n v="6110404"/>
  </r>
  <r>
    <x v="53"/>
    <n v="202408"/>
    <x v="2"/>
    <x v="5"/>
    <s v="Sebastián S"/>
    <s v="Johanna V"/>
    <n v="86260"/>
    <n v="4965345"/>
    <n v="57.562768817204301"/>
    <n v="0"/>
    <n v="68"/>
    <n v="60.5"/>
    <m/>
    <n v="0"/>
  </r>
  <r>
    <x v="39"/>
    <n v="202507"/>
    <x v="1"/>
    <x v="6"/>
    <s v="Sofía V"/>
    <s v="Melany A"/>
    <n v="86241"/>
    <n v="4789952"/>
    <n v="55.541189516129009"/>
    <n v="88075.262257103823"/>
    <n v="60.5"/>
    <n v="60.5"/>
    <n v="54.38475818576017"/>
    <n v="6123328"/>
  </r>
  <r>
    <x v="52"/>
    <n v="202506"/>
    <x v="1"/>
    <x v="11"/>
    <s v="Sebastián S"/>
    <s v="Vik E"/>
    <n v="86233"/>
    <n v="6061446"/>
    <n v="70.291715277777769"/>
    <n v="90592.371262484521"/>
    <n v="80"/>
    <n v="78"/>
    <n v="66.909008623225262"/>
    <n v="6684945"/>
  </r>
  <r>
    <x v="49"/>
    <n v="202402"/>
    <x v="2"/>
    <x v="2"/>
    <s v="Sebastián S"/>
    <s v="Vik E"/>
    <n v="86191"/>
    <n v="5536149"/>
    <n v="64.231034482758631"/>
    <n v="0"/>
    <n v="66"/>
    <n v="64.5"/>
    <m/>
    <n v="0"/>
  </r>
  <r>
    <x v="68"/>
    <n v="202403"/>
    <x v="2"/>
    <x v="0"/>
    <s v="Sofía V"/>
    <s v="José A"/>
    <n v="86186"/>
    <n v="4107463"/>
    <n v="47.658380376344105"/>
    <n v="0"/>
    <n v="52"/>
    <n v="52"/>
    <m/>
    <n v="0"/>
  </r>
  <r>
    <x v="44"/>
    <n v="202509"/>
    <x v="1"/>
    <x v="4"/>
    <s v="Sebastián S"/>
    <s v="Johanna V"/>
    <n v="86162"/>
    <n v="8523266"/>
    <n v="98.921472222222306"/>
    <n v="97007.253102296294"/>
    <n v="117.5"/>
    <n v="99"/>
    <n v="87.862149451979917"/>
    <n v="9499594"/>
  </r>
  <r>
    <x v="49"/>
    <n v="202502"/>
    <x v="1"/>
    <x v="2"/>
    <s v="Sebastián S"/>
    <s v="Vik E"/>
    <n v="86158"/>
    <n v="4948762"/>
    <n v="57.43854166666668"/>
    <n v="90500.749549041691"/>
    <n v="66"/>
    <n v="64.5"/>
    <n v="54.68199705150839"/>
    <n v="5426876"/>
  </r>
  <r>
    <x v="73"/>
    <n v="202409"/>
    <x v="2"/>
    <x v="4"/>
    <s v="Fátima L"/>
    <s v="Fátima L"/>
    <n v="86140"/>
    <n v="947306"/>
    <n v="10.997243055555554"/>
    <n v="0"/>
    <n v="13.5"/>
    <n v="12"/>
    <m/>
    <n v="0"/>
  </r>
  <r>
    <x v="32"/>
    <n v="202502"/>
    <x v="1"/>
    <x v="2"/>
    <s v="Sofía V"/>
    <s v="Melany A"/>
    <n v="86134"/>
    <n v="5729785"/>
    <n v="66.521770833333335"/>
    <n v="82260.820685552477"/>
    <n v="75.5"/>
    <n v="68"/>
    <n v="69.653870849434952"/>
    <n v="5496212"/>
  </r>
  <r>
    <x v="29"/>
    <n v="202504"/>
    <x v="1"/>
    <x v="9"/>
    <s v="Sebastián S"/>
    <s v="Vik E"/>
    <n v="86115"/>
    <n v="5860234"/>
    <n v="68.051131944444464"/>
    <n v="95013.330724818356"/>
    <n v="76.5"/>
    <n v="75.5"/>
    <n v="61.67801933996671"/>
    <n v="7042532"/>
  </r>
  <r>
    <x v="40"/>
    <n v="202501"/>
    <x v="1"/>
    <x v="10"/>
    <s v="Sebastián S"/>
    <s v="Johanna V"/>
    <n v="86079"/>
    <n v="8825586"/>
    <n v="102.529065860215"/>
    <n v="90644.51896307306"/>
    <n v="106"/>
    <n v="102.5"/>
    <n v="97.364808936714439"/>
    <n v="9388104"/>
  </r>
  <r>
    <x v="62"/>
    <n v="202602"/>
    <x v="0"/>
    <x v="2"/>
    <s v="Sebastián S"/>
    <s v="Vik E"/>
    <n v="86074"/>
    <n v="5222212"/>
    <n v="60.671041666666682"/>
    <n v="86874.331715254259"/>
    <n v="65"/>
    <n v="67.5"/>
    <n v="56.772923994003762"/>
    <n v="4932110"/>
  </r>
  <r>
    <x v="39"/>
    <n v="202403"/>
    <x v="2"/>
    <x v="0"/>
    <s v="Sofía V"/>
    <s v="Melany A"/>
    <n v="86071"/>
    <n v="5667536"/>
    <n v="65.846901881720427"/>
    <n v="0"/>
    <n v="60.5"/>
    <n v="60.5"/>
    <m/>
    <n v="0"/>
  </r>
  <r>
    <x v="23"/>
    <n v="202505"/>
    <x v="1"/>
    <x v="3"/>
    <s v="Sebastián S"/>
    <s v="Rodolfo O"/>
    <n v="86067"/>
    <n v="7896871"/>
    <n v="91.752594086021503"/>
    <n v="86388.755822446401"/>
    <n v="94.5"/>
    <n v="97"/>
    <n v="91.410865972306965"/>
    <n v="7674858"/>
  </r>
  <r>
    <x v="32"/>
    <n v="202606"/>
    <x v="0"/>
    <x v="11"/>
    <s v="Sofía V"/>
    <s v="Melany A"/>
    <n v="86063"/>
    <n v="5038079"/>
    <n v="58.539347222222098"/>
    <n v="80314.916931467407"/>
    <n v="75.5"/>
    <n v="68"/>
    <n v="66.56902434528007"/>
    <n v="5346486"/>
  </r>
  <r>
    <x v="10"/>
    <n v="202405"/>
    <x v="2"/>
    <x v="3"/>
    <s v="Sofía V"/>
    <s v="Melany A"/>
    <n v="86056"/>
    <n v="9244337"/>
    <n v="107.42271505376341"/>
    <n v="0"/>
    <n v="125"/>
    <n v="118.5"/>
    <m/>
    <n v="0"/>
  </r>
  <r>
    <x v="7"/>
    <n v="202410"/>
    <x v="2"/>
    <x v="8"/>
    <s v="Sebastián S"/>
    <s v="Rodolfo O"/>
    <n v="86047"/>
    <n v="5024947"/>
    <n v="58.397452956989241"/>
    <n v="0"/>
    <n v="65.5"/>
    <n v="63"/>
    <m/>
    <n v="0"/>
  </r>
  <r>
    <x v="29"/>
    <n v="202501"/>
    <x v="1"/>
    <x v="10"/>
    <s v="Sebastián S"/>
    <s v="Vik E"/>
    <n v="86025"/>
    <n v="5844912"/>
    <n v="67.944126344086015"/>
    <n v="93383.62164372293"/>
    <n v="76.5"/>
    <n v="75.5"/>
    <n v="62.590337867806227"/>
    <n v="6455234"/>
  </r>
  <r>
    <x v="52"/>
    <n v="202408"/>
    <x v="2"/>
    <x v="5"/>
    <s v="Sebastián S"/>
    <s v="Vik E"/>
    <n v="86025"/>
    <n v="6392978"/>
    <n v="74.315490591397861"/>
    <n v="0"/>
    <n v="80"/>
    <n v="78"/>
    <m/>
    <n v="0"/>
  </r>
  <r>
    <x v="58"/>
    <n v="202501"/>
    <x v="1"/>
    <x v="10"/>
    <s v="Sebastián S"/>
    <s v="Rodolfo O"/>
    <n v="86019"/>
    <n v="4882180"/>
    <n v="56.757157258064538"/>
    <n v="86355.325255708536"/>
    <n v="66.5"/>
    <n v="63.5"/>
    <n v="56.53594732627402"/>
    <n v="5188220"/>
  </r>
  <r>
    <x v="63"/>
    <n v="202606"/>
    <x v="0"/>
    <x v="11"/>
    <s v="Sebastián S"/>
    <s v="Johanna V"/>
    <n v="86018"/>
    <n v="8668578"/>
    <n v="100.7766180555578"/>
    <n v="84933.449832551152"/>
    <n v="123"/>
    <n v="115.5"/>
    <n v="102.59248347357834"/>
    <n v="8713534"/>
  </r>
  <r>
    <x v="45"/>
    <n v="202505"/>
    <x v="1"/>
    <x v="3"/>
    <s v="Sofía V"/>
    <s v="Joe H"/>
    <n v="86017"/>
    <n v="5587376"/>
    <n v="64.956330645161302"/>
    <n v="85416.051125392885"/>
    <n v="68"/>
    <n v="68.5"/>
    <n v="65.413652426961221"/>
    <n v="5244281"/>
  </r>
  <r>
    <x v="56"/>
    <n v="202504"/>
    <x v="1"/>
    <x v="9"/>
    <s v="Sofía V"/>
    <s v="Joe H"/>
    <n v="86011"/>
    <n v="5906630"/>
    <n v="68.673208333333321"/>
    <n v="87013.030056821459"/>
    <n v="79.5"/>
    <n v="81.5"/>
    <n v="67.882130482559234"/>
    <n v="6113550"/>
  </r>
  <r>
    <x v="45"/>
    <n v="202406"/>
    <x v="2"/>
    <x v="11"/>
    <s v="Sofía V"/>
    <s v="Joe H"/>
    <n v="85977"/>
    <n v="5190719"/>
    <n v="60.373006944444441"/>
    <n v="0"/>
    <n v="68"/>
    <n v="68.5"/>
    <m/>
    <n v="0"/>
  </r>
  <r>
    <x v="63"/>
    <n v="202511"/>
    <x v="1"/>
    <x v="7"/>
    <s v="Sebastián S"/>
    <s v="Johanna V"/>
    <n v="85973"/>
    <n v="8786514"/>
    <n v="102.20131250000001"/>
    <n v="85143.704870263886"/>
    <n v="123"/>
    <n v="115.5"/>
    <n v="103.19628061039019"/>
    <n v="9442665"/>
  </r>
  <r>
    <x v="63"/>
    <n v="202506"/>
    <x v="1"/>
    <x v="11"/>
    <s v="Sebastián S"/>
    <s v="Johanna V"/>
    <n v="85948"/>
    <n v="8592844"/>
    <n v="99.977645833333412"/>
    <n v="85437.53973379024"/>
    <n v="123"/>
    <n v="115.5"/>
    <n v="100.57456847158674"/>
    <n v="9380516"/>
  </r>
  <r>
    <x v="62"/>
    <n v="202508"/>
    <x v="1"/>
    <x v="5"/>
    <s v="Sebastián S"/>
    <s v="Vik E"/>
    <n v="85914"/>
    <n v="4831014"/>
    <n v="56.230745967741925"/>
    <n v="86868.629758484138"/>
    <n v="65"/>
    <n v="67.5"/>
    <n v="55.612875711650915"/>
    <n v="5019260"/>
  </r>
  <r>
    <x v="63"/>
    <n v="202605"/>
    <x v="0"/>
    <x v="3"/>
    <s v="Sebastián S"/>
    <s v="Johanna V"/>
    <n v="85911"/>
    <n v="9451428"/>
    <n v="110.01379704300663"/>
    <n v="91186.981407944113"/>
    <n v="123"/>
    <n v="115.5"/>
    <n v="102.59248347357834"/>
    <n v="9355099"/>
  </r>
  <r>
    <x v="0"/>
    <n v="202401"/>
    <x v="2"/>
    <x v="10"/>
    <s v="Fátima L"/>
    <s v="Fátima L"/>
    <n v="85906"/>
    <n v="995737"/>
    <n v="11.59097446236559"/>
    <n v="0"/>
    <n v="13.5"/>
    <n v="12.5"/>
    <m/>
    <n v="0"/>
  </r>
  <r>
    <x v="52"/>
    <n v="202403"/>
    <x v="2"/>
    <x v="0"/>
    <s v="Sebastián S"/>
    <s v="Vik E"/>
    <n v="85902"/>
    <n v="7041902"/>
    <n v="81.975551075268854"/>
    <n v="0"/>
    <n v="80"/>
    <n v="78"/>
    <m/>
    <n v="0"/>
  </r>
  <r>
    <x v="36"/>
    <n v="202504"/>
    <x v="1"/>
    <x v="9"/>
    <s v="Sebastián S"/>
    <s v="Rodolfo O"/>
    <n v="85898"/>
    <n v="5949895"/>
    <n v="69.266993055555602"/>
    <n v="86934.445837472653"/>
    <n v="81"/>
    <n v="77"/>
    <n v="68.441168545820886"/>
    <n v="6756087"/>
  </r>
  <r>
    <x v="36"/>
    <n v="202509"/>
    <x v="1"/>
    <x v="4"/>
    <s v="Sebastián S"/>
    <s v="Rodolfo O"/>
    <n v="85890"/>
    <n v="5776221"/>
    <n v="67.251527777777795"/>
    <n v="89746.901574554169"/>
    <n v="81"/>
    <n v="77"/>
    <n v="64.361230846522346"/>
    <n v="6516340"/>
  </r>
  <r>
    <x v="14"/>
    <n v="202507"/>
    <x v="1"/>
    <x v="6"/>
    <s v="Sofía V"/>
    <s v="Melany A"/>
    <n v="85864"/>
    <n v="4907999"/>
    <n v="57.160362903225817"/>
    <n v="92854.748373665498"/>
    <n v="59.5"/>
    <n v="55.5"/>
    <n v="52.856735880100203"/>
    <n v="5329666"/>
  </r>
  <r>
    <x v="36"/>
    <n v="202410"/>
    <x v="2"/>
    <x v="8"/>
    <s v="Sebastián S"/>
    <s v="Rodolfo O"/>
    <n v="85845"/>
    <n v="5828748"/>
    <n v="67.898541666666659"/>
    <n v="0"/>
    <n v="81"/>
    <n v="77"/>
    <m/>
    <n v="0"/>
  </r>
  <r>
    <x v="59"/>
    <n v="202401"/>
    <x v="2"/>
    <x v="10"/>
    <s v="Sebastián S"/>
    <s v="Johanna V"/>
    <n v="85834"/>
    <n v="9315865"/>
    <n v="108.53340053763439"/>
    <n v="0"/>
    <n v="118"/>
    <n v="106"/>
    <m/>
    <n v="0"/>
  </r>
  <r>
    <x v="41"/>
    <n v="202508"/>
    <x v="1"/>
    <x v="5"/>
    <s v="Sebastián S"/>
    <s v="Rodolfo O"/>
    <n v="85821"/>
    <n v="4831472"/>
    <n v="56.296888440860208"/>
    <n v="86665.751641768948"/>
    <n v="64.5"/>
    <n v="64"/>
    <n v="55.748339205212062"/>
    <n v="5167104"/>
  </r>
  <r>
    <x v="73"/>
    <n v="202411"/>
    <x v="2"/>
    <x v="7"/>
    <s v="Fátima L"/>
    <s v="Fátima L"/>
    <n v="85795"/>
    <n v="933840"/>
    <n v="10.884562499999999"/>
    <n v="0"/>
    <n v="13.5"/>
    <n v="12"/>
    <m/>
    <n v="0"/>
  </r>
  <r>
    <x v="52"/>
    <n v="202410"/>
    <x v="2"/>
    <x v="8"/>
    <s v="Sebastián S"/>
    <s v="Vik E"/>
    <n v="85780"/>
    <n v="6022940"/>
    <n v="70.213716397849481"/>
    <n v="0"/>
    <n v="80"/>
    <n v="78"/>
    <m/>
    <n v="0"/>
  </r>
  <r>
    <x v="52"/>
    <n v="202407"/>
    <x v="2"/>
    <x v="6"/>
    <s v="Sebastián S"/>
    <s v="Vik E"/>
    <n v="85775"/>
    <n v="6598063"/>
    <n v="76.922849462365534"/>
    <n v="0"/>
    <n v="80"/>
    <n v="78"/>
    <m/>
    <n v="0"/>
  </r>
  <r>
    <x v="52"/>
    <n v="202507"/>
    <x v="1"/>
    <x v="6"/>
    <s v="Sebastián S"/>
    <s v="Vik E"/>
    <n v="85732"/>
    <n v="6114560"/>
    <n v="71.322190860215031"/>
    <n v="90063.827496269558"/>
    <n v="80"/>
    <n v="78"/>
    <n v="67.891412234876043"/>
    <n v="6858479"/>
  </r>
  <r>
    <x v="14"/>
    <n v="202505"/>
    <x v="1"/>
    <x v="3"/>
    <s v="Sofía V"/>
    <s v="Melany A"/>
    <n v="85706"/>
    <n v="5002160"/>
    <n v="58.364005376344089"/>
    <n v="88209.136581879939"/>
    <n v="59.5"/>
    <n v="55.5"/>
    <n v="56.707959898879118"/>
    <n v="4930152"/>
  </r>
  <r>
    <x v="86"/>
    <n v="202512"/>
    <x v="1"/>
    <x v="1"/>
    <s v="Sebastián S"/>
    <s v="Vik E"/>
    <n v="85693"/>
    <n v="3062310"/>
    <n v="35.736034946236543"/>
    <n v="83347.183395083703"/>
    <n v="36"/>
    <n v="35"/>
    <n v="36.741616516109325"/>
    <n v="3360743"/>
  </r>
  <r>
    <x v="56"/>
    <n v="202509"/>
    <x v="1"/>
    <x v="4"/>
    <s v="Sofía V"/>
    <s v="Joe H"/>
    <n v="85674"/>
    <n v="5798838"/>
    <n v="67.685236111111124"/>
    <n v="87161.693968208987"/>
    <n v="79.5"/>
    <n v="81.5"/>
    <n v="66.529667058961067"/>
    <n v="6204278"/>
  </r>
  <r>
    <x v="43"/>
    <n v="202606"/>
    <x v="0"/>
    <x v="11"/>
    <s v="Sofía V"/>
    <s v="José A"/>
    <n v="85667"/>
    <n v="2573810"/>
    <n v="30.044388888888847"/>
    <n v="84195.760312297032"/>
    <n v="32.5"/>
    <n v="32"/>
    <n v="29.073700348097926"/>
    <n v="2447882"/>
  </r>
  <r>
    <x v="73"/>
    <n v="202603"/>
    <x v="0"/>
    <x v="0"/>
    <s v="Fátima L"/>
    <s v="Fátima L"/>
    <n v="85657"/>
    <n v="1000551"/>
    <n v="11.680873655913979"/>
    <n v="88788.684404030995"/>
    <n v="13.5"/>
    <n v="12"/>
    <n v="11.788780293634797"/>
    <n v="1046710"/>
  </r>
  <r>
    <x v="19"/>
    <n v="202402"/>
    <x v="2"/>
    <x v="2"/>
    <s v="Sofía V"/>
    <s v="Joe H"/>
    <n v="85655"/>
    <n v="4724006"/>
    <n v="55.151551724137931"/>
    <n v="0"/>
    <n v="57.5"/>
    <n v="56.5"/>
    <m/>
    <n v="0"/>
  </r>
  <r>
    <x v="49"/>
    <n v="202606"/>
    <x v="0"/>
    <x v="11"/>
    <s v="Sebastián S"/>
    <s v="Vik E"/>
    <n v="85645"/>
    <n v="4731533"/>
    <n v="55.246041666666571"/>
    <n v="83074.651099494833"/>
    <n v="66"/>
    <n v="64.5"/>
    <n v="56.772923994003754"/>
    <n v="4716391"/>
  </r>
  <r>
    <x v="27"/>
    <n v="202504"/>
    <x v="1"/>
    <x v="9"/>
    <s v="Sofía V"/>
    <s v="Joe H"/>
    <n v="85618"/>
    <n v="4857724"/>
    <n v="56.737479166666674"/>
    <n v="76238.081899143814"/>
    <n v="62"/>
    <n v="58"/>
    <n v="63.717812397567073"/>
    <n v="4930542"/>
  </r>
  <r>
    <x v="72"/>
    <n v="202606"/>
    <x v="0"/>
    <x v="11"/>
    <s v="Sebastián S"/>
    <s v="Vik E"/>
    <n v="85600"/>
    <n v="5174230"/>
    <n v="60.446604166667804"/>
    <n v="74635.249119469692"/>
    <n v="79.5"/>
    <n v="67"/>
    <n v="68.682661472657543"/>
    <n v="5126148"/>
  </r>
  <r>
    <x v="64"/>
    <n v="202605"/>
    <x v="0"/>
    <x v="3"/>
    <s v="Sebastián S"/>
    <s v="Johanna V"/>
    <n v="85576"/>
    <n v="5343017"/>
    <n v="62.435672043010861"/>
    <n v="83878.596145783144"/>
    <n v="75.5"/>
    <n v="70.5"/>
    <n v="63.423114179855602"/>
    <n v="5319842"/>
  </r>
  <r>
    <x v="69"/>
    <n v="202606"/>
    <x v="0"/>
    <x v="11"/>
    <s v="Sofía V"/>
    <s v="José A"/>
    <n v="85531"/>
    <n v="5945118"/>
    <n v="69.508590277778993"/>
    <n v="81379.791638095237"/>
    <n v="84"/>
    <n v="76"/>
    <n v="84"/>
    <n v="6835902"/>
  </r>
  <r>
    <x v="5"/>
    <n v="202402"/>
    <x v="2"/>
    <x v="2"/>
    <s v="Sebastián S"/>
    <s v="Rodolfo O"/>
    <n v="85482"/>
    <n v="5552803"/>
    <n v="64.95899425287358"/>
    <n v="0"/>
    <n v="68.5"/>
    <n v="66"/>
    <m/>
    <n v="0"/>
  </r>
  <r>
    <x v="36"/>
    <n v="202409"/>
    <x v="2"/>
    <x v="4"/>
    <s v="Sebastián S"/>
    <s v="Rodolfo O"/>
    <n v="85473"/>
    <n v="5914628"/>
    <n v="69.19859722222229"/>
    <n v="0"/>
    <n v="81"/>
    <n v="77"/>
    <m/>
    <n v="0"/>
  </r>
  <r>
    <x v="18"/>
    <n v="202602"/>
    <x v="0"/>
    <x v="2"/>
    <s v="Sofía V"/>
    <s v="Joe H"/>
    <n v="85439"/>
    <n v="4109009"/>
    <n v="48.092864583333338"/>
    <n v="88469.294435659118"/>
    <n v="50.5"/>
    <n v="51.5"/>
    <n v="44.728769766304502"/>
    <n v="3957123"/>
  </r>
  <r>
    <x v="50"/>
    <n v="202408"/>
    <x v="2"/>
    <x v="5"/>
    <s v="Sebastián S"/>
    <s v="Vik E"/>
    <n v="85438"/>
    <n v="6211508"/>
    <n v="72.702338709677448"/>
    <n v="0"/>
    <n v="75.5"/>
    <n v="74"/>
    <m/>
    <n v="0"/>
  </r>
  <r>
    <x v="36"/>
    <n v="202501"/>
    <x v="1"/>
    <x v="10"/>
    <s v="Sebastián S"/>
    <s v="Rodolfo O"/>
    <n v="85416"/>
    <n v="6365361"/>
    <n v="74.522291666666618"/>
    <n v="99255.260493468319"/>
    <n v="81"/>
    <n v="77"/>
    <n v="64.131216505334592"/>
    <n v="6746822"/>
  </r>
  <r>
    <x v="46"/>
    <n v="202605"/>
    <x v="0"/>
    <x v="3"/>
    <s v="Sofía V"/>
    <s v="José A"/>
    <n v="85389"/>
    <n v="4642006"/>
    <n v="54.363044354838998"/>
    <n v="92412.722558020017"/>
    <n v="58"/>
    <n v="58.5"/>
    <n v="51.139118040082707"/>
    <n v="4725905"/>
  </r>
  <r>
    <x v="29"/>
    <n v="202411"/>
    <x v="2"/>
    <x v="7"/>
    <s v="Sebastián S"/>
    <s v="Vik E"/>
    <n v="85358"/>
    <n v="6006843"/>
    <n v="70.372312499999978"/>
    <n v="0"/>
    <n v="76.5"/>
    <n v="75.5"/>
    <m/>
    <n v="0"/>
  </r>
  <r>
    <x v="49"/>
    <n v="202505"/>
    <x v="1"/>
    <x v="3"/>
    <s v="Sebastián S"/>
    <s v="Vik E"/>
    <n v="85349"/>
    <n v="4961382"/>
    <n v="58.130295698924726"/>
    <n v="79636.90567189685"/>
    <n v="66"/>
    <n v="64.5"/>
    <n v="62.300034740687188"/>
    <n v="5262384"/>
  </r>
  <r>
    <x v="34"/>
    <n v="202504"/>
    <x v="1"/>
    <x v="9"/>
    <s v="Hernán P"/>
    <s v="Daniel R"/>
    <n v="85315"/>
    <n v="1044238"/>
    <n v="12.239791666666669"/>
    <n v="77987.59576363457"/>
    <n v="15"/>
    <n v="15"/>
    <n v="13.38979782329597"/>
    <n v="1046718"/>
  </r>
  <r>
    <x v="72"/>
    <n v="202412"/>
    <x v="2"/>
    <x v="1"/>
    <s v="Sebastián S"/>
    <s v="Vik E"/>
    <n v="85305"/>
    <n v="7093370"/>
    <n v="83.152567204301079"/>
    <n v="0"/>
    <n v="79.5"/>
    <n v="67"/>
    <m/>
    <n v="0"/>
  </r>
  <r>
    <x v="28"/>
    <n v="202409"/>
    <x v="2"/>
    <x v="4"/>
    <s v="Sebastián S"/>
    <s v="Rodolfo O"/>
    <n v="85268"/>
    <n v="5032237"/>
    <n v="59.016999999999996"/>
    <n v="0"/>
    <n v="65.5"/>
    <n v="66"/>
    <m/>
    <n v="0"/>
  </r>
  <r>
    <x v="46"/>
    <n v="202602"/>
    <x v="0"/>
    <x v="2"/>
    <s v="Sofía V"/>
    <s v="José A"/>
    <n v="85216"/>
    <n v="4566035"/>
    <n v="53.581666666666656"/>
    <n v="78919.725859110127"/>
    <n v="58"/>
    <n v="58.5"/>
    <n v="51.139118040082707"/>
    <n v="4035885"/>
  </r>
  <r>
    <x v="51"/>
    <n v="202602"/>
    <x v="0"/>
    <x v="2"/>
    <s v="Sofía V"/>
    <s v="Melany A"/>
    <n v="85216"/>
    <n v="3154591"/>
    <n v="37.018645833333331"/>
    <n v="83887.643432057477"/>
    <n v="43.5"/>
    <n v="41"/>
    <n v="38.914029696684921"/>
    <n v="3264406"/>
  </r>
  <r>
    <x v="12"/>
    <n v="202508"/>
    <x v="1"/>
    <x v="5"/>
    <s v="Sofía V"/>
    <s v="Melany A"/>
    <n v="85212"/>
    <n v="7795474"/>
    <n v="91.483366935483872"/>
    <n v="98546.041429934572"/>
    <n v="96.5"/>
    <n v="94"/>
    <n v="79.104890535278543"/>
    <n v="8110563"/>
  </r>
  <r>
    <x v="32"/>
    <n v="202405"/>
    <x v="2"/>
    <x v="3"/>
    <s v="Sofía V"/>
    <s v="Melany A"/>
    <n v="85205"/>
    <n v="5572631"/>
    <n v="65.402580645161308"/>
    <n v="0"/>
    <n v="75.5"/>
    <n v="68"/>
    <m/>
    <n v="0"/>
  </r>
  <r>
    <x v="62"/>
    <n v="202411"/>
    <x v="2"/>
    <x v="7"/>
    <s v="Sebastián S"/>
    <s v="Vik E"/>
    <n v="85192"/>
    <n v="4882893"/>
    <n v="57.316340277777769"/>
    <n v="0"/>
    <n v="65"/>
    <n v="67.5"/>
    <m/>
    <n v="0"/>
  </r>
  <r>
    <x v="28"/>
    <n v="202410"/>
    <x v="2"/>
    <x v="8"/>
    <s v="Sebastián S"/>
    <s v="Rodolfo O"/>
    <n v="85185"/>
    <n v="4996150"/>
    <n v="58.650403225806421"/>
    <n v="0"/>
    <n v="65.5"/>
    <n v="66"/>
    <m/>
    <n v="0"/>
  </r>
  <r>
    <x v="71"/>
    <n v="202407"/>
    <x v="2"/>
    <x v="6"/>
    <s v="Sebastián S"/>
    <s v="Rodolfo O"/>
    <n v="85177"/>
    <n v="4646734"/>
    <n v="54.553756720430094"/>
    <n v="0"/>
    <n v="53.5"/>
    <n v="54"/>
    <m/>
    <n v="0"/>
  </r>
  <r>
    <x v="60"/>
    <n v="202501"/>
    <x v="1"/>
    <x v="10"/>
    <s v="Sofía V"/>
    <s v="Melany A"/>
    <n v="85167"/>
    <n v="6602095"/>
    <n v="77.519260752688155"/>
    <n v="91983.971404920347"/>
    <n v="88.5"/>
    <n v="92.5"/>
    <n v="71.774406879401653"/>
    <n v="6656625"/>
  </r>
  <r>
    <x v="62"/>
    <n v="202504"/>
    <x v="1"/>
    <x v="9"/>
    <s v="Sebastián S"/>
    <s v="Vik E"/>
    <n v="85130"/>
    <n v="4828770"/>
    <n v="56.722604166666663"/>
    <n v="87863.138701619449"/>
    <n v="65"/>
    <n v="67.5"/>
    <n v="54.957859704948113"/>
    <n v="5052109"/>
  </r>
  <r>
    <x v="49"/>
    <n v="202510"/>
    <x v="1"/>
    <x v="8"/>
    <s v="Sebastián S"/>
    <s v="Vik E"/>
    <n v="85121"/>
    <n v="4377216"/>
    <n v="51.423185483870952"/>
    <n v="88727.21641042296"/>
    <n v="66"/>
    <n v="64.5"/>
    <n v="49.333411743161591"/>
    <n v="5411236"/>
  </r>
  <r>
    <x v="87"/>
    <n v="202606"/>
    <x v="0"/>
    <x v="11"/>
    <s v="Fátima L"/>
    <s v="Fátima L"/>
    <n v="85114"/>
    <n v="673473"/>
    <n v="7.9126250000000073"/>
    <n v="59220.215998492633"/>
    <n v="11"/>
    <n v="11"/>
    <n v="10.04229432420742"/>
    <n v="594707"/>
  </r>
  <r>
    <x v="17"/>
    <n v="202406"/>
    <x v="2"/>
    <x v="11"/>
    <s v="Sofía V"/>
    <s v="Joe H"/>
    <n v="85102"/>
    <n v="7278647"/>
    <n v="85.528673611111117"/>
    <n v="0"/>
    <n v="94"/>
    <n v="92"/>
    <m/>
    <n v="0"/>
  </r>
  <r>
    <x v="67"/>
    <n v="202605"/>
    <x v="0"/>
    <x v="3"/>
    <s v="Hernán P"/>
    <s v="Daniel R"/>
    <n v="85039"/>
    <n v="1263592"/>
    <n v="14.859005376344063"/>
    <n v="76118.497816267685"/>
    <n v="15.5"/>
    <n v="14.5"/>
    <n v="13.971887755419019"/>
    <n v="1063519"/>
  </r>
  <r>
    <x v="14"/>
    <n v="202509"/>
    <x v="1"/>
    <x v="4"/>
    <s v="Sofía V"/>
    <s v="Melany A"/>
    <n v="85007"/>
    <n v="4410946"/>
    <n v="51.889055555555558"/>
    <n v="90650.819636926724"/>
    <n v="59.5"/>
    <n v="55.5"/>
    <n v="48.658643988732294"/>
    <n v="4713786"/>
  </r>
  <r>
    <x v="41"/>
    <n v="202403"/>
    <x v="2"/>
    <x v="0"/>
    <s v="Sebastián S"/>
    <s v="Rodolfo O"/>
    <n v="85002"/>
    <n v="5991175"/>
    <n v="70.482755376344059"/>
    <n v="0"/>
    <n v="64.5"/>
    <n v="64"/>
    <m/>
    <n v="0"/>
  </r>
  <r>
    <x v="45"/>
    <n v="202401"/>
    <x v="2"/>
    <x v="10"/>
    <s v="Sofía V"/>
    <s v="Joe H"/>
    <n v="84978"/>
    <n v="4874827"/>
    <n v="57.365940860215062"/>
    <n v="0"/>
    <n v="68"/>
    <n v="68.5"/>
    <m/>
    <n v="0"/>
  </r>
  <r>
    <x v="79"/>
    <n v="202508"/>
    <x v="1"/>
    <x v="5"/>
    <s v="Sebastián S"/>
    <s v="Vik E"/>
    <n v="84977"/>
    <n v="5584172"/>
    <n v="65.713629032258112"/>
    <n v="83944.98359334562"/>
    <n v="84.5"/>
    <n v="78.5"/>
    <n v="66.521806080174898"/>
    <n v="6047621"/>
  </r>
  <r>
    <x v="40"/>
    <n v="202409"/>
    <x v="2"/>
    <x v="4"/>
    <s v="Sebastián S"/>
    <s v="Johanna V"/>
    <n v="84966"/>
    <n v="8512318"/>
    <n v="100.18443749999996"/>
    <n v="0"/>
    <n v="106"/>
    <n v="102.5"/>
    <m/>
    <n v="0"/>
  </r>
  <r>
    <x v="64"/>
    <n v="202604"/>
    <x v="0"/>
    <x v="9"/>
    <s v="Sebastián S"/>
    <s v="Johanna V"/>
    <n v="84966"/>
    <n v="5189960"/>
    <n v="61.082729166667548"/>
    <n v="80374.05681853267"/>
    <n v="75.5"/>
    <n v="70.5"/>
    <n v="63.423114179855602"/>
    <n v="5097573"/>
  </r>
  <r>
    <x v="88"/>
    <n v="202605"/>
    <x v="0"/>
    <x v="3"/>
    <s v="Sofía V"/>
    <s v="José A"/>
    <n v="84942"/>
    <n v="5822326"/>
    <n v="68.544489247312427"/>
    <n v="63624.533322619056"/>
    <n v="84"/>
    <n v="76.5"/>
    <n v="84"/>
    <n v="5344461"/>
  </r>
  <r>
    <x v="23"/>
    <n v="202411"/>
    <x v="2"/>
    <x v="7"/>
    <s v="Sebastián S"/>
    <s v="Rodolfo O"/>
    <n v="84895"/>
    <n v="7769904"/>
    <n v="91.523736111111219"/>
    <n v="0"/>
    <n v="94.5"/>
    <n v="97"/>
    <m/>
    <n v="0"/>
  </r>
  <r>
    <x v="28"/>
    <n v="202506"/>
    <x v="1"/>
    <x v="11"/>
    <s v="Sebastián S"/>
    <s v="Rodolfo O"/>
    <n v="84892"/>
    <n v="5005931"/>
    <n v="58.968291666666687"/>
    <n v="97165.792200439813"/>
    <n v="65.5"/>
    <n v="66"/>
    <n v="51.519476418958682"/>
    <n v="5651981"/>
  </r>
  <r>
    <x v="59"/>
    <n v="202407"/>
    <x v="2"/>
    <x v="6"/>
    <s v="Sebastián S"/>
    <s v="Johanna V"/>
    <n v="84869"/>
    <n v="9574233"/>
    <n v="112.81252688172042"/>
    <n v="0"/>
    <n v="118"/>
    <n v="106"/>
    <m/>
    <n v="0"/>
  </r>
  <r>
    <x v="21"/>
    <n v="202401"/>
    <x v="2"/>
    <x v="10"/>
    <s v="Sebastián S"/>
    <s v="Rodolfo O"/>
    <n v="84860"/>
    <n v="6257670"/>
    <n v="73.741189516129012"/>
    <n v="0"/>
    <n v="84.5"/>
    <n v="86.5"/>
    <m/>
    <n v="0"/>
  </r>
  <r>
    <x v="88"/>
    <n v="202512"/>
    <x v="1"/>
    <x v="1"/>
    <s v="Sofía V"/>
    <s v="José A"/>
    <n v="84857"/>
    <n v="8978173"/>
    <n v="105.80302419354831"/>
    <n v="0"/>
    <n v="84"/>
    <n v="76.5"/>
    <m/>
    <m/>
  </r>
  <r>
    <x v="63"/>
    <n v="202407"/>
    <x v="2"/>
    <x v="6"/>
    <s v="Sebastián S"/>
    <s v="Johanna V"/>
    <n v="84854"/>
    <n v="9270103"/>
    <n v="109.2475134408602"/>
    <n v="0"/>
    <n v="123"/>
    <n v="115.5"/>
    <m/>
    <n v="0"/>
  </r>
  <r>
    <x v="29"/>
    <n v="202510"/>
    <x v="1"/>
    <x v="8"/>
    <s v="Sebastián S"/>
    <s v="Vik E"/>
    <n v="84823"/>
    <n v="5076873"/>
    <n v="59.852728494623655"/>
    <n v="81817.412221505016"/>
    <n v="76.5"/>
    <n v="75.5"/>
    <n v="62.05125317646732"/>
    <n v="6358087"/>
  </r>
  <r>
    <x v="56"/>
    <n v="202508"/>
    <x v="1"/>
    <x v="5"/>
    <s v="Sofía V"/>
    <s v="Joe H"/>
    <n v="84817"/>
    <n v="6021073"/>
    <n v="70.989267473118275"/>
    <n v="88337.369544092915"/>
    <n v="79.5"/>
    <n v="81.5"/>
    <n v="68.159981229627022"/>
    <n v="6415387"/>
  </r>
  <r>
    <x v="49"/>
    <n v="202411"/>
    <x v="2"/>
    <x v="7"/>
    <s v="Sebastián S"/>
    <s v="Vik E"/>
    <n v="84779"/>
    <n v="4892623"/>
    <n v="57.710090277777766"/>
    <n v="0"/>
    <n v="66"/>
    <n v="64.5"/>
    <m/>
    <n v="0"/>
  </r>
  <r>
    <x v="50"/>
    <n v="202507"/>
    <x v="1"/>
    <x v="6"/>
    <s v="Sebastián S"/>
    <s v="Vik E"/>
    <n v="84735"/>
    <n v="5559738"/>
    <n v="65.613051075268842"/>
    <n v="94097.902357347761"/>
    <n v="75.5"/>
    <n v="74"/>
    <n v="59.084613266789368"/>
    <n v="6745545"/>
  </r>
  <r>
    <x v="58"/>
    <n v="202603"/>
    <x v="0"/>
    <x v="0"/>
    <s v="Sebastián S"/>
    <s v="Rodolfo O"/>
    <n v="84718"/>
    <n v="5245370"/>
    <n v="61.915376344086056"/>
    <n v="115249.71206746089"/>
    <n v="66.5"/>
    <n v="63.5"/>
    <n v="54.652141241039438"/>
    <n v="6298644"/>
  </r>
  <r>
    <x v="59"/>
    <n v="202405"/>
    <x v="2"/>
    <x v="3"/>
    <s v="Sebastián S"/>
    <s v="Johanna V"/>
    <n v="84691"/>
    <n v="9366916"/>
    <n v="110.60079973118272"/>
    <n v="0"/>
    <n v="118"/>
    <n v="106"/>
    <m/>
    <n v="0"/>
  </r>
  <r>
    <x v="37"/>
    <n v="202405"/>
    <x v="2"/>
    <x v="3"/>
    <s v="Sofía V"/>
    <s v="Melany A"/>
    <n v="84685"/>
    <n v="5456124"/>
    <n v="64.428555107526876"/>
    <n v="0"/>
    <n v="72.5"/>
    <n v="68.5"/>
    <m/>
    <n v="0"/>
  </r>
  <r>
    <x v="40"/>
    <n v="202502"/>
    <x v="1"/>
    <x v="2"/>
    <s v="Sebastián S"/>
    <s v="Johanna V"/>
    <n v="84677"/>
    <n v="8443155"/>
    <n v="99.709895833333306"/>
    <n v="83804.933764046975"/>
    <n v="106"/>
    <n v="102.5"/>
    <n v="100.74770458946638"/>
    <n v="8793993"/>
  </r>
  <r>
    <x v="79"/>
    <n v="202503"/>
    <x v="1"/>
    <x v="0"/>
    <s v="Sebastián S"/>
    <s v="Vik E"/>
    <n v="84663"/>
    <n v="6510177"/>
    <n v="76.894952956989243"/>
    <n v="78823.093919353327"/>
    <n v="84.5"/>
    <n v="78.5"/>
    <n v="82.592260291898583"/>
    <n v="6492837"/>
  </r>
  <r>
    <x v="47"/>
    <n v="202505"/>
    <x v="1"/>
    <x v="3"/>
    <s v="Sebastián S"/>
    <s v="Vik E"/>
    <n v="84637"/>
    <n v="4542065"/>
    <n v="53.665349462365604"/>
    <n v="75112.829755307568"/>
    <n v="61.5"/>
    <n v="48.5"/>
    <n v="60.469894221753123"/>
    <n v="4769879"/>
  </r>
  <r>
    <x v="51"/>
    <n v="202403"/>
    <x v="2"/>
    <x v="0"/>
    <s v="Sofía V"/>
    <s v="Melany A"/>
    <n v="84617"/>
    <n v="3582979"/>
    <n v="42.343649193548373"/>
    <n v="0"/>
    <n v="43.5"/>
    <n v="41"/>
    <m/>
    <n v="0"/>
  </r>
  <r>
    <x v="56"/>
    <n v="202407"/>
    <x v="2"/>
    <x v="6"/>
    <s v="Sofía V"/>
    <s v="Joe H"/>
    <n v="84597"/>
    <n v="6500272"/>
    <n v="76.838407258064478"/>
    <n v="0"/>
    <n v="79.5"/>
    <n v="81.5"/>
    <m/>
    <n v="0"/>
  </r>
  <r>
    <x v="37"/>
    <n v="202509"/>
    <x v="1"/>
    <x v="4"/>
    <s v="Sofía V"/>
    <s v="Melany A"/>
    <n v="84586"/>
    <n v="4868481"/>
    <n v="57.556770833333339"/>
    <n v="95769.418091802159"/>
    <n v="72.5"/>
    <n v="68.5"/>
    <n v="50.83544973963604"/>
    <n v="5095602"/>
  </r>
  <r>
    <x v="43"/>
    <n v="202406"/>
    <x v="2"/>
    <x v="11"/>
    <s v="Sofía V"/>
    <s v="José A"/>
    <n v="84550"/>
    <n v="2257866"/>
    <n v="26.704659722222228"/>
    <n v="0"/>
    <n v="32.5"/>
    <n v="32"/>
    <m/>
    <n v="0"/>
  </r>
  <r>
    <x v="76"/>
    <n v="202509"/>
    <x v="1"/>
    <x v="4"/>
    <s v="Hernán P"/>
    <s v="Daniel R"/>
    <n v="84527"/>
    <n v="7195548"/>
    <n v="85.127486111111082"/>
    <n v="87336.940686409711"/>
    <n v="106"/>
    <n v="94.5"/>
    <n v="82.388363542938734"/>
    <n v="7658667"/>
  </r>
  <r>
    <x v="49"/>
    <n v="202410"/>
    <x v="2"/>
    <x v="8"/>
    <s v="Sebastián S"/>
    <s v="Vik E"/>
    <n v="84502"/>
    <n v="4797288"/>
    <n v="56.771223118279565"/>
    <n v="0"/>
    <n v="66"/>
    <n v="64.5"/>
    <m/>
    <n v="0"/>
  </r>
  <r>
    <x v="56"/>
    <n v="202411"/>
    <x v="2"/>
    <x v="7"/>
    <s v="Sofía V"/>
    <s v="Joe H"/>
    <n v="84471"/>
    <n v="6074998"/>
    <n v="71.917756944444477"/>
    <n v="0"/>
    <n v="79.5"/>
    <n v="81.5"/>
    <m/>
    <n v="0"/>
  </r>
  <r>
    <x v="89"/>
    <n v="202512"/>
    <x v="1"/>
    <x v="1"/>
    <s v="Sebastián S"/>
    <s v="Rodolfo O"/>
    <n v="84468"/>
    <n v="2672423"/>
    <n v="31.638165322580623"/>
    <n v="80358.84754660973"/>
    <n v="34"/>
    <n v="34"/>
    <n v="33.256117920928901"/>
    <n v="2957685"/>
  </r>
  <r>
    <x v="38"/>
    <n v="202601"/>
    <x v="0"/>
    <x v="10"/>
    <s v="Sofía V"/>
    <s v="Melany A"/>
    <n v="84445"/>
    <n v="4507405"/>
    <n v="53.376693548387088"/>
    <n v="106820.09593599169"/>
    <n v="56"/>
    <n v="60"/>
    <n v="48.493991244906013"/>
    <n v="5180133"/>
  </r>
  <r>
    <x v="66"/>
    <n v="202503"/>
    <x v="1"/>
    <x v="0"/>
    <s v="Sebastián S"/>
    <s v="Rodolfo O"/>
    <n v="84438"/>
    <n v="4531729"/>
    <n v="53.669583333333343"/>
    <n v="77226.908339083093"/>
    <n v="55"/>
    <n v="55.5"/>
    <n v="58.680697537474465"/>
    <n v="4478394"/>
  </r>
  <r>
    <x v="73"/>
    <n v="202402"/>
    <x v="2"/>
    <x v="2"/>
    <s v="Fátima L"/>
    <s v="Fátima L"/>
    <n v="84436"/>
    <n v="998879"/>
    <n v="11.830050287356322"/>
    <n v="0"/>
    <n v="13.5"/>
    <n v="12"/>
    <m/>
    <n v="0"/>
  </r>
  <r>
    <x v="32"/>
    <n v="202510"/>
    <x v="1"/>
    <x v="8"/>
    <s v="Sofía V"/>
    <s v="Melany A"/>
    <n v="84399"/>
    <n v="5115495"/>
    <n v="60.61082661290321"/>
    <n v="88415.469092654239"/>
    <n v="75.5"/>
    <n v="68"/>
    <n v="57.857464677807258"/>
    <n v="6014943"/>
  </r>
  <r>
    <x v="63"/>
    <n v="202505"/>
    <x v="1"/>
    <x v="3"/>
    <s v="Sebastián S"/>
    <s v="Johanna V"/>
    <n v="84392"/>
    <n v="9042337"/>
    <n v="107.14657258064513"/>
    <n v="80539.147445212642"/>
    <n v="123"/>
    <n v="115.5"/>
    <n v="112.27257100220878"/>
    <n v="9459712"/>
  </r>
  <r>
    <x v="58"/>
    <n v="202605"/>
    <x v="0"/>
    <x v="3"/>
    <s v="Sebastián S"/>
    <s v="Rodolfo O"/>
    <n v="84391"/>
    <n v="4588627"/>
    <n v="54.373205645161192"/>
    <n v="0.89401803644813105"/>
    <n v="66.5"/>
    <n v="63.5"/>
    <n v="54.652141241039438"/>
    <n v="49"/>
  </r>
  <r>
    <x v="13"/>
    <n v="202508"/>
    <x v="1"/>
    <x v="5"/>
    <s v="Sebastián S"/>
    <s v="Rodolfo O"/>
    <n v="84354"/>
    <n v="5538620"/>
    <n v="65.659435483870979"/>
    <n v="100909.3772828916"/>
    <n v="78"/>
    <n v="74.5"/>
    <n v="54.887066981623626"/>
    <n v="5824418"/>
  </r>
  <r>
    <x v="24"/>
    <n v="202410"/>
    <x v="2"/>
    <x v="8"/>
    <s v="Sofía V"/>
    <s v="Joe H"/>
    <n v="84346"/>
    <n v="5547545"/>
    <n v="65.771350806451608"/>
    <n v="0"/>
    <n v="71"/>
    <n v="74.5"/>
    <m/>
    <n v="0"/>
  </r>
  <r>
    <x v="62"/>
    <n v="202505"/>
    <x v="1"/>
    <x v="3"/>
    <s v="Sebastián S"/>
    <s v="Vik E"/>
    <n v="84320"/>
    <n v="4904568"/>
    <n v="58.165813172043002"/>
    <n v="88374.525347740608"/>
    <n v="65"/>
    <n v="67.5"/>
    <n v="55.497530885753051"/>
    <n v="5001512"/>
  </r>
  <r>
    <x v="43"/>
    <n v="202401"/>
    <x v="2"/>
    <x v="10"/>
    <s v="Sofía V"/>
    <s v="José A"/>
    <n v="84320"/>
    <n v="2450372"/>
    <n v="29.060396505376346"/>
    <n v="0"/>
    <n v="32.5"/>
    <n v="32"/>
    <m/>
    <n v="0"/>
  </r>
  <r>
    <x v="45"/>
    <n v="202509"/>
    <x v="1"/>
    <x v="4"/>
    <s v="Sofía V"/>
    <s v="Joe H"/>
    <n v="84237"/>
    <n v="5101105"/>
    <n v="60.556708333333361"/>
    <n v="80932.090177640654"/>
    <n v="68"/>
    <n v="68.5"/>
    <n v="63.029453320721188"/>
    <n v="5124671"/>
  </r>
  <r>
    <x v="52"/>
    <n v="202401"/>
    <x v="2"/>
    <x v="10"/>
    <s v="Sebastián S"/>
    <s v="Vik E"/>
    <n v="84230"/>
    <n v="6236234"/>
    <n v="74.038548387096768"/>
    <n v="0"/>
    <n v="80"/>
    <n v="78"/>
    <m/>
    <n v="0"/>
  </r>
  <r>
    <x v="23"/>
    <n v="202510"/>
    <x v="1"/>
    <x v="8"/>
    <s v="Sebastián S"/>
    <s v="Rodolfo O"/>
    <n v="84227"/>
    <n v="7023880"/>
    <n v="83.392674731182822"/>
    <n v="83093.469953421169"/>
    <n v="94.5"/>
    <n v="97"/>
    <n v="84.529865390593287"/>
    <n v="7194923"/>
  </r>
  <r>
    <x v="63"/>
    <n v="202507"/>
    <x v="1"/>
    <x v="6"/>
    <s v="Sebastián S"/>
    <s v="Johanna V"/>
    <n v="84225"/>
    <n v="8659436"/>
    <n v="102.81273521505378"/>
    <n v="89096.842481171596"/>
    <n v="123"/>
    <n v="115.5"/>
    <n v="97.191277141274171"/>
    <n v="9827263"/>
  </r>
  <r>
    <x v="17"/>
    <n v="202409"/>
    <x v="2"/>
    <x v="4"/>
    <s v="Sofía V"/>
    <s v="Joe H"/>
    <n v="84219"/>
    <n v="7446307"/>
    <n v="88.415881944444493"/>
    <n v="0"/>
    <n v="94"/>
    <n v="92"/>
    <m/>
    <n v="0"/>
  </r>
  <r>
    <x v="32"/>
    <n v="202410"/>
    <x v="2"/>
    <x v="8"/>
    <s v="Sofía V"/>
    <s v="Melany A"/>
    <n v="84205"/>
    <n v="5200291"/>
    <n v="61.757358870967707"/>
    <n v="0"/>
    <n v="75.5"/>
    <n v="68"/>
    <m/>
    <n v="0"/>
  </r>
  <r>
    <x v="10"/>
    <n v="202509"/>
    <x v="1"/>
    <x v="4"/>
    <s v="Sofía V"/>
    <s v="Melany A"/>
    <n v="84193"/>
    <n v="8571950"/>
    <n v="101.81310416666672"/>
    <n v="90769.48516038165"/>
    <n v="125"/>
    <n v="118.5"/>
    <n v="94.43647283945829"/>
    <n v="9392897"/>
  </r>
  <r>
    <x v="77"/>
    <n v="202512"/>
    <x v="1"/>
    <x v="1"/>
    <s v="Fátima L"/>
    <s v="Fátima L"/>
    <n v="84171"/>
    <n v="1262117"/>
    <n v="14.994771505376326"/>
    <n v="96874.096650367792"/>
    <n v="17"/>
    <n v="13.5"/>
    <n v="13.028430546869091"/>
    <n v="1380484"/>
  </r>
  <r>
    <x v="52"/>
    <n v="202509"/>
    <x v="1"/>
    <x v="4"/>
    <s v="Sebastián S"/>
    <s v="Vik E"/>
    <n v="84167"/>
    <n v="5637850"/>
    <n v="66.984458333333365"/>
    <n v="85950.329099111783"/>
    <n v="80"/>
    <n v="78"/>
    <n v="65.594275194674765"/>
    <n v="6490060"/>
  </r>
  <r>
    <x v="62"/>
    <n v="202405"/>
    <x v="2"/>
    <x v="3"/>
    <s v="Sebastián S"/>
    <s v="Vik E"/>
    <n v="84166"/>
    <n v="4713019"/>
    <n v="55.996565860215036"/>
    <n v="0"/>
    <n v="65"/>
    <n v="67.5"/>
    <m/>
    <n v="0"/>
  </r>
  <r>
    <x v="61"/>
    <n v="202508"/>
    <x v="1"/>
    <x v="5"/>
    <s v="Sofía V"/>
    <s v="Joe H"/>
    <n v="84165"/>
    <n v="2720054"/>
    <n v="32.318030913978504"/>
    <n v="82704.83823656317"/>
    <n v="41.5"/>
    <n v="35.5"/>
    <n v="32.888695607139034"/>
    <n v="2876928"/>
  </r>
  <r>
    <x v="40"/>
    <n v="202407"/>
    <x v="2"/>
    <x v="6"/>
    <s v="Sebastián S"/>
    <s v="Johanna V"/>
    <n v="84147"/>
    <n v="9075663"/>
    <n v="107.85504032258062"/>
    <n v="0"/>
    <n v="106"/>
    <n v="102.5"/>
    <m/>
    <n v="0"/>
  </r>
  <r>
    <x v="56"/>
    <n v="202408"/>
    <x v="2"/>
    <x v="5"/>
    <s v="Sofía V"/>
    <s v="Joe H"/>
    <n v="84131"/>
    <n v="6067036"/>
    <n v="72.114301075268827"/>
    <n v="0"/>
    <n v="79.5"/>
    <n v="81.5"/>
    <m/>
    <n v="0"/>
  </r>
  <r>
    <x v="62"/>
    <n v="202511"/>
    <x v="1"/>
    <x v="7"/>
    <s v="Sebastián S"/>
    <s v="Vik E"/>
    <n v="84126"/>
    <n v="4963985"/>
    <n v="59.00640277777778"/>
    <n v="89451.59063981293"/>
    <n v="65"/>
    <n v="67.5"/>
    <n v="55.493537616206901"/>
    <n v="4870645"/>
  </r>
  <r>
    <x v="0"/>
    <n v="202605"/>
    <x v="0"/>
    <x v="3"/>
    <s v="Fátima L"/>
    <s v="Fátima L"/>
    <n v="84108"/>
    <n v="990495"/>
    <n v="11.7764180107527"/>
    <n v="99416.536627793932"/>
    <n v="13.5"/>
    <n v="12.5"/>
    <n v="11.712938172043014"/>
    <n v="1164460"/>
  </r>
  <r>
    <x v="24"/>
    <n v="202506"/>
    <x v="1"/>
    <x v="11"/>
    <s v="Sofía V"/>
    <s v="Joe H"/>
    <n v="84102"/>
    <n v="5403075"/>
    <n v="64.243958333333367"/>
    <n v="99609.445283505003"/>
    <n v="71"/>
    <n v="74.5"/>
    <n v="54.242598024935816"/>
    <n v="5714107"/>
  </r>
  <r>
    <x v="56"/>
    <n v="202501"/>
    <x v="1"/>
    <x v="10"/>
    <s v="Sofía V"/>
    <s v="Joe H"/>
    <n v="84090"/>
    <n v="5863078"/>
    <n v="69.72418682795697"/>
    <n v="91633.131461002253"/>
    <n v="79.5"/>
    <n v="81.5"/>
    <n v="63.984255001644698"/>
    <n v="6068550"/>
  </r>
  <r>
    <x v="34"/>
    <n v="202410"/>
    <x v="2"/>
    <x v="8"/>
    <s v="Hernán P"/>
    <s v="Daniel R"/>
    <n v="84064"/>
    <n v="992317"/>
    <n v="11.804267473118282"/>
    <n v="0"/>
    <n v="15"/>
    <n v="15"/>
    <m/>
    <n v="0"/>
  </r>
  <r>
    <x v="46"/>
    <n v="202509"/>
    <x v="1"/>
    <x v="4"/>
    <s v="Sofía V"/>
    <s v="José A"/>
    <n v="84045"/>
    <n v="4138034"/>
    <n v="49.236104166666678"/>
    <n v="85581.648541806804"/>
    <n v="58"/>
    <n v="58.5"/>
    <n v="48.351882097463481"/>
    <n v="4477539"/>
  </r>
  <r>
    <x v="14"/>
    <n v="202405"/>
    <x v="2"/>
    <x v="3"/>
    <s v="Sofía V"/>
    <s v="Melany A"/>
    <n v="84009"/>
    <n v="4861094"/>
    <n v="57.864173387096756"/>
    <n v="0"/>
    <n v="59.5"/>
    <n v="55.5"/>
    <m/>
    <n v="0"/>
  </r>
  <r>
    <x v="69"/>
    <n v="202604"/>
    <x v="0"/>
    <x v="9"/>
    <s v="Sofía V"/>
    <s v="José A"/>
    <n v="84003"/>
    <n v="6011149"/>
    <n v="71.558326388889981"/>
    <n v="78786.790186904749"/>
    <n v="84"/>
    <n v="76"/>
    <n v="84"/>
    <n v="6618090"/>
  </r>
  <r>
    <x v="34"/>
    <n v="202511"/>
    <x v="1"/>
    <x v="7"/>
    <s v="Hernán P"/>
    <s v="Daniel R"/>
    <n v="83977"/>
    <n v="1116659"/>
    <n v="13.297131944444441"/>
    <n v="91568.257658609684"/>
    <n v="15"/>
    <n v="15"/>
    <n v="12.194822950144953"/>
    <n v="1049934"/>
  </r>
  <r>
    <x v="72"/>
    <n v="202602"/>
    <x v="0"/>
    <x v="2"/>
    <s v="Sebastián S"/>
    <s v="Vik E"/>
    <n v="83968"/>
    <n v="5578523"/>
    <n v="66.43640624999999"/>
    <n v="72539.500661071608"/>
    <n v="79.5"/>
    <n v="67"/>
    <n v="68.682661472657543"/>
    <n v="4982206"/>
  </r>
  <r>
    <x v="14"/>
    <n v="202502"/>
    <x v="1"/>
    <x v="2"/>
    <s v="Sofía V"/>
    <s v="Melany A"/>
    <n v="83961"/>
    <n v="4883197"/>
    <n v="58.160052083333333"/>
    <n v="88046.965055600362"/>
    <n v="59.5"/>
    <n v="55.5"/>
    <n v="55.461274978828996"/>
    <n v="4706234"/>
  </r>
  <r>
    <x v="64"/>
    <n v="202505"/>
    <x v="1"/>
    <x v="3"/>
    <s v="Sebastián S"/>
    <s v="Johanna V"/>
    <n v="83948"/>
    <n v="5157024"/>
    <n v="61.431444892473102"/>
    <n v="74348.584377296123"/>
    <n v="75.5"/>
    <n v="70.5"/>
    <n v="69.362777828151962"/>
    <n v="5628473"/>
  </r>
  <r>
    <x v="22"/>
    <n v="202502"/>
    <x v="1"/>
    <x v="2"/>
    <s v="Sebastián S"/>
    <s v="Johanna V"/>
    <n v="83940"/>
    <n v="7402521"/>
    <n v="88.188697916666669"/>
    <n v="86701.253013005742"/>
    <n v="104.5"/>
    <n v="99"/>
    <n v="85.379633197337697"/>
    <n v="8392096"/>
  </r>
  <r>
    <x v="39"/>
    <n v="202510"/>
    <x v="1"/>
    <x v="8"/>
    <s v="Sofía V"/>
    <s v="Melany A"/>
    <n v="83927"/>
    <n v="4122597"/>
    <n v="49.121135752688176"/>
    <n v="71246.34385777422"/>
    <n v="60.5"/>
    <n v="60.5"/>
    <n v="57.86398412569423"/>
    <n v="4785139"/>
  </r>
  <r>
    <x v="17"/>
    <n v="202402"/>
    <x v="2"/>
    <x v="2"/>
    <s v="Sofía V"/>
    <s v="Joe H"/>
    <n v="83927"/>
    <n v="6940195"/>
    <n v="82.693635057471283"/>
    <n v="0"/>
    <n v="94"/>
    <n v="92"/>
    <m/>
    <n v="0"/>
  </r>
  <r>
    <x v="39"/>
    <n v="202407"/>
    <x v="2"/>
    <x v="6"/>
    <s v="Sofía V"/>
    <s v="Melany A"/>
    <n v="83881"/>
    <n v="5464249"/>
    <n v="65.142715053763439"/>
    <n v="0"/>
    <n v="60.5"/>
    <n v="60.5"/>
    <m/>
    <n v="0"/>
  </r>
  <r>
    <x v="14"/>
    <n v="202402"/>
    <x v="2"/>
    <x v="2"/>
    <s v="Sofía V"/>
    <s v="Melany A"/>
    <n v="83854"/>
    <n v="5117021"/>
    <n v="61.022801724137921"/>
    <n v="0"/>
    <n v="59.5"/>
    <n v="55.5"/>
    <m/>
    <n v="0"/>
  </r>
  <r>
    <x v="50"/>
    <n v="202405"/>
    <x v="2"/>
    <x v="3"/>
    <s v="Sebastián S"/>
    <s v="Vik E"/>
    <n v="83826"/>
    <n v="6404637"/>
    <n v="76.403541666666698"/>
    <n v="0"/>
    <n v="75.5"/>
    <n v="74"/>
    <m/>
    <n v="0"/>
  </r>
  <r>
    <x v="32"/>
    <n v="202501"/>
    <x v="1"/>
    <x v="10"/>
    <s v="Sofía V"/>
    <s v="Melany A"/>
    <n v="83798"/>
    <n v="5500316"/>
    <n v="65.637607526881695"/>
    <n v="92712.928140308853"/>
    <n v="75.5"/>
    <n v="68"/>
    <n v="59.326311231115405"/>
    <n v="6033033"/>
  </r>
  <r>
    <x v="62"/>
    <n v="202406"/>
    <x v="2"/>
    <x v="11"/>
    <s v="Sebastián S"/>
    <s v="Vik E"/>
    <n v="83762"/>
    <n v="4816981"/>
    <n v="57.507819444444472"/>
    <n v="0"/>
    <n v="65"/>
    <n v="67.5"/>
    <m/>
    <n v="0"/>
  </r>
  <r>
    <x v="45"/>
    <n v="202507"/>
    <x v="1"/>
    <x v="6"/>
    <s v="Sofía V"/>
    <s v="Joe H"/>
    <n v="83753"/>
    <n v="5577281"/>
    <n v="66.592392473118309"/>
    <n v="96013.290942260413"/>
    <n v="68"/>
    <n v="68.5"/>
    <n v="58.088634867791519"/>
    <n v="5648055"/>
  </r>
  <r>
    <x v="77"/>
    <n v="202604"/>
    <x v="0"/>
    <x v="9"/>
    <s v="Fátima L"/>
    <s v="Fátima L"/>
    <n v="83744"/>
    <n v="998781"/>
    <n v="11.92663888888889"/>
    <n v="70382.088160084459"/>
    <n v="17"/>
    <n v="13.5"/>
    <n v="14.845130740132706"/>
    <n v="1044831"/>
  </r>
  <r>
    <x v="59"/>
    <n v="202509"/>
    <x v="1"/>
    <x v="4"/>
    <s v="Sebastián S"/>
    <s v="Johanna V"/>
    <n v="83742"/>
    <n v="8482124"/>
    <n v="101.2888333333334"/>
    <n v="91930.287062444811"/>
    <n v="118"/>
    <n v="106"/>
    <n v="92.266918455703404"/>
    <n v="9768815"/>
  </r>
  <r>
    <x v="41"/>
    <n v="202406"/>
    <x v="2"/>
    <x v="11"/>
    <s v="Sebastián S"/>
    <s v="Rodolfo O"/>
    <n v="83724"/>
    <n v="5387389"/>
    <n v="64.34701388888891"/>
    <n v="0"/>
    <n v="64.5"/>
    <n v="64"/>
    <m/>
    <n v="0"/>
  </r>
  <r>
    <x v="76"/>
    <n v="202504"/>
    <x v="1"/>
    <x v="9"/>
    <s v="Hernán P"/>
    <s v="Daniel R"/>
    <n v="83716"/>
    <n v="7379575"/>
    <n v="88.149638888888902"/>
    <n v="86927.199603515342"/>
    <n v="106"/>
    <n v="94.5"/>
    <n v="84.893744577750908"/>
    <n v="7920347"/>
  </r>
  <r>
    <x v="71"/>
    <n v="202502"/>
    <x v="1"/>
    <x v="2"/>
    <s v="Sebastián S"/>
    <s v="Rodolfo O"/>
    <n v="83693"/>
    <n v="4369312"/>
    <n v="52.206718750000007"/>
    <n v="66996.5188634972"/>
    <n v="53.5"/>
    <n v="54"/>
    <n v="65.216993123214394"/>
    <n v="3609392"/>
  </r>
  <r>
    <x v="39"/>
    <n v="202505"/>
    <x v="1"/>
    <x v="3"/>
    <s v="Sofía V"/>
    <s v="Melany A"/>
    <n v="83680"/>
    <n v="4730881"/>
    <n v="56.535490591397839"/>
    <n v="74692.639583243552"/>
    <n v="60.5"/>
    <n v="60.5"/>
    <n v="63.337986130849231"/>
    <n v="4855369"/>
  </r>
  <r>
    <x v="62"/>
    <n v="202404"/>
    <x v="2"/>
    <x v="9"/>
    <s v="Sebastián S"/>
    <s v="Vik E"/>
    <n v="83679"/>
    <n v="4704473"/>
    <n v="56.220354166666652"/>
    <n v="0"/>
    <n v="65"/>
    <n v="67.5"/>
    <m/>
    <n v="0"/>
  </r>
  <r>
    <x v="19"/>
    <n v="202405"/>
    <x v="2"/>
    <x v="3"/>
    <s v="Sofía V"/>
    <s v="Joe H"/>
    <n v="83666"/>
    <n v="4240836"/>
    <n v="50.687526881720409"/>
    <n v="0"/>
    <n v="57.5"/>
    <n v="56.5"/>
    <m/>
    <n v="0"/>
  </r>
  <r>
    <x v="40"/>
    <n v="202405"/>
    <x v="2"/>
    <x v="3"/>
    <s v="Sebastián S"/>
    <s v="Johanna V"/>
    <n v="83651"/>
    <n v="9055426"/>
    <n v="108.25198924731184"/>
    <n v="0"/>
    <n v="106"/>
    <n v="102.5"/>
    <m/>
    <n v="0"/>
  </r>
  <r>
    <x v="9"/>
    <n v="202507"/>
    <x v="1"/>
    <x v="6"/>
    <s v="Sofía V"/>
    <s v="Joe H"/>
    <n v="83630"/>
    <n v="5459845"/>
    <n v="65.286055107526877"/>
    <n v="97391.092342918913"/>
    <n v="70.5"/>
    <n v="69.5"/>
    <n v="56.061031852642259"/>
    <n v="5773022"/>
  </r>
  <r>
    <x v="61"/>
    <n v="202407"/>
    <x v="2"/>
    <x v="6"/>
    <s v="Sofía V"/>
    <s v="Joe H"/>
    <n v="83623"/>
    <n v="2662927"/>
    <n v="31.844543010752684"/>
    <n v="0"/>
    <n v="41.5"/>
    <n v="35.5"/>
    <m/>
    <n v="0"/>
  </r>
  <r>
    <x v="73"/>
    <n v="202408"/>
    <x v="2"/>
    <x v="5"/>
    <s v="Fátima L"/>
    <s v="Fátima L"/>
    <n v="83622"/>
    <n v="995305"/>
    <n v="11.902399193548387"/>
    <n v="0"/>
    <n v="13.5"/>
    <n v="12"/>
    <m/>
    <n v="0"/>
  </r>
  <r>
    <x v="13"/>
    <n v="202509"/>
    <x v="1"/>
    <x v="4"/>
    <s v="Sebastián S"/>
    <s v="Rodolfo O"/>
    <n v="83618"/>
    <n v="5043713"/>
    <n v="60.318416666666693"/>
    <n v="81267.06156466523"/>
    <n v="78"/>
    <n v="74.5"/>
    <n v="62.063436808117558"/>
    <n v="5453078"/>
  </r>
  <r>
    <x v="83"/>
    <n v="202504"/>
    <x v="1"/>
    <x v="9"/>
    <s v="Hernán P"/>
    <s v="Daniel R"/>
    <n v="83616"/>
    <n v="3347309"/>
    <n v="40.031784722222227"/>
    <n v="72247.864010093064"/>
    <n v="51"/>
    <n v="49"/>
    <n v="46.330900101522431"/>
    <n v="3603619"/>
  </r>
  <r>
    <x v="63"/>
    <n v="202409"/>
    <x v="2"/>
    <x v="4"/>
    <s v="Sebastián S"/>
    <s v="Johanna V"/>
    <n v="83558"/>
    <n v="8376053"/>
    <n v="100.24238194444446"/>
    <n v="0"/>
    <n v="123"/>
    <n v="115.5"/>
    <m/>
    <n v="0"/>
  </r>
  <r>
    <x v="43"/>
    <n v="202505"/>
    <x v="1"/>
    <x v="3"/>
    <s v="Sofía V"/>
    <s v="José A"/>
    <n v="83544"/>
    <n v="2531584"/>
    <n v="30.302473118279575"/>
    <n v="81931.44772072116"/>
    <n v="32.5"/>
    <n v="32"/>
    <n v="30.898803089985439"/>
    <n v="2313521"/>
  </r>
  <r>
    <x v="72"/>
    <n v="202511"/>
    <x v="1"/>
    <x v="7"/>
    <s v="Sebastián S"/>
    <s v="Vik E"/>
    <n v="83453"/>
    <n v="5785599"/>
    <n v="69.327756944444474"/>
    <n v="81267.163621597516"/>
    <n v="79.5"/>
    <n v="67"/>
    <n v="71.192339220049035"/>
    <n v="5478116"/>
  </r>
  <r>
    <x v="67"/>
    <n v="202504"/>
    <x v="1"/>
    <x v="9"/>
    <s v="Hernán P"/>
    <s v="Daniel R"/>
    <n v="83437"/>
    <n v="1067306"/>
    <n v="12.791770833333338"/>
    <n v="75319.781652543796"/>
    <n v="15.5"/>
    <n v="14.5"/>
    <n v="14.17033037779596"/>
    <n v="1103430"/>
  </r>
  <r>
    <x v="47"/>
    <n v="202507"/>
    <x v="1"/>
    <x v="6"/>
    <s v="Sebastián S"/>
    <s v="Vik E"/>
    <n v="83429"/>
    <n v="4351436"/>
    <n v="52.157432795698938"/>
    <n v="81883.782471539904"/>
    <n v="61.5"/>
    <n v="48.5"/>
    <n v="53.141609103272877"/>
    <n v="5021707"/>
  </r>
  <r>
    <x v="79"/>
    <n v="202606"/>
    <x v="0"/>
    <x v="11"/>
    <s v="Sebastián S"/>
    <s v="Vik E"/>
    <n v="83423"/>
    <n v="5600587"/>
    <n v="67.134423611113036"/>
    <n v="78218.877983555023"/>
    <n v="84.5"/>
    <n v="78.5"/>
    <n v="72.494656792343278"/>
    <n v="5670451"/>
  </r>
  <r>
    <x v="46"/>
    <n v="202505"/>
    <x v="1"/>
    <x v="3"/>
    <s v="Sofía V"/>
    <s v="José A"/>
    <n v="83413"/>
    <n v="4525870"/>
    <n v="54.258514784946222"/>
    <n v="81219.438779492397"/>
    <n v="58"/>
    <n v="58.5"/>
    <n v="55.72396938481144"/>
    <n v="4567169"/>
  </r>
  <r>
    <x v="60"/>
    <n v="202408"/>
    <x v="2"/>
    <x v="5"/>
    <s v="Sofía V"/>
    <s v="Melany A"/>
    <n v="83403"/>
    <n v="6353841"/>
    <n v="76.182439516129079"/>
    <n v="0"/>
    <n v="88.5"/>
    <n v="92.5"/>
    <m/>
    <n v="0"/>
  </r>
  <r>
    <x v="63"/>
    <n v="202601"/>
    <x v="0"/>
    <x v="10"/>
    <s v="Sebastián S"/>
    <s v="Johanna V"/>
    <n v="83388"/>
    <n v="8650247"/>
    <n v="103.73444892473121"/>
    <n v="90924.202243357999"/>
    <n v="123"/>
    <n v="115.5"/>
    <n v="102.59248347357834"/>
    <n v="9328140"/>
  </r>
  <r>
    <x v="32"/>
    <n v="202411"/>
    <x v="2"/>
    <x v="7"/>
    <s v="Sofía V"/>
    <s v="Melany A"/>
    <n v="83385"/>
    <n v="5500090"/>
    <n v="65.960125000000019"/>
    <n v="0"/>
    <n v="75.5"/>
    <n v="68"/>
    <m/>
    <n v="0"/>
  </r>
  <r>
    <x v="21"/>
    <n v="202402"/>
    <x v="2"/>
    <x v="2"/>
    <s v="Sebastián S"/>
    <s v="Rodolfo O"/>
    <n v="83364"/>
    <n v="6422747"/>
    <n v="77.044554597701193"/>
    <n v="0"/>
    <n v="84.5"/>
    <n v="86.5"/>
    <m/>
    <n v="0"/>
  </r>
  <r>
    <x v="73"/>
    <n v="202410"/>
    <x v="2"/>
    <x v="8"/>
    <s v="Fátima L"/>
    <s v="Fátima L"/>
    <n v="83361"/>
    <n v="947365"/>
    <n v="11.364556451612906"/>
    <n v="0"/>
    <n v="13.5"/>
    <n v="12"/>
    <m/>
    <n v="0"/>
  </r>
  <r>
    <x v="50"/>
    <n v="202511"/>
    <x v="1"/>
    <x v="7"/>
    <s v="Sebastián S"/>
    <s v="Vik E"/>
    <n v="83352"/>
    <n v="5352897"/>
    <n v="64.220625000000041"/>
    <n v="83111.323801670878"/>
    <n v="75.5"/>
    <n v="74"/>
    <n v="64.406353733140591"/>
    <n v="6568616"/>
  </r>
  <r>
    <x v="59"/>
    <n v="202404"/>
    <x v="2"/>
    <x v="9"/>
    <s v="Sebastián S"/>
    <s v="Johanna V"/>
    <n v="83350"/>
    <n v="9258741"/>
    <n v="111.0826597222222"/>
    <n v="0"/>
    <n v="118"/>
    <n v="106"/>
    <m/>
    <n v="0"/>
  </r>
  <r>
    <x v="72"/>
    <n v="202407"/>
    <x v="2"/>
    <x v="6"/>
    <s v="Sebastián S"/>
    <s v="Vik E"/>
    <n v="83349"/>
    <n v="5919367"/>
    <n v="71.018857526881689"/>
    <n v="0"/>
    <n v="79.5"/>
    <n v="67"/>
    <m/>
    <n v="0"/>
  </r>
  <r>
    <x v="47"/>
    <n v="202403"/>
    <x v="2"/>
    <x v="0"/>
    <s v="Sebastián S"/>
    <s v="Vik E"/>
    <n v="83338"/>
    <n v="5179219"/>
    <n v="62.147063172043026"/>
    <n v="0"/>
    <n v="61.5"/>
    <n v="48.5"/>
    <m/>
    <n v="0"/>
  </r>
  <r>
    <x v="41"/>
    <n v="202604"/>
    <x v="0"/>
    <x v="9"/>
    <s v="Sebastián S"/>
    <s v="Rodolfo O"/>
    <n v="83337"/>
    <n v="4981514"/>
    <n v="59.775868055556003"/>
    <n v="91886.337945352978"/>
    <n v="64.5"/>
    <n v="64"/>
    <n v="54.966698955874868"/>
    <n v="5050689"/>
  </r>
  <r>
    <x v="23"/>
    <n v="202501"/>
    <x v="1"/>
    <x v="10"/>
    <s v="Sebastián S"/>
    <s v="Rodolfo O"/>
    <n v="83327"/>
    <n v="7348758"/>
    <n v="88.192237903225745"/>
    <n v="77578.849470206114"/>
    <n v="94.5"/>
    <n v="97"/>
    <n v="94.726309170417181"/>
    <n v="7071595"/>
  </r>
  <r>
    <x v="57"/>
    <n v="202511"/>
    <x v="1"/>
    <x v="7"/>
    <s v="Hernán P"/>
    <s v="Daniel R"/>
    <n v="83321"/>
    <n v="3340989"/>
    <n v="40.097652777777775"/>
    <n v="77701.260130593335"/>
    <n v="53.5"/>
    <n v="52"/>
    <n v="42.997876924837065"/>
    <n v="3310494"/>
  </r>
  <r>
    <x v="69"/>
    <n v="202603"/>
    <x v="0"/>
    <x v="0"/>
    <s v="Sofía V"/>
    <s v="José A"/>
    <n v="83320"/>
    <n v="6998675"/>
    <n v="83.997130376344103"/>
    <n v="109173.94922738092"/>
    <n v="84"/>
    <n v="76"/>
    <n v="84"/>
    <n v="9170612"/>
  </r>
  <r>
    <x v="72"/>
    <n v="202507"/>
    <x v="1"/>
    <x v="6"/>
    <s v="Sebastián S"/>
    <s v="Vik E"/>
    <n v="83320"/>
    <n v="5814139"/>
    <n v="69.780685483870968"/>
    <n v="87516.693269071577"/>
    <n v="79.5"/>
    <n v="67"/>
    <n v="66.434626044705894"/>
    <n v="6432024"/>
  </r>
  <r>
    <x v="10"/>
    <n v="202502"/>
    <x v="1"/>
    <x v="2"/>
    <s v="Sofía V"/>
    <s v="Melany A"/>
    <n v="83319"/>
    <n v="8959163"/>
    <n v="107.52843749999994"/>
    <n v="97871.097572226834"/>
    <n v="125"/>
    <n v="118.5"/>
    <n v="91.540435452747644"/>
    <n v="9793410"/>
  </r>
  <r>
    <x v="54"/>
    <n v="202408"/>
    <x v="2"/>
    <x v="5"/>
    <s v="Sebastián S"/>
    <s v="Rodolfo O"/>
    <n v="83288"/>
    <n v="6001845"/>
    <n v="72.0612365591398"/>
    <n v="0"/>
    <n v="80"/>
    <n v="80.5"/>
    <m/>
    <n v="0"/>
  </r>
  <r>
    <x v="45"/>
    <n v="202602"/>
    <x v="0"/>
    <x v="2"/>
    <s v="Sofía V"/>
    <s v="Joe H"/>
    <n v="83272"/>
    <n v="5364219"/>
    <n v="64.418281250000007"/>
    <n v="81713.429644091666"/>
    <n v="68"/>
    <n v="68.5"/>
    <n v="60.397061823201135"/>
    <n v="4935251"/>
  </r>
  <r>
    <x v="67"/>
    <n v="202503"/>
    <x v="1"/>
    <x v="0"/>
    <s v="Hernán P"/>
    <s v="Daniel R"/>
    <n v="83243"/>
    <n v="1183693"/>
    <n v="14.219737903225809"/>
    <n v="92980.813698111684"/>
    <n v="15.5"/>
    <n v="14.5"/>
    <n v="12.730509154750912"/>
    <n v="1225194"/>
  </r>
  <r>
    <x v="53"/>
    <n v="202409"/>
    <x v="2"/>
    <x v="4"/>
    <s v="Sebastián S"/>
    <s v="Johanna V"/>
    <n v="83214"/>
    <n v="4751858"/>
    <n v="57.103812500000018"/>
    <n v="0"/>
    <n v="68"/>
    <n v="60.5"/>
    <m/>
    <n v="0"/>
  </r>
  <r>
    <x v="7"/>
    <n v="202403"/>
    <x v="2"/>
    <x v="0"/>
    <s v="Sebastián S"/>
    <s v="Rodolfo O"/>
    <n v="83214"/>
    <n v="5991172"/>
    <n v="71.997163978494612"/>
    <n v="0"/>
    <n v="65.5"/>
    <n v="63"/>
    <m/>
    <n v="0"/>
  </r>
  <r>
    <x v="47"/>
    <n v="202506"/>
    <x v="1"/>
    <x v="11"/>
    <s v="Sebastián S"/>
    <s v="Vik E"/>
    <n v="83205"/>
    <n v="4249639"/>
    <n v="51.074187499999994"/>
    <n v="77212.09073406519"/>
    <n v="61.5"/>
    <n v="48.5"/>
    <n v="55.038513652436336"/>
    <n v="4697127"/>
  </r>
  <r>
    <x v="3"/>
    <n v="202401"/>
    <x v="2"/>
    <x v="10"/>
    <s v="Sebastián S"/>
    <s v="Rodolfo O"/>
    <n v="83191"/>
    <n v="7832898"/>
    <n v="94.155598118279556"/>
    <n v="0"/>
    <n v="98.5"/>
    <n v="96.5"/>
    <m/>
    <n v="0"/>
  </r>
  <r>
    <x v="76"/>
    <n v="202409"/>
    <x v="2"/>
    <x v="4"/>
    <s v="Hernán P"/>
    <s v="Daniel R"/>
    <n v="83178"/>
    <n v="7183019"/>
    <n v="86.357152777777785"/>
    <n v="0"/>
    <n v="106"/>
    <n v="94.5"/>
    <m/>
    <n v="0"/>
  </r>
  <r>
    <x v="82"/>
    <n v="202603"/>
    <x v="0"/>
    <x v="0"/>
    <s v="Sebastián S"/>
    <s v="Vik E"/>
    <n v="83164"/>
    <n v="4709095"/>
    <n v="56.624213709677413"/>
    <n v="83035.19119245281"/>
    <n v="61.5"/>
    <n v="56"/>
    <n v="52.842490794418893"/>
    <n v="4387786"/>
  </r>
  <r>
    <x v="49"/>
    <n v="202602"/>
    <x v="0"/>
    <x v="2"/>
    <s v="Sebastián S"/>
    <s v="Vik E"/>
    <n v="83153"/>
    <n v="5167632"/>
    <n v="62.145833333333314"/>
    <n v="94243.151393173015"/>
    <n v="66"/>
    <n v="64.5"/>
    <n v="56.772923994003754"/>
    <n v="5350459"/>
  </r>
  <r>
    <x v="63"/>
    <n v="202604"/>
    <x v="0"/>
    <x v="9"/>
    <s v="Sebastián S"/>
    <s v="Johanna V"/>
    <n v="83121"/>
    <n v="9083748"/>
    <n v="109.2834166666689"/>
    <n v="87640.210678939271"/>
    <n v="123"/>
    <n v="115.5"/>
    <n v="102.59248347357834"/>
    <n v="8991227"/>
  </r>
  <r>
    <x v="54"/>
    <n v="202507"/>
    <x v="1"/>
    <x v="6"/>
    <s v="Sebastián S"/>
    <s v="Rodolfo O"/>
    <n v="83089"/>
    <n v="5782490"/>
    <n v="69.594301075268831"/>
    <n v="80493.869488451732"/>
    <n v="80"/>
    <n v="80.5"/>
    <n v="71.837643248466279"/>
    <n v="6458121"/>
  </r>
  <r>
    <x v="90"/>
    <n v="202412"/>
    <x v="2"/>
    <x v="1"/>
    <s v="Sebastián S"/>
    <s v="Vik E"/>
    <n v="83086"/>
    <n v="4248272"/>
    <n v="51.131048387096776"/>
    <n v="0"/>
    <n v="47.5"/>
    <n v="43"/>
    <m/>
    <n v="0"/>
  </r>
  <r>
    <x v="34"/>
    <n v="202503"/>
    <x v="1"/>
    <x v="0"/>
    <s v="Hernán P"/>
    <s v="Daniel R"/>
    <n v="83055"/>
    <n v="1158814"/>
    <n v="13.952298387096777"/>
    <n v="91742.544638066582"/>
    <n v="15"/>
    <n v="15"/>
    <n v="12.631150188515434"/>
    <n v="1214725"/>
  </r>
  <r>
    <x v="47"/>
    <n v="202410"/>
    <x v="2"/>
    <x v="8"/>
    <s v="Sebastián S"/>
    <s v="Vik E"/>
    <n v="83055"/>
    <n v="4347679"/>
    <n v="52.346969086021502"/>
    <n v="0"/>
    <n v="61.5"/>
    <n v="48.5"/>
    <m/>
    <n v="0"/>
  </r>
  <r>
    <x v="56"/>
    <n v="202409"/>
    <x v="2"/>
    <x v="4"/>
    <s v="Sofía V"/>
    <s v="Joe H"/>
    <n v="83011"/>
    <n v="5919038"/>
    <n v="71.304138888888886"/>
    <n v="0"/>
    <n v="79.5"/>
    <n v="81.5"/>
    <m/>
    <n v="0"/>
  </r>
  <r>
    <x v="68"/>
    <n v="202507"/>
    <x v="1"/>
    <x v="6"/>
    <s v="Sofía V"/>
    <s v="José A"/>
    <n v="83005"/>
    <n v="3625685"/>
    <n v="43.680094086021519"/>
    <n v="81774.644073545671"/>
    <n v="52"/>
    <n v="52"/>
    <n v="44.337525293771591"/>
    <n v="3668121"/>
  </r>
  <r>
    <x v="47"/>
    <n v="202401"/>
    <x v="2"/>
    <x v="10"/>
    <s v="Sebastián S"/>
    <s v="Vik E"/>
    <n v="82999"/>
    <n v="4512361"/>
    <n v="54.366619623655914"/>
    <n v="0"/>
    <n v="61.5"/>
    <n v="48.5"/>
    <m/>
    <n v="0"/>
  </r>
  <r>
    <x v="12"/>
    <n v="202510"/>
    <x v="1"/>
    <x v="8"/>
    <s v="Sofía V"/>
    <s v="Melany A"/>
    <n v="82968"/>
    <n v="7357129"/>
    <n v="88.674287634408628"/>
    <n v="94220.193369613713"/>
    <n v="96.5"/>
    <n v="94"/>
    <n v="78.084416693340131"/>
    <n v="8568750"/>
  </r>
  <r>
    <x v="46"/>
    <n v="202410"/>
    <x v="2"/>
    <x v="8"/>
    <s v="Sofía V"/>
    <s v="José A"/>
    <n v="82962"/>
    <n v="4105187"/>
    <n v="49.482520161290324"/>
    <n v="0"/>
    <n v="58"/>
    <n v="58.5"/>
    <m/>
    <n v="0"/>
  </r>
  <r>
    <x v="83"/>
    <n v="202505"/>
    <x v="1"/>
    <x v="3"/>
    <s v="Hernán P"/>
    <s v="Daniel R"/>
    <n v="82954"/>
    <n v="3356932"/>
    <n v="40.467244623655901"/>
    <n v="76563.636448859557"/>
    <n v="51"/>
    <n v="49"/>
    <n v="43.844992162072295"/>
    <n v="3592786"/>
  </r>
  <r>
    <x v="76"/>
    <n v="202503"/>
    <x v="1"/>
    <x v="0"/>
    <s v="Hernán P"/>
    <s v="Daniel R"/>
    <n v="82909"/>
    <n v="8049567"/>
    <n v="97.089059139784879"/>
    <n v="93563.884366873011"/>
    <n v="106"/>
    <n v="94.5"/>
    <n v="86.032846054540329"/>
    <n v="7987725"/>
  </r>
  <r>
    <x v="51"/>
    <n v="202511"/>
    <x v="1"/>
    <x v="7"/>
    <s v="Sofía V"/>
    <s v="Melany A"/>
    <n v="82900"/>
    <n v="2866358"/>
    <n v="34.576159722222222"/>
    <n v="74818.750965332845"/>
    <n v="43.5"/>
    <n v="41"/>
    <n v="38.310696623739716"/>
    <n v="2992590"/>
  </r>
  <r>
    <x v="56"/>
    <n v="202404"/>
    <x v="2"/>
    <x v="9"/>
    <s v="Sofía V"/>
    <s v="Joe H"/>
    <n v="82870"/>
    <n v="6103388"/>
    <n v="73.65054861111112"/>
    <n v="0"/>
    <n v="79.5"/>
    <n v="81.5"/>
    <m/>
    <n v="0"/>
  </r>
  <r>
    <x v="71"/>
    <n v="202511"/>
    <x v="1"/>
    <x v="7"/>
    <s v="Sebastián S"/>
    <s v="Rodolfo O"/>
    <n v="82810"/>
    <n v="4063942"/>
    <n v="49.075541666666673"/>
    <n v="78546.549505573799"/>
    <n v="53.5"/>
    <n v="54"/>
    <n v="51.73928333683984"/>
    <n v="4018926"/>
  </r>
  <r>
    <x v="36"/>
    <n v="202404"/>
    <x v="2"/>
    <x v="9"/>
    <s v="Sebastián S"/>
    <s v="Rodolfo O"/>
    <n v="82795"/>
    <n v="6129607"/>
    <n v="74.033798611111152"/>
    <n v="0"/>
    <n v="81"/>
    <n v="77"/>
    <m/>
    <n v="0"/>
  </r>
  <r>
    <x v="34"/>
    <n v="202507"/>
    <x v="1"/>
    <x v="6"/>
    <s v="Hernán P"/>
    <s v="Daniel R"/>
    <n v="82792"/>
    <n v="1138983"/>
    <n v="13.757163978494619"/>
    <n v="80605.230916687156"/>
    <n v="15"/>
    <n v="15"/>
    <n v="14.130384555032693"/>
    <n v="1106615"/>
  </r>
  <r>
    <x v="76"/>
    <n v="202404"/>
    <x v="2"/>
    <x v="9"/>
    <s v="Hernán P"/>
    <s v="Daniel R"/>
    <n v="82788"/>
    <n v="7559886"/>
    <n v="91.316409722222261"/>
    <n v="0"/>
    <n v="106"/>
    <n v="94.5"/>
    <m/>
    <n v="0"/>
  </r>
  <r>
    <x v="26"/>
    <n v="202404"/>
    <x v="2"/>
    <x v="9"/>
    <s v="Sofía V"/>
    <s v="Melany A"/>
    <n v="82785"/>
    <n v="4323405"/>
    <n v="52.224229166666667"/>
    <n v="0"/>
    <n v="55"/>
    <n v="50.5"/>
    <m/>
    <n v="0"/>
  </r>
  <r>
    <x v="53"/>
    <n v="202406"/>
    <x v="2"/>
    <x v="11"/>
    <s v="Sebastián S"/>
    <s v="Johanna V"/>
    <n v="82783"/>
    <n v="4902840"/>
    <n v="59.225104166666675"/>
    <n v="0"/>
    <n v="68"/>
    <n v="60.5"/>
    <m/>
    <n v="0"/>
  </r>
  <r>
    <x v="76"/>
    <n v="202412"/>
    <x v="2"/>
    <x v="1"/>
    <s v="Hernán P"/>
    <s v="Daniel R"/>
    <n v="82774"/>
    <n v="8836998"/>
    <n v="106.76053763440856"/>
    <n v="0"/>
    <n v="106"/>
    <n v="94.5"/>
    <m/>
    <n v="0"/>
  </r>
  <r>
    <x v="84"/>
    <n v="202412"/>
    <x v="2"/>
    <x v="1"/>
    <s v="Sofía V"/>
    <s v="Melany A"/>
    <n v="82760"/>
    <n v="4421295"/>
    <n v="53.422983870967734"/>
    <n v="0"/>
    <n v="52.5"/>
    <n v="52.5"/>
    <m/>
    <n v="0"/>
  </r>
  <r>
    <x v="67"/>
    <n v="202601"/>
    <x v="0"/>
    <x v="10"/>
    <s v="Hernán P"/>
    <s v="Daniel R"/>
    <n v="82734"/>
    <n v="1059777"/>
    <n v="12.809388440860216"/>
    <n v="83871.148953762575"/>
    <n v="15.5"/>
    <n v="14.5"/>
    <n v="13.971887755419019"/>
    <n v="1171838"/>
  </r>
  <r>
    <x v="47"/>
    <n v="202501"/>
    <x v="1"/>
    <x v="10"/>
    <s v="Sebastián S"/>
    <s v="Vik E"/>
    <n v="82734"/>
    <n v="4451525"/>
    <n v="53.805067204301032"/>
    <n v="87148.685752358608"/>
    <n v="61.5"/>
    <n v="48.5"/>
    <n v="51.079661862594669"/>
    <n v="4604822"/>
  </r>
  <r>
    <x v="62"/>
    <n v="202408"/>
    <x v="2"/>
    <x v="5"/>
    <s v="Sebastián S"/>
    <s v="Vik E"/>
    <n v="82732"/>
    <n v="4880347"/>
    <n v="58.989818548387099"/>
    <n v="0"/>
    <n v="65"/>
    <n v="67.5"/>
    <m/>
    <n v="0"/>
  </r>
  <r>
    <x v="67"/>
    <n v="202408"/>
    <x v="2"/>
    <x v="5"/>
    <s v="Hernán P"/>
    <s v="Daniel R"/>
    <n v="82705"/>
    <n v="1061839"/>
    <n v="12.838931451612906"/>
    <n v="0"/>
    <n v="15.5"/>
    <n v="14.5"/>
    <m/>
    <n v="0"/>
  </r>
  <r>
    <x v="47"/>
    <n v="202408"/>
    <x v="2"/>
    <x v="5"/>
    <s v="Sebastián S"/>
    <s v="Vik E"/>
    <n v="82704"/>
    <n v="4726187"/>
    <n v="57.145544354838698"/>
    <n v="0"/>
    <n v="61.5"/>
    <n v="48.5"/>
    <m/>
    <n v="0"/>
  </r>
  <r>
    <x v="18"/>
    <n v="202408"/>
    <x v="2"/>
    <x v="5"/>
    <s v="Sofía V"/>
    <s v="Joe H"/>
    <n v="82667"/>
    <n v="4025000"/>
    <n v="48.689516129032256"/>
    <n v="0"/>
    <n v="50.5"/>
    <n v="51.5"/>
    <m/>
    <n v="0"/>
  </r>
  <r>
    <x v="7"/>
    <n v="202409"/>
    <x v="2"/>
    <x v="4"/>
    <s v="Sebastián S"/>
    <s v="Rodolfo O"/>
    <n v="82629"/>
    <n v="4890619"/>
    <n v="59.187819444444436"/>
    <n v="0"/>
    <n v="65.5"/>
    <n v="63"/>
    <m/>
    <n v="0"/>
  </r>
  <r>
    <x v="18"/>
    <n v="202504"/>
    <x v="1"/>
    <x v="9"/>
    <s v="Sofía V"/>
    <s v="Joe H"/>
    <n v="82618"/>
    <n v="3876235"/>
    <n v="46.917840277777778"/>
    <n v="74600.822083449326"/>
    <n v="50.5"/>
    <n v="51.5"/>
    <n v="51.959687865959424"/>
    <n v="3930808"/>
  </r>
  <r>
    <x v="67"/>
    <n v="202401"/>
    <x v="2"/>
    <x v="10"/>
    <s v="Hernán P"/>
    <s v="Daniel R"/>
    <n v="82607"/>
    <n v="1083018"/>
    <n v="13.110416666666667"/>
    <n v="0"/>
    <n v="15.5"/>
    <n v="14.5"/>
    <m/>
    <n v="0"/>
  </r>
  <r>
    <x v="41"/>
    <n v="202505"/>
    <x v="1"/>
    <x v="3"/>
    <s v="Sebastián S"/>
    <s v="Rodolfo O"/>
    <n v="82591"/>
    <n v="5100384"/>
    <n v="61.754912634408598"/>
    <n v="79434.317707487804"/>
    <n v="64.5"/>
    <n v="64"/>
    <n v="64.208826577725077"/>
    <n v="5411686"/>
  </r>
  <r>
    <x v="66"/>
    <n v="202604"/>
    <x v="0"/>
    <x v="9"/>
    <s v="Sebastián S"/>
    <s v="Rodolfo O"/>
    <n v="82588"/>
    <n v="4232125"/>
    <n v="51.24369444444423"/>
    <n v="80289.308193298624"/>
    <n v="55"/>
    <n v="55.5"/>
    <n v="48.91205759483401"/>
    <n v="3927115"/>
  </r>
  <r>
    <x v="22"/>
    <n v="202402"/>
    <x v="2"/>
    <x v="2"/>
    <s v="Sebastián S"/>
    <s v="Johanna V"/>
    <n v="82573"/>
    <n v="8526445"/>
    <n v="103.25995689655176"/>
    <n v="0"/>
    <n v="104.5"/>
    <n v="99"/>
    <m/>
    <n v="0"/>
  </r>
  <r>
    <x v="82"/>
    <n v="202512"/>
    <x v="1"/>
    <x v="1"/>
    <s v="Sebastián S"/>
    <s v="Vik E"/>
    <n v="82547"/>
    <n v="4945108"/>
    <n v="59.906733870967727"/>
    <n v="92376.837034625118"/>
    <n v="61.5"/>
    <n v="56"/>
    <n v="53.531905819057783"/>
    <n v="5240448"/>
  </r>
  <r>
    <x v="44"/>
    <n v="202502"/>
    <x v="1"/>
    <x v="2"/>
    <s v="Sebastián S"/>
    <s v="Johanna V"/>
    <n v="82545"/>
    <n v="9052197"/>
    <n v="109.66369791666669"/>
    <n v="98608.318261243156"/>
    <n v="117.5"/>
    <n v="99"/>
    <n v="91.799531820611719"/>
    <n v="8834998"/>
  </r>
  <r>
    <x v="63"/>
    <n v="202403"/>
    <x v="2"/>
    <x v="0"/>
    <s v="Sebastián S"/>
    <s v="Johanna V"/>
    <n v="82539"/>
    <n v="10379742"/>
    <n v="125.75518817204305"/>
    <n v="0"/>
    <n v="123"/>
    <n v="115.5"/>
    <m/>
    <n v="0"/>
  </r>
  <r>
    <x v="41"/>
    <n v="202408"/>
    <x v="2"/>
    <x v="5"/>
    <s v="Sebastián S"/>
    <s v="Rodolfo O"/>
    <n v="82539"/>
    <n v="5043007"/>
    <n v="61.098615591397859"/>
    <n v="0"/>
    <n v="64.5"/>
    <n v="64"/>
    <m/>
    <n v="0"/>
  </r>
  <r>
    <x v="27"/>
    <n v="202505"/>
    <x v="1"/>
    <x v="3"/>
    <s v="Sofía V"/>
    <s v="Joe H"/>
    <n v="82521"/>
    <n v="4774168"/>
    <n v="57.853776881720421"/>
    <n v="80838.667346788628"/>
    <n v="62"/>
    <n v="58"/>
    <n v="59.057975801597109"/>
    <n v="4913941"/>
  </r>
  <r>
    <x v="72"/>
    <n v="202403"/>
    <x v="2"/>
    <x v="0"/>
    <s v="Sebastián S"/>
    <s v="Vik E"/>
    <n v="82514"/>
    <n v="6000433"/>
    <n v="72.72040322580645"/>
    <n v="0"/>
    <n v="79.5"/>
    <n v="67"/>
    <m/>
    <n v="0"/>
  </r>
  <r>
    <x v="34"/>
    <n v="202402"/>
    <x v="2"/>
    <x v="2"/>
    <s v="Hernán P"/>
    <s v="Daniel R"/>
    <n v="82459"/>
    <n v="1154601"/>
    <n v="14.002162356321842"/>
    <n v="0"/>
    <n v="15"/>
    <n v="15"/>
    <m/>
    <n v="0"/>
  </r>
  <r>
    <x v="46"/>
    <n v="202403"/>
    <x v="2"/>
    <x v="0"/>
    <s v="Sofía V"/>
    <s v="José A"/>
    <n v="82453"/>
    <n v="4962226"/>
    <n v="60.182170698924701"/>
    <n v="0"/>
    <n v="58"/>
    <n v="58.5"/>
    <m/>
    <n v="0"/>
  </r>
  <r>
    <x v="76"/>
    <n v="202408"/>
    <x v="2"/>
    <x v="5"/>
    <s v="Hernán P"/>
    <s v="Daniel R"/>
    <n v="82450"/>
    <n v="7278753"/>
    <n v="88.280584677419284"/>
    <n v="0"/>
    <n v="106"/>
    <n v="94.5"/>
    <m/>
    <n v="0"/>
  </r>
  <r>
    <x v="51"/>
    <n v="202407"/>
    <x v="2"/>
    <x v="6"/>
    <s v="Sofía V"/>
    <s v="Melany A"/>
    <n v="82447"/>
    <n v="3262373"/>
    <n v="39.569193548387105"/>
    <n v="0"/>
    <n v="43.5"/>
    <n v="41"/>
    <m/>
    <n v="0"/>
  </r>
  <r>
    <x v="10"/>
    <n v="202401"/>
    <x v="2"/>
    <x v="10"/>
    <s v="Sofía V"/>
    <s v="Melany A"/>
    <n v="82418"/>
    <n v="8994815"/>
    <n v="109.13691532258068"/>
    <n v="0"/>
    <n v="125"/>
    <n v="118.5"/>
    <m/>
    <n v="0"/>
  </r>
  <r>
    <x v="50"/>
    <n v="202404"/>
    <x v="2"/>
    <x v="9"/>
    <s v="Sebastián S"/>
    <s v="Vik E"/>
    <n v="82382"/>
    <n v="6128055"/>
    <n v="74.38608333333336"/>
    <n v="0"/>
    <n v="75.5"/>
    <n v="74"/>
    <m/>
    <n v="0"/>
  </r>
  <r>
    <x v="21"/>
    <n v="202404"/>
    <x v="2"/>
    <x v="9"/>
    <s v="Sebastián S"/>
    <s v="Rodolfo O"/>
    <n v="82319"/>
    <n v="6179626"/>
    <n v="75.069361111111121"/>
    <n v="0"/>
    <n v="84.5"/>
    <n v="86.5"/>
    <m/>
    <n v="0"/>
  </r>
  <r>
    <x v="34"/>
    <n v="202602"/>
    <x v="0"/>
    <x v="2"/>
    <s v="Hernán P"/>
    <s v="Daniel R"/>
    <n v="82298"/>
    <n v="1053961"/>
    <n v="12.806666666666667"/>
    <n v="82599.217865344879"/>
    <n v="15"/>
    <n v="15"/>
    <n v="13.971887755419019"/>
    <n v="1154067"/>
  </r>
  <r>
    <x v="38"/>
    <n v="202407"/>
    <x v="2"/>
    <x v="6"/>
    <s v="Sofía V"/>
    <s v="Melany A"/>
    <n v="82296"/>
    <n v="4936832"/>
    <n v="59.988776881720433"/>
    <n v="0"/>
    <n v="56"/>
    <n v="60"/>
    <m/>
    <n v="0"/>
  </r>
  <r>
    <x v="23"/>
    <n v="202405"/>
    <x v="2"/>
    <x v="3"/>
    <s v="Sebastián S"/>
    <s v="Rodolfo O"/>
    <n v="82275"/>
    <n v="7214286"/>
    <n v="87.685020161290325"/>
    <n v="0"/>
    <n v="94.5"/>
    <n v="97"/>
    <m/>
    <n v="0"/>
  </r>
  <r>
    <x v="26"/>
    <n v="202409"/>
    <x v="2"/>
    <x v="4"/>
    <s v="Sofía V"/>
    <s v="Melany A"/>
    <n v="82265"/>
    <n v="4295324"/>
    <n v="52.213097222222217"/>
    <n v="0"/>
    <n v="55"/>
    <n v="50.5"/>
    <m/>
    <n v="0"/>
  </r>
  <r>
    <x v="56"/>
    <n v="202602"/>
    <x v="0"/>
    <x v="2"/>
    <s v="Sofía V"/>
    <s v="Joe H"/>
    <n v="82251"/>
    <n v="6336945"/>
    <n v="77.043750000000031"/>
    <n v="95951.801709074556"/>
    <n v="79.5"/>
    <n v="81.5"/>
    <n v="68.773296674593993"/>
    <n v="6598922"/>
  </r>
  <r>
    <x v="10"/>
    <n v="202504"/>
    <x v="1"/>
    <x v="9"/>
    <s v="Sofía V"/>
    <s v="Melany A"/>
    <n v="82244"/>
    <n v="9701844"/>
    <n v="117.96380555555555"/>
    <n v="85314.461565372039"/>
    <n v="125"/>
    <n v="118.5"/>
    <n v="113.71863459005689"/>
    <n v="9567477"/>
  </r>
  <r>
    <x v="73"/>
    <n v="202406"/>
    <x v="2"/>
    <x v="11"/>
    <s v="Fátima L"/>
    <s v="Fátima L"/>
    <n v="82244"/>
    <n v="1000913"/>
    <n v="12.170083333333336"/>
    <n v="0"/>
    <n v="13.5"/>
    <n v="12"/>
    <m/>
    <n v="0"/>
  </r>
  <r>
    <x v="58"/>
    <n v="202401"/>
    <x v="2"/>
    <x v="10"/>
    <s v="Sebastián S"/>
    <s v="Rodolfo O"/>
    <n v="82243"/>
    <n v="4964654"/>
    <n v="60.365544354838725"/>
    <n v="0"/>
    <n v="66.5"/>
    <n v="63.5"/>
    <m/>
    <n v="0"/>
  </r>
  <r>
    <x v="41"/>
    <n v="202507"/>
    <x v="1"/>
    <x v="6"/>
    <s v="Sebastián S"/>
    <s v="Rodolfo O"/>
    <n v="82233"/>
    <n v="5183123"/>
    <n v="63.029448924731177"/>
    <n v="97816.394627348607"/>
    <n v="64.5"/>
    <n v="64"/>
    <n v="52.988289332745886"/>
    <n v="6296121"/>
  </r>
  <r>
    <x v="64"/>
    <n v="202511"/>
    <x v="1"/>
    <x v="7"/>
    <s v="Sebastián S"/>
    <s v="Johanna V"/>
    <n v="82211"/>
    <n v="5166606"/>
    <n v="62.845416666666686"/>
    <n v="72018.532339733109"/>
    <n v="75.5"/>
    <n v="70.5"/>
    <n v="71.739955149704556"/>
    <n v="5641899"/>
  </r>
  <r>
    <x v="46"/>
    <n v="202508"/>
    <x v="1"/>
    <x v="5"/>
    <s v="Sofía V"/>
    <s v="José A"/>
    <n v="82197"/>
    <n v="4381088"/>
    <n v="53.299825268817209"/>
    <n v="91945.047084396836"/>
    <n v="58"/>
    <n v="58.5"/>
    <n v="47.648980547898098"/>
    <n v="4757212"/>
  </r>
  <r>
    <x v="37"/>
    <n v="202404"/>
    <x v="2"/>
    <x v="9"/>
    <s v="Sofía V"/>
    <s v="Melany A"/>
    <n v="82171"/>
    <n v="5196522"/>
    <n v="63.240479166666688"/>
    <n v="0"/>
    <n v="72.5"/>
    <n v="68.5"/>
    <m/>
    <n v="0"/>
  </r>
  <r>
    <x v="41"/>
    <n v="202502"/>
    <x v="1"/>
    <x v="2"/>
    <s v="Sebastián S"/>
    <s v="Rodolfo O"/>
    <n v="82168"/>
    <n v="5079732"/>
    <n v="61.820937499999992"/>
    <n v="67996.538071405215"/>
    <n v="64.5"/>
    <n v="64"/>
    <n v="74.705747293569871"/>
    <n v="5260289"/>
  </r>
  <r>
    <x v="41"/>
    <n v="202411"/>
    <x v="2"/>
    <x v="7"/>
    <s v="Sebastián S"/>
    <s v="Rodolfo O"/>
    <n v="82141"/>
    <n v="4944206"/>
    <n v="60.191493055555554"/>
    <n v="0"/>
    <n v="64.5"/>
    <n v="64"/>
    <m/>
    <n v="0"/>
  </r>
  <r>
    <x v="71"/>
    <n v="202501"/>
    <x v="1"/>
    <x v="10"/>
    <s v="Sebastián S"/>
    <s v="Rodolfo O"/>
    <n v="82131"/>
    <n v="3996396"/>
    <n v="48.658655913978492"/>
    <n v="73656.967833588133"/>
    <n v="53.5"/>
    <n v="54"/>
    <n v="54.256862555474534"/>
    <n v="3749118"/>
  </r>
  <r>
    <x v="24"/>
    <n v="202409"/>
    <x v="2"/>
    <x v="4"/>
    <s v="Sofía V"/>
    <s v="Joe H"/>
    <n v="82097"/>
    <n v="5435511"/>
    <n v="66.208479166666663"/>
    <n v="0"/>
    <n v="71"/>
    <n v="74.5"/>
    <m/>
    <n v="0"/>
  </r>
  <r>
    <x v="79"/>
    <n v="202509"/>
    <x v="1"/>
    <x v="4"/>
    <s v="Sebastián S"/>
    <s v="Vik E"/>
    <n v="82071"/>
    <n v="4990089"/>
    <n v="60.801756944444477"/>
    <n v="73835.114871549915"/>
    <n v="84.5"/>
    <n v="78.5"/>
    <n v="67.584221933983557"/>
    <n v="5521506"/>
  </r>
  <r>
    <x v="76"/>
    <n v="202406"/>
    <x v="2"/>
    <x v="11"/>
    <s v="Hernán P"/>
    <s v="Daniel R"/>
    <n v="82066"/>
    <n v="7444901"/>
    <n v="90.71844444444443"/>
    <n v="0"/>
    <n v="106"/>
    <n v="94.5"/>
    <m/>
    <n v="0"/>
  </r>
  <r>
    <x v="62"/>
    <n v="202506"/>
    <x v="1"/>
    <x v="11"/>
    <s v="Sebastián S"/>
    <s v="Vik E"/>
    <n v="82064"/>
    <n v="4608563"/>
    <n v="56.158375000000014"/>
    <n v="87950.296418144091"/>
    <n v="65"/>
    <n v="67.5"/>
    <n v="52.399628741322324"/>
    <n v="4924211"/>
  </r>
  <r>
    <x v="71"/>
    <n v="202403"/>
    <x v="2"/>
    <x v="0"/>
    <s v="Sebastián S"/>
    <s v="Rodolfo O"/>
    <n v="82052"/>
    <n v="4702289"/>
    <n v="57.308642473118269"/>
    <n v="0"/>
    <n v="53.5"/>
    <n v="54"/>
    <m/>
    <n v="0"/>
  </r>
  <r>
    <x v="29"/>
    <n v="202505"/>
    <x v="1"/>
    <x v="3"/>
    <s v="Sebastián S"/>
    <s v="Vik E"/>
    <n v="82036"/>
    <n v="5899066"/>
    <n v="71.908487903225776"/>
    <n v="93633.904142161569"/>
    <n v="76.5"/>
    <n v="75.5"/>
    <n v="63.001383997014834"/>
    <n v="6525525"/>
  </r>
  <r>
    <x v="49"/>
    <n v="202507"/>
    <x v="1"/>
    <x v="6"/>
    <s v="Sebastián S"/>
    <s v="Vik E"/>
    <n v="81982"/>
    <n v="4718569"/>
    <n v="57.555806451612924"/>
    <n v="90871.288561249341"/>
    <n v="66"/>
    <n v="64.5"/>
    <n v="51.925846488019978"/>
    <n v="5470467"/>
  </r>
  <r>
    <x v="81"/>
    <n v="202412"/>
    <x v="2"/>
    <x v="1"/>
    <s v="Fátima L"/>
    <s v="Fátima L"/>
    <n v="81981"/>
    <n v="996614"/>
    <n v="12.156713709677421"/>
    <n v="0"/>
    <n v="11.5"/>
    <n v="12"/>
    <m/>
    <n v="0"/>
  </r>
  <r>
    <x v="21"/>
    <n v="202409"/>
    <x v="2"/>
    <x v="4"/>
    <s v="Sebastián S"/>
    <s v="Rodolfo O"/>
    <n v="81978"/>
    <n v="6313045"/>
    <n v="77.008604166666657"/>
    <n v="0"/>
    <n v="84.5"/>
    <n v="86.5"/>
    <m/>
    <n v="0"/>
  </r>
  <r>
    <x v="62"/>
    <n v="202510"/>
    <x v="1"/>
    <x v="8"/>
    <s v="Sebastián S"/>
    <s v="Vik E"/>
    <n v="81966"/>
    <n v="4647427"/>
    <n v="56.699529569892498"/>
    <n v="91127.224072556113"/>
    <n v="65"/>
    <n v="67.5"/>
    <n v="50.999328985372003"/>
    <n v="5027557"/>
  </r>
  <r>
    <x v="55"/>
    <n v="202511"/>
    <x v="1"/>
    <x v="7"/>
    <s v="Sebastián S"/>
    <s v="Vik E"/>
    <n v="81923"/>
    <n v="4127605"/>
    <n v="50.383958333333325"/>
    <n v="79023.598011527691"/>
    <n v="69.5"/>
    <n v="59"/>
    <n v="52.232565636885809"/>
    <n v="4991885"/>
  </r>
  <r>
    <x v="83"/>
    <n v="202403"/>
    <x v="2"/>
    <x v="0"/>
    <s v="Hernán P"/>
    <s v="Daniel R"/>
    <n v="81901"/>
    <n v="3706439"/>
    <n v="45.255235215053766"/>
    <n v="0"/>
    <n v="51"/>
    <n v="49"/>
    <m/>
    <n v="0"/>
  </r>
  <r>
    <x v="45"/>
    <n v="202411"/>
    <x v="2"/>
    <x v="7"/>
    <s v="Sofía V"/>
    <s v="Joe H"/>
    <n v="81900"/>
    <n v="5380279"/>
    <n v="65.69320138888888"/>
    <n v="0"/>
    <n v="68"/>
    <n v="68.5"/>
    <m/>
    <n v="0"/>
  </r>
  <r>
    <x v="54"/>
    <n v="202508"/>
    <x v="1"/>
    <x v="5"/>
    <s v="Sebastián S"/>
    <s v="Rodolfo O"/>
    <n v="81885"/>
    <n v="5378399"/>
    <n v="65.682627688172047"/>
    <n v="87452.522533776879"/>
    <n v="80"/>
    <n v="80.5"/>
    <n v="61.500785502473022"/>
    <n v="6198845"/>
  </r>
  <r>
    <x v="52"/>
    <n v="202409"/>
    <x v="2"/>
    <x v="4"/>
    <s v="Sebastián S"/>
    <s v="Vik E"/>
    <n v="81857"/>
    <n v="6066510"/>
    <n v="74.110652777777759"/>
    <n v="0"/>
    <n v="80"/>
    <n v="78"/>
    <m/>
    <n v="0"/>
  </r>
  <r>
    <x v="74"/>
    <n v="202603"/>
    <x v="0"/>
    <x v="0"/>
    <s v="Sebastián S"/>
    <s v="Rodolfo O"/>
    <n v="81828"/>
    <n v="2026405"/>
    <n v="24.764193548387091"/>
    <n v="87952.153879588732"/>
    <n v="27"/>
    <n v="27"/>
    <n v="23.582599197509253"/>
    <n v="2074140"/>
  </r>
  <r>
    <x v="29"/>
    <n v="202509"/>
    <x v="1"/>
    <x v="4"/>
    <s v="Sebastián S"/>
    <s v="Vik E"/>
    <n v="81826"/>
    <n v="5108339"/>
    <n v="62.429256944444482"/>
    <n v="79566.617428393176"/>
    <n v="76.5"/>
    <n v="75.5"/>
    <n v="64.202033152877235"/>
    <n v="6022803"/>
  </r>
  <r>
    <x v="53"/>
    <n v="202503"/>
    <x v="1"/>
    <x v="0"/>
    <s v="Sebastián S"/>
    <s v="Johanna V"/>
    <n v="81791"/>
    <n v="5205947"/>
    <n v="63.649193548387068"/>
    <n v="84502.305693324117"/>
    <n v="68"/>
    <n v="60.5"/>
    <n v="61.607164884866371"/>
    <n v="5415755"/>
  </r>
  <r>
    <x v="41"/>
    <n v="202510"/>
    <x v="1"/>
    <x v="8"/>
    <s v="Sebastián S"/>
    <s v="Rodolfo O"/>
    <n v="81786"/>
    <n v="4522139"/>
    <n v="55.292096774193553"/>
    <n v="79149.315494010414"/>
    <n v="64.5"/>
    <n v="64"/>
    <n v="57.134280717086057"/>
    <n v="5558554"/>
  </r>
  <r>
    <x v="66"/>
    <n v="202511"/>
    <x v="1"/>
    <x v="7"/>
    <s v="Sebastián S"/>
    <s v="Rodolfo O"/>
    <n v="81770"/>
    <n v="4121437"/>
    <n v="50.402819444444454"/>
    <n v="74077.284674683659"/>
    <n v="55"/>
    <n v="55.5"/>
    <n v="55.636994094743393"/>
    <n v="3664020"/>
  </r>
  <r>
    <x v="50"/>
    <n v="202504"/>
    <x v="1"/>
    <x v="9"/>
    <s v="Sebastián S"/>
    <s v="Vik E"/>
    <n v="81761"/>
    <n v="5596179"/>
    <n v="68.445465277777785"/>
    <n v="86500.821258008567"/>
    <n v="75.5"/>
    <n v="74"/>
    <n v="64.695098943721135"/>
    <n v="6448998"/>
  </r>
  <r>
    <x v="71"/>
    <n v="202605"/>
    <x v="0"/>
    <x v="3"/>
    <s v="Sebastián S"/>
    <s v="Rodolfo O"/>
    <n v="81749"/>
    <n v="4127750"/>
    <n v="50.492768817205032"/>
    <n v="91509.49289245125"/>
    <n v="53.5"/>
    <n v="54"/>
    <n v="47.165198395018514"/>
    <n v="4316063"/>
  </r>
  <r>
    <x v="13"/>
    <n v="202502"/>
    <x v="1"/>
    <x v="2"/>
    <s v="Sebastián S"/>
    <s v="Rodolfo O"/>
    <n v="81714"/>
    <n v="5512561"/>
    <n v="67.461874999999978"/>
    <n v="92776.425129646726"/>
    <n v="78"/>
    <n v="74.5"/>
    <n v="59.417690240777112"/>
    <n v="5877591"/>
  </r>
  <r>
    <x v="91"/>
    <n v="202512"/>
    <x v="1"/>
    <x v="1"/>
    <s v="Hernán P"/>
    <s v="Daniel R"/>
    <n v="81694"/>
    <n v="1490427"/>
    <n v="18.244126344086006"/>
    <n v="76192.543310360532"/>
    <n v="19"/>
    <n v="21.5"/>
    <n v="19.561329432578926"/>
    <n v="1696594"/>
  </r>
  <r>
    <x v="9"/>
    <n v="202606"/>
    <x v="0"/>
    <x v="11"/>
    <s v="Sofía V"/>
    <s v="Joe H"/>
    <n v="81687"/>
    <n v="4958196"/>
    <n v="60.697388888889805"/>
    <n v="76926.953668943737"/>
    <n v="70.5"/>
    <n v="69.5"/>
    <n v="63.576561684054447"/>
    <n v="4890751"/>
  </r>
  <r>
    <x v="92"/>
    <n v="202512"/>
    <x v="1"/>
    <x v="1"/>
    <s v="Fátima L"/>
    <s v="Fátima L"/>
    <n v="81614"/>
    <n v="740337"/>
    <n v="9.0712567204300996"/>
    <n v="66578.078651046002"/>
    <n v="11.5"/>
    <n v="10"/>
    <n v="11.119837264759644"/>
    <n v="811179"/>
  </r>
  <r>
    <x v="78"/>
    <n v="202604"/>
    <x v="0"/>
    <x v="9"/>
    <s v="Sebastián S"/>
    <s v="Vik E"/>
    <n v="81604"/>
    <n v="3916169"/>
    <n v="47.989861111111679"/>
    <n v="71710.071795226089"/>
    <n v="63"/>
    <n v="59"/>
    <n v="55.026064794188251"/>
    <n v="3945923"/>
  </r>
  <r>
    <x v="19"/>
    <n v="202406"/>
    <x v="2"/>
    <x v="11"/>
    <s v="Sofía V"/>
    <s v="Joe H"/>
    <n v="81581"/>
    <n v="4349227"/>
    <n v="53.311659722222224"/>
    <n v="0"/>
    <n v="57.5"/>
    <n v="56.5"/>
    <m/>
    <n v="0"/>
  </r>
  <r>
    <x v="27"/>
    <n v="202407"/>
    <x v="2"/>
    <x v="6"/>
    <s v="Sofía V"/>
    <s v="Joe H"/>
    <n v="81575"/>
    <n v="5207660"/>
    <n v="63.838541666666657"/>
    <n v="0"/>
    <n v="62"/>
    <n v="58"/>
    <m/>
    <n v="0"/>
  </r>
  <r>
    <x v="60"/>
    <n v="202503"/>
    <x v="1"/>
    <x v="0"/>
    <s v="Sofía V"/>
    <s v="Melany A"/>
    <n v="81573"/>
    <n v="10163236"/>
    <n v="124.59134408602141"/>
    <n v="98666.539930854196"/>
    <n v="88.5"/>
    <n v="92.5"/>
    <n v="103.00589751219029"/>
    <n v="7789830"/>
  </r>
  <r>
    <x v="53"/>
    <n v="202407"/>
    <x v="2"/>
    <x v="6"/>
    <s v="Sebastián S"/>
    <s v="Johanna V"/>
    <n v="81519"/>
    <n v="5074911"/>
    <n v="62.254274193548397"/>
    <n v="0"/>
    <n v="68"/>
    <n v="60.5"/>
    <m/>
    <n v="0"/>
  </r>
  <r>
    <x v="88"/>
    <n v="202606"/>
    <x v="0"/>
    <x v="11"/>
    <s v="Sofía V"/>
    <s v="José A"/>
    <n v="81510"/>
    <n v="5287608"/>
    <n v="64.87050694444595"/>
    <n v="59033.789454761907"/>
    <n v="84"/>
    <n v="76.5"/>
    <n v="84"/>
    <n v="4958838"/>
  </r>
  <r>
    <x v="85"/>
    <n v="202605"/>
    <x v="0"/>
    <x v="3"/>
    <s v="Hernán P"/>
    <s v="Daniel R"/>
    <n v="81508"/>
    <n v="2717231"/>
    <n v="33.337170698925114"/>
    <n v="75386.969307890002"/>
    <n v="44"/>
    <n v="40.5"/>
    <n v="35.762421795855829"/>
    <n v="2696021"/>
  </r>
  <r>
    <x v="46"/>
    <n v="202409"/>
    <x v="2"/>
    <x v="4"/>
    <s v="Sofía V"/>
    <s v="José A"/>
    <n v="81506"/>
    <n v="4323783"/>
    <n v="53.048430555555555"/>
    <n v="0"/>
    <n v="58"/>
    <n v="58.5"/>
    <m/>
    <n v="0"/>
  </r>
  <r>
    <x v="54"/>
    <n v="202604"/>
    <x v="0"/>
    <x v="9"/>
    <s v="Sebastián S"/>
    <s v="Rodolfo O"/>
    <n v="81489"/>
    <n v="5640661"/>
    <n v="69.219694444446191"/>
    <n v="83564.59103037641"/>
    <n v="80"/>
    <n v="80.5"/>
    <n v="67.651321791845987"/>
    <n v="5653255"/>
  </r>
  <r>
    <x v="46"/>
    <n v="202510"/>
    <x v="1"/>
    <x v="8"/>
    <s v="Sofía V"/>
    <s v="José A"/>
    <n v="81477"/>
    <n v="4036320"/>
    <n v="49.539442204301082"/>
    <n v="87110.47860840401"/>
    <n v="58"/>
    <n v="58.5"/>
    <n v="46.335641067303179"/>
    <n v="4546736"/>
  </r>
  <r>
    <x v="53"/>
    <n v="202507"/>
    <x v="1"/>
    <x v="6"/>
    <s v="Sebastián S"/>
    <s v="Johanna V"/>
    <n v="81466"/>
    <n v="4616224"/>
    <n v="56.664247311827964"/>
    <n v="85595.029811659508"/>
    <n v="68"/>
    <n v="60.5"/>
    <n v="53.930979172007845"/>
    <n v="5308384"/>
  </r>
  <r>
    <x v="46"/>
    <n v="202606"/>
    <x v="0"/>
    <x v="11"/>
    <s v="Sofía V"/>
    <s v="José A"/>
    <n v="81464"/>
    <n v="4208188"/>
    <n v="51.65688888888878"/>
    <n v="91650.577626825645"/>
    <n v="58"/>
    <n v="58.5"/>
    <n v="51.139118040082707"/>
    <n v="4686930"/>
  </r>
  <r>
    <x v="93"/>
    <n v="202512"/>
    <x v="1"/>
    <x v="1"/>
    <s v="Hernán P"/>
    <s v="Daniel R"/>
    <n v="81462"/>
    <n v="3609348"/>
    <n v="44.306895161290285"/>
    <n v="78313.634233294826"/>
    <n v="45.5"/>
    <n v="42.5"/>
    <n v="46.088372674007459"/>
    <n v="3796190"/>
  </r>
  <r>
    <x v="63"/>
    <n v="202501"/>
    <x v="1"/>
    <x v="10"/>
    <s v="Sebastián S"/>
    <s v="Johanna V"/>
    <n v="81457"/>
    <n v="8642735"/>
    <n v="106.10226478494614"/>
    <n v="85021.227737521171"/>
    <n v="123"/>
    <n v="115.5"/>
    <n v="101.65384410446276"/>
    <n v="9236594"/>
  </r>
  <r>
    <x v="58"/>
    <n v="202509"/>
    <x v="1"/>
    <x v="4"/>
    <s v="Sebastián S"/>
    <s v="Rodolfo O"/>
    <n v="81452"/>
    <n v="4124233"/>
    <n v="50.633625000000009"/>
    <n v="79715.819204288753"/>
    <n v="66.5"/>
    <n v="63.5"/>
    <n v="51.736691552159492"/>
    <n v="4831481"/>
  </r>
  <r>
    <x v="50"/>
    <n v="202502"/>
    <x v="1"/>
    <x v="2"/>
    <s v="Sebastián S"/>
    <s v="Vik E"/>
    <n v="81442"/>
    <n v="5597847"/>
    <n v="68.733750000000001"/>
    <n v="77270.044549340411"/>
    <n v="75.5"/>
    <n v="74"/>
    <n v="72.44523867752558"/>
    <n v="6188071"/>
  </r>
  <r>
    <x v="38"/>
    <n v="202403"/>
    <x v="2"/>
    <x v="0"/>
    <s v="Sofía V"/>
    <s v="Melany A"/>
    <n v="81434"/>
    <n v="5138725"/>
    <n v="63.103071236559131"/>
    <n v="0"/>
    <n v="56"/>
    <n v="60"/>
    <m/>
    <n v="0"/>
  </r>
  <r>
    <x v="54"/>
    <n v="202605"/>
    <x v="0"/>
    <x v="3"/>
    <s v="Sebastián S"/>
    <s v="Rodolfo O"/>
    <n v="81432"/>
    <n v="5820338"/>
    <n v="71.474704301075079"/>
    <n v="85501.00919975189"/>
    <n v="80"/>
    <n v="80.5"/>
    <n v="67.651321791845987"/>
    <n v="5784256"/>
  </r>
  <r>
    <x v="43"/>
    <n v="202502"/>
    <x v="1"/>
    <x v="2"/>
    <s v="Sofía V"/>
    <s v="José A"/>
    <n v="81423"/>
    <n v="2554723"/>
    <n v="31.37598958333334"/>
    <n v="80167.817785656182"/>
    <n v="32.5"/>
    <n v="32"/>
    <n v="31.867186865813601"/>
    <n v="2376789"/>
  </r>
  <r>
    <x v="19"/>
    <n v="202506"/>
    <x v="1"/>
    <x v="11"/>
    <s v="Sofía V"/>
    <s v="Joe H"/>
    <n v="81409"/>
    <n v="4237215"/>
    <n v="52.048256944444447"/>
    <n v="85660.22033068382"/>
    <n v="57.5"/>
    <n v="56.5"/>
    <n v="49.465371950277529"/>
    <n v="4223065"/>
  </r>
  <r>
    <x v="56"/>
    <n v="202406"/>
    <x v="2"/>
    <x v="11"/>
    <s v="Sofía V"/>
    <s v="Joe H"/>
    <n v="81403"/>
    <n v="5859897"/>
    <n v="71.98649305555557"/>
    <n v="0"/>
    <n v="79.5"/>
    <n v="81.5"/>
    <m/>
    <n v="0"/>
  </r>
  <r>
    <x v="54"/>
    <n v="202505"/>
    <x v="1"/>
    <x v="3"/>
    <s v="Sebastián S"/>
    <s v="Rodolfo O"/>
    <n v="81399"/>
    <n v="5694757"/>
    <n v="69.960625000000022"/>
    <n v="78727.688865439137"/>
    <n v="80"/>
    <n v="80.5"/>
    <n v="72.334872928042415"/>
    <n v="6244975"/>
  </r>
  <r>
    <x v="71"/>
    <n v="202408"/>
    <x v="2"/>
    <x v="5"/>
    <s v="Sebastián S"/>
    <s v="Rodolfo O"/>
    <n v="81381"/>
    <n v="4193908"/>
    <n v="51.53434811827956"/>
    <n v="0"/>
    <n v="53.5"/>
    <n v="54"/>
    <m/>
    <n v="0"/>
  </r>
  <r>
    <x v="79"/>
    <n v="202510"/>
    <x v="1"/>
    <x v="8"/>
    <s v="Sebastián S"/>
    <s v="Vik E"/>
    <n v="81377"/>
    <n v="5189123"/>
    <n v="63.766330645161268"/>
    <n v="74437.600939492462"/>
    <n v="84.5"/>
    <n v="78.5"/>
    <n v="69.711040851760416"/>
    <n v="5761698"/>
  </r>
  <r>
    <x v="67"/>
    <n v="202604"/>
    <x v="0"/>
    <x v="9"/>
    <s v="Hernán P"/>
    <s v="Daniel R"/>
    <n v="81376"/>
    <n v="1148081"/>
    <n v="14.108402777777787"/>
    <n v="73824.87633426211"/>
    <n v="15.5"/>
    <n v="14.5"/>
    <n v="13.971887755419019"/>
    <n v="1031473"/>
  </r>
  <r>
    <x v="63"/>
    <n v="202406"/>
    <x v="2"/>
    <x v="11"/>
    <s v="Sebastián S"/>
    <s v="Johanna V"/>
    <n v="81369"/>
    <n v="9154834"/>
    <n v="112.50997916666672"/>
    <n v="0"/>
    <n v="123"/>
    <n v="115.5"/>
    <m/>
    <n v="0"/>
  </r>
  <r>
    <x v="73"/>
    <n v="202602"/>
    <x v="0"/>
    <x v="2"/>
    <s v="Fátima L"/>
    <s v="Fátima L"/>
    <n v="81351"/>
    <n v="842265"/>
    <n v="10.3534375"/>
    <n v="81269.881678709324"/>
    <n v="13.5"/>
    <n v="12"/>
    <n v="11.788780293634797"/>
    <n v="958073"/>
  </r>
  <r>
    <x v="45"/>
    <n v="202405"/>
    <x v="2"/>
    <x v="3"/>
    <s v="Sofía V"/>
    <s v="Joe H"/>
    <n v="81349"/>
    <n v="4923225"/>
    <n v="60.520080645161329"/>
    <n v="0"/>
    <n v="68"/>
    <n v="68.5"/>
    <m/>
    <n v="0"/>
  </r>
  <r>
    <x v="55"/>
    <n v="202605"/>
    <x v="0"/>
    <x v="3"/>
    <s v="Sebastián S"/>
    <s v="Vik E"/>
    <n v="81319"/>
    <n v="4156942"/>
    <n v="51.119005376344312"/>
    <n v="80311.940048829449"/>
    <n v="69.5"/>
    <n v="59"/>
    <n v="57.926444284268129"/>
    <n v="4652185"/>
  </r>
  <r>
    <x v="66"/>
    <n v="202408"/>
    <x v="2"/>
    <x v="5"/>
    <s v="Sebastián S"/>
    <s v="Rodolfo O"/>
    <n v="81295"/>
    <n v="3935062"/>
    <n v="48.404670698924733"/>
    <n v="0"/>
    <n v="55"/>
    <n v="55.5"/>
    <m/>
    <n v="0"/>
  </r>
  <r>
    <x v="56"/>
    <n v="202410"/>
    <x v="2"/>
    <x v="8"/>
    <s v="Sofía V"/>
    <s v="Joe H"/>
    <n v="81254"/>
    <n v="5687338"/>
    <n v="69.994260752688191"/>
    <n v="0"/>
    <n v="79.5"/>
    <n v="81.5"/>
    <m/>
    <n v="0"/>
  </r>
  <r>
    <x v="10"/>
    <n v="202404"/>
    <x v="2"/>
    <x v="9"/>
    <s v="Sofía V"/>
    <s v="Melany A"/>
    <n v="81252"/>
    <n v="8941911"/>
    <n v="110.05176388888883"/>
    <n v="0"/>
    <n v="125"/>
    <n v="118.5"/>
    <m/>
    <n v="0"/>
  </r>
  <r>
    <x v="60"/>
    <n v="202411"/>
    <x v="2"/>
    <x v="7"/>
    <s v="Sofía V"/>
    <s v="Melany A"/>
    <n v="81251"/>
    <n v="6339592"/>
    <n v="78.024965277777767"/>
    <n v="0"/>
    <n v="88.5"/>
    <n v="92.5"/>
    <m/>
    <n v="0"/>
  </r>
  <r>
    <x v="67"/>
    <n v="202501"/>
    <x v="1"/>
    <x v="10"/>
    <s v="Hernán P"/>
    <s v="Daniel R"/>
    <n v="81243"/>
    <n v="995607"/>
    <n v="12.254610215053766"/>
    <n v="86737.8297664071"/>
    <n v="15.5"/>
    <n v="14.5"/>
    <n v="11.478348751418622"/>
    <n v="1114787"/>
  </r>
  <r>
    <x v="24"/>
    <n v="202606"/>
    <x v="0"/>
    <x v="11"/>
    <s v="Sofía V"/>
    <s v="Joe H"/>
    <n v="81223"/>
    <n v="5233390"/>
    <n v="64.432083333335086"/>
    <n v="88730.347228787374"/>
    <n v="71"/>
    <n v="74.5"/>
    <n v="62.681117153293116"/>
    <n v="5561717"/>
  </r>
  <r>
    <x v="14"/>
    <n v="202404"/>
    <x v="2"/>
    <x v="9"/>
    <s v="Sofía V"/>
    <s v="Melany A"/>
    <n v="81221"/>
    <n v="4743050"/>
    <n v="58.396770833333363"/>
    <n v="0"/>
    <n v="59.5"/>
    <n v="55.5"/>
    <m/>
    <n v="0"/>
  </r>
  <r>
    <x v="58"/>
    <n v="202403"/>
    <x v="2"/>
    <x v="0"/>
    <s v="Sebastián S"/>
    <s v="Rodolfo O"/>
    <n v="81216"/>
    <n v="5439675"/>
    <n v="66.977580645161325"/>
    <n v="0"/>
    <n v="66.5"/>
    <n v="63.5"/>
    <m/>
    <n v="0"/>
  </r>
  <r>
    <x v="32"/>
    <n v="202409"/>
    <x v="2"/>
    <x v="4"/>
    <s v="Sofía V"/>
    <s v="Melany A"/>
    <n v="81195"/>
    <n v="5003757"/>
    <n v="61.626250000000027"/>
    <n v="0"/>
    <n v="75.5"/>
    <n v="68"/>
    <m/>
    <n v="0"/>
  </r>
  <r>
    <x v="73"/>
    <n v="202509"/>
    <x v="1"/>
    <x v="4"/>
    <s v="Fátima L"/>
    <s v="Fátima L"/>
    <n v="81176"/>
    <n v="848948"/>
    <n v="10.458145833333331"/>
    <n v="90447.337344018684"/>
    <n v="13.5"/>
    <n v="12"/>
    <n v="9.3860988607216438"/>
    <n v="1057553"/>
  </r>
  <r>
    <x v="34"/>
    <n v="202409"/>
    <x v="2"/>
    <x v="4"/>
    <s v="Hernán P"/>
    <s v="Daniel R"/>
    <n v="81140"/>
    <n v="986090"/>
    <n v="12.153020833333336"/>
    <n v="0"/>
    <n v="15"/>
    <n v="15"/>
    <m/>
    <n v="0"/>
  </r>
  <r>
    <x v="64"/>
    <n v="202507"/>
    <x v="1"/>
    <x v="6"/>
    <s v="Sebastián S"/>
    <s v="Johanna V"/>
    <n v="81137"/>
    <n v="4925661"/>
    <n v="60.708252688172053"/>
    <n v="74033.598825743931"/>
    <n v="75.5"/>
    <n v="70.5"/>
    <n v="66.532783602668601"/>
    <n v="5694801"/>
  </r>
  <r>
    <x v="18"/>
    <n v="202505"/>
    <x v="1"/>
    <x v="3"/>
    <s v="Sofía V"/>
    <s v="Joe H"/>
    <n v="81125"/>
    <n v="3887723"/>
    <n v="47.922526881720422"/>
    <n v="77433.949758027622"/>
    <n v="50.5"/>
    <n v="51.5"/>
    <n v="50.206955891423547"/>
    <n v="3866132"/>
  </r>
  <r>
    <x v="67"/>
    <n v="202510"/>
    <x v="1"/>
    <x v="8"/>
    <s v="Hernán P"/>
    <s v="Daniel R"/>
    <n v="81106"/>
    <n v="1038177"/>
    <n v="12.80021505376344"/>
    <n v="78011.507803041328"/>
    <n v="15.5"/>
    <n v="14.5"/>
    <n v="13.307996207702143"/>
    <n v="1225300"/>
  </r>
  <r>
    <x v="13"/>
    <n v="202507"/>
    <x v="1"/>
    <x v="6"/>
    <s v="Sebastián S"/>
    <s v="Rodolfo O"/>
    <n v="81105"/>
    <n v="5779519"/>
    <n v="71.260047043010772"/>
    <n v="103473.74660360924"/>
    <n v="78"/>
    <n v="74.5"/>
    <n v="55.854929967312174"/>
    <n v="6256489"/>
  </r>
  <r>
    <x v="49"/>
    <n v="202408"/>
    <x v="2"/>
    <x v="5"/>
    <s v="Sebastián S"/>
    <s v="Vik E"/>
    <n v="81090"/>
    <n v="5031017"/>
    <n v="62.042251344086033"/>
    <n v="0"/>
    <n v="66"/>
    <n v="64.5"/>
    <m/>
    <n v="0"/>
  </r>
  <r>
    <x v="63"/>
    <n v="202411"/>
    <x v="2"/>
    <x v="7"/>
    <s v="Sebastián S"/>
    <s v="Johanna V"/>
    <n v="81089"/>
    <n v="8425041"/>
    <n v="103.89837499999999"/>
    <n v="0"/>
    <n v="123"/>
    <n v="115.5"/>
    <m/>
    <n v="0"/>
  </r>
  <r>
    <x v="58"/>
    <n v="202604"/>
    <x v="0"/>
    <x v="9"/>
    <s v="Sebastián S"/>
    <s v="Rodolfo O"/>
    <n v="81081"/>
    <n v="4520291"/>
    <n v="55.750430555556157"/>
    <n v="0.72659550199253531"/>
    <n v="66.5"/>
    <n v="63.5"/>
    <n v="54.652141241039438"/>
    <n v="40"/>
  </r>
  <r>
    <x v="34"/>
    <n v="202601"/>
    <x v="0"/>
    <x v="10"/>
    <s v="Hernán P"/>
    <s v="Daniel R"/>
    <n v="81075"/>
    <n v="1082863"/>
    <n v="13.356310483870963"/>
    <n v="77960.377335376979"/>
    <n v="15"/>
    <n v="15"/>
    <n v="13.971887755419019"/>
    <n v="1089254"/>
  </r>
  <r>
    <x v="76"/>
    <n v="202501"/>
    <x v="1"/>
    <x v="10"/>
    <s v="Hernán P"/>
    <s v="Daniel R"/>
    <n v="81047"/>
    <n v="7228036"/>
    <n v="89.183057795698829"/>
    <n v="93218.193621724087"/>
    <n v="106"/>
    <n v="94.5"/>
    <n v="77.538901465212888"/>
    <n v="7587102"/>
  </r>
  <r>
    <x v="58"/>
    <n v="202411"/>
    <x v="2"/>
    <x v="7"/>
    <s v="Sebastián S"/>
    <s v="Rodolfo O"/>
    <n v="81031"/>
    <n v="5061736"/>
    <n v="62.466347222222225"/>
    <n v="0"/>
    <n v="66.5"/>
    <n v="63.5"/>
    <m/>
    <n v="0"/>
  </r>
  <r>
    <x v="48"/>
    <n v="202402"/>
    <x v="2"/>
    <x v="2"/>
    <s v="Hernán P"/>
    <s v="Daniel R"/>
    <n v="80992"/>
    <n v="5619169"/>
    <n v="69.379655172413763"/>
    <n v="0"/>
    <n v="79.5"/>
    <n v="72.5"/>
    <m/>
    <n v="0"/>
  </r>
  <r>
    <x v="7"/>
    <n v="202406"/>
    <x v="2"/>
    <x v="11"/>
    <s v="Sebastián S"/>
    <s v="Rodolfo O"/>
    <n v="80990"/>
    <n v="5331749"/>
    <n v="65.832083333333344"/>
    <n v="0"/>
    <n v="65.5"/>
    <n v="63"/>
    <m/>
    <n v="0"/>
  </r>
  <r>
    <x v="63"/>
    <n v="202401"/>
    <x v="2"/>
    <x v="10"/>
    <s v="Sebastián S"/>
    <s v="Johanna V"/>
    <n v="80973"/>
    <n v="8786266"/>
    <n v="108.50912634408603"/>
    <n v="0"/>
    <n v="123"/>
    <n v="115.5"/>
    <m/>
    <n v="0"/>
  </r>
  <r>
    <x v="12"/>
    <n v="202509"/>
    <x v="1"/>
    <x v="4"/>
    <s v="Sofía V"/>
    <s v="Melany A"/>
    <n v="80970"/>
    <n v="7045983"/>
    <n v="87.01952777777781"/>
    <n v="93056.923370737757"/>
    <n v="96.5"/>
    <n v="94"/>
    <n v="75.716908154473174"/>
    <n v="8175093"/>
  </r>
  <r>
    <x v="33"/>
    <n v="202502"/>
    <x v="1"/>
    <x v="2"/>
    <s v="Sofía V"/>
    <s v="José A"/>
    <n v="80936"/>
    <n v="7016319"/>
    <n v="86.689322916666669"/>
    <n v="95300.420678713504"/>
    <n v="93.5"/>
    <n v="94"/>
    <n v="73.623165879342025"/>
    <n v="7351554"/>
  </r>
  <r>
    <x v="85"/>
    <n v="202412"/>
    <x v="2"/>
    <x v="1"/>
    <s v="Hernán P"/>
    <s v="Daniel R"/>
    <n v="80905"/>
    <n v="3518328"/>
    <n v="43.487311827956972"/>
    <n v="0"/>
    <n v="44"/>
    <n v="40.5"/>
    <m/>
    <n v="0"/>
  </r>
  <r>
    <x v="13"/>
    <n v="202505"/>
    <x v="1"/>
    <x v="3"/>
    <s v="Sebastián S"/>
    <s v="Rodolfo O"/>
    <n v="80898"/>
    <n v="5883356"/>
    <n v="72.725813172043019"/>
    <n v="91146.985161531993"/>
    <n v="78"/>
    <n v="74.5"/>
    <n v="64.54799980025048"/>
    <n v="5856529"/>
  </r>
  <r>
    <x v="40"/>
    <n v="202404"/>
    <x v="2"/>
    <x v="9"/>
    <s v="Sebastián S"/>
    <s v="Johanna V"/>
    <n v="80855"/>
    <n v="8865639"/>
    <n v="109.64921527777783"/>
    <n v="0"/>
    <n v="106"/>
    <n v="102.5"/>
    <m/>
    <n v="0"/>
  </r>
  <r>
    <x v="85"/>
    <n v="202604"/>
    <x v="0"/>
    <x v="9"/>
    <s v="Hernán P"/>
    <s v="Daniel R"/>
    <n v="80841"/>
    <n v="2621415"/>
    <n v="32.426916666666344"/>
    <n v="72670.309288202552"/>
    <n v="44"/>
    <n v="40.5"/>
    <n v="35.762421795855829"/>
    <n v="2598866"/>
  </r>
  <r>
    <x v="77"/>
    <n v="202603"/>
    <x v="0"/>
    <x v="0"/>
    <s v="Fátima L"/>
    <s v="Fátima L"/>
    <n v="80805"/>
    <n v="1065936"/>
    <n v="13.191471774193545"/>
    <n v="75184.089641100916"/>
    <n v="17"/>
    <n v="13.5"/>
    <n v="14.845130740132706"/>
    <n v="1116118"/>
  </r>
  <r>
    <x v="23"/>
    <n v="202409"/>
    <x v="2"/>
    <x v="4"/>
    <s v="Sebastián S"/>
    <s v="Rodolfo O"/>
    <n v="80790"/>
    <n v="7013200"/>
    <n v="86.807583333333341"/>
    <n v="0"/>
    <n v="94.5"/>
    <n v="97"/>
    <m/>
    <n v="0"/>
  </r>
  <r>
    <x v="38"/>
    <n v="202502"/>
    <x v="1"/>
    <x v="2"/>
    <s v="Sofía V"/>
    <s v="Melany A"/>
    <n v="80787"/>
    <n v="4488193"/>
    <n v="55.556041666666658"/>
    <n v="77810.029985158166"/>
    <n v="56"/>
    <n v="60"/>
    <n v="57.681417946453656"/>
    <n v="4358399"/>
  </r>
  <r>
    <x v="66"/>
    <n v="202601"/>
    <x v="0"/>
    <x v="10"/>
    <s v="Sebastián S"/>
    <s v="Rodolfo O"/>
    <n v="80779"/>
    <n v="4115539"/>
    <n v="50.948051075268829"/>
    <n v="77607.061447787404"/>
    <n v="55"/>
    <n v="55.5"/>
    <n v="48.91205759483401"/>
    <n v="3795921"/>
  </r>
  <r>
    <x v="50"/>
    <n v="202508"/>
    <x v="1"/>
    <x v="5"/>
    <s v="Sebastián S"/>
    <s v="Vik E"/>
    <n v="80753"/>
    <n v="4926099"/>
    <n v="61.002412634408614"/>
    <n v="89709.399790351497"/>
    <n v="75.5"/>
    <n v="74"/>
    <n v="54.911733569861816"/>
    <n v="5888809"/>
  </r>
  <r>
    <x v="34"/>
    <n v="202408"/>
    <x v="2"/>
    <x v="5"/>
    <s v="Hernán P"/>
    <s v="Daniel R"/>
    <n v="80711"/>
    <n v="1061406"/>
    <n v="13.150685483870969"/>
    <n v="0"/>
    <n v="15"/>
    <n v="15"/>
    <m/>
    <n v="0"/>
  </r>
  <r>
    <x v="24"/>
    <n v="202509"/>
    <x v="1"/>
    <x v="4"/>
    <s v="Sofía V"/>
    <s v="Joe H"/>
    <n v="80690"/>
    <n v="5084173"/>
    <n v="63.009041666666711"/>
    <n v="86201.753670146092"/>
    <n v="71"/>
    <n v="74.5"/>
    <n v="58.979924230483292"/>
    <n v="5697628"/>
  </r>
  <r>
    <x v="45"/>
    <n v="202504"/>
    <x v="1"/>
    <x v="9"/>
    <s v="Sofía V"/>
    <s v="Joe H"/>
    <n v="80689"/>
    <n v="5208389"/>
    <n v="64.548604166666678"/>
    <n v="81922.097432170194"/>
    <n v="68"/>
    <n v="68.5"/>
    <n v="63.577334971341998"/>
    <n v="5195908"/>
  </r>
  <r>
    <x v="67"/>
    <n v="202511"/>
    <x v="1"/>
    <x v="7"/>
    <s v="Hernán P"/>
    <s v="Daniel R"/>
    <n v="80689"/>
    <n v="1083715"/>
    <n v="13.430763888888887"/>
    <n v="93385.176145521516"/>
    <n v="15.5"/>
    <n v="14.5"/>
    <n v="11.604783914646735"/>
    <n v="1173083"/>
  </r>
  <r>
    <x v="72"/>
    <n v="202601"/>
    <x v="0"/>
    <x v="10"/>
    <s v="Sebastián S"/>
    <s v="Vik E"/>
    <n v="80688"/>
    <n v="5251866"/>
    <n v="65.088380376344119"/>
    <n v="74553.798546937265"/>
    <n v="79.5"/>
    <n v="67"/>
    <n v="68.682661472657543"/>
    <n v="5120553"/>
  </r>
  <r>
    <x v="51"/>
    <n v="202509"/>
    <x v="1"/>
    <x v="4"/>
    <s v="Sofía V"/>
    <s v="Melany A"/>
    <n v="80664"/>
    <n v="2449280"/>
    <n v="30.363909722222228"/>
    <n v="72039.14306591262"/>
    <n v="43.5"/>
    <n v="41"/>
    <n v="33.99929435250246"/>
    <n v="3032705"/>
  </r>
  <r>
    <x v="53"/>
    <n v="202410"/>
    <x v="2"/>
    <x v="8"/>
    <s v="Sebastián S"/>
    <s v="Johanna V"/>
    <n v="80651"/>
    <n v="4383693"/>
    <n v="54.354153225806463"/>
    <n v="0"/>
    <n v="68"/>
    <n v="60.5"/>
    <m/>
    <n v="0"/>
  </r>
  <r>
    <x v="14"/>
    <n v="202501"/>
    <x v="1"/>
    <x v="10"/>
    <s v="Sofía V"/>
    <s v="Melany A"/>
    <n v="80642"/>
    <n v="4628856"/>
    <n v="57.399811827956981"/>
    <n v="91257.943548469368"/>
    <n v="59.5"/>
    <n v="55.5"/>
    <n v="50.722769438054456"/>
    <n v="4589469"/>
  </r>
  <r>
    <x v="70"/>
    <n v="202403"/>
    <x v="2"/>
    <x v="0"/>
    <s v="Sebastián S"/>
    <s v="Vik E"/>
    <n v="80642"/>
    <n v="4649128"/>
    <n v="57.651538978494628"/>
    <n v="0"/>
    <n v="60.5"/>
    <n v="57.5"/>
    <m/>
    <n v="0"/>
  </r>
  <r>
    <x v="64"/>
    <n v="202603"/>
    <x v="0"/>
    <x v="0"/>
    <s v="Sebastián S"/>
    <s v="Johanna V"/>
    <n v="80606"/>
    <n v="5415183"/>
    <n v="67.18113575268822"/>
    <n v="94289.943897132296"/>
    <n v="75.5"/>
    <n v="70.5"/>
    <n v="63.423114179855602"/>
    <n v="5980162"/>
  </r>
  <r>
    <x v="13"/>
    <n v="202410"/>
    <x v="2"/>
    <x v="8"/>
    <s v="Sebastián S"/>
    <s v="Rodolfo O"/>
    <n v="80600"/>
    <n v="5660171"/>
    <n v="70.225430107526876"/>
    <n v="0"/>
    <n v="78"/>
    <n v="74.5"/>
    <m/>
    <n v="0"/>
  </r>
  <r>
    <x v="54"/>
    <n v="202401"/>
    <x v="2"/>
    <x v="10"/>
    <s v="Sebastián S"/>
    <s v="Rodolfo O"/>
    <n v="80596"/>
    <n v="6096167"/>
    <n v="75.63871639784945"/>
    <n v="0"/>
    <n v="80"/>
    <n v="80.5"/>
    <m/>
    <n v="0"/>
  </r>
  <r>
    <x v="54"/>
    <n v="202601"/>
    <x v="0"/>
    <x v="10"/>
    <s v="Sebastián S"/>
    <s v="Rodolfo O"/>
    <n v="80592"/>
    <n v="5597127"/>
    <n v="69.450349462365566"/>
    <n v="88919.811370560012"/>
    <n v="80"/>
    <n v="80.5"/>
    <n v="67.651321791845987"/>
    <n v="6015543"/>
  </r>
  <r>
    <x v="41"/>
    <n v="202506"/>
    <x v="1"/>
    <x v="11"/>
    <s v="Sebastián S"/>
    <s v="Rodolfo O"/>
    <n v="80556"/>
    <n v="4738187"/>
    <n v="58.818812500000007"/>
    <n v="87910.189869382215"/>
    <n v="64.5"/>
    <n v="64"/>
    <n v="53.89804489149715"/>
    <n v="5451637"/>
  </r>
  <r>
    <x v="26"/>
    <n v="202502"/>
    <x v="1"/>
    <x v="2"/>
    <s v="Sofía V"/>
    <s v="Melany A"/>
    <n v="80553"/>
    <n v="4030102"/>
    <n v="50.030572916666671"/>
    <n v="92973.120480327198"/>
    <n v="55"/>
    <n v="50.5"/>
    <n v="43.346954573314079"/>
    <n v="4378070"/>
  </r>
  <r>
    <x v="11"/>
    <n v="202511"/>
    <x v="1"/>
    <x v="7"/>
    <s v="Sofía V"/>
    <s v="José A"/>
    <n v="80507"/>
    <n v="7176236"/>
    <n v="89.138340277777758"/>
    <n v="124578.41135606587"/>
    <n v="86.5"/>
    <n v="81.5"/>
    <n v="57.604167141681728"/>
    <n v="9622004"/>
  </r>
  <r>
    <x v="87"/>
    <n v="202605"/>
    <x v="0"/>
    <x v="3"/>
    <s v="Fátima L"/>
    <s v="Fátima L"/>
    <n v="80486"/>
    <n v="708196"/>
    <n v="8.7989717741935607"/>
    <n v="63706.335748179983"/>
    <n v="11"/>
    <n v="11"/>
    <n v="10.04229432420742"/>
    <n v="639758"/>
  </r>
  <r>
    <x v="53"/>
    <n v="202403"/>
    <x v="2"/>
    <x v="0"/>
    <s v="Sebastián S"/>
    <s v="Johanna V"/>
    <n v="80478"/>
    <n v="5332739"/>
    <n v="66.262997311827945"/>
    <n v="0"/>
    <n v="68"/>
    <n v="60.5"/>
    <m/>
    <n v="0"/>
  </r>
  <r>
    <x v="27"/>
    <n v="202509"/>
    <x v="1"/>
    <x v="4"/>
    <s v="Sofía V"/>
    <s v="Joe H"/>
    <n v="80472"/>
    <n v="4490843"/>
    <n v="55.806430555555579"/>
    <n v="78682.881109381735"/>
    <n v="62"/>
    <n v="58"/>
    <n v="57.075221403713151"/>
    <n v="4443406"/>
  </r>
  <r>
    <x v="28"/>
    <n v="202405"/>
    <x v="2"/>
    <x v="3"/>
    <s v="Sebastián S"/>
    <s v="Rodolfo O"/>
    <n v="80468"/>
    <n v="5128183"/>
    <n v="63.729260752688162"/>
    <n v="0"/>
    <n v="65.5"/>
    <n v="66"/>
    <m/>
    <n v="0"/>
  </r>
  <r>
    <x v="53"/>
    <n v="202509"/>
    <x v="1"/>
    <x v="4"/>
    <s v="Sebastián S"/>
    <s v="Johanna V"/>
    <n v="80467"/>
    <n v="4634996"/>
    <n v="57.601250000000007"/>
    <n v="87375.09324793327"/>
    <n v="68"/>
    <n v="60.5"/>
    <n v="53.047112142677264"/>
    <n v="5316645"/>
  </r>
  <r>
    <x v="85"/>
    <n v="202511"/>
    <x v="1"/>
    <x v="7"/>
    <s v="Hernán P"/>
    <s v="Daniel R"/>
    <n v="80405"/>
    <n v="2522201"/>
    <n v="31.368652777777786"/>
    <n v="71384.987120585036"/>
    <n v="44"/>
    <n v="40.5"/>
    <n v="35.33237942229286"/>
    <n v="2780717"/>
  </r>
  <r>
    <x v="78"/>
    <n v="202403"/>
    <x v="2"/>
    <x v="0"/>
    <s v="Sebastián S"/>
    <s v="Vik E"/>
    <n v="80395"/>
    <n v="4662714"/>
    <n v="57.997352150537637"/>
    <n v="0"/>
    <n v="63"/>
    <n v="59"/>
    <m/>
    <n v="0"/>
  </r>
  <r>
    <x v="23"/>
    <n v="202506"/>
    <x v="1"/>
    <x v="11"/>
    <s v="Sebastián S"/>
    <s v="Rodolfo O"/>
    <n v="80382"/>
    <n v="7180788"/>
    <n v="89.333222222222176"/>
    <n v="98800.228895611188"/>
    <n v="94.5"/>
    <n v="97"/>
    <n v="72.679874330928584"/>
    <n v="8041615"/>
  </r>
  <r>
    <x v="79"/>
    <n v="202604"/>
    <x v="0"/>
    <x v="9"/>
    <s v="Sebastián S"/>
    <s v="Vik E"/>
    <n v="80351"/>
    <n v="5833789"/>
    <n v="72.603611111113267"/>
    <n v="82469.33969803201"/>
    <n v="84.5"/>
    <n v="78.5"/>
    <n v="72.494656792343278"/>
    <n v="5978586"/>
  </r>
  <r>
    <x v="58"/>
    <n v="202506"/>
    <x v="1"/>
    <x v="11"/>
    <s v="Sebastián S"/>
    <s v="Rodolfo O"/>
    <n v="80314"/>
    <n v="4519456"/>
    <n v="56.272319444444442"/>
    <n v="79829.458442668125"/>
    <n v="66.5"/>
    <n v="63.5"/>
    <n v="56.613888508911529"/>
    <n v="5198423"/>
  </r>
  <r>
    <x v="94"/>
    <n v="202512"/>
    <x v="1"/>
    <x v="1"/>
    <s v="Hernán P"/>
    <s v="Daniel R"/>
    <n v="80289"/>
    <n v="2688953"/>
    <n v="33.490766129032238"/>
    <n v="63630.288393154886"/>
    <n v="33"/>
    <n v="31.5"/>
    <n v="42.259004287166924"/>
    <n v="3441665"/>
  </r>
  <r>
    <x v="61"/>
    <n v="202509"/>
    <x v="1"/>
    <x v="4"/>
    <s v="Sofía V"/>
    <s v="Joe H"/>
    <n v="80252"/>
    <n v="2616925"/>
    <n v="32.608722222222234"/>
    <n v="76231.525006994416"/>
    <n v="41.5"/>
    <n v="35.5"/>
    <n v="34.328651037217107"/>
    <n v="2103864"/>
  </r>
  <r>
    <x v="67"/>
    <n v="202402"/>
    <x v="2"/>
    <x v="2"/>
    <s v="Hernán P"/>
    <s v="Daniel R"/>
    <n v="80237"/>
    <n v="1056997"/>
    <n v="13.173376436781613"/>
    <n v="0"/>
    <n v="15.5"/>
    <n v="14.5"/>
    <m/>
    <n v="0"/>
  </r>
  <r>
    <x v="53"/>
    <n v="202411"/>
    <x v="2"/>
    <x v="7"/>
    <s v="Sebastián S"/>
    <s v="Johanna V"/>
    <n v="80216"/>
    <n v="4491912"/>
    <n v="55.997472222222207"/>
    <n v="0"/>
    <n v="68"/>
    <n v="60.5"/>
    <m/>
    <n v="0"/>
  </r>
  <r>
    <x v="39"/>
    <n v="202408"/>
    <x v="2"/>
    <x v="5"/>
    <s v="Sofía V"/>
    <s v="Melany A"/>
    <n v="80211"/>
    <n v="4977322"/>
    <n v="62.052600806451615"/>
    <n v="0"/>
    <n v="60.5"/>
    <n v="60.5"/>
    <m/>
    <n v="0"/>
  </r>
  <r>
    <x v="39"/>
    <n v="202509"/>
    <x v="1"/>
    <x v="4"/>
    <s v="Sofía V"/>
    <s v="Melany A"/>
    <n v="80198"/>
    <n v="3987921"/>
    <n v="49.725812500000004"/>
    <n v="74963.803301727967"/>
    <n v="60.5"/>
    <n v="60.5"/>
    <n v="53.197951335909281"/>
    <n v="4871290"/>
  </r>
  <r>
    <x v="95"/>
    <n v="202605"/>
    <x v="0"/>
    <x v="3"/>
    <s v="Fátima L"/>
    <s v="Fátima L"/>
    <n v="80186"/>
    <n v="359753"/>
    <n v="4.4864919354838682"/>
    <n v="45816.244808223208"/>
    <n v="8.5"/>
    <n v="6.5"/>
    <n v="7.4225653700663532"/>
    <n v="340074"/>
  </r>
  <r>
    <x v="27"/>
    <n v="202402"/>
    <x v="2"/>
    <x v="2"/>
    <s v="Sofía V"/>
    <s v="Joe H"/>
    <n v="80177"/>
    <n v="5038490"/>
    <n v="62.841997126436766"/>
    <n v="0"/>
    <n v="62"/>
    <n v="58"/>
    <m/>
    <n v="0"/>
  </r>
  <r>
    <x v="49"/>
    <n v="202601"/>
    <x v="0"/>
    <x v="10"/>
    <s v="Sebastián S"/>
    <s v="Vik E"/>
    <n v="80169"/>
    <n v="4687882"/>
    <n v="58.475073924731198"/>
    <n v="88928.679485193294"/>
    <n v="66"/>
    <n v="64.5"/>
    <n v="56.772923994003754"/>
    <n v="5048741"/>
  </r>
  <r>
    <x v="18"/>
    <n v="202508"/>
    <x v="1"/>
    <x v="5"/>
    <s v="Sofía V"/>
    <s v="Joe H"/>
    <n v="80140"/>
    <n v="3532919"/>
    <n v="44.084428763440854"/>
    <n v="86799.994177391316"/>
    <n v="50.5"/>
    <n v="51.5"/>
    <n v="40.701830840908222"/>
    <n v="3916313"/>
  </r>
  <r>
    <x v="23"/>
    <n v="202504"/>
    <x v="1"/>
    <x v="9"/>
    <s v="Sebastián S"/>
    <s v="Rodolfo O"/>
    <n v="80139"/>
    <n v="7178766"/>
    <n v="89.578951388888967"/>
    <n v="79749.181192483389"/>
    <n v="94.5"/>
    <n v="97"/>
    <n v="90.016794688753777"/>
    <n v="7789994"/>
  </r>
  <r>
    <x v="54"/>
    <n v="202502"/>
    <x v="1"/>
    <x v="2"/>
    <s v="Sebastián S"/>
    <s v="Rodolfo O"/>
    <n v="80136"/>
    <n v="6126513"/>
    <n v="76.451562500000009"/>
    <n v="81904.7769617265"/>
    <n v="80"/>
    <n v="80.5"/>
    <n v="74.800437376966116"/>
    <n v="6225962"/>
  </r>
  <r>
    <x v="78"/>
    <n v="202503"/>
    <x v="1"/>
    <x v="0"/>
    <s v="Sebastián S"/>
    <s v="Vik E"/>
    <n v="80110"/>
    <n v="4986772"/>
    <n v="62.24933467741937"/>
    <n v="84415.059109808251"/>
    <n v="63"/>
    <n v="59"/>
    <n v="59.074431773045845"/>
    <n v="4784363"/>
  </r>
  <r>
    <x v="47"/>
    <n v="202504"/>
    <x v="1"/>
    <x v="9"/>
    <s v="Sebastián S"/>
    <s v="Vik E"/>
    <n v="80091"/>
    <n v="4308565"/>
    <n v="53.796118055555596"/>
    <n v="72763.565155717224"/>
    <n v="61.5"/>
    <n v="48.5"/>
    <n v="59.21322423907462"/>
    <n v="4799193"/>
  </r>
  <r>
    <x v="51"/>
    <n v="202605"/>
    <x v="0"/>
    <x v="3"/>
    <s v="Sofía V"/>
    <s v="Melany A"/>
    <n v="80080"/>
    <n v="2870301"/>
    <n v="35.843057795699536"/>
    <n v="79000.43758927111"/>
    <n v="43.5"/>
    <n v="41"/>
    <n v="38.914029696684921"/>
    <n v="3074225"/>
  </r>
  <r>
    <x v="61"/>
    <n v="202412"/>
    <x v="2"/>
    <x v="1"/>
    <s v="Sofía V"/>
    <s v="Joe H"/>
    <n v="80060"/>
    <n v="3354876"/>
    <n v="41.904690860215062"/>
    <n v="0"/>
    <n v="41.5"/>
    <n v="35.5"/>
    <m/>
    <n v="0"/>
  </r>
  <r>
    <x v="52"/>
    <n v="202405"/>
    <x v="2"/>
    <x v="3"/>
    <s v="Sebastián S"/>
    <s v="Vik E"/>
    <n v="80059"/>
    <n v="6266914"/>
    <n v="78.278252688172088"/>
    <n v="0"/>
    <n v="80"/>
    <n v="78"/>
    <m/>
    <n v="0"/>
  </r>
  <r>
    <x v="77"/>
    <n v="202405"/>
    <x v="2"/>
    <x v="3"/>
    <s v="Fátima L"/>
    <s v="Fátima L"/>
    <n v="80058"/>
    <n v="1027138"/>
    <n v="12.829946236559142"/>
    <n v="0"/>
    <n v="17"/>
    <n v="13.5"/>
    <m/>
    <n v="0"/>
  </r>
  <r>
    <x v="89"/>
    <n v="202603"/>
    <x v="0"/>
    <x v="0"/>
    <s v="Sebastián S"/>
    <s v="Rodolfo O"/>
    <n v="80035"/>
    <n v="2493929"/>
    <n v="31.160678763440849"/>
    <n v="83393.469950881772"/>
    <n v="34"/>
    <n v="34"/>
    <n v="29.696606396863505"/>
    <n v="2476503"/>
  </r>
  <r>
    <x v="39"/>
    <n v="202501"/>
    <x v="1"/>
    <x v="10"/>
    <s v="Sofía V"/>
    <s v="Melany A"/>
    <n v="80011"/>
    <n v="4657651"/>
    <n v="58.21295026881721"/>
    <n v="79072.291288082677"/>
    <n v="60.5"/>
    <n v="60.5"/>
    <n v="58.903708671231762"/>
    <n v="4994759"/>
  </r>
  <r>
    <x v="46"/>
    <n v="202504"/>
    <x v="1"/>
    <x v="9"/>
    <s v="Sofía V"/>
    <s v="José A"/>
    <n v="79991"/>
    <n v="4187109"/>
    <n v="52.345027777777773"/>
    <n v="74188.884091300308"/>
    <n v="58"/>
    <n v="58.5"/>
    <n v="56.438497509238019"/>
    <n v="4427102"/>
  </r>
  <r>
    <x v="56"/>
    <n v="202506"/>
    <x v="1"/>
    <x v="11"/>
    <s v="Sofía V"/>
    <s v="Joe H"/>
    <n v="79984"/>
    <n v="5705212"/>
    <n v="71.329805555555552"/>
    <n v="85472.870323763447"/>
    <n v="79.5"/>
    <n v="81.5"/>
    <n v="66.748811153634762"/>
    <n v="5978112"/>
  </r>
  <r>
    <x v="62"/>
    <n v="202401"/>
    <x v="2"/>
    <x v="10"/>
    <s v="Sebastián S"/>
    <s v="Vik E"/>
    <n v="79965"/>
    <n v="4631560"/>
    <n v="57.919731182795715"/>
    <n v="0"/>
    <n v="65"/>
    <n v="67.5"/>
    <m/>
    <n v="0"/>
  </r>
  <r>
    <x v="43"/>
    <n v="202410"/>
    <x v="2"/>
    <x v="8"/>
    <s v="Sofía V"/>
    <s v="José A"/>
    <n v="79964"/>
    <n v="2151441"/>
    <n v="26.904979838709675"/>
    <n v="0"/>
    <n v="32.5"/>
    <n v="32"/>
    <m/>
    <n v="0"/>
  </r>
  <r>
    <x v="79"/>
    <n v="202408"/>
    <x v="2"/>
    <x v="5"/>
    <s v="Sebastián S"/>
    <s v="Vik E"/>
    <n v="79948"/>
    <n v="5652288"/>
    <n v="70.699905913978469"/>
    <n v="0"/>
    <n v="84.5"/>
    <n v="78.5"/>
    <m/>
    <n v="0"/>
  </r>
  <r>
    <x v="38"/>
    <n v="202509"/>
    <x v="1"/>
    <x v="4"/>
    <s v="Sofía V"/>
    <s v="Melany A"/>
    <n v="79942"/>
    <n v="3990594"/>
    <n v="49.918506944444474"/>
    <n v="64830.257137422894"/>
    <n v="56"/>
    <n v="60"/>
    <n v="61.554499954257516"/>
    <n v="4133638"/>
  </r>
  <r>
    <x v="3"/>
    <n v="202402"/>
    <x v="2"/>
    <x v="2"/>
    <s v="Sebastián S"/>
    <s v="Rodolfo O"/>
    <n v="79933"/>
    <n v="7788662"/>
    <n v="97.439446839080517"/>
    <n v="0"/>
    <n v="98.5"/>
    <n v="96.5"/>
    <m/>
    <n v="0"/>
  </r>
  <r>
    <x v="73"/>
    <n v="202407"/>
    <x v="2"/>
    <x v="6"/>
    <s v="Fátima L"/>
    <s v="Fátima L"/>
    <n v="79913"/>
    <n v="1013992"/>
    <n v="12.688629032258069"/>
    <n v="0"/>
    <n v="13.5"/>
    <n v="12"/>
    <m/>
    <n v="0"/>
  </r>
  <r>
    <x v="9"/>
    <n v="202501"/>
    <x v="1"/>
    <x v="10"/>
    <s v="Sofía V"/>
    <s v="Joe H"/>
    <n v="79905"/>
    <n v="5105255"/>
    <n v="63.891323924731175"/>
    <n v="91532.413902217522"/>
    <n v="70.5"/>
    <n v="69.5"/>
    <n v="55.775380352733357"/>
    <n v="4999534"/>
  </r>
  <r>
    <x v="77"/>
    <n v="202601"/>
    <x v="0"/>
    <x v="10"/>
    <s v="Fátima L"/>
    <s v="Fátima L"/>
    <n v="79900"/>
    <n v="974815"/>
    <n v="12.200416666666666"/>
    <n v="72045.69236353111"/>
    <n v="17"/>
    <n v="13.5"/>
    <n v="14.845130740132706"/>
    <n v="1069528"/>
  </r>
  <r>
    <x v="56"/>
    <n v="202405"/>
    <x v="2"/>
    <x v="3"/>
    <s v="Sofía V"/>
    <s v="Joe H"/>
    <n v="79898"/>
    <n v="5834515"/>
    <n v="73.024865591397884"/>
    <n v="0"/>
    <n v="79.5"/>
    <n v="81.5"/>
    <m/>
    <n v="0"/>
  </r>
  <r>
    <x v="19"/>
    <n v="202404"/>
    <x v="2"/>
    <x v="9"/>
    <s v="Sofía V"/>
    <s v="Joe H"/>
    <n v="79897"/>
    <n v="4232878"/>
    <n v="52.979354166666674"/>
    <n v="0"/>
    <n v="57.5"/>
    <n v="56.5"/>
    <m/>
    <n v="0"/>
  </r>
  <r>
    <x v="49"/>
    <n v="202406"/>
    <x v="2"/>
    <x v="11"/>
    <s v="Sebastián S"/>
    <s v="Vik E"/>
    <n v="79896"/>
    <n v="4977454"/>
    <n v="62.299027777777773"/>
    <n v="0"/>
    <n v="66"/>
    <n v="64.5"/>
    <m/>
    <n v="0"/>
  </r>
  <r>
    <x v="59"/>
    <n v="202601"/>
    <x v="0"/>
    <x v="10"/>
    <s v="Sebastián S"/>
    <s v="Johanna V"/>
    <n v="79893"/>
    <n v="8710152"/>
    <n v="109.02208333333334"/>
    <n v="96325.755267299843"/>
    <n v="118"/>
    <n v="106"/>
    <n v="102.17544085783207"/>
    <n v="9842127"/>
  </r>
  <r>
    <x v="76"/>
    <n v="202410"/>
    <x v="2"/>
    <x v="8"/>
    <s v="Hernán P"/>
    <s v="Daniel R"/>
    <n v="79888"/>
    <n v="7280314"/>
    <n v="91.131202956989213"/>
    <n v="0"/>
    <n v="106"/>
    <n v="94.5"/>
    <m/>
    <n v="0"/>
  </r>
  <r>
    <x v="71"/>
    <n v="202406"/>
    <x v="2"/>
    <x v="11"/>
    <s v="Sebastián S"/>
    <s v="Rodolfo O"/>
    <n v="79886"/>
    <n v="4266260"/>
    <n v="53.404361111111093"/>
    <n v="0"/>
    <n v="53.5"/>
    <n v="54"/>
    <m/>
    <n v="0"/>
  </r>
  <r>
    <x v="46"/>
    <n v="202506"/>
    <x v="1"/>
    <x v="11"/>
    <s v="Sofía V"/>
    <s v="José A"/>
    <n v="79872"/>
    <n v="4380564"/>
    <n v="54.844756944444448"/>
    <n v="82543.236507142123"/>
    <n v="58"/>
    <n v="58.5"/>
    <n v="53.069930927907912"/>
    <n v="4376185"/>
  </r>
  <r>
    <x v="79"/>
    <n v="202507"/>
    <x v="1"/>
    <x v="6"/>
    <s v="Sebastián S"/>
    <s v="Vik E"/>
    <n v="79825"/>
    <n v="5545947"/>
    <n v="69.476176075268839"/>
    <n v="72752.896810425926"/>
    <n v="84.5"/>
    <n v="78.5"/>
    <n v="76.229915689147276"/>
    <n v="6386710"/>
  </r>
  <r>
    <x v="41"/>
    <n v="202606"/>
    <x v="0"/>
    <x v="11"/>
    <s v="Sebastián S"/>
    <s v="Rodolfo O"/>
    <n v="79818"/>
    <n v="4650391"/>
    <n v="58.262798611110945"/>
    <n v="88164.097580068483"/>
    <n v="64.5"/>
    <n v="64"/>
    <n v="54.966698955874868"/>
    <n v="4846089"/>
  </r>
  <r>
    <x v="40"/>
    <n v="202402"/>
    <x v="2"/>
    <x v="2"/>
    <s v="Sebastián S"/>
    <s v="Johanna V"/>
    <n v="79814"/>
    <n v="8860120"/>
    <n v="111.00928879310347"/>
    <n v="0"/>
    <n v="106"/>
    <n v="102.5"/>
    <m/>
    <n v="0"/>
  </r>
  <r>
    <x v="51"/>
    <n v="202601"/>
    <x v="0"/>
    <x v="10"/>
    <s v="Sofía V"/>
    <s v="Melany A"/>
    <n v="79811"/>
    <n v="2903155"/>
    <n v="36.375490591397835"/>
    <n v="78530.163900253523"/>
    <n v="43.5"/>
    <n v="41"/>
    <n v="38.914029696684921"/>
    <n v="3055925"/>
  </r>
  <r>
    <x v="19"/>
    <n v="202410"/>
    <x v="2"/>
    <x v="8"/>
    <s v="Sofía V"/>
    <s v="Joe H"/>
    <n v="79766"/>
    <n v="4129793"/>
    <n v="51.773749999999978"/>
    <n v="0"/>
    <n v="57.5"/>
    <n v="56.5"/>
    <m/>
    <n v="0"/>
  </r>
  <r>
    <x v="58"/>
    <n v="202601"/>
    <x v="0"/>
    <x v="10"/>
    <s v="Sebastián S"/>
    <s v="Rodolfo O"/>
    <n v="79764"/>
    <n v="4469325"/>
    <n v="56.03203629032258"/>
    <n v="106307.15015859643"/>
    <n v="66.5"/>
    <n v="63.5"/>
    <n v="54.652141241039438"/>
    <n v="5809913"/>
  </r>
  <r>
    <x v="46"/>
    <n v="202401"/>
    <x v="2"/>
    <x v="10"/>
    <s v="Sofía V"/>
    <s v="José A"/>
    <n v="79761"/>
    <n v="4291046"/>
    <n v="53.798763440860192"/>
    <n v="0"/>
    <n v="58"/>
    <n v="58.5"/>
    <m/>
    <n v="0"/>
  </r>
  <r>
    <x v="9"/>
    <n v="202408"/>
    <x v="2"/>
    <x v="5"/>
    <s v="Sofía V"/>
    <s v="Joe H"/>
    <n v="79738"/>
    <n v="5094172"/>
    <n v="63.886149193548377"/>
    <n v="0"/>
    <n v="70.5"/>
    <n v="69.5"/>
    <m/>
    <n v="0"/>
  </r>
  <r>
    <x v="68"/>
    <n v="202511"/>
    <x v="1"/>
    <x v="7"/>
    <s v="Sofía V"/>
    <s v="José A"/>
    <n v="79728"/>
    <n v="3712164"/>
    <n v="46.560402777777774"/>
    <n v="76961.899750229233"/>
    <n v="52"/>
    <n v="52"/>
    <n v="48.233790122741119"/>
    <n v="3463149"/>
  </r>
  <r>
    <x v="60"/>
    <n v="202407"/>
    <x v="2"/>
    <x v="6"/>
    <s v="Sofía V"/>
    <s v="Melany A"/>
    <n v="79727"/>
    <n v="6542878"/>
    <n v="82.066061827956986"/>
    <n v="0"/>
    <n v="88.5"/>
    <n v="92.5"/>
    <m/>
    <n v="0"/>
  </r>
  <r>
    <x v="17"/>
    <n v="202502"/>
    <x v="1"/>
    <x v="2"/>
    <s v="Sofía V"/>
    <s v="Joe H"/>
    <n v="79726"/>
    <n v="6943941"/>
    <n v="87.09739583333328"/>
    <n v="88122.922863839092"/>
    <n v="94"/>
    <n v="92"/>
    <n v="78.798345247005201"/>
    <n v="6951709"/>
  </r>
  <r>
    <x v="73"/>
    <n v="202505"/>
    <x v="1"/>
    <x v="3"/>
    <s v="Fátima L"/>
    <s v="Fátima L"/>
    <n v="79725"/>
    <n v="906853"/>
    <n v="11.374717741935484"/>
    <n v="83404.934987274435"/>
    <n v="13.5"/>
    <n v="12"/>
    <n v="10.87288935766647"/>
    <n v="1027841"/>
  </r>
  <r>
    <x v="62"/>
    <n v="202509"/>
    <x v="1"/>
    <x v="4"/>
    <s v="Sebastián S"/>
    <s v="Vik E"/>
    <n v="79721"/>
    <n v="4517795"/>
    <n v="56.669958333333362"/>
    <n v="82169.027981235136"/>
    <n v="65"/>
    <n v="67.5"/>
    <n v="54.981729746538143"/>
    <n v="4914806"/>
  </r>
  <r>
    <x v="58"/>
    <n v="202504"/>
    <x v="1"/>
    <x v="9"/>
    <s v="Sebastián S"/>
    <s v="Rodolfo O"/>
    <n v="79678"/>
    <n v="4548748"/>
    <n v="57.089083333333342"/>
    <n v="76214.706335448951"/>
    <n v="66.5"/>
    <n v="63.5"/>
    <n v="59.683332767553921"/>
    <n v="5149178"/>
  </r>
  <r>
    <x v="66"/>
    <n v="202407"/>
    <x v="2"/>
    <x v="6"/>
    <s v="Sebastián S"/>
    <s v="Rodolfo O"/>
    <n v="79665"/>
    <n v="4176053"/>
    <n v="52.419885752688167"/>
    <n v="0"/>
    <n v="55"/>
    <n v="55.5"/>
    <m/>
    <n v="0"/>
  </r>
  <r>
    <x v="77"/>
    <n v="202501"/>
    <x v="1"/>
    <x v="10"/>
    <s v="Fátima L"/>
    <s v="Fátima L"/>
    <n v="79628"/>
    <n v="1020760"/>
    <n v="12.819173387096781"/>
    <n v="72940.376952910738"/>
    <n v="17"/>
    <n v="13.5"/>
    <n v="13.994448790126057"/>
    <n v="1051944"/>
  </r>
  <r>
    <x v="76"/>
    <n v="202402"/>
    <x v="2"/>
    <x v="2"/>
    <s v="Hernán P"/>
    <s v="Daniel R"/>
    <n v="79604"/>
    <n v="7100461"/>
    <n v="89.197801724137946"/>
    <n v="0"/>
    <n v="106"/>
    <n v="94.5"/>
    <m/>
    <n v="0"/>
  </r>
  <r>
    <x v="56"/>
    <n v="202502"/>
    <x v="1"/>
    <x v="2"/>
    <s v="Sofía V"/>
    <s v="Joe H"/>
    <n v="79599"/>
    <n v="5633556"/>
    <n v="70.773802083333322"/>
    <n v="82827.353569747269"/>
    <n v="79.5"/>
    <n v="81.5"/>
    <n v="68.015642021643188"/>
    <n v="5595495"/>
  </r>
  <r>
    <x v="83"/>
    <n v="202507"/>
    <x v="1"/>
    <x v="6"/>
    <s v="Hernán P"/>
    <s v="Daniel R"/>
    <n v="79595"/>
    <n v="3194773"/>
    <n v="40.137661290322562"/>
    <n v="73063.855686107418"/>
    <n v="51"/>
    <n v="49"/>
    <n v="43.725760979891248"/>
    <n v="3574441"/>
  </r>
  <r>
    <x v="27"/>
    <n v="202408"/>
    <x v="2"/>
    <x v="5"/>
    <s v="Sofía V"/>
    <s v="Joe H"/>
    <n v="79558"/>
    <n v="4698612"/>
    <n v="59.059254032258067"/>
    <n v="0"/>
    <n v="62"/>
    <n v="58"/>
    <m/>
    <n v="0"/>
  </r>
  <r>
    <x v="41"/>
    <n v="202504"/>
    <x v="1"/>
    <x v="9"/>
    <s v="Sebastián S"/>
    <s v="Rodolfo O"/>
    <n v="79548"/>
    <n v="4763533"/>
    <n v="59.882229166666697"/>
    <n v="80631.405451163882"/>
    <n v="64.5"/>
    <n v="64"/>
    <n v="59.077881544370868"/>
    <n v="5606747"/>
  </r>
  <r>
    <x v="83"/>
    <n v="202412"/>
    <x v="2"/>
    <x v="1"/>
    <s v="Hernán P"/>
    <s v="Daniel R"/>
    <n v="79532"/>
    <n v="4079609"/>
    <n v="51.295228494623657"/>
    <n v="0"/>
    <n v="51"/>
    <n v="49"/>
    <m/>
    <n v="0"/>
  </r>
  <r>
    <x v="60"/>
    <n v="202511"/>
    <x v="1"/>
    <x v="7"/>
    <s v="Sofía V"/>
    <s v="Melany A"/>
    <n v="79527"/>
    <n v="9911960"/>
    <n v="124.63587500000015"/>
    <n v="85313.358183523029"/>
    <n v="88.5"/>
    <n v="92.5"/>
    <n v="116.18297405053198"/>
    <n v="6121273"/>
  </r>
  <r>
    <x v="60"/>
    <n v="202402"/>
    <x v="2"/>
    <x v="2"/>
    <s v="Sofía V"/>
    <s v="Melany A"/>
    <n v="79491"/>
    <n v="6015923"/>
    <n v="75.680208333333354"/>
    <n v="0"/>
    <n v="88.5"/>
    <n v="92.5"/>
    <m/>
    <n v="0"/>
  </r>
  <r>
    <x v="78"/>
    <n v="202605"/>
    <x v="0"/>
    <x v="3"/>
    <s v="Sebastián S"/>
    <s v="Vik E"/>
    <n v="79452"/>
    <n v="3920329"/>
    <n v="49.341861559139687"/>
    <n v="71952.455544634344"/>
    <n v="63"/>
    <n v="59"/>
    <n v="55.026064794188251"/>
    <n v="3959260"/>
  </r>
  <r>
    <x v="73"/>
    <n v="202405"/>
    <x v="2"/>
    <x v="3"/>
    <s v="Fátima L"/>
    <s v="Fátima L"/>
    <n v="79433"/>
    <n v="977833"/>
    <n v="12.310120967741936"/>
    <n v="0"/>
    <n v="13.5"/>
    <n v="12"/>
    <m/>
    <n v="0"/>
  </r>
  <r>
    <x v="67"/>
    <n v="202505"/>
    <x v="1"/>
    <x v="3"/>
    <s v="Hernán P"/>
    <s v="Daniel R"/>
    <n v="79424"/>
    <n v="1083884"/>
    <n v="13.646848118279571"/>
    <n v="73657.536758893257"/>
    <n v="15.5"/>
    <n v="14.5"/>
    <n v="14.715185813882565"/>
    <n v="1095911"/>
  </r>
  <r>
    <x v="49"/>
    <n v="202401"/>
    <x v="2"/>
    <x v="10"/>
    <s v="Sebastián S"/>
    <s v="Vik E"/>
    <n v="79419"/>
    <n v="4992849"/>
    <n v="62.867056451612903"/>
    <n v="0"/>
    <n v="66"/>
    <n v="64.5"/>
    <m/>
    <n v="0"/>
  </r>
  <r>
    <x v="96"/>
    <n v="202512"/>
    <x v="1"/>
    <x v="1"/>
    <s v="Fátima L"/>
    <s v="Fátima L"/>
    <n v="79410"/>
    <n v="819101"/>
    <n v="10.314838709677399"/>
    <n v="76179.099032146114"/>
    <n v="11.5"/>
    <n v="10"/>
    <n v="10.752301227064333"/>
    <n v="970142"/>
  </r>
  <r>
    <x v="63"/>
    <n v="202510"/>
    <x v="1"/>
    <x v="8"/>
    <s v="Sebastián S"/>
    <s v="Johanna V"/>
    <n v="79391"/>
    <n v="8042267"/>
    <n v="101.29898521505376"/>
    <n v="92977.581725576136"/>
    <n v="123"/>
    <n v="115.5"/>
    <n v="86.496836879849141"/>
    <n v="9601463"/>
  </r>
  <r>
    <x v="49"/>
    <n v="202506"/>
    <x v="1"/>
    <x v="11"/>
    <s v="Sebastián S"/>
    <s v="Vik E"/>
    <n v="79388"/>
    <n v="4483416"/>
    <n v="56.474833333333336"/>
    <n v="83890.987531016406"/>
    <n v="66"/>
    <n v="64.5"/>
    <n v="53.443360627294773"/>
    <n v="5196271"/>
  </r>
  <r>
    <x v="54"/>
    <n v="202511"/>
    <x v="1"/>
    <x v="7"/>
    <s v="Sebastián S"/>
    <s v="Rodolfo O"/>
    <n v="79386"/>
    <n v="5545330"/>
    <n v="69.853000000000009"/>
    <n v="77991.531510762361"/>
    <n v="80"/>
    <n v="80.5"/>
    <n v="71.101698768856423"/>
    <n v="6445446"/>
  </r>
  <r>
    <x v="45"/>
    <n v="202506"/>
    <x v="1"/>
    <x v="11"/>
    <s v="Sofía V"/>
    <s v="Joe H"/>
    <n v="79383"/>
    <n v="5272514"/>
    <n v="66.418819444444452"/>
    <n v="90276.356485197961"/>
    <n v="68"/>
    <n v="68.5"/>
    <n v="58.40414871932164"/>
    <n v="5309474"/>
  </r>
  <r>
    <x v="86"/>
    <n v="202412"/>
    <x v="2"/>
    <x v="1"/>
    <s v="Sebastián S"/>
    <s v="Vik E"/>
    <n v="79378"/>
    <n v="3078043"/>
    <n v="38.776895161290334"/>
    <n v="0"/>
    <n v="36"/>
    <n v="35"/>
    <m/>
    <n v="0"/>
  </r>
  <r>
    <x v="18"/>
    <n v="202406"/>
    <x v="2"/>
    <x v="11"/>
    <s v="Sofía V"/>
    <s v="Joe H"/>
    <n v="79362"/>
    <n v="4045679"/>
    <n v="50.977694444444445"/>
    <n v="0"/>
    <n v="50.5"/>
    <n v="51.5"/>
    <m/>
    <n v="0"/>
  </r>
  <r>
    <x v="34"/>
    <n v="202401"/>
    <x v="2"/>
    <x v="10"/>
    <s v="Hernán P"/>
    <s v="Daniel R"/>
    <n v="79360"/>
    <n v="1026722"/>
    <n v="12.937533602150536"/>
    <n v="0"/>
    <n v="15"/>
    <n v="15"/>
    <m/>
    <n v="0"/>
  </r>
  <r>
    <x v="47"/>
    <n v="202409"/>
    <x v="2"/>
    <x v="4"/>
    <s v="Sebastián S"/>
    <s v="Vik E"/>
    <n v="79325"/>
    <n v="4388094"/>
    <n v="55.317888888888909"/>
    <n v="0"/>
    <n v="61.5"/>
    <n v="48.5"/>
    <m/>
    <n v="0"/>
  </r>
  <r>
    <x v="54"/>
    <n v="202506"/>
    <x v="1"/>
    <x v="11"/>
    <s v="Sebastián S"/>
    <s v="Rodolfo O"/>
    <n v="79319"/>
    <n v="5319258"/>
    <n v="67.061750000000032"/>
    <n v="77657.22557648443"/>
    <n v="80"/>
    <n v="80.5"/>
    <n v="68.496630551925563"/>
    <n v="6090152"/>
  </r>
  <r>
    <x v="83"/>
    <n v="202410"/>
    <x v="2"/>
    <x v="8"/>
    <s v="Hernán P"/>
    <s v="Daniel R"/>
    <n v="79316"/>
    <n v="3352762"/>
    <n v="42.271202956989249"/>
    <n v="0"/>
    <n v="51"/>
    <n v="49"/>
    <m/>
    <n v="0"/>
  </r>
  <r>
    <x v="38"/>
    <n v="202506"/>
    <x v="1"/>
    <x v="11"/>
    <s v="Sofía V"/>
    <s v="Melany A"/>
    <n v="79312"/>
    <n v="4288688"/>
    <n v="54.073590277777761"/>
    <n v="77759.24803973471"/>
    <n v="56"/>
    <n v="60"/>
    <n v="55.153413621084603"/>
    <n v="4827183"/>
  </r>
  <r>
    <x v="63"/>
    <n v="202504"/>
    <x v="1"/>
    <x v="9"/>
    <s v="Sebastián S"/>
    <s v="Johanna V"/>
    <n v="79311"/>
    <n v="8487577"/>
    <n v="107.01658333333337"/>
    <n v="81508.649043993501"/>
    <n v="123"/>
    <n v="115.5"/>
    <n v="104.13100020120457"/>
    <n v="9622319"/>
  </r>
  <r>
    <x v="76"/>
    <n v="202505"/>
    <x v="1"/>
    <x v="3"/>
    <s v="Hernán P"/>
    <s v="Daniel R"/>
    <n v="79295"/>
    <n v="7548158"/>
    <n v="95.190497311827968"/>
    <n v="80612.033601733463"/>
    <n v="106"/>
    <n v="94.5"/>
    <n v="93.635624022238844"/>
    <n v="7833550"/>
  </r>
  <r>
    <x v="43"/>
    <n v="202506"/>
    <x v="1"/>
    <x v="11"/>
    <s v="Sofía V"/>
    <s v="José A"/>
    <n v="79259"/>
    <n v="2255652"/>
    <n v="28.459423611111124"/>
    <n v="88777.003027197454"/>
    <n v="32.5"/>
    <n v="32"/>
    <n v="25.408061807503966"/>
    <n v="2171724"/>
  </r>
  <r>
    <x v="83"/>
    <n v="202506"/>
    <x v="1"/>
    <x v="11"/>
    <s v="Hernán P"/>
    <s v="Daniel R"/>
    <n v="79198"/>
    <n v="3215061"/>
    <n v="40.594993055555555"/>
    <n v="74901.728835409027"/>
    <n v="51"/>
    <n v="49"/>
    <n v="42.923725927139238"/>
    <n v="3562907"/>
  </r>
  <r>
    <x v="13"/>
    <n v="202504"/>
    <x v="1"/>
    <x v="9"/>
    <s v="Sebastián S"/>
    <s v="Rodolfo O"/>
    <n v="79197"/>
    <n v="5609444"/>
    <n v="70.828965277777783"/>
    <n v="91546.098392379921"/>
    <n v="78"/>
    <n v="74.5"/>
    <n v="61.27453150386706"/>
    <n v="6386052"/>
  </r>
  <r>
    <x v="50"/>
    <n v="202411"/>
    <x v="2"/>
    <x v="7"/>
    <s v="Sebastián S"/>
    <s v="Vik E"/>
    <n v="79154"/>
    <n v="5688397"/>
    <n v="71.865256944444468"/>
    <n v="0"/>
    <n v="75.5"/>
    <n v="74"/>
    <m/>
    <n v="0"/>
  </r>
  <r>
    <x v="58"/>
    <n v="202507"/>
    <x v="1"/>
    <x v="6"/>
    <s v="Sebastián S"/>
    <s v="Rodolfo O"/>
    <n v="79143"/>
    <n v="4374892"/>
    <n v="55.278313172043021"/>
    <n v="81416.359085207441"/>
    <n v="66.5"/>
    <n v="63.5"/>
    <n v="53.734798499419448"/>
    <n v="5118598"/>
  </r>
  <r>
    <x v="23"/>
    <n v="202410"/>
    <x v="2"/>
    <x v="8"/>
    <s v="Sebastián S"/>
    <s v="Rodolfo O"/>
    <n v="79137"/>
    <n v="7034216"/>
    <n v="88.886969086021452"/>
    <n v="0"/>
    <n v="94.5"/>
    <n v="97"/>
    <m/>
    <n v="0"/>
  </r>
  <r>
    <x v="73"/>
    <n v="202506"/>
    <x v="1"/>
    <x v="11"/>
    <s v="Fátima L"/>
    <s v="Fátima L"/>
    <n v="79067"/>
    <n v="865040"/>
    <n v="10.940611111111112"/>
    <n v="86355.953793797627"/>
    <n v="13.5"/>
    <n v="12"/>
    <n v="10.017138390545226"/>
    <n v="1038809"/>
  </r>
  <r>
    <x v="49"/>
    <n v="202409"/>
    <x v="2"/>
    <x v="4"/>
    <s v="Sebastián S"/>
    <s v="Vik E"/>
    <n v="78961"/>
    <n v="4733224"/>
    <n v="59.943770833333311"/>
    <n v="0"/>
    <n v="66"/>
    <n v="64.5"/>
    <m/>
    <n v="0"/>
  </r>
  <r>
    <x v="18"/>
    <n v="202401"/>
    <x v="2"/>
    <x v="10"/>
    <s v="Sofía V"/>
    <s v="Joe H"/>
    <n v="78932"/>
    <n v="3870951"/>
    <n v="49.041586021505402"/>
    <n v="0"/>
    <n v="50.5"/>
    <n v="51.5"/>
    <m/>
    <n v="0"/>
  </r>
  <r>
    <x v="90"/>
    <n v="202512"/>
    <x v="1"/>
    <x v="1"/>
    <s v="Sebastián S"/>
    <s v="Vik E"/>
    <n v="78918"/>
    <n v="3797802"/>
    <n v="48.123306451612848"/>
    <n v="87240.254898150699"/>
    <n v="47.5"/>
    <n v="43"/>
    <n v="43.532677941321623"/>
    <n v="4501816"/>
  </r>
  <r>
    <x v="62"/>
    <n v="202402"/>
    <x v="2"/>
    <x v="2"/>
    <s v="Sebastián S"/>
    <s v="Vik E"/>
    <n v="78895"/>
    <n v="4795387"/>
    <n v="60.781824712643683"/>
    <n v="0"/>
    <n v="65"/>
    <n v="67.5"/>
    <m/>
    <n v="0"/>
  </r>
  <r>
    <x v="56"/>
    <n v="202402"/>
    <x v="2"/>
    <x v="2"/>
    <s v="Sofía V"/>
    <s v="Joe H"/>
    <n v="78883"/>
    <n v="5536116"/>
    <n v="70.181185344827597"/>
    <n v="0"/>
    <n v="79.5"/>
    <n v="81.5"/>
    <m/>
    <n v="0"/>
  </r>
  <r>
    <x v="55"/>
    <n v="202407"/>
    <x v="2"/>
    <x v="6"/>
    <s v="Sebastián S"/>
    <s v="Vik E"/>
    <n v="78837"/>
    <n v="5054658"/>
    <n v="64.115107526881744"/>
    <n v="0"/>
    <n v="69.5"/>
    <n v="59"/>
    <m/>
    <n v="0"/>
  </r>
  <r>
    <x v="61"/>
    <n v="202408"/>
    <x v="2"/>
    <x v="5"/>
    <s v="Sofía V"/>
    <s v="Joe H"/>
    <n v="78767"/>
    <n v="2627902"/>
    <n v="33.363185483870957"/>
    <n v="0"/>
    <n v="41.5"/>
    <n v="35.5"/>
    <m/>
    <n v="0"/>
  </r>
  <r>
    <x v="68"/>
    <n v="202503"/>
    <x v="1"/>
    <x v="0"/>
    <s v="Sofía V"/>
    <s v="José A"/>
    <n v="78753"/>
    <n v="4272545"/>
    <n v="54.252493279569897"/>
    <n v="90494.810428781057"/>
    <n v="52"/>
    <n v="52"/>
    <n v="47.213145148941656"/>
    <n v="4149877"/>
  </r>
  <r>
    <x v="23"/>
    <n v="202509"/>
    <x v="1"/>
    <x v="4"/>
    <s v="Sebastián S"/>
    <s v="Rodolfo O"/>
    <n v="78747"/>
    <n v="6687047"/>
    <n v="84.918361111111153"/>
    <n v="84829.68340131575"/>
    <n v="94.5"/>
    <n v="97"/>
    <n v="78.829091679673553"/>
    <n v="6833857"/>
  </r>
  <r>
    <x v="32"/>
    <n v="202509"/>
    <x v="1"/>
    <x v="4"/>
    <s v="Sofía V"/>
    <s v="Melany A"/>
    <n v="78727"/>
    <n v="4832925"/>
    <n v="61.388055555555567"/>
    <n v="85254.986341047843"/>
    <n v="75.5"/>
    <n v="68"/>
    <n v="56.687884397362048"/>
    <n v="5896666"/>
  </r>
  <r>
    <x v="9"/>
    <n v="202508"/>
    <x v="1"/>
    <x v="5"/>
    <s v="Sofía V"/>
    <s v="Joe H"/>
    <n v="78709"/>
    <n v="4759437"/>
    <n v="60.46880376344086"/>
    <n v="83725.196588310951"/>
    <n v="70.5"/>
    <n v="69.5"/>
    <n v="56.845936157102727"/>
    <n v="4996894"/>
  </r>
  <r>
    <x v="9"/>
    <n v="202404"/>
    <x v="2"/>
    <x v="9"/>
    <s v="Sofía V"/>
    <s v="Joe H"/>
    <n v="78671"/>
    <n v="5120366"/>
    <n v="65.085708333333315"/>
    <n v="0"/>
    <n v="70.5"/>
    <n v="69.5"/>
    <m/>
    <n v="0"/>
  </r>
  <r>
    <x v="81"/>
    <n v="202407"/>
    <x v="2"/>
    <x v="6"/>
    <s v="Fátima L"/>
    <s v="Fátima L"/>
    <n v="78645"/>
    <n v="858056"/>
    <n v="10.91049731182796"/>
    <n v="0"/>
    <n v="11.5"/>
    <n v="12"/>
    <m/>
    <n v="0"/>
  </r>
  <r>
    <x v="64"/>
    <n v="202504"/>
    <x v="1"/>
    <x v="9"/>
    <s v="Sebastián S"/>
    <s v="Johanna V"/>
    <n v="78641"/>
    <n v="4932323"/>
    <n v="62.719756944444434"/>
    <n v="69627.87937057919"/>
    <n v="75.5"/>
    <n v="70.5"/>
    <n v="70.838330200303645"/>
    <n v="5646985"/>
  </r>
  <r>
    <x v="87"/>
    <n v="202411"/>
    <x v="2"/>
    <x v="7"/>
    <s v="Fátima L"/>
    <s v="Fátima L"/>
    <n v="78623"/>
    <n v="650811"/>
    <n v="8.2775972222222229"/>
    <n v="0"/>
    <n v="11"/>
    <n v="11"/>
    <m/>
    <n v="0"/>
  </r>
  <r>
    <x v="46"/>
    <n v="202406"/>
    <x v="2"/>
    <x v="11"/>
    <s v="Sofía V"/>
    <s v="José A"/>
    <n v="78613"/>
    <n v="4451438"/>
    <n v="56.624993055555549"/>
    <n v="0"/>
    <n v="58"/>
    <n v="58.5"/>
    <m/>
    <n v="0"/>
  </r>
  <r>
    <x v="32"/>
    <n v="202506"/>
    <x v="1"/>
    <x v="11"/>
    <s v="Sofía V"/>
    <s v="Melany A"/>
    <n v="78580"/>
    <n v="5006299"/>
    <n v="63.709965277777776"/>
    <n v="93003.180022892906"/>
    <n v="75.5"/>
    <n v="68"/>
    <n v="53.829329370970861"/>
    <n v="5585194"/>
  </r>
  <r>
    <x v="51"/>
    <n v="202510"/>
    <x v="1"/>
    <x v="8"/>
    <s v="Sofía V"/>
    <s v="Melany A"/>
    <n v="78520"/>
    <n v="2440310"/>
    <n v="31.078635752688175"/>
    <n v="73811.239437483528"/>
    <n v="43.5"/>
    <n v="41"/>
    <n v="33.061491293163932"/>
    <n v="3060368"/>
  </r>
  <r>
    <x v="54"/>
    <n v="202504"/>
    <x v="1"/>
    <x v="9"/>
    <s v="Sebastián S"/>
    <s v="Rodolfo O"/>
    <n v="78512"/>
    <n v="5613337"/>
    <n v="71.496493055555547"/>
    <n v="74572.389615113891"/>
    <n v="80"/>
    <n v="80.5"/>
    <n v="75.273665212711933"/>
    <n v="6551091"/>
  </r>
  <r>
    <x v="54"/>
    <n v="202501"/>
    <x v="1"/>
    <x v="10"/>
    <s v="Sebastián S"/>
    <s v="Rodolfo O"/>
    <n v="78481"/>
    <n v="5720873"/>
    <n v="72.894697580645129"/>
    <n v="84625.652897541659"/>
    <n v="80"/>
    <n v="80.5"/>
    <n v="67.602109810915138"/>
    <n v="6390794"/>
  </r>
  <r>
    <x v="53"/>
    <n v="202401"/>
    <x v="2"/>
    <x v="10"/>
    <s v="Sebastián S"/>
    <s v="Johanna V"/>
    <n v="78470"/>
    <n v="4838565"/>
    <n v="61.661391129032253"/>
    <n v="0"/>
    <n v="68"/>
    <n v="60.5"/>
    <m/>
    <n v="0"/>
  </r>
  <r>
    <x v="64"/>
    <n v="202510"/>
    <x v="1"/>
    <x v="8"/>
    <s v="Sebastián S"/>
    <s v="Johanna V"/>
    <n v="78423"/>
    <n v="4535193"/>
    <n v="57.829784946236565"/>
    <n v="69992.74879116565"/>
    <n v="75.5"/>
    <n v="70.5"/>
    <n v="64.795183334368829"/>
    <n v="5803144"/>
  </r>
  <r>
    <x v="97"/>
    <n v="202606"/>
    <x v="0"/>
    <x v="11"/>
    <s v="María R"/>
    <s v="María R"/>
    <n v="78409"/>
    <n v="5531944"/>
    <n v="70.552027777778093"/>
    <n v="68307.626624218348"/>
    <n v="94"/>
    <n v="77.5"/>
    <n v="81.023149648384276"/>
    <n v="5534499"/>
  </r>
  <r>
    <x v="57"/>
    <n v="202602"/>
    <x v="0"/>
    <x v="2"/>
    <s v="Hernán P"/>
    <s v="Daniel R"/>
    <n v="78360"/>
    <n v="3296807"/>
    <n v="42.072447916666661"/>
    <n v="76122.730118751206"/>
    <n v="53.5"/>
    <n v="52"/>
    <n v="43.483853774506514"/>
    <n v="3310110"/>
  </r>
  <r>
    <x v="18"/>
    <n v="202606"/>
    <x v="0"/>
    <x v="11"/>
    <s v="Sofía V"/>
    <s v="Joe H"/>
    <n v="78353"/>
    <n v="3609149"/>
    <n v="46.062819444443875"/>
    <n v="79965.696201519138"/>
    <n v="50.5"/>
    <n v="51.5"/>
    <n v="44.728769766304502"/>
    <n v="3576767"/>
  </r>
  <r>
    <x v="85"/>
    <n v="202406"/>
    <x v="2"/>
    <x v="11"/>
    <s v="Hernán P"/>
    <s v="Daniel R"/>
    <n v="78346"/>
    <n v="2598960"/>
    <n v="33.172659722222214"/>
    <n v="0"/>
    <n v="44"/>
    <n v="40.5"/>
    <m/>
    <n v="0"/>
  </r>
  <r>
    <x v="32"/>
    <n v="202402"/>
    <x v="2"/>
    <x v="2"/>
    <s v="Sofía V"/>
    <s v="Melany A"/>
    <n v="78344"/>
    <n v="5556297"/>
    <n v="70.922119252873543"/>
    <n v="0"/>
    <n v="75.5"/>
    <n v="68"/>
    <m/>
    <n v="0"/>
  </r>
  <r>
    <x v="39"/>
    <n v="202504"/>
    <x v="1"/>
    <x v="9"/>
    <s v="Sofía V"/>
    <s v="Melany A"/>
    <n v="78311"/>
    <n v="4436510"/>
    <n v="56.652652777777789"/>
    <n v="72411.279664313275"/>
    <n v="60.5"/>
    <n v="60.5"/>
    <n v="61.268215816195045"/>
    <n v="4980444"/>
  </r>
  <r>
    <x v="73"/>
    <n v="202606"/>
    <x v="0"/>
    <x v="11"/>
    <s v="Fátima L"/>
    <s v="Fátima L"/>
    <n v="78296"/>
    <n v="739292"/>
    <n v="9.4423194444444487"/>
    <n v="70515.876366688084"/>
    <n v="13.5"/>
    <n v="12"/>
    <n v="11.788780293634797"/>
    <n v="831296"/>
  </r>
  <r>
    <x v="59"/>
    <n v="202506"/>
    <x v="1"/>
    <x v="11"/>
    <s v="Sebastián S"/>
    <s v="Johanna V"/>
    <n v="78286"/>
    <n v="7487057"/>
    <n v="95.637451388888934"/>
    <n v="90952.492924081947"/>
    <n v="118"/>
    <n v="106"/>
    <n v="82.31832299802322"/>
    <n v="10017159"/>
  </r>
  <r>
    <x v="18"/>
    <n v="202501"/>
    <x v="1"/>
    <x v="10"/>
    <s v="Sofía V"/>
    <s v="Joe H"/>
    <n v="78269"/>
    <n v="3840690"/>
    <n v="49.070564516129039"/>
    <n v="82878.612678180158"/>
    <n v="50.5"/>
    <n v="51.5"/>
    <n v="46.341152872738149"/>
    <n v="3971652"/>
  </r>
  <r>
    <x v="62"/>
    <n v="202409"/>
    <x v="2"/>
    <x v="4"/>
    <s v="Sebastián S"/>
    <s v="Vik E"/>
    <n v="78256"/>
    <n v="4648899"/>
    <n v="59.406131944444432"/>
    <n v="0"/>
    <n v="65"/>
    <n v="67.5"/>
    <m/>
    <n v="0"/>
  </r>
  <r>
    <x v="63"/>
    <n v="202502"/>
    <x v="1"/>
    <x v="2"/>
    <s v="Sebastián S"/>
    <s v="Johanna V"/>
    <n v="78222"/>
    <n v="8543304"/>
    <n v="109.21885416666672"/>
    <n v="77056.672085699494"/>
    <n v="123"/>
    <n v="115.5"/>
    <n v="110.87040510260375"/>
    <n v="8649131"/>
  </r>
  <r>
    <x v="58"/>
    <n v="202410"/>
    <x v="2"/>
    <x v="8"/>
    <s v="Sebastián S"/>
    <s v="Rodolfo O"/>
    <n v="78215"/>
    <n v="4629768"/>
    <n v="59.192668010752691"/>
    <n v="0"/>
    <n v="66.5"/>
    <n v="63.5"/>
    <m/>
    <n v="0"/>
  </r>
  <r>
    <x v="87"/>
    <n v="202405"/>
    <x v="2"/>
    <x v="3"/>
    <s v="Fátima L"/>
    <s v="Fátima L"/>
    <n v="78209"/>
    <n v="677265"/>
    <n v="8.6596774193548391"/>
    <n v="0"/>
    <n v="11"/>
    <n v="11"/>
    <m/>
    <n v="0"/>
  </r>
  <r>
    <x v="47"/>
    <n v="202411"/>
    <x v="2"/>
    <x v="7"/>
    <s v="Sebastián S"/>
    <s v="Vik E"/>
    <n v="78198"/>
    <n v="4363114"/>
    <n v="55.795444444444463"/>
    <n v="0"/>
    <n v="61.5"/>
    <n v="48.5"/>
    <m/>
    <n v="0"/>
  </r>
  <r>
    <x v="32"/>
    <n v="202404"/>
    <x v="2"/>
    <x v="9"/>
    <s v="Sofía V"/>
    <s v="Melany A"/>
    <n v="78147"/>
    <n v="5283573"/>
    <n v="67.610715277777771"/>
    <n v="0"/>
    <n v="75.5"/>
    <n v="68"/>
    <m/>
    <n v="0"/>
  </r>
  <r>
    <x v="58"/>
    <n v="202408"/>
    <x v="2"/>
    <x v="5"/>
    <s v="Sebastián S"/>
    <s v="Rodolfo O"/>
    <n v="78103"/>
    <n v="4730072"/>
    <n v="60.562043010752689"/>
    <n v="0"/>
    <n v="66.5"/>
    <n v="63.5"/>
    <m/>
    <n v="0"/>
  </r>
  <r>
    <x v="55"/>
    <n v="202408"/>
    <x v="2"/>
    <x v="5"/>
    <s v="Sebastián S"/>
    <s v="Vik E"/>
    <n v="78047"/>
    <n v="4793823"/>
    <n v="61.422553763440874"/>
    <n v="0"/>
    <n v="69.5"/>
    <n v="59"/>
    <m/>
    <n v="0"/>
  </r>
  <r>
    <x v="19"/>
    <n v="202509"/>
    <x v="1"/>
    <x v="4"/>
    <s v="Sofía V"/>
    <s v="Joe H"/>
    <n v="78045"/>
    <n v="3848514"/>
    <n v="49.311645833333337"/>
    <n v="78902.144328038587"/>
    <n v="57.5"/>
    <n v="56.5"/>
    <n v="48.775789463967669"/>
    <n v="3965193"/>
  </r>
  <r>
    <x v="43"/>
    <n v="202405"/>
    <x v="2"/>
    <x v="3"/>
    <s v="Sofía V"/>
    <s v="José A"/>
    <n v="78030"/>
    <n v="2266609"/>
    <n v="29.047930107526877"/>
    <n v="0"/>
    <n v="32.5"/>
    <n v="32"/>
    <m/>
    <n v="0"/>
  </r>
  <r>
    <x v="45"/>
    <n v="202404"/>
    <x v="2"/>
    <x v="9"/>
    <s v="Sofía V"/>
    <s v="Joe H"/>
    <n v="78021"/>
    <n v="4748561"/>
    <n v="60.862569444444439"/>
    <n v="0"/>
    <n v="68"/>
    <n v="68.5"/>
    <m/>
    <n v="0"/>
  </r>
  <r>
    <x v="54"/>
    <n v="202402"/>
    <x v="2"/>
    <x v="2"/>
    <s v="Sebastián S"/>
    <s v="Rodolfo O"/>
    <n v="78005"/>
    <n v="6281602"/>
    <n v="80.528663793103448"/>
    <n v="0"/>
    <n v="80"/>
    <n v="80.5"/>
    <m/>
    <n v="0"/>
  </r>
  <r>
    <x v="67"/>
    <n v="202602"/>
    <x v="0"/>
    <x v="2"/>
    <s v="Hernán P"/>
    <s v="Daniel R"/>
    <n v="78001"/>
    <n v="1029899"/>
    <n v="13.203645833333335"/>
    <n v="77186.187233842225"/>
    <n v="15.5"/>
    <n v="14.5"/>
    <n v="13.971887755419019"/>
    <n v="1078437"/>
  </r>
  <r>
    <x v="61"/>
    <n v="202507"/>
    <x v="1"/>
    <x v="6"/>
    <s v="Sofía V"/>
    <s v="Joe H"/>
    <n v="77991"/>
    <n v="2815052"/>
    <n v="36.094643817204286"/>
    <n v="87803.841039762236"/>
    <n v="41.5"/>
    <n v="35.5"/>
    <n v="32.060694460111314"/>
    <n v="2901762"/>
  </r>
  <r>
    <x v="59"/>
    <n v="202402"/>
    <x v="2"/>
    <x v="2"/>
    <s v="Sebastián S"/>
    <s v="Johanna V"/>
    <n v="77991"/>
    <n v="8964635"/>
    <n v="114.94507902298852"/>
    <n v="0"/>
    <n v="118"/>
    <n v="106"/>
    <m/>
    <n v="0"/>
  </r>
  <r>
    <x v="47"/>
    <n v="202407"/>
    <x v="2"/>
    <x v="6"/>
    <s v="Sebastián S"/>
    <s v="Vik E"/>
    <n v="77985"/>
    <n v="4809737"/>
    <n v="61.67550403225804"/>
    <n v="0"/>
    <n v="61.5"/>
    <n v="48.5"/>
    <m/>
    <n v="0"/>
  </r>
  <r>
    <x v="76"/>
    <n v="202506"/>
    <x v="1"/>
    <x v="11"/>
    <s v="Hernán P"/>
    <s v="Daniel R"/>
    <n v="77975"/>
    <n v="7328305"/>
    <n v="93.983069444444453"/>
    <n v="86169.314678749652"/>
    <n v="106"/>
    <n v="94.5"/>
    <n v="85.045416658132595"/>
    <n v="7643869"/>
  </r>
  <r>
    <x v="50"/>
    <n v="202506"/>
    <x v="1"/>
    <x v="11"/>
    <s v="Sebastián S"/>
    <s v="Vik E"/>
    <n v="77949"/>
    <n v="5240025"/>
    <n v="67.223819444444459"/>
    <n v="91662.753902969693"/>
    <n v="75.5"/>
    <n v="74"/>
    <n v="57.166351400994003"/>
    <n v="6279057"/>
  </r>
  <r>
    <x v="29"/>
    <n v="202410"/>
    <x v="2"/>
    <x v="8"/>
    <s v="Sebastián S"/>
    <s v="Vik E"/>
    <n v="77921"/>
    <n v="5230563"/>
    <n v="67.126189516129031"/>
    <n v="0"/>
    <n v="76.5"/>
    <n v="75.5"/>
    <m/>
    <n v="0"/>
  </r>
  <r>
    <x v="71"/>
    <n v="202508"/>
    <x v="1"/>
    <x v="5"/>
    <s v="Sebastián S"/>
    <s v="Rodolfo O"/>
    <n v="77920"/>
    <n v="3797319"/>
    <n v="48.733313172043005"/>
    <n v="85449.868578778318"/>
    <n v="53.5"/>
    <n v="54"/>
    <n v="44.439143010491101"/>
    <n v="4238087"/>
  </r>
  <r>
    <x v="10"/>
    <n v="202506"/>
    <x v="1"/>
    <x v="11"/>
    <s v="Sofía V"/>
    <s v="Melany A"/>
    <n v="77908"/>
    <n v="8757678"/>
    <n v="112.41090972222223"/>
    <n v="98957.147064321005"/>
    <n v="125"/>
    <n v="118.5"/>
    <n v="88.499705476630282"/>
    <n v="9478117"/>
  </r>
  <r>
    <x v="27"/>
    <n v="202411"/>
    <x v="2"/>
    <x v="7"/>
    <s v="Sofía V"/>
    <s v="Joe H"/>
    <n v="77892"/>
    <n v="4721999"/>
    <n v="60.622138888888877"/>
    <n v="0"/>
    <n v="62"/>
    <n v="58"/>
    <m/>
    <n v="0"/>
  </r>
  <r>
    <x v="98"/>
    <n v="202512"/>
    <x v="1"/>
    <x v="1"/>
    <s v="Hernán P"/>
    <s v="Daniel R"/>
    <n v="77889"/>
    <n v="5979464"/>
    <n v="76.768595430107482"/>
    <n v="73767.968975423995"/>
    <n v="87"/>
    <n v="77.5"/>
    <n v="81.05772184119742"/>
    <n v="6501169"/>
  </r>
  <r>
    <x v="68"/>
    <n v="202407"/>
    <x v="2"/>
    <x v="6"/>
    <s v="Sofía V"/>
    <s v="José A"/>
    <n v="77881"/>
    <n v="3715665"/>
    <n v="47.709751344086001"/>
    <n v="0"/>
    <n v="52"/>
    <n v="52"/>
    <m/>
    <n v="0"/>
  </r>
  <r>
    <x v="60"/>
    <n v="202409"/>
    <x v="2"/>
    <x v="4"/>
    <s v="Sofía V"/>
    <s v="Melany A"/>
    <n v="77878"/>
    <n v="6006346"/>
    <n v="77.124930555555537"/>
    <n v="0"/>
    <n v="88.5"/>
    <n v="92.5"/>
    <m/>
    <n v="0"/>
  </r>
  <r>
    <x v="92"/>
    <n v="202403"/>
    <x v="2"/>
    <x v="0"/>
    <s v="Fátima L"/>
    <s v="Fátima L"/>
    <n v="77854"/>
    <n v="666310"/>
    <n v="8.5584408602150557"/>
    <n v="0"/>
    <n v="11.5"/>
    <n v="10"/>
    <m/>
    <n v="0"/>
  </r>
  <r>
    <x v="59"/>
    <n v="202502"/>
    <x v="1"/>
    <x v="2"/>
    <s v="Sebastián S"/>
    <s v="Johanna V"/>
    <n v="77838"/>
    <n v="8081573"/>
    <n v="103.82505208333338"/>
    <n v="81890.127076405479"/>
    <n v="118"/>
    <n v="106"/>
    <n v="98.687997058054336"/>
    <n v="9081638"/>
  </r>
  <r>
    <x v="45"/>
    <n v="202501"/>
    <x v="1"/>
    <x v="10"/>
    <s v="Sofía V"/>
    <s v="Joe H"/>
    <n v="77811"/>
    <n v="4979107"/>
    <n v="63.989361559139795"/>
    <n v="89226.616433826784"/>
    <n v="68"/>
    <n v="68.5"/>
    <n v="55.802931894124441"/>
    <n v="5070456"/>
  </r>
  <r>
    <x v="64"/>
    <n v="202408"/>
    <x v="2"/>
    <x v="5"/>
    <s v="Sebastián S"/>
    <s v="Johanna V"/>
    <n v="77809"/>
    <n v="5285079"/>
    <n v="67.923897849462364"/>
    <n v="0"/>
    <n v="75.5"/>
    <n v="70.5"/>
    <m/>
    <n v="0"/>
  </r>
  <r>
    <x v="63"/>
    <n v="202509"/>
    <x v="1"/>
    <x v="4"/>
    <s v="Sebastián S"/>
    <s v="Johanna V"/>
    <n v="77797"/>
    <n v="7990911"/>
    <n v="102.71474305555564"/>
    <n v="87735.90512717684"/>
    <n v="123"/>
    <n v="115.5"/>
    <n v="91.079140044396212"/>
    <n v="9594209"/>
  </r>
  <r>
    <x v="14"/>
    <n v="202506"/>
    <x v="1"/>
    <x v="11"/>
    <s v="Sofía V"/>
    <s v="Melany A"/>
    <n v="77795"/>
    <n v="4358586"/>
    <n v="56.026687499999994"/>
    <n v="92755.309060763306"/>
    <n v="59.5"/>
    <n v="55.5"/>
    <n v="46.990147239385749"/>
    <n v="4796049"/>
  </r>
  <r>
    <x v="55"/>
    <n v="202402"/>
    <x v="2"/>
    <x v="2"/>
    <s v="Sebastián S"/>
    <s v="Vik E"/>
    <n v="77782"/>
    <n v="5219280"/>
    <n v="67.101637931034489"/>
    <n v="0"/>
    <n v="69.5"/>
    <n v="59"/>
    <m/>
    <n v="0"/>
  </r>
  <r>
    <x v="63"/>
    <n v="202602"/>
    <x v="0"/>
    <x v="2"/>
    <s v="Sebastián S"/>
    <s v="Johanna V"/>
    <n v="77741"/>
    <n v="8458734"/>
    <n v="108.80593750000004"/>
    <n v="85333.709714266341"/>
    <n v="123"/>
    <n v="115.5"/>
    <n v="102.59248347357834"/>
    <n v="8754597"/>
  </r>
  <r>
    <x v="18"/>
    <n v="202506"/>
    <x v="1"/>
    <x v="11"/>
    <s v="Sofía V"/>
    <s v="Joe H"/>
    <n v="77722"/>
    <n v="3388587"/>
    <n v="43.598625000000013"/>
    <n v="83329.829630279492"/>
    <n v="50.5"/>
    <n v="51.5"/>
    <n v="40.664753966671881"/>
    <n v="3897967"/>
  </r>
  <r>
    <x v="51"/>
    <n v="202507"/>
    <x v="1"/>
    <x v="6"/>
    <s v="Sofía V"/>
    <s v="Melany A"/>
    <n v="77719"/>
    <n v="2959744"/>
    <n v="38.082775537634397"/>
    <n v="86569.649045567363"/>
    <n v="43.5"/>
    <n v="41"/>
    <n v="34.189167943167803"/>
    <n v="3353528"/>
  </r>
  <r>
    <x v="71"/>
    <n v="202507"/>
    <x v="1"/>
    <x v="6"/>
    <s v="Sebastián S"/>
    <s v="Rodolfo O"/>
    <n v="77718"/>
    <n v="4087533"/>
    <n v="52.594274193548358"/>
    <n v="89436.014828522573"/>
    <n v="53.5"/>
    <n v="54"/>
    <n v="45.703436225743154"/>
    <n v="5005181"/>
  </r>
  <r>
    <x v="83"/>
    <n v="202511"/>
    <x v="1"/>
    <x v="7"/>
    <s v="Hernán P"/>
    <s v="Daniel R"/>
    <n v="77679"/>
    <n v="3136975"/>
    <n v="40.384069444444449"/>
    <n v="81302.034453787244"/>
    <n v="51"/>
    <n v="49"/>
    <n v="38.584216140164159"/>
    <n v="3576945"/>
  </r>
  <r>
    <x v="34"/>
    <n v="202405"/>
    <x v="2"/>
    <x v="3"/>
    <s v="Hernán P"/>
    <s v="Daniel R"/>
    <n v="77670"/>
    <n v="1068107"/>
    <n v="13.751895161290324"/>
    <n v="0"/>
    <n v="15"/>
    <n v="15"/>
    <m/>
    <n v="0"/>
  </r>
  <r>
    <x v="59"/>
    <n v="202602"/>
    <x v="0"/>
    <x v="2"/>
    <s v="Sebastián S"/>
    <s v="Johanna V"/>
    <n v="77660"/>
    <n v="8375768"/>
    <n v="107.85124999999996"/>
    <n v="87469.450134649785"/>
    <n v="118"/>
    <n v="106"/>
    <n v="102.17544085783207"/>
    <n v="8937230"/>
  </r>
  <r>
    <x v="53"/>
    <n v="202505"/>
    <x v="1"/>
    <x v="3"/>
    <s v="Sebastián S"/>
    <s v="Johanna V"/>
    <n v="77633"/>
    <n v="4930016"/>
    <n v="63.504536290322569"/>
    <n v="78810.789138145105"/>
    <n v="68"/>
    <n v="60.5"/>
    <n v="62.555092950006127"/>
    <n v="5072706"/>
  </r>
  <r>
    <x v="63"/>
    <n v="202404"/>
    <x v="2"/>
    <x v="9"/>
    <s v="Sebastián S"/>
    <s v="Johanna V"/>
    <n v="77627"/>
    <n v="8762784"/>
    <n v="112.88277777777776"/>
    <n v="0"/>
    <n v="123"/>
    <n v="115.5"/>
    <m/>
    <n v="0"/>
  </r>
  <r>
    <x v="84"/>
    <n v="202503"/>
    <x v="1"/>
    <x v="0"/>
    <s v="Sofía V"/>
    <s v="Melany A"/>
    <n v="77618"/>
    <n v="3987514"/>
    <n v="51.373649193548381"/>
    <n v="71361.425608786129"/>
    <n v="52.5"/>
    <n v="52.5"/>
    <n v="55.877719453926524"/>
    <n v="4103256"/>
  </r>
  <r>
    <x v="65"/>
    <n v="202502"/>
    <x v="1"/>
    <x v="2"/>
    <s v="Sebastián S"/>
    <s v="Johanna V"/>
    <n v="77592"/>
    <n v="7317776"/>
    <n v="94.310677083333346"/>
    <n v="92069.189795613886"/>
    <n v="103"/>
    <n v="91"/>
    <n v="79.481272901878128"/>
    <n v="7677417"/>
  </r>
  <r>
    <x v="53"/>
    <n v="202504"/>
    <x v="1"/>
    <x v="9"/>
    <s v="Sebastián S"/>
    <s v="Johanna V"/>
    <n v="77569"/>
    <n v="4536700"/>
    <n v="58.486166666666684"/>
    <n v="80230.008008132732"/>
    <n v="68"/>
    <n v="60.5"/>
    <n v="56.54616835561233"/>
    <n v="5248395"/>
  </r>
  <r>
    <x v="58"/>
    <n v="202407"/>
    <x v="2"/>
    <x v="6"/>
    <s v="Sebastián S"/>
    <s v="Rodolfo O"/>
    <n v="77539"/>
    <n v="4833104"/>
    <n v="62.33095430107528"/>
    <n v="0"/>
    <n v="66.5"/>
    <n v="63.5"/>
    <m/>
    <n v="0"/>
  </r>
  <r>
    <x v="64"/>
    <n v="202506"/>
    <x v="1"/>
    <x v="11"/>
    <s v="Sebastián S"/>
    <s v="Johanna V"/>
    <n v="77515"/>
    <n v="4818380"/>
    <n v="62.160680555555572"/>
    <n v="75577.544404452827"/>
    <n v="75.5"/>
    <n v="70.5"/>
    <n v="63.75412403205992"/>
    <n v="5689564"/>
  </r>
  <r>
    <x v="18"/>
    <n v="202502"/>
    <x v="1"/>
    <x v="2"/>
    <s v="Sofía V"/>
    <s v="Joe H"/>
    <n v="77511"/>
    <n v="3836060"/>
    <n v="49.490677083333338"/>
    <n v="72973.815592239072"/>
    <n v="50.5"/>
    <n v="51.5"/>
    <n v="52.567616190374643"/>
    <n v="3683394"/>
  </r>
  <r>
    <x v="54"/>
    <n v="202606"/>
    <x v="0"/>
    <x v="11"/>
    <s v="Sebastián S"/>
    <s v="Rodolfo O"/>
    <n v="77446"/>
    <n v="5363356"/>
    <n v="69.25265277777919"/>
    <n v="79894.144219831898"/>
    <n v="80"/>
    <n v="80.5"/>
    <n v="67.651321791845987"/>
    <n v="5404944"/>
  </r>
  <r>
    <x v="41"/>
    <n v="202501"/>
    <x v="1"/>
    <x v="10"/>
    <s v="Sebastián S"/>
    <s v="Rodolfo O"/>
    <n v="77441"/>
    <n v="4818334"/>
    <n v="62.21913306451615"/>
    <n v="76411.076787460624"/>
    <n v="64.5"/>
    <n v="64"/>
    <n v="63.058050253660447"/>
    <n v="5306480"/>
  </r>
  <r>
    <x v="85"/>
    <n v="202408"/>
    <x v="2"/>
    <x v="5"/>
    <s v="Hernán P"/>
    <s v="Daniel R"/>
    <n v="77435"/>
    <n v="2608949"/>
    <n v="33.692016129032261"/>
    <n v="0"/>
    <n v="44"/>
    <n v="40.5"/>
    <m/>
    <n v="0"/>
  </r>
  <r>
    <x v="83"/>
    <n v="202411"/>
    <x v="2"/>
    <x v="7"/>
    <s v="Hernán P"/>
    <s v="Daniel R"/>
    <n v="77431"/>
    <n v="3324177"/>
    <n v="42.93109722222222"/>
    <n v="0"/>
    <n v="51"/>
    <n v="49"/>
    <m/>
    <n v="0"/>
  </r>
  <r>
    <x v="70"/>
    <n v="202605"/>
    <x v="0"/>
    <x v="3"/>
    <s v="Sebastián S"/>
    <s v="Vik E"/>
    <n v="77425"/>
    <n v="3924158"/>
    <n v="50.683575268817542"/>
    <n v="76875.959932802434"/>
    <n v="60.5"/>
    <n v="57.5"/>
    <n v="51.161312105083525"/>
    <n v="3933075"/>
  </r>
  <r>
    <x v="87"/>
    <n v="202402"/>
    <x v="2"/>
    <x v="2"/>
    <s v="Fátima L"/>
    <s v="Fátima L"/>
    <n v="77418"/>
    <n v="670315"/>
    <n v="8.6584267241379322"/>
    <n v="0"/>
    <n v="11"/>
    <n v="11"/>
    <m/>
    <n v="0"/>
  </r>
  <r>
    <x v="76"/>
    <n v="202602"/>
    <x v="0"/>
    <x v="2"/>
    <s v="Hernán P"/>
    <s v="Daniel R"/>
    <n v="77417"/>
    <n v="6875470"/>
    <n v="88.811354166666703"/>
    <n v="82590.803794259074"/>
    <n v="106"/>
    <n v="94.5"/>
    <n v="88.413034538205707"/>
    <n v="7302104"/>
  </r>
  <r>
    <x v="66"/>
    <n v="202602"/>
    <x v="0"/>
    <x v="2"/>
    <s v="Sebastián S"/>
    <s v="Rodolfo O"/>
    <n v="77401"/>
    <n v="3996361"/>
    <n v="51.631770833333327"/>
    <n v="73570.638941594327"/>
    <n v="55"/>
    <n v="55.5"/>
    <n v="48.91205759483401"/>
    <n v="3598491"/>
  </r>
  <r>
    <x v="72"/>
    <n v="202411"/>
    <x v="2"/>
    <x v="7"/>
    <s v="Sebastián S"/>
    <s v="Vik E"/>
    <n v="77397"/>
    <n v="5642601"/>
    <n v="72.904368055555551"/>
    <n v="0"/>
    <n v="79.5"/>
    <n v="67"/>
    <m/>
    <n v="0"/>
  </r>
  <r>
    <x v="13"/>
    <n v="202409"/>
    <x v="2"/>
    <x v="4"/>
    <s v="Sebastián S"/>
    <s v="Rodolfo O"/>
    <n v="77397"/>
    <n v="5460514"/>
    <n v="70.551833333333349"/>
    <n v="0"/>
    <n v="78"/>
    <n v="74.5"/>
    <m/>
    <n v="0"/>
  </r>
  <r>
    <x v="43"/>
    <n v="202404"/>
    <x v="2"/>
    <x v="9"/>
    <s v="Sofía V"/>
    <s v="José A"/>
    <n v="77389"/>
    <n v="2223680"/>
    <n v="28.733930555555553"/>
    <n v="0"/>
    <n v="32.5"/>
    <n v="32"/>
    <m/>
    <n v="0"/>
  </r>
  <r>
    <x v="4"/>
    <n v="202502"/>
    <x v="1"/>
    <x v="2"/>
    <s v="Sofía V"/>
    <s v="José A"/>
    <n v="77384"/>
    <n v="6624481"/>
    <n v="85.605833333333322"/>
    <n v="77014.272149026874"/>
    <n v="107.5"/>
    <n v="102.5"/>
    <n v="86.01627743986549"/>
    <n v="8933510"/>
  </r>
  <r>
    <x v="58"/>
    <n v="202510"/>
    <x v="1"/>
    <x v="8"/>
    <s v="Sebastián S"/>
    <s v="Rodolfo O"/>
    <n v="77359"/>
    <n v="4154840"/>
    <n v="53.708770161290303"/>
    <n v="82125.994111583612"/>
    <n v="66.5"/>
    <n v="63.5"/>
    <n v="50.591045197637037"/>
    <n v="4781323"/>
  </r>
  <r>
    <x v="67"/>
    <n v="202409"/>
    <x v="2"/>
    <x v="4"/>
    <s v="Hernán P"/>
    <s v="Daniel R"/>
    <n v="77356"/>
    <n v="1007572"/>
    <n v="13.025152777777778"/>
    <n v="0"/>
    <n v="15.5"/>
    <n v="14.5"/>
    <m/>
    <n v="0"/>
  </r>
  <r>
    <x v="46"/>
    <n v="202405"/>
    <x v="2"/>
    <x v="3"/>
    <s v="Sofía V"/>
    <s v="José A"/>
    <n v="77352"/>
    <n v="4401075"/>
    <n v="56.896827956989249"/>
    <n v="0"/>
    <n v="58"/>
    <n v="58.5"/>
    <m/>
    <n v="0"/>
  </r>
  <r>
    <x v="72"/>
    <n v="202408"/>
    <x v="2"/>
    <x v="5"/>
    <s v="Sebastián S"/>
    <s v="Vik E"/>
    <n v="77341"/>
    <n v="5293435"/>
    <n v="68.44268817204302"/>
    <n v="0"/>
    <n v="79.5"/>
    <n v="67"/>
    <m/>
    <n v="0"/>
  </r>
  <r>
    <x v="28"/>
    <n v="202404"/>
    <x v="2"/>
    <x v="9"/>
    <s v="Sebastián S"/>
    <s v="Rodolfo O"/>
    <n v="77338"/>
    <n v="4852875"/>
    <n v="62.748777777777775"/>
    <n v="0"/>
    <n v="65.5"/>
    <n v="66"/>
    <m/>
    <n v="0"/>
  </r>
  <r>
    <x v="9"/>
    <n v="202410"/>
    <x v="2"/>
    <x v="8"/>
    <s v="Sofía V"/>
    <s v="Joe H"/>
    <n v="77300"/>
    <n v="4975933"/>
    <n v="64.371350806451602"/>
    <n v="0"/>
    <n v="70.5"/>
    <n v="69.5"/>
    <m/>
    <n v="0"/>
  </r>
  <r>
    <x v="68"/>
    <n v="202606"/>
    <x v="0"/>
    <x v="11"/>
    <s v="Sofía V"/>
    <s v="José A"/>
    <n v="77291"/>
    <n v="3502788"/>
    <n v="45.319604166666487"/>
    <n v="75264.511381440243"/>
    <n v="52"/>
    <n v="52"/>
    <n v="46.517920556956689"/>
    <n v="3501149"/>
  </r>
  <r>
    <x v="76"/>
    <n v="202507"/>
    <x v="1"/>
    <x v="6"/>
    <s v="Hernán P"/>
    <s v="Daniel R"/>
    <n v="77246"/>
    <n v="7006563"/>
    <n v="90.704052419354838"/>
    <n v="80862.923328454985"/>
    <n v="106"/>
    <n v="94.5"/>
    <n v="86.647413939516213"/>
    <n v="7539711"/>
  </r>
  <r>
    <x v="83"/>
    <n v="202508"/>
    <x v="1"/>
    <x v="5"/>
    <s v="Hernán P"/>
    <s v="Daniel R"/>
    <n v="77214"/>
    <n v="3175247"/>
    <n v="41.122883064516124"/>
    <n v="78674.120121219137"/>
    <n v="51"/>
    <n v="49"/>
    <n v="40.359482319060682"/>
    <n v="3562969"/>
  </r>
  <r>
    <x v="18"/>
    <n v="202411"/>
    <x v="2"/>
    <x v="7"/>
    <s v="Sofía V"/>
    <s v="Joe H"/>
    <n v="77205"/>
    <n v="3722047"/>
    <n v="48.210166666666659"/>
    <n v="0"/>
    <n v="50.5"/>
    <n v="51.5"/>
    <m/>
    <n v="0"/>
  </r>
  <r>
    <x v="18"/>
    <n v="202509"/>
    <x v="1"/>
    <x v="4"/>
    <s v="Sofía V"/>
    <s v="Joe H"/>
    <n v="77198"/>
    <n v="3194451"/>
    <n v="41.379965277777778"/>
    <n v="80521.278677796538"/>
    <n v="50.5"/>
    <n v="51.5"/>
    <n v="39.672133781959658"/>
    <n v="3719033"/>
  </r>
  <r>
    <x v="85"/>
    <n v="202603"/>
    <x v="0"/>
    <x v="0"/>
    <s v="Hernán P"/>
    <s v="Daniel R"/>
    <n v="77160"/>
    <n v="2828630"/>
    <n v="36.659159946236564"/>
    <n v="78039.43107464294"/>
    <n v="44"/>
    <n v="40.5"/>
    <n v="35.762421795855829"/>
    <n v="2790879"/>
  </r>
  <r>
    <x v="60"/>
    <n v="202410"/>
    <x v="2"/>
    <x v="8"/>
    <s v="Sofía V"/>
    <s v="Melany A"/>
    <n v="77143"/>
    <n v="5978903"/>
    <n v="77.504065860215093"/>
    <n v="0"/>
    <n v="88.5"/>
    <n v="92.5"/>
    <m/>
    <n v="0"/>
  </r>
  <r>
    <x v="12"/>
    <n v="202506"/>
    <x v="1"/>
    <x v="11"/>
    <s v="Sofía V"/>
    <s v="Melany A"/>
    <n v="77124"/>
    <n v="7322575"/>
    <n v="94.944937499999966"/>
    <n v="97487.703078733306"/>
    <n v="96.5"/>
    <n v="94"/>
    <n v="75.112809090251318"/>
    <n v="8172984"/>
  </r>
  <r>
    <x v="95"/>
    <n v="202507"/>
    <x v="1"/>
    <x v="6"/>
    <s v="Fátima L"/>
    <s v="Fátima L"/>
    <n v="77120"/>
    <n v="332813"/>
    <n v="4.3155376344086021"/>
    <n v="43445.670491886383"/>
    <n v="8.5"/>
    <n v="6.5"/>
    <n v="7.6604447861416682"/>
    <n v="363008"/>
  </r>
  <r>
    <x v="94"/>
    <n v="202605"/>
    <x v="0"/>
    <x v="3"/>
    <s v="Hernán P"/>
    <s v="Daniel R"/>
    <n v="77117"/>
    <n v="2076233"/>
    <n v="26.923326612903452"/>
    <n v="0"/>
    <n v="33"/>
    <n v="31.5"/>
    <n v="35.22317754154448"/>
    <m/>
  </r>
  <r>
    <x v="81"/>
    <n v="202408"/>
    <x v="2"/>
    <x v="5"/>
    <s v="Fátima L"/>
    <s v="Fátima L"/>
    <n v="77100"/>
    <n v="801444"/>
    <n v="10.394811827956991"/>
    <n v="0"/>
    <n v="11.5"/>
    <n v="12"/>
    <m/>
    <n v="0"/>
  </r>
  <r>
    <x v="45"/>
    <n v="202409"/>
    <x v="2"/>
    <x v="4"/>
    <s v="Sofía V"/>
    <s v="Joe H"/>
    <n v="77078"/>
    <n v="5046131"/>
    <n v="65.467694444444433"/>
    <n v="0"/>
    <n v="68"/>
    <n v="68.5"/>
    <m/>
    <n v="0"/>
  </r>
  <r>
    <x v="73"/>
    <n v="202605"/>
    <x v="0"/>
    <x v="3"/>
    <s v="Fátima L"/>
    <s v="Fátima L"/>
    <n v="77060"/>
    <n v="838266"/>
    <n v="10.878084677419388"/>
    <n v="75857.678209750811"/>
    <n v="13.5"/>
    <n v="12"/>
    <n v="11.788780293634797"/>
    <n v="894270"/>
  </r>
  <r>
    <x v="76"/>
    <n v="202407"/>
    <x v="2"/>
    <x v="6"/>
    <s v="Hernán P"/>
    <s v="Daniel R"/>
    <n v="77012"/>
    <n v="7151576"/>
    <n v="92.862762096774091"/>
    <n v="0"/>
    <n v="106"/>
    <n v="94.5"/>
    <m/>
    <n v="0"/>
  </r>
  <r>
    <x v="27"/>
    <n v="202405"/>
    <x v="2"/>
    <x v="3"/>
    <s v="Sofía V"/>
    <s v="Joe H"/>
    <n v="76989"/>
    <n v="4578275"/>
    <n v="59.466458333333328"/>
    <n v="0"/>
    <n v="62"/>
    <n v="58"/>
    <m/>
    <n v="0"/>
  </r>
  <r>
    <x v="68"/>
    <n v="202501"/>
    <x v="1"/>
    <x v="10"/>
    <s v="Sofía V"/>
    <s v="José A"/>
    <n v="76982"/>
    <n v="3641138"/>
    <n v="47.298313172043009"/>
    <n v="77187.448624444121"/>
    <n v="52"/>
    <n v="52"/>
    <n v="47.172672434296594"/>
    <n v="3599719"/>
  </r>
  <r>
    <x v="51"/>
    <n v="202604"/>
    <x v="0"/>
    <x v="9"/>
    <s v="Sofía V"/>
    <s v="Melany A"/>
    <n v="76970"/>
    <n v="2853081"/>
    <n v="37.067527777777336"/>
    <n v="76587.850236283659"/>
    <n v="43.5"/>
    <n v="41"/>
    <n v="38.914029696684921"/>
    <n v="2980342"/>
  </r>
  <r>
    <x v="51"/>
    <n v="202508"/>
    <x v="1"/>
    <x v="5"/>
    <s v="Sofía V"/>
    <s v="Melany A"/>
    <n v="76969"/>
    <n v="2769008"/>
    <n v="35.975530913978496"/>
    <n v="79457.400470963054"/>
    <n v="43.5"/>
    <n v="41"/>
    <n v="34.848963137321711"/>
    <n v="3126650"/>
  </r>
  <r>
    <x v="66"/>
    <n v="202606"/>
    <x v="0"/>
    <x v="11"/>
    <s v="Sebastián S"/>
    <s v="Rodolfo O"/>
    <n v="76950"/>
    <n v="3962124"/>
    <n v="51.489277777777559"/>
    <n v="78000.088291173175"/>
    <n v="55"/>
    <n v="55.5"/>
    <n v="48.91205759483401"/>
    <n v="3815145"/>
  </r>
  <r>
    <x v="47"/>
    <n v="202502"/>
    <x v="1"/>
    <x v="2"/>
    <s v="Sebastián S"/>
    <s v="Vik E"/>
    <n v="76901"/>
    <n v="4394655"/>
    <n v="57.146770833333321"/>
    <n v="75463.114327022748"/>
    <n v="61.5"/>
    <n v="48.5"/>
    <n v="58.235796643053582"/>
    <n v="4296943"/>
  </r>
  <r>
    <x v="43"/>
    <n v="202408"/>
    <x v="2"/>
    <x v="5"/>
    <s v="Sofía V"/>
    <s v="José A"/>
    <n v="76876"/>
    <n v="2345975"/>
    <n v="30.516424731182806"/>
    <n v="0"/>
    <n v="32.5"/>
    <n v="32"/>
    <m/>
    <n v="0"/>
  </r>
  <r>
    <x v="79"/>
    <n v="202505"/>
    <x v="1"/>
    <x v="3"/>
    <s v="Sebastián S"/>
    <s v="Vik E"/>
    <n v="76804"/>
    <n v="5827640"/>
    <n v="75.876612903225777"/>
    <n v="66550.077904513179"/>
    <n v="84.5"/>
    <n v="78.5"/>
    <n v="87.567744824605086"/>
    <n v="5930252"/>
  </r>
  <r>
    <x v="41"/>
    <n v="202409"/>
    <x v="2"/>
    <x v="4"/>
    <s v="Sebastián S"/>
    <s v="Rodolfo O"/>
    <n v="76793"/>
    <n v="4579596"/>
    <n v="59.635333333333342"/>
    <n v="0"/>
    <n v="64.5"/>
    <n v="64"/>
    <m/>
    <n v="0"/>
  </r>
  <r>
    <x v="41"/>
    <n v="202404"/>
    <x v="2"/>
    <x v="9"/>
    <s v="Sebastián S"/>
    <s v="Rodolfo O"/>
    <n v="76792"/>
    <n v="4788916"/>
    <n v="62.362319444444445"/>
    <n v="0"/>
    <n v="64.5"/>
    <n v="64"/>
    <m/>
    <n v="0"/>
  </r>
  <r>
    <x v="76"/>
    <n v="202405"/>
    <x v="2"/>
    <x v="3"/>
    <s v="Hernán P"/>
    <s v="Daniel R"/>
    <n v="76773"/>
    <n v="7450708"/>
    <n v="97.048084677419297"/>
    <n v="0"/>
    <n v="106"/>
    <n v="94.5"/>
    <m/>
    <n v="0"/>
  </r>
  <r>
    <x v="34"/>
    <n v="202407"/>
    <x v="2"/>
    <x v="6"/>
    <s v="Hernán P"/>
    <s v="Daniel R"/>
    <n v="76767"/>
    <n v="1058009"/>
    <n v="13.782096774193549"/>
    <n v="0"/>
    <n v="15"/>
    <n v="15"/>
    <m/>
    <n v="0"/>
  </r>
  <r>
    <x v="52"/>
    <n v="202402"/>
    <x v="2"/>
    <x v="2"/>
    <s v="Sebastián S"/>
    <s v="Vik E"/>
    <n v="76739"/>
    <n v="6169373"/>
    <n v="80.394647988505724"/>
    <n v="0"/>
    <n v="80"/>
    <n v="78"/>
    <m/>
    <n v="0"/>
  </r>
  <r>
    <x v="0"/>
    <n v="202601"/>
    <x v="0"/>
    <x v="10"/>
    <s v="Fátima L"/>
    <s v="Fátima L"/>
    <n v="76714"/>
    <n v="1096297"/>
    <n v="14.290772849462362"/>
    <n v="131760.14977041513"/>
    <n v="13.5"/>
    <n v="12.5"/>
    <n v="11.712938172043014"/>
    <n v="1543298"/>
  </r>
  <r>
    <x v="68"/>
    <n v="202408"/>
    <x v="2"/>
    <x v="5"/>
    <s v="Sofía V"/>
    <s v="José A"/>
    <n v="76713"/>
    <n v="3590262"/>
    <n v="46.800974462365609"/>
    <n v="0"/>
    <n v="52"/>
    <n v="52"/>
    <m/>
    <n v="0"/>
  </r>
  <r>
    <x v="80"/>
    <n v="202412"/>
    <x v="2"/>
    <x v="1"/>
    <s v="Fátima L"/>
    <s v="Fátima L"/>
    <n v="76709"/>
    <n v="747548"/>
    <n v="9.7452419354838735"/>
    <n v="0"/>
    <n v="10"/>
    <n v="9"/>
    <m/>
    <n v="0"/>
  </r>
  <r>
    <x v="63"/>
    <n v="202405"/>
    <x v="2"/>
    <x v="3"/>
    <s v="Sebastián S"/>
    <s v="Johanna V"/>
    <n v="76704"/>
    <n v="8851306"/>
    <n v="115.39570564516129"/>
    <n v="0"/>
    <n v="123"/>
    <n v="115.5"/>
    <m/>
    <n v="0"/>
  </r>
  <r>
    <x v="18"/>
    <n v="202409"/>
    <x v="2"/>
    <x v="4"/>
    <s v="Sofía V"/>
    <s v="Joe H"/>
    <n v="76687"/>
    <n v="3520431"/>
    <n v="45.906534722222247"/>
    <n v="0"/>
    <n v="50.5"/>
    <n v="51.5"/>
    <m/>
    <n v="0"/>
  </r>
  <r>
    <x v="45"/>
    <n v="202410"/>
    <x v="2"/>
    <x v="8"/>
    <s v="Sofía V"/>
    <s v="Joe H"/>
    <n v="76664"/>
    <n v="5167453"/>
    <n v="67.403743279569895"/>
    <n v="0"/>
    <n v="68"/>
    <n v="68.5"/>
    <m/>
    <n v="0"/>
  </r>
  <r>
    <x v="54"/>
    <n v="202407"/>
    <x v="2"/>
    <x v="6"/>
    <s v="Sebastián S"/>
    <s v="Rodolfo O"/>
    <n v="76661"/>
    <n v="6204462"/>
    <n v="80.933924731182771"/>
    <n v="0"/>
    <n v="80"/>
    <n v="80.5"/>
    <m/>
    <n v="0"/>
  </r>
  <r>
    <x v="23"/>
    <n v="202402"/>
    <x v="2"/>
    <x v="2"/>
    <s v="Sebastián S"/>
    <s v="Rodolfo O"/>
    <n v="76649"/>
    <n v="7195672"/>
    <n v="93.87854885057466"/>
    <n v="0"/>
    <n v="94.5"/>
    <n v="97"/>
    <m/>
    <n v="0"/>
  </r>
  <r>
    <x v="58"/>
    <n v="202502"/>
    <x v="1"/>
    <x v="2"/>
    <s v="Sebastián S"/>
    <s v="Rodolfo O"/>
    <n v="76616"/>
    <n v="4326984"/>
    <n v="56.476093749999997"/>
    <n v="75638.975330318091"/>
    <n v="66.5"/>
    <n v="63.5"/>
    <n v="57.205749431479042"/>
    <n v="4770949"/>
  </r>
  <r>
    <x v="53"/>
    <n v="202501"/>
    <x v="1"/>
    <x v="10"/>
    <s v="Sebastián S"/>
    <s v="Johanna V"/>
    <n v="76596"/>
    <n v="4583942"/>
    <n v="59.84562500000002"/>
    <n v="82393.425382969217"/>
    <n v="68"/>
    <n v="60.5"/>
    <n v="55.634797663692027"/>
    <n v="5043672"/>
  </r>
  <r>
    <x v="99"/>
    <n v="202512"/>
    <x v="1"/>
    <x v="1"/>
    <s v="Hernán P"/>
    <s v="Daniel R"/>
    <n v="76572"/>
    <n v="3974929"/>
    <n v="51.910786290322562"/>
    <n v="73110.688422179766"/>
    <n v="53.5"/>
    <n v="51"/>
    <n v="54.368640424320184"/>
    <n v="4477682"/>
  </r>
  <r>
    <x v="46"/>
    <n v="202402"/>
    <x v="2"/>
    <x v="2"/>
    <s v="Sofía V"/>
    <s v="José A"/>
    <n v="76559"/>
    <n v="4106156"/>
    <n v="53.633577586206918"/>
    <n v="0"/>
    <n v="58"/>
    <n v="58.5"/>
    <m/>
    <n v="0"/>
  </r>
  <r>
    <x v="27"/>
    <n v="202410"/>
    <x v="2"/>
    <x v="8"/>
    <s v="Sofía V"/>
    <s v="Joe H"/>
    <n v="76557"/>
    <n v="4472869"/>
    <n v="58.425490591397839"/>
    <n v="0"/>
    <n v="62"/>
    <n v="58"/>
    <m/>
    <n v="0"/>
  </r>
  <r>
    <x v="39"/>
    <n v="202506"/>
    <x v="1"/>
    <x v="11"/>
    <s v="Sofía V"/>
    <s v="Melany A"/>
    <n v="76546"/>
    <n v="4212440"/>
    <n v="55.031472222222213"/>
    <n v="77051.998214384046"/>
    <n v="60.5"/>
    <n v="60.5"/>
    <n v="54.670096657060128"/>
    <n v="5207146"/>
  </r>
  <r>
    <x v="90"/>
    <n v="202403"/>
    <x v="2"/>
    <x v="0"/>
    <s v="Sebastián S"/>
    <s v="Vik E"/>
    <n v="76534"/>
    <n v="3758769"/>
    <n v="49.112715053763438"/>
    <n v="0"/>
    <n v="47.5"/>
    <n v="43"/>
    <m/>
    <n v="0"/>
  </r>
  <r>
    <x v="89"/>
    <n v="202412"/>
    <x v="2"/>
    <x v="1"/>
    <s v="Sebastián S"/>
    <s v="Rodolfo O"/>
    <n v="76532"/>
    <n v="2794673"/>
    <n v="36.516290322580659"/>
    <n v="0"/>
    <n v="34"/>
    <n v="34"/>
    <m/>
    <n v="0"/>
  </r>
  <r>
    <x v="66"/>
    <n v="202510"/>
    <x v="1"/>
    <x v="8"/>
    <s v="Sebastián S"/>
    <s v="Rodolfo O"/>
    <n v="76506"/>
    <n v="3837802"/>
    <n v="50.163655913978509"/>
    <n v="78755.303365436499"/>
    <n v="55"/>
    <n v="55.5"/>
    <n v="48.730713564672833"/>
    <n v="3890353"/>
  </r>
  <r>
    <x v="72"/>
    <n v="202508"/>
    <x v="1"/>
    <x v="5"/>
    <s v="Sebastián S"/>
    <s v="Vik E"/>
    <n v="76501"/>
    <n v="5118789"/>
    <n v="66.91115591397849"/>
    <n v="81208.182764953628"/>
    <n v="79.5"/>
    <n v="67"/>
    <n v="63.032924832410785"/>
    <n v="5489758"/>
  </r>
  <r>
    <x v="55"/>
    <n v="202510"/>
    <x v="1"/>
    <x v="8"/>
    <s v="Sebastián S"/>
    <s v="Vik E"/>
    <n v="76473"/>
    <n v="3857728"/>
    <n v="50.445584677419362"/>
    <n v="79008.213701093453"/>
    <n v="69.5"/>
    <n v="59"/>
    <n v="48.826924053677345"/>
    <n v="5035539"/>
  </r>
  <r>
    <x v="9"/>
    <n v="202406"/>
    <x v="2"/>
    <x v="11"/>
    <s v="Sofía V"/>
    <s v="Joe H"/>
    <n v="76465"/>
    <n v="4912218"/>
    <n v="64.241527777777762"/>
    <n v="0"/>
    <n v="70.5"/>
    <n v="69.5"/>
    <m/>
    <n v="0"/>
  </r>
  <r>
    <x v="46"/>
    <n v="202503"/>
    <x v="1"/>
    <x v="0"/>
    <s v="Sofía V"/>
    <s v="José A"/>
    <n v="76433"/>
    <n v="3817957"/>
    <n v="49.951586021505385"/>
    <n v="86576.093666775865"/>
    <n v="58"/>
    <n v="58.5"/>
    <n v="44.099432860703963"/>
    <n v="5047407"/>
  </r>
  <r>
    <x v="53"/>
    <n v="202404"/>
    <x v="2"/>
    <x v="9"/>
    <s v="Sebastián S"/>
    <s v="Johanna V"/>
    <n v="76410"/>
    <n v="4888689"/>
    <n v="63.98009722222222"/>
    <n v="0"/>
    <n v="68"/>
    <n v="60.5"/>
    <m/>
    <n v="0"/>
  </r>
  <r>
    <x v="38"/>
    <n v="202508"/>
    <x v="1"/>
    <x v="5"/>
    <s v="Sofía V"/>
    <s v="Melany A"/>
    <n v="76364"/>
    <n v="3844589"/>
    <n v="50.345383064516128"/>
    <n v="74075.692024056436"/>
    <n v="56"/>
    <n v="60"/>
    <n v="51.900812465598719"/>
    <n v="4601118"/>
  </r>
  <r>
    <x v="43"/>
    <n v="202402"/>
    <x v="2"/>
    <x v="2"/>
    <s v="Sofía V"/>
    <s v="José A"/>
    <n v="76350"/>
    <n v="2480000"/>
    <n v="32.481860632183924"/>
    <n v="0"/>
    <n v="32.5"/>
    <n v="32"/>
    <m/>
    <n v="0"/>
  </r>
  <r>
    <x v="71"/>
    <n v="202601"/>
    <x v="0"/>
    <x v="10"/>
    <s v="Sebastián S"/>
    <s v="Rodolfo O"/>
    <n v="76350"/>
    <n v="3861838"/>
    <n v="50.580833333333324"/>
    <n v="83372.045200923327"/>
    <n v="53.5"/>
    <n v="54"/>
    <n v="47.165198395018514"/>
    <n v="3932259"/>
  </r>
  <r>
    <x v="51"/>
    <n v="202502"/>
    <x v="1"/>
    <x v="2"/>
    <s v="Sofía V"/>
    <s v="Melany A"/>
    <n v="76328"/>
    <n v="3138435"/>
    <n v="41.117760416666663"/>
    <n v="73432.452914519265"/>
    <n v="43.5"/>
    <n v="41"/>
    <n v="42.739067611609904"/>
    <n v="3050269"/>
  </r>
  <r>
    <x v="61"/>
    <n v="202505"/>
    <x v="1"/>
    <x v="3"/>
    <s v="Sofía V"/>
    <s v="Joe H"/>
    <n v="76297"/>
    <n v="2596911"/>
    <n v="34.036700268817214"/>
    <n v="69131.188975442579"/>
    <n v="41.5"/>
    <n v="35.5"/>
    <n v="37.564973472718641"/>
    <n v="2446850"/>
  </r>
  <r>
    <x v="87"/>
    <n v="202403"/>
    <x v="2"/>
    <x v="0"/>
    <s v="Fátima L"/>
    <s v="Fátima L"/>
    <n v="76279"/>
    <n v="747959"/>
    <n v="9.8055981182795726"/>
    <n v="0"/>
    <n v="11"/>
    <n v="11"/>
    <m/>
    <n v="0"/>
  </r>
  <r>
    <x v="72"/>
    <n v="202504"/>
    <x v="1"/>
    <x v="9"/>
    <s v="Sebastián S"/>
    <s v="Vik E"/>
    <n v="76277"/>
    <n v="5275543"/>
    <n v="69.163159722222261"/>
    <n v="70034.877928006506"/>
    <n v="79.5"/>
    <n v="67"/>
    <n v="75.327366393400183"/>
    <n v="5521501"/>
  </r>
  <r>
    <x v="18"/>
    <n v="202510"/>
    <x v="1"/>
    <x v="8"/>
    <s v="Sofía V"/>
    <s v="Joe H"/>
    <n v="76263"/>
    <n v="3207341"/>
    <n v="42.056263440860207"/>
    <n v="79297.955725797932"/>
    <n v="50.5"/>
    <n v="51.5"/>
    <n v="40.446709888595002"/>
    <n v="3820788"/>
  </r>
  <r>
    <x v="64"/>
    <n v="202606"/>
    <x v="0"/>
    <x v="11"/>
    <s v="Sebastián S"/>
    <s v="Johanna V"/>
    <n v="76221"/>
    <n v="4650711"/>
    <n v="61.015986111111239"/>
    <n v="79417.040957913239"/>
    <n v="75.5"/>
    <n v="70.5"/>
    <n v="63.423114179855602"/>
    <n v="5036876"/>
  </r>
  <r>
    <x v="50"/>
    <n v="202410"/>
    <x v="2"/>
    <x v="8"/>
    <s v="Sebastián S"/>
    <s v="Vik E"/>
    <n v="76175"/>
    <n v="5418403"/>
    <n v="71.130537634408597"/>
    <n v="0"/>
    <n v="75.5"/>
    <n v="74"/>
    <m/>
    <n v="0"/>
  </r>
  <r>
    <x v="55"/>
    <n v="202404"/>
    <x v="2"/>
    <x v="9"/>
    <s v="Sebastián S"/>
    <s v="Vik E"/>
    <n v="76172"/>
    <n v="4715349"/>
    <n v="61.904256944444441"/>
    <n v="0"/>
    <n v="69.5"/>
    <n v="59"/>
    <m/>
    <n v="0"/>
  </r>
  <r>
    <x v="100"/>
    <n v="202512"/>
    <x v="1"/>
    <x v="1"/>
    <s v="Hernán P"/>
    <s v="Daniel R"/>
    <n v="76090"/>
    <n v="2448997"/>
    <n v="32.18565188172041"/>
    <n v="69537.837267332652"/>
    <n v="41.5"/>
    <n v="43"/>
    <n v="35.218198699292678"/>
    <n v="2818179"/>
  </r>
  <r>
    <x v="45"/>
    <n v="202502"/>
    <x v="1"/>
    <x v="2"/>
    <s v="Sofía V"/>
    <s v="Joe H"/>
    <n v="76043"/>
    <n v="4813520"/>
    <n v="63.300104166666664"/>
    <n v="74437.675016909983"/>
    <n v="68"/>
    <n v="68.5"/>
    <n v="64.665104315879219"/>
    <n v="4381358"/>
  </r>
  <r>
    <x v="71"/>
    <n v="202505"/>
    <x v="1"/>
    <x v="3"/>
    <s v="Sebastián S"/>
    <s v="Rodolfo O"/>
    <n v="76043"/>
    <n v="4047688"/>
    <n v="53.229260752688148"/>
    <n v="68490.423082853522"/>
    <n v="53.5"/>
    <n v="54"/>
    <n v="59.098605437193349"/>
    <n v="3871255"/>
  </r>
  <r>
    <x v="58"/>
    <n v="202406"/>
    <x v="2"/>
    <x v="11"/>
    <s v="Sebastián S"/>
    <s v="Rodolfo O"/>
    <n v="76028"/>
    <n v="4995753"/>
    <n v="65.709340277777798"/>
    <n v="0"/>
    <n v="66.5"/>
    <n v="63.5"/>
    <m/>
    <n v="0"/>
  </r>
  <r>
    <x v="82"/>
    <n v="202605"/>
    <x v="0"/>
    <x v="3"/>
    <s v="Sebastián S"/>
    <s v="Vik E"/>
    <n v="76028"/>
    <n v="3899155"/>
    <n v="51.285819892472936"/>
    <n v="73023.278758985951"/>
    <n v="61.5"/>
    <n v="56"/>
    <n v="52.842490794418893"/>
    <n v="3858732"/>
  </r>
  <r>
    <x v="71"/>
    <n v="202509"/>
    <x v="1"/>
    <x v="4"/>
    <s v="Sebastián S"/>
    <s v="Rodolfo O"/>
    <n v="76015"/>
    <n v="3428349"/>
    <n v="45.100902777777783"/>
    <n v="71276.34962219336"/>
    <n v="53.5"/>
    <n v="54"/>
    <n v="48.099384272234303"/>
    <n v="3814892"/>
  </r>
  <r>
    <x v="23"/>
    <n v="202404"/>
    <x v="2"/>
    <x v="9"/>
    <s v="Sebastián S"/>
    <s v="Rodolfo O"/>
    <n v="75952"/>
    <n v="6932312"/>
    <n v="91.272756944444509"/>
    <n v="0"/>
    <n v="94.5"/>
    <n v="97"/>
    <m/>
    <n v="0"/>
  </r>
  <r>
    <x v="58"/>
    <n v="202409"/>
    <x v="2"/>
    <x v="4"/>
    <s v="Sebastián S"/>
    <s v="Rodolfo O"/>
    <n v="75920"/>
    <n v="4511801"/>
    <n v="59.42849305555557"/>
    <n v="0"/>
    <n v="66.5"/>
    <n v="63.5"/>
    <m/>
    <n v="0"/>
  </r>
  <r>
    <x v="27"/>
    <n v="202406"/>
    <x v="2"/>
    <x v="11"/>
    <s v="Sofía V"/>
    <s v="Joe H"/>
    <n v="75903"/>
    <n v="4729921"/>
    <n v="62.314923611111105"/>
    <n v="0"/>
    <n v="62"/>
    <n v="58"/>
    <m/>
    <n v="0"/>
  </r>
  <r>
    <x v="72"/>
    <n v="202406"/>
    <x v="2"/>
    <x v="11"/>
    <s v="Sebastián S"/>
    <s v="Vik E"/>
    <n v="75894"/>
    <n v="5466581"/>
    <n v="72.029027777777841"/>
    <n v="0"/>
    <n v="79.5"/>
    <n v="67"/>
    <m/>
    <n v="0"/>
  </r>
  <r>
    <x v="29"/>
    <n v="202506"/>
    <x v="1"/>
    <x v="11"/>
    <s v="Sebastián S"/>
    <s v="Vik E"/>
    <n v="75892"/>
    <n v="5292469"/>
    <n v="69.736916666666673"/>
    <n v="101428.26423251473"/>
    <n v="76.5"/>
    <n v="75.5"/>
    <n v="52.179425429853701"/>
    <n v="6334515"/>
  </r>
  <r>
    <x v="82"/>
    <n v="202604"/>
    <x v="0"/>
    <x v="9"/>
    <s v="Sebastián S"/>
    <s v="Vik E"/>
    <n v="75863"/>
    <n v="3934945"/>
    <n v="51.869173611111833"/>
    <n v="71651.442221567166"/>
    <n v="61.5"/>
    <n v="56"/>
    <n v="52.842490794418893"/>
    <n v="3786241"/>
  </r>
  <r>
    <x v="49"/>
    <n v="202405"/>
    <x v="2"/>
    <x v="3"/>
    <s v="Sebastián S"/>
    <s v="Vik E"/>
    <n v="75845"/>
    <n v="4960387"/>
    <n v="65.401922043010757"/>
    <n v="0"/>
    <n v="66"/>
    <n v="64.5"/>
    <m/>
    <n v="0"/>
  </r>
  <r>
    <x v="42"/>
    <n v="202503"/>
    <x v="1"/>
    <x v="0"/>
    <s v="Hernán P"/>
    <s v="Daniel R"/>
    <n v="75842"/>
    <n v="1850048"/>
    <n v="24.393353494623657"/>
    <n v="92888.803197786125"/>
    <n v="22.5"/>
    <n v="21"/>
    <n v="19.916804784972115"/>
    <n v="2035698"/>
  </r>
  <r>
    <x v="83"/>
    <n v="202603"/>
    <x v="0"/>
    <x v="0"/>
    <s v="Hernán P"/>
    <s v="Daniel R"/>
    <n v="75789"/>
    <n v="3517102"/>
    <n v="46.406659946236559"/>
    <n v="85673.939962916993"/>
    <n v="51"/>
    <n v="49"/>
    <n v="41.451897990651069"/>
    <n v="3551347"/>
  </r>
  <r>
    <x v="41"/>
    <n v="202509"/>
    <x v="1"/>
    <x v="4"/>
    <s v="Sebastián S"/>
    <s v="Rodolfo O"/>
    <n v="75780"/>
    <n v="4420080"/>
    <n v="58.327888888888907"/>
    <n v="80632.997691525146"/>
    <n v="64.5"/>
    <n v="64"/>
    <n v="54.817259267846474"/>
    <n v="5142384"/>
  </r>
  <r>
    <x v="29"/>
    <n v="202409"/>
    <x v="2"/>
    <x v="4"/>
    <s v="Sebastián S"/>
    <s v="Vik E"/>
    <n v="75778"/>
    <n v="5244059"/>
    <n v="69.203166666666689"/>
    <n v="0"/>
    <n v="76.5"/>
    <n v="75.5"/>
    <m/>
    <n v="0"/>
  </r>
  <r>
    <x v="64"/>
    <n v="202403"/>
    <x v="2"/>
    <x v="0"/>
    <s v="Sebastián S"/>
    <s v="Johanna V"/>
    <n v="75735"/>
    <n v="6093554"/>
    <n v="80.458413978494647"/>
    <n v="0"/>
    <n v="75.5"/>
    <n v="70.5"/>
    <m/>
    <n v="0"/>
  </r>
  <r>
    <x v="55"/>
    <n v="202604"/>
    <x v="0"/>
    <x v="9"/>
    <s v="Sebastián S"/>
    <s v="Vik E"/>
    <n v="75712"/>
    <n v="4046590"/>
    <n v="53.447041666667523"/>
    <n v="76015.780134736662"/>
    <n v="69.5"/>
    <n v="59"/>
    <n v="57.926444284268129"/>
    <n v="4403324"/>
  </r>
  <r>
    <x v="51"/>
    <n v="202505"/>
    <x v="1"/>
    <x v="3"/>
    <s v="Sofía V"/>
    <s v="Melany A"/>
    <n v="75700"/>
    <n v="2988564"/>
    <n v="39.479294354838693"/>
    <n v="64615.012334371597"/>
    <n v="43.5"/>
    <n v="41"/>
    <n v="46.251854051109561"/>
    <n v="2797794"/>
  </r>
  <r>
    <x v="98"/>
    <n v="202606"/>
    <x v="0"/>
    <x v="11"/>
    <s v="Hernán P"/>
    <s v="Daniel R"/>
    <n v="75694"/>
    <n v="5143879"/>
    <n v="67.955951388888607"/>
    <n v="73459.505316510156"/>
    <n v="87"/>
    <n v="77.5"/>
    <n v="73.970842069892498"/>
    <n v="5433861"/>
  </r>
  <r>
    <x v="51"/>
    <n v="202408"/>
    <x v="2"/>
    <x v="5"/>
    <s v="Sofía V"/>
    <s v="Melany A"/>
    <n v="75674"/>
    <n v="3074923"/>
    <n v="40.633965053763454"/>
    <n v="0"/>
    <n v="43.5"/>
    <n v="41"/>
    <m/>
    <n v="0"/>
  </r>
  <r>
    <x v="41"/>
    <n v="202405"/>
    <x v="2"/>
    <x v="3"/>
    <s v="Sebastián S"/>
    <s v="Rodolfo O"/>
    <n v="75652"/>
    <n v="4932519"/>
    <n v="65.200342741935472"/>
    <n v="0"/>
    <n v="64.5"/>
    <n v="64"/>
    <m/>
    <n v="0"/>
  </r>
  <r>
    <x v="50"/>
    <n v="202409"/>
    <x v="2"/>
    <x v="4"/>
    <s v="Sebastián S"/>
    <s v="Vik E"/>
    <n v="75634"/>
    <n v="5516483"/>
    <n v="72.936986111111125"/>
    <n v="0"/>
    <n v="75.5"/>
    <n v="74"/>
    <m/>
    <n v="0"/>
  </r>
  <r>
    <x v="72"/>
    <n v="202505"/>
    <x v="1"/>
    <x v="3"/>
    <s v="Sebastián S"/>
    <s v="Vik E"/>
    <n v="75624"/>
    <n v="5368882"/>
    <n v="70.994677419354844"/>
    <n v="70354.586906211538"/>
    <n v="79.5"/>
    <n v="67"/>
    <n v="76.311761408778679"/>
    <n v="5403018"/>
  </r>
  <r>
    <x v="52"/>
    <n v="202404"/>
    <x v="2"/>
    <x v="9"/>
    <s v="Sebastián S"/>
    <s v="Vik E"/>
    <n v="75618"/>
    <n v="5969341"/>
    <n v="78.940895833333371"/>
    <n v="0"/>
    <n v="80"/>
    <n v="78"/>
    <m/>
    <n v="0"/>
  </r>
  <r>
    <x v="34"/>
    <n v="202506"/>
    <x v="1"/>
    <x v="11"/>
    <s v="Hernán P"/>
    <s v="Daniel R"/>
    <n v="75587"/>
    <n v="1012839"/>
    <n v="13.399701388888889"/>
    <n v="93000.894029512827"/>
    <n v="15"/>
    <n v="15"/>
    <n v="10.890634123136348"/>
    <n v="1088957"/>
  </r>
  <r>
    <x v="55"/>
    <n v="202406"/>
    <x v="2"/>
    <x v="11"/>
    <s v="Sebastián S"/>
    <s v="Vik E"/>
    <n v="75568"/>
    <n v="4803306"/>
    <n v="63.562527777777788"/>
    <n v="0"/>
    <n v="69.5"/>
    <n v="59"/>
    <m/>
    <n v="0"/>
  </r>
  <r>
    <x v="58"/>
    <n v="202606"/>
    <x v="0"/>
    <x v="11"/>
    <s v="Sebastián S"/>
    <s v="Rodolfo O"/>
    <n v="75558"/>
    <n v="4235429"/>
    <n v="56.055368055555583"/>
    <n v="2.5598265104194331"/>
    <n v="66.5"/>
    <n v="63.5"/>
    <n v="54.652141241039438"/>
    <n v="140"/>
  </r>
  <r>
    <x v="18"/>
    <n v="202410"/>
    <x v="2"/>
    <x v="8"/>
    <s v="Sofía V"/>
    <s v="Joe H"/>
    <n v="75522"/>
    <n v="3457750"/>
    <n v="45.784751344086011"/>
    <n v="0"/>
    <n v="50.5"/>
    <n v="51.5"/>
    <m/>
    <n v="0"/>
  </r>
  <r>
    <x v="50"/>
    <n v="202509"/>
    <x v="1"/>
    <x v="4"/>
    <s v="Sebastián S"/>
    <s v="Vik E"/>
    <n v="75499"/>
    <n v="4270063"/>
    <n v="56.558152777777792"/>
    <n v="79415.224967975548"/>
    <n v="75.5"/>
    <n v="74"/>
    <n v="53.768823946817719"/>
    <n v="6145122"/>
  </r>
  <r>
    <x v="83"/>
    <n v="202401"/>
    <x v="2"/>
    <x v="10"/>
    <s v="Hernán P"/>
    <s v="Daniel R"/>
    <n v="75458"/>
    <n v="3253731"/>
    <n v="43.119529569892478"/>
    <n v="0"/>
    <n v="51"/>
    <n v="49"/>
    <m/>
    <n v="0"/>
  </r>
  <r>
    <x v="64"/>
    <n v="202501"/>
    <x v="1"/>
    <x v="10"/>
    <s v="Sebastián S"/>
    <s v="Johanna V"/>
    <n v="75403"/>
    <n v="4982684"/>
    <n v="66.080893817204284"/>
    <n v="72471.919261342962"/>
    <n v="75.5"/>
    <n v="70.5"/>
    <n v="68.753308740614514"/>
    <n v="5337107"/>
  </r>
  <r>
    <x v="68"/>
    <n v="202508"/>
    <x v="1"/>
    <x v="5"/>
    <s v="Sofía V"/>
    <s v="José A"/>
    <n v="75398"/>
    <n v="3420153"/>
    <n v="45.36108198924731"/>
    <n v="80549.075287554442"/>
    <n v="52"/>
    <n v="52"/>
    <n v="42.460488190463984"/>
    <n v="3529703"/>
  </r>
  <r>
    <x v="41"/>
    <n v="202410"/>
    <x v="2"/>
    <x v="8"/>
    <s v="Sebastián S"/>
    <s v="Rodolfo O"/>
    <n v="75380"/>
    <n v="4526479"/>
    <n v="60.048568548387088"/>
    <n v="0"/>
    <n v="64.5"/>
    <n v="64"/>
    <m/>
    <n v="0"/>
  </r>
  <r>
    <x v="39"/>
    <n v="202401"/>
    <x v="2"/>
    <x v="10"/>
    <s v="Sofía V"/>
    <s v="Melany A"/>
    <n v="75307"/>
    <n v="4858036"/>
    <n v="64.509798387096765"/>
    <n v="0"/>
    <n v="60.5"/>
    <n v="60.5"/>
    <m/>
    <n v="0"/>
  </r>
  <r>
    <x v="70"/>
    <n v="202604"/>
    <x v="0"/>
    <x v="9"/>
    <s v="Sebastián S"/>
    <s v="Vik E"/>
    <n v="75292"/>
    <n v="3761302"/>
    <n v="49.956326388888876"/>
    <n v="69493.953135864271"/>
    <n v="60.5"/>
    <n v="57.5"/>
    <n v="51.161312105083525"/>
    <n v="3555402"/>
  </r>
  <r>
    <x v="87"/>
    <n v="202512"/>
    <x v="1"/>
    <x v="1"/>
    <s v="Fátima L"/>
    <s v="Fátima L"/>
    <n v="75291"/>
    <n v="823043"/>
    <n v="10.931478494623649"/>
    <n v="76994.781998471823"/>
    <n v="11"/>
    <n v="11"/>
    <n v="10.689595562675086"/>
    <n v="915150"/>
  </r>
  <r>
    <x v="83"/>
    <n v="202605"/>
    <x v="0"/>
    <x v="3"/>
    <s v="Hernán P"/>
    <s v="Daniel R"/>
    <n v="75267"/>
    <n v="3314037"/>
    <n v="44.030517473118664"/>
    <n v="78303.04922423698"/>
    <n v="51"/>
    <n v="49"/>
    <n v="41.451897990651069"/>
    <n v="3245810"/>
  </r>
  <r>
    <x v="55"/>
    <n v="202411"/>
    <x v="2"/>
    <x v="7"/>
    <s v="Sebastián S"/>
    <s v="Vik E"/>
    <n v="75261"/>
    <n v="4689421"/>
    <n v="62.309138888888882"/>
    <n v="0"/>
    <n v="69.5"/>
    <n v="59"/>
    <m/>
    <n v="0"/>
  </r>
  <r>
    <x v="55"/>
    <n v="202410"/>
    <x v="2"/>
    <x v="8"/>
    <s v="Sebastián S"/>
    <s v="Vik E"/>
    <n v="75246"/>
    <n v="4393749"/>
    <n v="58.391854838709662"/>
    <n v="0"/>
    <n v="69.5"/>
    <n v="59"/>
    <m/>
    <n v="0"/>
  </r>
  <r>
    <x v="71"/>
    <n v="202604"/>
    <x v="0"/>
    <x v="9"/>
    <s v="Sebastián S"/>
    <s v="Rodolfo O"/>
    <n v="75212"/>
    <n v="3956770"/>
    <n v="52.60815972222192"/>
    <n v="88970.061869668774"/>
    <n v="53.5"/>
    <n v="54"/>
    <n v="47.165198395018514"/>
    <n v="4196291"/>
  </r>
  <r>
    <x v="85"/>
    <n v="202510"/>
    <x v="1"/>
    <x v="8"/>
    <s v="Hernán P"/>
    <s v="Daniel R"/>
    <n v="75209"/>
    <n v="2406773"/>
    <n v="32.001196236559132"/>
    <n v="68801.436131002294"/>
    <n v="44"/>
    <n v="40.5"/>
    <n v="34.981429390766671"/>
    <n v="2841235"/>
  </r>
  <r>
    <x v="81"/>
    <n v="202401"/>
    <x v="2"/>
    <x v="10"/>
    <s v="Fátima L"/>
    <s v="Fátima L"/>
    <n v="75188"/>
    <n v="815353"/>
    <n v="10.844119623655914"/>
    <n v="0"/>
    <n v="11.5"/>
    <n v="12"/>
    <m/>
    <n v="0"/>
  </r>
  <r>
    <x v="38"/>
    <n v="202401"/>
    <x v="2"/>
    <x v="10"/>
    <s v="Sofía V"/>
    <s v="Melany A"/>
    <n v="75180"/>
    <n v="4364031"/>
    <n v="58.047876344086013"/>
    <n v="0"/>
    <n v="56"/>
    <n v="60"/>
    <m/>
    <n v="0"/>
  </r>
  <r>
    <x v="90"/>
    <n v="202603"/>
    <x v="0"/>
    <x v="0"/>
    <s v="Sebastián S"/>
    <s v="Vik E"/>
    <n v="75155"/>
    <n v="3314990"/>
    <n v="44.108561827957004"/>
    <n v="84795.749823371763"/>
    <n v="47.5"/>
    <n v="43"/>
    <n v="41.487905995618128"/>
    <n v="3517998"/>
  </r>
  <r>
    <x v="19"/>
    <n v="202409"/>
    <x v="2"/>
    <x v="4"/>
    <s v="Sofía V"/>
    <s v="Joe H"/>
    <n v="75145"/>
    <n v="4052969"/>
    <n v="53.935388888888895"/>
    <n v="0"/>
    <n v="57.5"/>
    <n v="56.5"/>
    <m/>
    <n v="0"/>
  </r>
  <r>
    <x v="49"/>
    <n v="202404"/>
    <x v="2"/>
    <x v="9"/>
    <s v="Sebastián S"/>
    <s v="Vik E"/>
    <n v="75114"/>
    <n v="4834626"/>
    <n v="64.363784722222221"/>
    <n v="0"/>
    <n v="66"/>
    <n v="64.5"/>
    <m/>
    <n v="0"/>
  </r>
  <r>
    <x v="79"/>
    <n v="202403"/>
    <x v="2"/>
    <x v="0"/>
    <s v="Sebastián S"/>
    <s v="Vik E"/>
    <n v="75070"/>
    <n v="6217800"/>
    <n v="82.827123655913979"/>
    <n v="0"/>
    <n v="84.5"/>
    <n v="78.5"/>
    <m/>
    <n v="0"/>
  </r>
  <r>
    <x v="55"/>
    <n v="202401"/>
    <x v="2"/>
    <x v="10"/>
    <s v="Sebastián S"/>
    <s v="Vik E"/>
    <n v="75059"/>
    <n v="4709411"/>
    <n v="62.742533602150552"/>
    <n v="0"/>
    <n v="69.5"/>
    <n v="59"/>
    <m/>
    <n v="0"/>
  </r>
  <r>
    <x v="53"/>
    <n v="202405"/>
    <x v="2"/>
    <x v="3"/>
    <s v="Sebastián S"/>
    <s v="Johanna V"/>
    <n v="75058"/>
    <n v="4748738"/>
    <n v="63.267674731182815"/>
    <n v="0"/>
    <n v="68"/>
    <n v="60.5"/>
    <m/>
    <n v="0"/>
  </r>
  <r>
    <x v="66"/>
    <n v="202410"/>
    <x v="2"/>
    <x v="8"/>
    <s v="Sebastián S"/>
    <s v="Rodolfo O"/>
    <n v="75005"/>
    <n v="3631068"/>
    <n v="48.410974462365566"/>
    <n v="0"/>
    <n v="55"/>
    <n v="55.5"/>
    <m/>
    <n v="0"/>
  </r>
  <r>
    <x v="54"/>
    <n v="202405"/>
    <x v="2"/>
    <x v="3"/>
    <s v="Sebastián S"/>
    <s v="Rodolfo O"/>
    <n v="74979"/>
    <n v="5849534"/>
    <n v="78.015893817204329"/>
    <n v="0"/>
    <n v="80"/>
    <n v="80.5"/>
    <m/>
    <n v="0"/>
  </r>
  <r>
    <x v="78"/>
    <n v="202511"/>
    <x v="1"/>
    <x v="7"/>
    <s v="Sebastián S"/>
    <s v="Vik E"/>
    <n v="74944"/>
    <n v="3676394"/>
    <n v="49.054930555555586"/>
    <n v="65205.360973275463"/>
    <n v="63"/>
    <n v="59"/>
    <n v="56.381776208658323"/>
    <n v="3848820"/>
  </r>
  <r>
    <x v="27"/>
    <n v="202409"/>
    <x v="2"/>
    <x v="4"/>
    <s v="Sofía V"/>
    <s v="Joe H"/>
    <n v="74936"/>
    <n v="4322746"/>
    <n v="57.685784722222223"/>
    <n v="0"/>
    <n v="62"/>
    <n v="58"/>
    <m/>
    <n v="0"/>
  </r>
  <r>
    <x v="79"/>
    <n v="202504"/>
    <x v="1"/>
    <x v="9"/>
    <s v="Sebastián S"/>
    <s v="Vik E"/>
    <n v="74928"/>
    <n v="5580085"/>
    <n v="74.472756944444441"/>
    <n v="64918.422470237027"/>
    <n v="84.5"/>
    <n v="78.5"/>
    <n v="85.955333134570338"/>
    <n v="6018322"/>
  </r>
  <r>
    <x v="83"/>
    <n v="202408"/>
    <x v="2"/>
    <x v="5"/>
    <s v="Hernán P"/>
    <s v="Daniel R"/>
    <n v="74928"/>
    <n v="3355617"/>
    <n v="44.784711021505373"/>
    <n v="0"/>
    <n v="51"/>
    <n v="49"/>
    <m/>
    <n v="0"/>
  </r>
  <r>
    <x v="27"/>
    <n v="202506"/>
    <x v="1"/>
    <x v="11"/>
    <s v="Sofía V"/>
    <s v="Joe H"/>
    <n v="74908"/>
    <n v="4512287"/>
    <n v="60.237673611111141"/>
    <n v="79698.670714802254"/>
    <n v="62"/>
    <n v="58"/>
    <n v="56.616839020402175"/>
    <n v="4878582"/>
  </r>
  <r>
    <x v="71"/>
    <n v="202602"/>
    <x v="0"/>
    <x v="2"/>
    <s v="Sebastián S"/>
    <s v="Rodolfo O"/>
    <n v="74810"/>
    <n v="3908547"/>
    <n v="52.246510416666659"/>
    <n v="78197.936332428129"/>
    <n v="53.5"/>
    <n v="54"/>
    <n v="47.165198395018514"/>
    <n v="3688221"/>
  </r>
  <r>
    <x v="71"/>
    <n v="202411"/>
    <x v="2"/>
    <x v="7"/>
    <s v="Sebastián S"/>
    <s v="Rodolfo O"/>
    <n v="74806"/>
    <n v="3985576"/>
    <n v="53.278652777777779"/>
    <n v="0"/>
    <n v="53.5"/>
    <n v="54"/>
    <m/>
    <n v="0"/>
  </r>
  <r>
    <x v="87"/>
    <n v="202410"/>
    <x v="2"/>
    <x v="8"/>
    <s v="Fátima L"/>
    <s v="Fátima L"/>
    <n v="74722"/>
    <n v="638661"/>
    <n v="8.547197580645161"/>
    <n v="0"/>
    <n v="11"/>
    <n v="11"/>
    <m/>
    <n v="0"/>
  </r>
  <r>
    <x v="72"/>
    <n v="202401"/>
    <x v="2"/>
    <x v="10"/>
    <s v="Sebastián S"/>
    <s v="Vik E"/>
    <n v="74669"/>
    <n v="4759244"/>
    <n v="63.738010752688211"/>
    <n v="0"/>
    <n v="79.5"/>
    <n v="67"/>
    <m/>
    <n v="0"/>
  </r>
  <r>
    <x v="83"/>
    <n v="202604"/>
    <x v="0"/>
    <x v="9"/>
    <s v="Hernán P"/>
    <s v="Daniel R"/>
    <n v="74649"/>
    <n v="3272377"/>
    <n v="43.836576388888751"/>
    <n v="78220.6883972184"/>
    <n v="51"/>
    <n v="49"/>
    <n v="41.451897990651069"/>
    <n v="3242396"/>
  </r>
  <r>
    <x v="77"/>
    <n v="202503"/>
    <x v="1"/>
    <x v="0"/>
    <s v="Fátima L"/>
    <s v="Fátima L"/>
    <n v="74643"/>
    <n v="1087934"/>
    <n v="14.575241935483872"/>
    <n v="70365.775449378445"/>
    <n v="17"/>
    <n v="13.5"/>
    <n v="15.461124005983081"/>
    <n v="1168364"/>
  </r>
  <r>
    <x v="55"/>
    <n v="202508"/>
    <x v="1"/>
    <x v="5"/>
    <s v="Sebastián S"/>
    <s v="Vik E"/>
    <n v="74609"/>
    <n v="4304277"/>
    <n v="57.69077284946237"/>
    <n v="81948.954196625768"/>
    <n v="69.5"/>
    <n v="59"/>
    <n v="52.523875041436803"/>
    <n v="4954131"/>
  </r>
  <r>
    <x v="66"/>
    <n v="202501"/>
    <x v="1"/>
    <x v="10"/>
    <s v="Sebastián S"/>
    <s v="Rodolfo O"/>
    <n v="74604"/>
    <n v="3886033"/>
    <n v="52.088844086021489"/>
    <n v="73440.866713335679"/>
    <n v="55"/>
    <n v="55.5"/>
    <n v="52.91377367819598"/>
    <n v="3666468"/>
  </r>
  <r>
    <x v="93"/>
    <n v="202412"/>
    <x v="2"/>
    <x v="1"/>
    <s v="Hernán P"/>
    <s v="Daniel R"/>
    <n v="74584"/>
    <n v="3519612"/>
    <n v="47.189643817204299"/>
    <n v="0"/>
    <n v="45.5"/>
    <n v="42.5"/>
    <m/>
    <n v="0"/>
  </r>
  <r>
    <x v="82"/>
    <n v="202411"/>
    <x v="2"/>
    <x v="7"/>
    <s v="Sebastián S"/>
    <s v="Vik E"/>
    <n v="74557"/>
    <n v="3847608"/>
    <n v="51.606041666666691"/>
    <n v="0"/>
    <n v="61.5"/>
    <n v="56"/>
    <m/>
    <n v="0"/>
  </r>
  <r>
    <x v="88"/>
    <n v="202604"/>
    <x v="0"/>
    <x v="9"/>
    <s v="Sofía V"/>
    <s v="José A"/>
    <n v="74542"/>
    <n v="5455207"/>
    <n v="73.18290972222384"/>
    <n v="59352.996215476203"/>
    <n v="84"/>
    <n v="76.5"/>
    <n v="84"/>
    <n v="4985652"/>
  </r>
  <r>
    <x v="54"/>
    <n v="202410"/>
    <x v="2"/>
    <x v="8"/>
    <s v="Sebastián S"/>
    <s v="Rodolfo O"/>
    <n v="74502"/>
    <n v="5317316"/>
    <n v="71.371538978494627"/>
    <n v="0"/>
    <n v="80"/>
    <n v="80.5"/>
    <m/>
    <n v="0"/>
  </r>
  <r>
    <x v="66"/>
    <n v="202409"/>
    <x v="2"/>
    <x v="4"/>
    <s v="Sebastián S"/>
    <s v="Rodolfo O"/>
    <n v="74463"/>
    <n v="3616117"/>
    <n v="48.562500000000021"/>
    <n v="0"/>
    <n v="55"/>
    <n v="55.5"/>
    <m/>
    <n v="0"/>
  </r>
  <r>
    <x v="79"/>
    <n v="202506"/>
    <x v="1"/>
    <x v="11"/>
    <s v="Sebastián S"/>
    <s v="Vik E"/>
    <n v="74423"/>
    <n v="5329797"/>
    <n v="71.614909722222222"/>
    <n v="71575.027423999723"/>
    <n v="84.5"/>
    <n v="78.5"/>
    <n v="74.464471922966695"/>
    <n v="5965055"/>
  </r>
  <r>
    <x v="97"/>
    <n v="202504"/>
    <x v="1"/>
    <x v="9"/>
    <s v="María R"/>
    <s v="María R"/>
    <n v="74415"/>
    <n v="5580877"/>
    <n v="74.996249999999975"/>
    <n v="70463.387802782614"/>
    <n v="94"/>
    <n v="77.5"/>
    <n v="79.202506635362369"/>
    <n v="5592512"/>
  </r>
  <r>
    <x v="83"/>
    <n v="202502"/>
    <x v="1"/>
    <x v="2"/>
    <s v="Hernán P"/>
    <s v="Daniel R"/>
    <n v="74331"/>
    <n v="3056100"/>
    <n v="41.114895833333321"/>
    <n v="75539.4455014001"/>
    <n v="51"/>
    <n v="49"/>
    <n v="40.457007722453518"/>
    <n v="3177678"/>
  </r>
  <r>
    <x v="77"/>
    <n v="202507"/>
    <x v="1"/>
    <x v="6"/>
    <s v="Fátima L"/>
    <s v="Fátima L"/>
    <n v="74315"/>
    <n v="975142"/>
    <n v="13.121754032258067"/>
    <n v="72041.870350805897"/>
    <n v="17"/>
    <n v="13.5"/>
    <n v="13.535773089337784"/>
    <n v="1125727"/>
  </r>
  <r>
    <x v="67"/>
    <n v="202410"/>
    <x v="2"/>
    <x v="8"/>
    <s v="Hernán P"/>
    <s v="Daniel R"/>
    <n v="74297"/>
    <n v="1008089"/>
    <n v="13.568427419354839"/>
    <n v="0"/>
    <n v="15.5"/>
    <n v="14.5"/>
    <m/>
    <n v="0"/>
  </r>
  <r>
    <x v="54"/>
    <n v="202411"/>
    <x v="2"/>
    <x v="7"/>
    <s v="Sebastián S"/>
    <s v="Rodolfo O"/>
    <n v="74278"/>
    <n v="5738624"/>
    <n v="77.259097222222266"/>
    <n v="0"/>
    <n v="80"/>
    <n v="80.5"/>
    <m/>
    <n v="0"/>
  </r>
  <r>
    <x v="70"/>
    <n v="202407"/>
    <x v="2"/>
    <x v="6"/>
    <s v="Sebastián S"/>
    <s v="Vik E"/>
    <n v="74276"/>
    <n v="3931898"/>
    <n v="52.936229838709664"/>
    <n v="0"/>
    <n v="60.5"/>
    <n v="57.5"/>
    <m/>
    <n v="0"/>
  </r>
  <r>
    <x v="60"/>
    <n v="202406"/>
    <x v="2"/>
    <x v="11"/>
    <s v="Sofía V"/>
    <s v="Melany A"/>
    <n v="74274"/>
    <n v="6101532"/>
    <n v="82.148694444444487"/>
    <n v="0"/>
    <n v="88.5"/>
    <n v="92.5"/>
    <m/>
    <n v="0"/>
  </r>
  <r>
    <x v="34"/>
    <n v="202404"/>
    <x v="2"/>
    <x v="9"/>
    <s v="Hernán P"/>
    <s v="Daniel R"/>
    <n v="74274"/>
    <n v="984886"/>
    <n v="13.260187500000001"/>
    <n v="0"/>
    <n v="15"/>
    <n v="15"/>
    <m/>
    <n v="0"/>
  </r>
  <r>
    <x v="71"/>
    <n v="202506"/>
    <x v="1"/>
    <x v="11"/>
    <s v="Sebastián S"/>
    <s v="Rodolfo O"/>
    <n v="74273"/>
    <n v="3653533"/>
    <n v="49.190458333333332"/>
    <n v="83880.284237086365"/>
    <n v="53.5"/>
    <n v="54"/>
    <n v="43.556518593491433"/>
    <n v="4217836"/>
  </r>
  <r>
    <x v="87"/>
    <n v="202406"/>
    <x v="2"/>
    <x v="11"/>
    <s v="Fátima L"/>
    <s v="Fátima L"/>
    <n v="74258"/>
    <n v="669361"/>
    <n v="9.0140069444444464"/>
    <n v="0"/>
    <n v="11"/>
    <n v="11"/>
    <m/>
    <n v="0"/>
  </r>
  <r>
    <x v="61"/>
    <n v="202504"/>
    <x v="1"/>
    <x v="9"/>
    <s v="Sofía V"/>
    <s v="Joe H"/>
    <n v="74249"/>
    <n v="2543720"/>
    <n v="34.259263888888896"/>
    <n v="67101.927661152993"/>
    <n v="41.5"/>
    <n v="35.5"/>
    <n v="37.908297252578393"/>
    <n v="2426925"/>
  </r>
  <r>
    <x v="83"/>
    <n v="202409"/>
    <x v="2"/>
    <x v="4"/>
    <s v="Hernán P"/>
    <s v="Daniel R"/>
    <n v="74224"/>
    <n v="3306817"/>
    <n v="44.551791666666674"/>
    <n v="0"/>
    <n v="51"/>
    <n v="49"/>
    <m/>
    <n v="0"/>
  </r>
  <r>
    <x v="70"/>
    <n v="202601"/>
    <x v="0"/>
    <x v="10"/>
    <s v="Sebastián S"/>
    <s v="Vik E"/>
    <n v="74195"/>
    <n v="3565543"/>
    <n v="48.056693548387102"/>
    <n v="69377.560690968239"/>
    <n v="60.5"/>
    <n v="57.5"/>
    <n v="51.161312105083525"/>
    <n v="3549447"/>
  </r>
  <r>
    <x v="85"/>
    <n v="202503"/>
    <x v="1"/>
    <x v="0"/>
    <s v="Hernán P"/>
    <s v="Daniel R"/>
    <n v="74135"/>
    <n v="2771957"/>
    <n v="37.390819892473125"/>
    <n v="77020.584407557573"/>
    <n v="44"/>
    <n v="40.5"/>
    <n v="35.989821179907906"/>
    <n v="2903506"/>
  </r>
  <r>
    <x v="95"/>
    <n v="202604"/>
    <x v="0"/>
    <x v="9"/>
    <s v="Fátima L"/>
    <s v="Fátima L"/>
    <n v="74105"/>
    <n v="343397"/>
    <n v="4.6339027777777773"/>
    <n v="49195.819611452709"/>
    <n v="8.5"/>
    <n v="6.5"/>
    <n v="7.4225653700663532"/>
    <n v="365159"/>
  </r>
  <r>
    <x v="38"/>
    <n v="202402"/>
    <x v="2"/>
    <x v="2"/>
    <s v="Sofía V"/>
    <s v="Melany A"/>
    <n v="74105"/>
    <n v="4406496"/>
    <n v="59.463038793103429"/>
    <n v="0"/>
    <n v="56"/>
    <n v="60"/>
    <m/>
    <n v="0"/>
  </r>
  <r>
    <x v="55"/>
    <n v="202409"/>
    <x v="2"/>
    <x v="4"/>
    <s v="Sebastián S"/>
    <s v="Vik E"/>
    <n v="74092"/>
    <n v="4498150"/>
    <n v="60.710027777777789"/>
    <n v="0"/>
    <n v="69.5"/>
    <n v="59"/>
    <m/>
    <n v="0"/>
  </r>
  <r>
    <x v="38"/>
    <n v="202406"/>
    <x v="2"/>
    <x v="11"/>
    <s v="Sofía V"/>
    <s v="Melany A"/>
    <n v="74056"/>
    <n v="4311110"/>
    <n v="58.213847222222206"/>
    <n v="0"/>
    <n v="56"/>
    <n v="60"/>
    <m/>
    <n v="0"/>
  </r>
  <r>
    <x v="81"/>
    <n v="202406"/>
    <x v="2"/>
    <x v="11"/>
    <s v="Fátima L"/>
    <s v="Fátima L"/>
    <n v="74051"/>
    <n v="796514"/>
    <n v="10.756277777777777"/>
    <n v="0"/>
    <n v="11.5"/>
    <n v="12"/>
    <m/>
    <n v="0"/>
  </r>
  <r>
    <x v="80"/>
    <n v="202606"/>
    <x v="0"/>
    <x v="11"/>
    <s v="Fátima L"/>
    <s v="Fátima L"/>
    <n v="74037"/>
    <n v="489090"/>
    <n v="6.6060069444444443"/>
    <n v="53405.598474347331"/>
    <n v="10"/>
    <n v="9"/>
    <n v="8.1521894564878892"/>
    <n v="435373"/>
  </r>
  <r>
    <x v="57"/>
    <n v="202411"/>
    <x v="2"/>
    <x v="7"/>
    <s v="Hernán P"/>
    <s v="Daniel R"/>
    <n v="74001"/>
    <n v="3293911"/>
    <n v="44.511590277777785"/>
    <n v="0"/>
    <n v="53.5"/>
    <n v="52"/>
    <m/>
    <n v="0"/>
  </r>
  <r>
    <x v="55"/>
    <n v="202405"/>
    <x v="2"/>
    <x v="3"/>
    <s v="Sebastián S"/>
    <s v="Vik E"/>
    <n v="73990"/>
    <n v="4843053"/>
    <n v="65.455221774193532"/>
    <n v="0"/>
    <n v="69.5"/>
    <n v="59"/>
    <m/>
    <n v="0"/>
  </r>
  <r>
    <x v="101"/>
    <n v="202401"/>
    <x v="2"/>
    <x v="10"/>
    <s v="Fátima L"/>
    <s v="Fátima L"/>
    <n v="73981"/>
    <n v="993713"/>
    <n v="13.432096774193548"/>
    <n v="0"/>
    <n v="13.5"/>
    <n v="14.5"/>
    <m/>
    <n v="0"/>
  </r>
  <r>
    <x v="73"/>
    <n v="202508"/>
    <x v="1"/>
    <x v="5"/>
    <s v="Fátima L"/>
    <s v="Fátima L"/>
    <n v="73975"/>
    <n v="887713"/>
    <n v="12.000154569892471"/>
    <n v="87803.36417942305"/>
    <n v="13.5"/>
    <n v="12"/>
    <n v="10.110240630256374"/>
    <n v="1032923"/>
  </r>
  <r>
    <x v="9"/>
    <n v="202505"/>
    <x v="1"/>
    <x v="3"/>
    <s v="Sofía V"/>
    <s v="Joe H"/>
    <n v="73966"/>
    <n v="4831829"/>
    <n v="65.324771505376361"/>
    <n v="76922.584217211683"/>
    <n v="70.5"/>
    <n v="69.5"/>
    <n v="62.814173225850411"/>
    <n v="4659850"/>
  </r>
  <r>
    <x v="54"/>
    <n v="202406"/>
    <x v="2"/>
    <x v="11"/>
    <s v="Sebastián S"/>
    <s v="Rodolfo O"/>
    <n v="73959"/>
    <n v="5909546"/>
    <n v="79.902715277777801"/>
    <n v="0"/>
    <n v="80"/>
    <n v="80.5"/>
    <m/>
    <n v="0"/>
  </r>
  <r>
    <x v="83"/>
    <n v="202606"/>
    <x v="0"/>
    <x v="11"/>
    <s v="Hernán P"/>
    <s v="Daniel R"/>
    <n v="73943"/>
    <n v="3126983"/>
    <n v="42.289041666666293"/>
    <n v="76177.788076487588"/>
    <n v="51"/>
    <n v="49"/>
    <n v="41.451897990651069"/>
    <n v="3157714"/>
  </r>
  <r>
    <x v="70"/>
    <n v="202602"/>
    <x v="0"/>
    <x v="2"/>
    <s v="Sebastián S"/>
    <s v="Vik E"/>
    <n v="73922"/>
    <n v="3822749"/>
    <n v="51.713541666666679"/>
    <n v="71304.762110225856"/>
    <n v="60.5"/>
    <n v="57.5"/>
    <n v="51.161312105083525"/>
    <n v="3648045"/>
  </r>
  <r>
    <x v="71"/>
    <n v="202606"/>
    <x v="0"/>
    <x v="11"/>
    <s v="Sebastián S"/>
    <s v="Rodolfo O"/>
    <n v="73911"/>
    <n v="3678585"/>
    <n v="49.770583333332979"/>
    <n v="83595.802487209105"/>
    <n v="53.5"/>
    <n v="54"/>
    <n v="47.165198395018514"/>
    <n v="3942813"/>
  </r>
  <r>
    <x v="23"/>
    <n v="202401"/>
    <x v="2"/>
    <x v="10"/>
    <s v="Sebastián S"/>
    <s v="Rodolfo O"/>
    <n v="73885"/>
    <n v="6715409"/>
    <n v="90.890483870967714"/>
    <n v="0"/>
    <n v="94.5"/>
    <n v="97"/>
    <m/>
    <n v="0"/>
  </r>
  <r>
    <x v="85"/>
    <n v="202508"/>
    <x v="1"/>
    <x v="5"/>
    <s v="Hernán P"/>
    <s v="Daniel R"/>
    <n v="73845"/>
    <n v="2514628"/>
    <n v="34.052647849462367"/>
    <n v="81306.985637451202"/>
    <n v="44"/>
    <n v="40.5"/>
    <n v="30.927577996960267"/>
    <n v="2716346"/>
  </r>
  <r>
    <x v="81"/>
    <n v="202403"/>
    <x v="2"/>
    <x v="0"/>
    <s v="Fátima L"/>
    <s v="Fátima L"/>
    <n v="73827"/>
    <n v="847372"/>
    <n v="11.477836021505381"/>
    <n v="0"/>
    <n v="11.5"/>
    <n v="12"/>
    <m/>
    <n v="0"/>
  </r>
  <r>
    <x v="55"/>
    <n v="202601"/>
    <x v="0"/>
    <x v="10"/>
    <s v="Sebastián S"/>
    <s v="Vik E"/>
    <n v="73798"/>
    <n v="3993660"/>
    <n v="54.116256720430108"/>
    <n v="80385.83038773913"/>
    <n v="69.5"/>
    <n v="59"/>
    <n v="57.926444284268129"/>
    <n v="4656465"/>
  </r>
  <r>
    <x v="68"/>
    <n v="202409"/>
    <x v="2"/>
    <x v="4"/>
    <s v="Sofía V"/>
    <s v="José A"/>
    <n v="73795"/>
    <n v="3238743"/>
    <n v="43.888493055555564"/>
    <n v="0"/>
    <n v="52"/>
    <n v="52"/>
    <m/>
    <n v="0"/>
  </r>
  <r>
    <x v="54"/>
    <n v="202509"/>
    <x v="1"/>
    <x v="4"/>
    <s v="Sebastián S"/>
    <s v="Rodolfo O"/>
    <n v="73787"/>
    <n v="4966132"/>
    <n v="67.303833333333358"/>
    <n v="74655.010215610964"/>
    <n v="80"/>
    <n v="80.5"/>
    <n v="66.521074950727709"/>
    <n v="6280385"/>
  </r>
  <r>
    <x v="73"/>
    <n v="202502"/>
    <x v="1"/>
    <x v="2"/>
    <s v="Fátima L"/>
    <s v="Fátima L"/>
    <n v="73759"/>
    <n v="832190"/>
    <n v="11.282552083333334"/>
    <n v="88657.532303219152"/>
    <n v="13.5"/>
    <n v="12"/>
    <n v="9.3865735756530082"/>
    <n v="964835"/>
  </r>
  <r>
    <x v="18"/>
    <n v="202405"/>
    <x v="2"/>
    <x v="3"/>
    <s v="Sofía V"/>
    <s v="Joe H"/>
    <n v="73747"/>
    <n v="3772178"/>
    <n v="51.150524193548364"/>
    <n v="0"/>
    <n v="50.5"/>
    <n v="51.5"/>
    <m/>
    <n v="0"/>
  </r>
  <r>
    <x v="83"/>
    <n v="202509"/>
    <x v="1"/>
    <x v="4"/>
    <s v="Hernán P"/>
    <s v="Daniel R"/>
    <n v="73721"/>
    <n v="2920182"/>
    <n v="39.611055555555538"/>
    <n v="77935.313252459935"/>
    <n v="51"/>
    <n v="49"/>
    <n v="37.469305994068456"/>
    <n v="3523581"/>
  </r>
  <r>
    <x v="88"/>
    <n v="202603"/>
    <x v="0"/>
    <x v="0"/>
    <s v="Sofía V"/>
    <s v="José A"/>
    <n v="73717"/>
    <n v="5888404"/>
    <n v="79.87898521505376"/>
    <n v="63297.49062142858"/>
    <n v="84"/>
    <n v="76.5"/>
    <n v="84"/>
    <n v="5316989"/>
  </r>
  <r>
    <x v="87"/>
    <n v="202407"/>
    <x v="2"/>
    <x v="6"/>
    <s v="Fátima L"/>
    <s v="Fátima L"/>
    <n v="73716"/>
    <n v="688852"/>
    <n v="9.3446706989247321"/>
    <n v="0"/>
    <n v="11"/>
    <n v="11"/>
    <m/>
    <n v="0"/>
  </r>
  <r>
    <x v="82"/>
    <n v="202410"/>
    <x v="2"/>
    <x v="8"/>
    <s v="Sebastián S"/>
    <s v="Vik E"/>
    <n v="73703"/>
    <n v="3699229"/>
    <n v="50.19084677419356"/>
    <n v="0"/>
    <n v="61.5"/>
    <n v="56"/>
    <m/>
    <n v="0"/>
  </r>
  <r>
    <x v="97"/>
    <n v="202605"/>
    <x v="0"/>
    <x v="3"/>
    <s v="María R"/>
    <s v="María R"/>
    <n v="73684"/>
    <n v="5697147"/>
    <n v="77.318716397849016"/>
    <n v="71502.784526909949"/>
    <n v="94"/>
    <n v="77.5"/>
    <n v="81.023149648384276"/>
    <n v="5793381"/>
  </r>
  <r>
    <x v="71"/>
    <n v="202510"/>
    <x v="1"/>
    <x v="8"/>
    <s v="Sebastián S"/>
    <s v="Rodolfo O"/>
    <n v="73629"/>
    <n v="3544848"/>
    <n v="48.144852150537616"/>
    <n v="76273.111973167703"/>
    <n v="53.5"/>
    <n v="54"/>
    <n v="46.475727399808349"/>
    <n v="4139919"/>
  </r>
  <r>
    <x v="61"/>
    <n v="202406"/>
    <x v="2"/>
    <x v="11"/>
    <s v="Sofía V"/>
    <s v="Joe H"/>
    <n v="73613"/>
    <n v="2351662"/>
    <n v="31.946444444444445"/>
    <n v="0"/>
    <n v="41.5"/>
    <n v="35.5"/>
    <m/>
    <n v="0"/>
  </r>
  <r>
    <x v="21"/>
    <n v="202502"/>
    <x v="1"/>
    <x v="2"/>
    <s v="Sebastián S"/>
    <s v="Rodolfo O"/>
    <n v="73610"/>
    <n v="5195536"/>
    <n v="70.582187500000003"/>
    <n v="87532.266105166374"/>
    <n v="84.5"/>
    <n v="86.5"/>
    <n v="59.355668500090928"/>
    <n v="6389988"/>
  </r>
  <r>
    <x v="85"/>
    <n v="202405"/>
    <x v="2"/>
    <x v="3"/>
    <s v="Hernán P"/>
    <s v="Daniel R"/>
    <n v="73592"/>
    <n v="2583157"/>
    <n v="35.100907258064531"/>
    <n v="0"/>
    <n v="44"/>
    <n v="40.5"/>
    <m/>
    <n v="0"/>
  </r>
  <r>
    <x v="50"/>
    <n v="202402"/>
    <x v="2"/>
    <x v="2"/>
    <s v="Sebastián S"/>
    <s v="Vik E"/>
    <n v="73591"/>
    <n v="5403245"/>
    <n v="73.423110632183892"/>
    <n v="0"/>
    <n v="75.5"/>
    <n v="74"/>
    <m/>
    <n v="0"/>
  </r>
  <r>
    <x v="70"/>
    <n v="202408"/>
    <x v="2"/>
    <x v="5"/>
    <s v="Sebastián S"/>
    <s v="Vik E"/>
    <n v="73585"/>
    <n v="3677372"/>
    <n v="49.974213709677414"/>
    <n v="0"/>
    <n v="60.5"/>
    <n v="57.5"/>
    <m/>
    <n v="0"/>
  </r>
  <r>
    <x v="68"/>
    <n v="202509"/>
    <x v="1"/>
    <x v="4"/>
    <s v="Sofía V"/>
    <s v="José A"/>
    <n v="73569"/>
    <n v="3186003"/>
    <n v="43.306569444444456"/>
    <n v="77484.555136019408"/>
    <n v="52"/>
    <n v="52"/>
    <n v="41.117913039665339"/>
    <n v="3532718"/>
  </r>
  <r>
    <x v="87"/>
    <n v="202603"/>
    <x v="0"/>
    <x v="0"/>
    <s v="Fátima L"/>
    <s v="Fátima L"/>
    <n v="73555"/>
    <n v="742546"/>
    <n v="10.095147849462366"/>
    <n v="69574.495254115493"/>
    <n v="11"/>
    <n v="11"/>
    <n v="10.04229432420742"/>
    <n v="698688"/>
  </r>
  <r>
    <x v="66"/>
    <n v="202403"/>
    <x v="2"/>
    <x v="0"/>
    <s v="Sebastián S"/>
    <s v="Rodolfo O"/>
    <n v="73549"/>
    <n v="4347740"/>
    <n v="59.113165322580635"/>
    <n v="0"/>
    <n v="55"/>
    <n v="55.5"/>
    <m/>
    <n v="0"/>
  </r>
  <r>
    <x v="36"/>
    <n v="202502"/>
    <x v="1"/>
    <x v="2"/>
    <s v="Sebastián S"/>
    <s v="Rodolfo O"/>
    <n v="73548"/>
    <n v="5643194"/>
    <n v="76.727656249999995"/>
    <n v="94018.511933103538"/>
    <n v="81"/>
    <n v="77"/>
    <n v="60.022160465752428"/>
    <n v="6408999"/>
  </r>
  <r>
    <x v="92"/>
    <n v="202508"/>
    <x v="1"/>
    <x v="5"/>
    <s v="Fátima L"/>
    <s v="Fátima L"/>
    <n v="73544"/>
    <n v="592531"/>
    <n v="8.0568212365591396"/>
    <n v="60646.399546899738"/>
    <n v="11.5"/>
    <n v="10"/>
    <n v="9.7702542018471785"/>
    <n v="663428"/>
  </r>
  <r>
    <x v="47"/>
    <n v="202406"/>
    <x v="2"/>
    <x v="11"/>
    <s v="Sebastián S"/>
    <s v="Vik E"/>
    <n v="73535"/>
    <n v="4639843"/>
    <n v="63.096784722222232"/>
    <n v="0"/>
    <n v="61.5"/>
    <n v="48.5"/>
    <m/>
    <n v="0"/>
  </r>
  <r>
    <x v="98"/>
    <n v="202605"/>
    <x v="0"/>
    <x v="3"/>
    <s v="Hernán P"/>
    <s v="Daniel R"/>
    <n v="73532"/>
    <n v="5111049"/>
    <n v="69.507788978494958"/>
    <n v="69247.601854526831"/>
    <n v="87"/>
    <n v="77.5"/>
    <n v="73.970842069892498"/>
    <n v="5122303"/>
  </r>
  <r>
    <x v="68"/>
    <n v="202401"/>
    <x v="2"/>
    <x v="10"/>
    <s v="Sofía V"/>
    <s v="José A"/>
    <n v="73512"/>
    <n v="3495412"/>
    <n v="47.548958333333324"/>
    <n v="0"/>
    <n v="52"/>
    <n v="52"/>
    <m/>
    <n v="0"/>
  </r>
  <r>
    <x v="85"/>
    <n v="202606"/>
    <x v="0"/>
    <x v="11"/>
    <s v="Hernán P"/>
    <s v="Daniel R"/>
    <n v="73488"/>
    <n v="2564150"/>
    <n v="34.892277777777515"/>
    <n v="72084.328293413564"/>
    <n v="44"/>
    <n v="40.5"/>
    <n v="35.762421795855829"/>
    <n v="2577910"/>
  </r>
  <r>
    <x v="43"/>
    <n v="202409"/>
    <x v="2"/>
    <x v="4"/>
    <s v="Sofía V"/>
    <s v="José A"/>
    <n v="73459"/>
    <n v="2033519"/>
    <n v="27.682277777777777"/>
    <n v="0"/>
    <n v="32.5"/>
    <n v="32"/>
    <m/>
    <n v="0"/>
  </r>
  <r>
    <x v="98"/>
    <n v="202604"/>
    <x v="0"/>
    <x v="9"/>
    <s v="Hernán P"/>
    <s v="Daniel R"/>
    <n v="73443"/>
    <n v="4982382"/>
    <n v="67.839868055555783"/>
    <n v="66279.986475853919"/>
    <n v="87"/>
    <n v="77.5"/>
    <n v="73.970842069892498"/>
    <n v="4902786"/>
  </r>
  <r>
    <x v="55"/>
    <n v="202501"/>
    <x v="1"/>
    <x v="10"/>
    <s v="Sebastián S"/>
    <s v="Vik E"/>
    <n v="73443"/>
    <n v="4422922"/>
    <n v="60.22281586021505"/>
    <n v="78812.265963874161"/>
    <n v="69.5"/>
    <n v="59"/>
    <n v="56.119718750725553"/>
    <n v="4869251"/>
  </r>
  <r>
    <x v="78"/>
    <n v="202408"/>
    <x v="2"/>
    <x v="5"/>
    <s v="Sebastián S"/>
    <s v="Vik E"/>
    <n v="73418"/>
    <n v="3774225"/>
    <n v="51.407284946236565"/>
    <n v="0"/>
    <n v="63"/>
    <n v="59"/>
    <m/>
    <n v="0"/>
  </r>
  <r>
    <x v="7"/>
    <n v="202405"/>
    <x v="2"/>
    <x v="3"/>
    <s v="Sebastián S"/>
    <s v="Rodolfo O"/>
    <n v="73391"/>
    <n v="4711532"/>
    <n v="64.197338709677425"/>
    <n v="0"/>
    <n v="65.5"/>
    <n v="63"/>
    <m/>
    <n v="0"/>
  </r>
  <r>
    <x v="63"/>
    <n v="202402"/>
    <x v="2"/>
    <x v="2"/>
    <s v="Sebastián S"/>
    <s v="Johanna V"/>
    <n v="73387"/>
    <n v="8578090"/>
    <n v="116.8879310344828"/>
    <n v="0"/>
    <n v="123"/>
    <n v="115.5"/>
    <m/>
    <n v="0"/>
  </r>
  <r>
    <x v="39"/>
    <n v="202406"/>
    <x v="2"/>
    <x v="11"/>
    <s v="Sofía V"/>
    <s v="Melany A"/>
    <n v="73383"/>
    <n v="4794611"/>
    <n v="65.336930555555554"/>
    <n v="0"/>
    <n v="60.5"/>
    <n v="60.5"/>
    <m/>
    <n v="0"/>
  </r>
  <r>
    <x v="83"/>
    <n v="202510"/>
    <x v="1"/>
    <x v="8"/>
    <s v="Hernán P"/>
    <s v="Daniel R"/>
    <n v="73353"/>
    <n v="3001171"/>
    <n v="40.913870967741936"/>
    <n v="83281.28995008707"/>
    <n v="51"/>
    <n v="49"/>
    <n v="36.03656141491912"/>
    <n v="3624264"/>
  </r>
  <r>
    <x v="85"/>
    <n v="202403"/>
    <x v="2"/>
    <x v="0"/>
    <s v="Hernán P"/>
    <s v="Daniel R"/>
    <n v="73353"/>
    <n v="2923311"/>
    <n v="39.852674731182788"/>
    <n v="0"/>
    <n v="44"/>
    <n v="40.5"/>
    <m/>
    <n v="0"/>
  </r>
  <r>
    <x v="83"/>
    <n v="202501"/>
    <x v="1"/>
    <x v="10"/>
    <s v="Hernán P"/>
    <s v="Daniel R"/>
    <n v="73353"/>
    <n v="3222757"/>
    <n v="43.93506720430107"/>
    <n v="79231.322432734945"/>
    <n v="51"/>
    <n v="49"/>
    <n v="40.675295085930522"/>
    <n v="3386464"/>
  </r>
  <r>
    <x v="4"/>
    <n v="202402"/>
    <x v="2"/>
    <x v="2"/>
    <s v="Sofía V"/>
    <s v="José A"/>
    <n v="73347"/>
    <n v="7496296"/>
    <n v="102.20326867816098"/>
    <n v="0"/>
    <n v="107.5"/>
    <n v="102.5"/>
    <m/>
    <n v="0"/>
  </r>
  <r>
    <x v="87"/>
    <n v="202412"/>
    <x v="2"/>
    <x v="1"/>
    <s v="Fátima L"/>
    <s v="Fátima L"/>
    <n v="73328"/>
    <n v="803609"/>
    <n v="10.959045698924733"/>
    <n v="0"/>
    <n v="11"/>
    <n v="11"/>
    <m/>
    <n v="0"/>
  </r>
  <r>
    <x v="42"/>
    <n v="202603"/>
    <x v="0"/>
    <x v="0"/>
    <s v="Hernán P"/>
    <s v="Daniel R"/>
    <n v="73322"/>
    <n v="1656529"/>
    <n v="22.592594086021517"/>
    <n v="97279.004892406097"/>
    <n v="22.5"/>
    <n v="21"/>
    <n v="19.647967156057994"/>
    <n v="1911335"/>
  </r>
  <r>
    <x v="34"/>
    <n v="202508"/>
    <x v="1"/>
    <x v="5"/>
    <s v="Hernán P"/>
    <s v="Daniel R"/>
    <n v="73303"/>
    <n v="1095381"/>
    <n v="14.943259408602147"/>
    <n v="84746.670876349483"/>
    <n v="15"/>
    <n v="15"/>
    <n v="12.925362243411637"/>
    <n v="1108959"/>
  </r>
  <r>
    <x v="68"/>
    <n v="202411"/>
    <x v="2"/>
    <x v="7"/>
    <s v="Sofía V"/>
    <s v="José A"/>
    <n v="73297"/>
    <n v="3610543"/>
    <n v="49.259048611111098"/>
    <n v="0"/>
    <n v="52"/>
    <n v="52"/>
    <m/>
    <n v="0"/>
  </r>
  <r>
    <x v="85"/>
    <n v="202401"/>
    <x v="2"/>
    <x v="10"/>
    <s v="Hernán P"/>
    <s v="Daniel R"/>
    <n v="73284"/>
    <n v="2644882"/>
    <n v="36.090974462365594"/>
    <n v="0"/>
    <n v="44"/>
    <n v="40.5"/>
    <m/>
    <n v="0"/>
  </r>
  <r>
    <x v="9"/>
    <n v="202405"/>
    <x v="2"/>
    <x v="3"/>
    <s v="Sofía V"/>
    <s v="Joe H"/>
    <n v="73260"/>
    <n v="4625987"/>
    <n v="63.145127688172074"/>
    <n v="0"/>
    <n v="70.5"/>
    <n v="69.5"/>
    <m/>
    <n v="0"/>
  </r>
  <r>
    <x v="77"/>
    <n v="202506"/>
    <x v="1"/>
    <x v="11"/>
    <s v="Fátima L"/>
    <s v="Fátima L"/>
    <n v="73258"/>
    <n v="936717"/>
    <n v="12.786520833333336"/>
    <n v="74062.059031598794"/>
    <n v="17"/>
    <n v="13.5"/>
    <n v="12.64772951559917"/>
    <n v="1094734"/>
  </r>
  <r>
    <x v="54"/>
    <n v="202510"/>
    <x v="1"/>
    <x v="8"/>
    <s v="Sebastián S"/>
    <s v="Rodolfo O"/>
    <n v="73254"/>
    <n v="4954457"/>
    <n v="67.633783602150544"/>
    <n v="78227.004123902967"/>
    <n v="80"/>
    <n v="80.5"/>
    <n v="63.334357559605451"/>
    <n v="6290140"/>
  </r>
  <r>
    <x v="79"/>
    <n v="202601"/>
    <x v="0"/>
    <x v="10"/>
    <s v="Sebastián S"/>
    <s v="Vik E"/>
    <n v="73234"/>
    <n v="5631449"/>
    <n v="76.89674059139783"/>
    <n v="78326.139695577149"/>
    <n v="84.5"/>
    <n v="78.5"/>
    <n v="72.494656792343278"/>
    <n v="5678227"/>
  </r>
  <r>
    <x v="64"/>
    <n v="202509"/>
    <x v="1"/>
    <x v="4"/>
    <s v="Sebastián S"/>
    <s v="Johanna V"/>
    <n v="73232"/>
    <n v="4336969"/>
    <n v="59.222381944444471"/>
    <n v="71479.203381137835"/>
    <n v="75.5"/>
    <n v="70.5"/>
    <n v="60.67456035953046"/>
    <n v="5321722"/>
  </r>
  <r>
    <x v="100"/>
    <n v="202604"/>
    <x v="0"/>
    <x v="9"/>
    <s v="Hernán P"/>
    <s v="Daniel R"/>
    <n v="73180"/>
    <n v="2112674"/>
    <n v="28.869506944444428"/>
    <n v="66021.987994702213"/>
    <n v="41.5"/>
    <n v="43"/>
    <n v="33.730466012000377"/>
    <n v="2226952"/>
  </r>
  <r>
    <x v="97"/>
    <n v="202512"/>
    <x v="1"/>
    <x v="1"/>
    <s v="María R"/>
    <s v="María R"/>
    <n v="73172"/>
    <n v="6243182"/>
    <n v="85.322049731182716"/>
    <n v="76710.920715149448"/>
    <n v="94"/>
    <n v="77.5"/>
    <n v="81.38583231431673"/>
    <n v="6733325"/>
  </r>
  <r>
    <x v="13"/>
    <n v="202506"/>
    <x v="1"/>
    <x v="11"/>
    <s v="Sebastián S"/>
    <s v="Rodolfo O"/>
    <n v="73156"/>
    <n v="5266541"/>
    <n v="71.990965277777789"/>
    <n v="102171.83682787306"/>
    <n v="78"/>
    <n v="74.5"/>
    <n v="51.545917480885066"/>
    <n v="6014389"/>
  </r>
  <r>
    <x v="97"/>
    <n v="202503"/>
    <x v="1"/>
    <x v="0"/>
    <s v="María R"/>
    <s v="María R"/>
    <n v="73090"/>
    <n v="5723821"/>
    <n v="78.312358870967785"/>
    <n v="72824.594489602867"/>
    <n v="94"/>
    <n v="77.5"/>
    <n v="78.597365493290681"/>
    <n v="5633688"/>
  </r>
  <r>
    <x v="55"/>
    <n v="202502"/>
    <x v="1"/>
    <x v="2"/>
    <s v="Sebastián S"/>
    <s v="Vik E"/>
    <n v="73078"/>
    <n v="4529475"/>
    <n v="61.981406250000013"/>
    <n v="81670.789990737147"/>
    <n v="69.5"/>
    <n v="59"/>
    <n v="55.460153997698797"/>
    <n v="5119402"/>
  </r>
  <r>
    <x v="68"/>
    <n v="202510"/>
    <x v="1"/>
    <x v="8"/>
    <s v="Sofía V"/>
    <s v="José A"/>
    <n v="73074"/>
    <n v="3299508"/>
    <n v="45.152822580645157"/>
    <n v="75390.906769903289"/>
    <n v="52"/>
    <n v="52"/>
    <n v="43.765326766399809"/>
    <n v="3502858"/>
  </r>
  <r>
    <x v="97"/>
    <n v="202412"/>
    <x v="2"/>
    <x v="1"/>
    <s v="María R"/>
    <s v="María R"/>
    <n v="73058"/>
    <n v="6494566"/>
    <n v="88.896001344086031"/>
    <n v="0"/>
    <n v="94"/>
    <n v="77.5"/>
    <m/>
    <n v="0"/>
  </r>
  <r>
    <x v="79"/>
    <n v="202501"/>
    <x v="1"/>
    <x v="10"/>
    <s v="Sebastián S"/>
    <s v="Vik E"/>
    <n v="73057"/>
    <n v="5564635"/>
    <n v="76.168138440860119"/>
    <n v="71183.375077397199"/>
    <n v="84.5"/>
    <n v="78.5"/>
    <n v="78.173245985451089"/>
    <n v="5578169"/>
  </r>
  <r>
    <x v="66"/>
    <n v="202507"/>
    <x v="1"/>
    <x v="6"/>
    <s v="Sebastián S"/>
    <s v="Rodolfo O"/>
    <n v="73023"/>
    <n v="4188129"/>
    <n v="57.353803763440858"/>
    <n v="83648.713136982347"/>
    <n v="55"/>
    <n v="55.5"/>
    <n v="50.06805786888269"/>
    <n v="4338730"/>
  </r>
  <r>
    <x v="82"/>
    <n v="202401"/>
    <x v="2"/>
    <x v="10"/>
    <s v="Sebastián S"/>
    <s v="Vik E"/>
    <n v="73004"/>
    <n v="3682621"/>
    <n v="50.444220430107549"/>
    <n v="0"/>
    <n v="61.5"/>
    <n v="56"/>
    <m/>
    <n v="0"/>
  </r>
  <r>
    <x v="93"/>
    <n v="202603"/>
    <x v="0"/>
    <x v="0"/>
    <s v="Hernán P"/>
    <s v="Daniel R"/>
    <n v="72993"/>
    <n v="2766432"/>
    <n v="37.899966397849461"/>
    <n v="68513.959981004096"/>
    <n v="45.5"/>
    <n v="42.5"/>
    <n v="36.981595266169094"/>
    <n v="2533756"/>
  </r>
  <r>
    <x v="83"/>
    <n v="202405"/>
    <x v="2"/>
    <x v="3"/>
    <s v="Hernán P"/>
    <s v="Daniel R"/>
    <n v="72918"/>
    <n v="3348839"/>
    <n v="45.926256720430089"/>
    <n v="0"/>
    <n v="51"/>
    <n v="49"/>
    <m/>
    <n v="0"/>
  </r>
  <r>
    <x v="50"/>
    <n v="202510"/>
    <x v="1"/>
    <x v="8"/>
    <s v="Sebastián S"/>
    <s v="Vik E"/>
    <n v="72894"/>
    <n v="4382270"/>
    <n v="60.118380376344106"/>
    <n v="79984.252568728698"/>
    <n v="75.5"/>
    <n v="74"/>
    <n v="54.789163857403196"/>
    <n v="6628934"/>
  </r>
  <r>
    <x v="55"/>
    <n v="202606"/>
    <x v="0"/>
    <x v="11"/>
    <s v="Sebastián S"/>
    <s v="Vik E"/>
    <n v="72885"/>
    <n v="3636438"/>
    <n v="49.892645833333241"/>
    <n v="74231.660731639335"/>
    <n v="69.5"/>
    <n v="59"/>
    <n v="57.926444284268129"/>
    <n v="4299976"/>
  </r>
  <r>
    <x v="72"/>
    <n v="202509"/>
    <x v="1"/>
    <x v="4"/>
    <s v="Sebastián S"/>
    <s v="Vik E"/>
    <n v="72883"/>
    <n v="4752266"/>
    <n v="65.204173611111145"/>
    <n v="72504.170119938004"/>
    <n v="79.5"/>
    <n v="67"/>
    <n v="65.544729111976523"/>
    <n v="4983333"/>
  </r>
  <r>
    <x v="98"/>
    <n v="202603"/>
    <x v="0"/>
    <x v="0"/>
    <s v="Hernán P"/>
    <s v="Daniel R"/>
    <n v="72883"/>
    <n v="5404223"/>
    <n v="74.149758064516135"/>
    <n v="72725.683286355183"/>
    <n v="87"/>
    <n v="77.5"/>
    <n v="73.970842069892498"/>
    <n v="5379580"/>
  </r>
  <r>
    <x v="71"/>
    <n v="202504"/>
    <x v="1"/>
    <x v="9"/>
    <s v="Sebastián S"/>
    <s v="Rodolfo O"/>
    <n v="72860"/>
    <n v="3736759"/>
    <n v="51.28656944444446"/>
    <n v="64211.291223798486"/>
    <n v="53.5"/>
    <n v="54"/>
    <n v="58.194741279631096"/>
    <n v="4032579"/>
  </r>
  <r>
    <x v="34"/>
    <n v="202501"/>
    <x v="1"/>
    <x v="10"/>
    <s v="Hernán P"/>
    <s v="Daniel R"/>
    <n v="72853"/>
    <n v="1035404"/>
    <n v="14.212211021505381"/>
    <n v="83327.937777939413"/>
    <n v="15"/>
    <n v="15"/>
    <n v="12.425649999394526"/>
    <n v="1048469"/>
  </r>
  <r>
    <x v="76"/>
    <n v="202411"/>
    <x v="2"/>
    <x v="7"/>
    <s v="Hernán P"/>
    <s v="Daniel R"/>
    <n v="72846"/>
    <n v="7280778"/>
    <n v="99.947749999999971"/>
    <n v="0"/>
    <n v="106"/>
    <n v="94.5"/>
    <m/>
    <n v="0"/>
  </r>
  <r>
    <x v="61"/>
    <n v="202501"/>
    <x v="1"/>
    <x v="10"/>
    <s v="Sofía V"/>
    <s v="Joe H"/>
    <n v="72842"/>
    <n v="2380725"/>
    <n v="32.683555107526892"/>
    <n v="64571.915303091155"/>
    <n v="41.5"/>
    <n v="35.5"/>
    <n v="36.869355025713958"/>
    <n v="2126328"/>
  </r>
  <r>
    <x v="41"/>
    <n v="202401"/>
    <x v="2"/>
    <x v="10"/>
    <s v="Sebastián S"/>
    <s v="Rodolfo O"/>
    <n v="72772"/>
    <n v="4915108"/>
    <n v="67.540779569892422"/>
    <n v="0"/>
    <n v="64.5"/>
    <n v="64"/>
    <m/>
    <n v="0"/>
  </r>
  <r>
    <x v="51"/>
    <n v="202406"/>
    <x v="2"/>
    <x v="11"/>
    <s v="Sofía V"/>
    <s v="Melany A"/>
    <n v="72750"/>
    <n v="2912127"/>
    <n v="40.029062500000009"/>
    <n v="0"/>
    <n v="43.5"/>
    <n v="41"/>
    <m/>
    <n v="0"/>
  </r>
  <r>
    <x v="72"/>
    <n v="202501"/>
    <x v="1"/>
    <x v="10"/>
    <s v="Sebastián S"/>
    <s v="Vik E"/>
    <n v="72719"/>
    <n v="5042939"/>
    <n v="69.348360215053759"/>
    <n v="78402.290783592398"/>
    <n v="79.5"/>
    <n v="67"/>
    <n v="64.321320838948736"/>
    <n v="5001147"/>
  </r>
  <r>
    <x v="58"/>
    <n v="202405"/>
    <x v="2"/>
    <x v="3"/>
    <s v="Sebastián S"/>
    <s v="Rodolfo O"/>
    <n v="72691"/>
    <n v="4660940"/>
    <n v="64.120235215053754"/>
    <n v="0"/>
    <n v="66.5"/>
    <n v="63.5"/>
    <m/>
    <n v="0"/>
  </r>
  <r>
    <x v="77"/>
    <n v="202508"/>
    <x v="1"/>
    <x v="5"/>
    <s v="Fátima L"/>
    <s v="Fátima L"/>
    <n v="72644"/>
    <n v="960818"/>
    <n v="13.226424731182792"/>
    <n v="69490.023691203591"/>
    <n v="17"/>
    <n v="13.5"/>
    <n v="13.826697545386294"/>
    <n v="1106307"/>
  </r>
  <r>
    <x v="71"/>
    <n v="202410"/>
    <x v="2"/>
    <x v="8"/>
    <s v="Sebastián S"/>
    <s v="Rodolfo O"/>
    <n v="72641"/>
    <n v="3755473"/>
    <n v="51.699045698924721"/>
    <n v="0"/>
    <n v="53.5"/>
    <n v="54"/>
    <m/>
    <n v="0"/>
  </r>
  <r>
    <x v="27"/>
    <n v="202404"/>
    <x v="2"/>
    <x v="9"/>
    <s v="Sofía V"/>
    <s v="Joe H"/>
    <n v="72608"/>
    <n v="4437183"/>
    <n v="61.111749999999994"/>
    <n v="0"/>
    <n v="62"/>
    <n v="58"/>
    <m/>
    <n v="0"/>
  </r>
  <r>
    <x v="61"/>
    <n v="202409"/>
    <x v="2"/>
    <x v="4"/>
    <s v="Sofía V"/>
    <s v="Joe H"/>
    <n v="72601"/>
    <n v="2573365"/>
    <n v="35.445083333333329"/>
    <n v="0"/>
    <n v="41.5"/>
    <n v="35.5"/>
    <m/>
    <n v="0"/>
  </r>
  <r>
    <x v="58"/>
    <n v="202404"/>
    <x v="2"/>
    <x v="9"/>
    <s v="Sebastián S"/>
    <s v="Rodolfo O"/>
    <n v="72585"/>
    <n v="4708195"/>
    <n v="64.864187500000014"/>
    <n v="0"/>
    <n v="66.5"/>
    <n v="63.5"/>
    <m/>
    <n v="0"/>
  </r>
  <r>
    <x v="91"/>
    <n v="202412"/>
    <x v="2"/>
    <x v="1"/>
    <s v="Hernán P"/>
    <s v="Daniel R"/>
    <n v="72564"/>
    <n v="1532013"/>
    <n v="21.112479838709675"/>
    <n v="0"/>
    <n v="19"/>
    <n v="21.5"/>
    <m/>
    <n v="0"/>
  </r>
  <r>
    <x v="0"/>
    <n v="202403"/>
    <x v="2"/>
    <x v="0"/>
    <s v="Fátima L"/>
    <s v="Fátima L"/>
    <n v="72564"/>
    <n v="960131"/>
    <n v="13.231599462365594"/>
    <n v="0"/>
    <n v="13.5"/>
    <n v="12.5"/>
    <m/>
    <n v="0"/>
  </r>
  <r>
    <x v="96"/>
    <n v="202412"/>
    <x v="2"/>
    <x v="1"/>
    <s v="Fátima L"/>
    <s v="Fátima L"/>
    <n v="72552"/>
    <n v="816362"/>
    <n v="11.252170698924735"/>
    <n v="0"/>
    <n v="11.5"/>
    <n v="10"/>
    <m/>
    <n v="0"/>
  </r>
  <r>
    <x v="70"/>
    <n v="202501"/>
    <x v="1"/>
    <x v="10"/>
    <s v="Sebastián S"/>
    <s v="Vik E"/>
    <n v="72530"/>
    <n v="3618133"/>
    <n v="49.884361559139812"/>
    <n v="69997.757721901507"/>
    <n v="60.5"/>
    <n v="57.5"/>
    <n v="51.689263024320105"/>
    <n v="3361862"/>
  </r>
  <r>
    <x v="79"/>
    <n v="202511"/>
    <x v="1"/>
    <x v="7"/>
    <s v="Sebastián S"/>
    <s v="Vik E"/>
    <n v="72498"/>
    <n v="5624534"/>
    <n v="77.582361111111211"/>
    <n v="74494.673903316143"/>
    <n v="84.5"/>
    <n v="78.5"/>
    <n v="75.502498706147406"/>
    <n v="5798059"/>
  </r>
  <r>
    <x v="81"/>
    <n v="202503"/>
    <x v="1"/>
    <x v="0"/>
    <s v="Fátima L"/>
    <s v="Fátima L"/>
    <n v="72466"/>
    <n v="814927"/>
    <n v="11.245584677419355"/>
    <n v="77518.152405465866"/>
    <n v="11.5"/>
    <n v="12"/>
    <n v="10.512726306187592"/>
    <n v="828927"/>
  </r>
  <r>
    <x v="83"/>
    <n v="202601"/>
    <x v="0"/>
    <x v="10"/>
    <s v="Hernán P"/>
    <s v="Daniel R"/>
    <n v="72434"/>
    <n v="3047886"/>
    <n v="42.077950268817197"/>
    <n v="84340.915088821697"/>
    <n v="51"/>
    <n v="49"/>
    <n v="41.451897990651069"/>
    <n v="3496091"/>
  </r>
  <r>
    <x v="74"/>
    <n v="202412"/>
    <x v="2"/>
    <x v="1"/>
    <s v="Sebastián S"/>
    <s v="Rodolfo O"/>
    <n v="72431"/>
    <n v="2149342"/>
    <n v="29.674448924731184"/>
    <n v="0"/>
    <n v="27"/>
    <n v="27"/>
    <m/>
    <n v="0"/>
  </r>
  <r>
    <x v="66"/>
    <n v="202502"/>
    <x v="1"/>
    <x v="2"/>
    <s v="Sebastián S"/>
    <s v="Rodolfo O"/>
    <n v="72430"/>
    <n v="3734887"/>
    <n v="51.56541666666665"/>
    <n v="66736.408601227798"/>
    <n v="55"/>
    <n v="55.5"/>
    <n v="55.964759690878644"/>
    <n v="3481997"/>
  </r>
  <r>
    <x v="57"/>
    <n v="202604"/>
    <x v="0"/>
    <x v="9"/>
    <s v="Hernán P"/>
    <s v="Daniel R"/>
    <n v="72425"/>
    <n v="3010500"/>
    <n v="41.566972222222326"/>
    <n v="70225.550716718993"/>
    <n v="53.5"/>
    <n v="52"/>
    <n v="43.483853774506514"/>
    <n v="3053678"/>
  </r>
  <r>
    <x v="75"/>
    <n v="202604"/>
    <x v="0"/>
    <x v="9"/>
    <s v="Hernán P"/>
    <s v="Daniel R"/>
    <n v="72382"/>
    <n v="1607803"/>
    <n v="22.212749999999989"/>
    <n v="54606.774989499521"/>
    <n v="31"/>
    <n v="27"/>
    <n v="27.070532526124346"/>
    <n v="1478234"/>
  </r>
  <r>
    <x v="79"/>
    <n v="202602"/>
    <x v="0"/>
    <x v="2"/>
    <s v="Sebastián S"/>
    <s v="Vik E"/>
    <n v="72365"/>
    <n v="5584141"/>
    <n v="77.166562499999998"/>
    <n v="75062.822124771192"/>
    <n v="84.5"/>
    <n v="78.5"/>
    <n v="72.494656792343278"/>
    <n v="5441654"/>
  </r>
  <r>
    <x v="60"/>
    <n v="202405"/>
    <x v="2"/>
    <x v="3"/>
    <s v="Sofía V"/>
    <s v="Melany A"/>
    <n v="72249"/>
    <n v="5971887"/>
    <n v="82.657486559139812"/>
    <n v="0"/>
    <n v="88.5"/>
    <n v="92.5"/>
    <m/>
    <n v="0"/>
  </r>
  <r>
    <x v="64"/>
    <n v="202601"/>
    <x v="0"/>
    <x v="10"/>
    <s v="Sebastián S"/>
    <s v="Johanna V"/>
    <n v="72234"/>
    <n v="4956015"/>
    <n v="68.610772849462379"/>
    <n v="77006.41506107639"/>
    <n v="75.5"/>
    <n v="70.5"/>
    <n v="63.423114179855602"/>
    <n v="4883987"/>
  </r>
  <r>
    <x v="102"/>
    <n v="202412"/>
    <x v="2"/>
    <x v="1"/>
    <s v="Fátima L"/>
    <s v="Fátima L"/>
    <n v="72219"/>
    <n v="793260"/>
    <n v="10.984025537634411"/>
    <n v="0"/>
    <n v="11"/>
    <n v="12"/>
    <m/>
    <n v="0"/>
  </r>
  <r>
    <x v="58"/>
    <n v="202602"/>
    <x v="0"/>
    <x v="2"/>
    <s v="Sebastián S"/>
    <s v="Rodolfo O"/>
    <n v="72204"/>
    <n v="4465768"/>
    <n v="61.849322916666658"/>
    <n v="96079.222940984459"/>
    <n v="66.5"/>
    <n v="63.5"/>
    <n v="54.652141241039438"/>
    <n v="5250935"/>
  </r>
  <r>
    <x v="43"/>
    <n v="202510"/>
    <x v="1"/>
    <x v="8"/>
    <s v="Sofía V"/>
    <s v="José A"/>
    <n v="72144"/>
    <n v="2259933"/>
    <n v="31.325094086021508"/>
    <n v="83962.654350323384"/>
    <n v="32.5"/>
    <n v="32"/>
    <n v="26.915931106354975"/>
    <n v="2262924"/>
  </r>
  <r>
    <x v="34"/>
    <n v="202510"/>
    <x v="1"/>
    <x v="8"/>
    <s v="Hernán P"/>
    <s v="Daniel R"/>
    <n v="72133"/>
    <n v="1045521"/>
    <n v="14.494327956989247"/>
    <n v="88267.452543987223"/>
    <n v="15"/>
    <n v="15"/>
    <n v="11.844920181410865"/>
    <n v="1070703"/>
  </r>
  <r>
    <x v="34"/>
    <n v="202505"/>
    <x v="1"/>
    <x v="3"/>
    <s v="Hernán P"/>
    <s v="Daniel R"/>
    <n v="72109"/>
    <n v="1074969"/>
    <n v="14.90750672043011"/>
    <n v="81553.2871903286"/>
    <n v="15"/>
    <n v="15"/>
    <n v="13.181180269180864"/>
    <n v="1126548"/>
  </r>
  <r>
    <x v="58"/>
    <n v="202402"/>
    <x v="2"/>
    <x v="2"/>
    <s v="Sebastián S"/>
    <s v="Rodolfo O"/>
    <n v="72037"/>
    <n v="4725625"/>
    <n v="65.599856321839098"/>
    <n v="0"/>
    <n v="66.5"/>
    <n v="63.5"/>
    <m/>
    <n v="0"/>
  </r>
  <r>
    <x v="66"/>
    <n v="202505"/>
    <x v="1"/>
    <x v="3"/>
    <s v="Sebastián S"/>
    <s v="Rodolfo O"/>
    <n v="72037"/>
    <n v="3962713"/>
    <n v="55.00950940860217"/>
    <n v="70010.566028617148"/>
    <n v="55"/>
    <n v="55.5"/>
    <n v="56.601641506229534"/>
    <n v="3869134"/>
  </r>
  <r>
    <x v="81"/>
    <n v="202501"/>
    <x v="1"/>
    <x v="10"/>
    <s v="Fátima L"/>
    <s v="Fátima L"/>
    <n v="72009"/>
    <n v="750959"/>
    <n v="10.428682795698927"/>
    <n v="78947.918384486911"/>
    <n v="11.5"/>
    <n v="12"/>
    <n v="9.5120782835936275"/>
    <n v="835410"/>
  </r>
  <r>
    <x v="64"/>
    <n v="202406"/>
    <x v="2"/>
    <x v="11"/>
    <s v="Sebastián S"/>
    <s v="Johanna V"/>
    <n v="71979"/>
    <n v="5462441"/>
    <n v="75.889770833333358"/>
    <n v="0"/>
    <n v="75.5"/>
    <n v="70.5"/>
    <m/>
    <n v="0"/>
  </r>
  <r>
    <x v="61"/>
    <n v="202410"/>
    <x v="2"/>
    <x v="8"/>
    <s v="Sofía V"/>
    <s v="Joe H"/>
    <n v="71949"/>
    <n v="2606113"/>
    <n v="36.221518817204284"/>
    <n v="0"/>
    <n v="41.5"/>
    <n v="35.5"/>
    <m/>
    <n v="0"/>
  </r>
  <r>
    <x v="83"/>
    <n v="202402"/>
    <x v="2"/>
    <x v="2"/>
    <s v="Hernán P"/>
    <s v="Daniel R"/>
    <n v="71942"/>
    <n v="3209254"/>
    <n v="44.608706896551723"/>
    <n v="0"/>
    <n v="51"/>
    <n v="49"/>
    <m/>
    <n v="0"/>
  </r>
  <r>
    <x v="92"/>
    <n v="202605"/>
    <x v="0"/>
    <x v="3"/>
    <s v="Fátima L"/>
    <s v="Fátima L"/>
    <n v="71932"/>
    <n v="629010"/>
    <n v="8.7444959677419316"/>
    <n v="57870.213084584815"/>
    <n v="11.5"/>
    <n v="10"/>
    <n v="10.042294324207418"/>
    <n v="581150"/>
  </r>
  <r>
    <x v="47"/>
    <n v="202402"/>
    <x v="2"/>
    <x v="2"/>
    <s v="Sebastián S"/>
    <s v="Vik E"/>
    <n v="71870"/>
    <n v="4454557"/>
    <n v="61.981077586206915"/>
    <n v="0"/>
    <n v="61.5"/>
    <n v="48.5"/>
    <m/>
    <n v="0"/>
  </r>
  <r>
    <x v="94"/>
    <n v="202603"/>
    <x v="0"/>
    <x v="0"/>
    <s v="Hernán P"/>
    <s v="Daniel R"/>
    <n v="71867"/>
    <n v="2134888"/>
    <n v="29.706014784946237"/>
    <n v="0"/>
    <n v="33"/>
    <n v="31.5"/>
    <n v="35.22317754154448"/>
    <n v="0"/>
  </r>
  <r>
    <x v="98"/>
    <n v="202410"/>
    <x v="2"/>
    <x v="8"/>
    <s v="Hernán P"/>
    <s v="Daniel R"/>
    <n v="71855"/>
    <n v="5529380"/>
    <n v="76.952110215053736"/>
    <n v="0"/>
    <n v="87"/>
    <n v="77.5"/>
    <m/>
    <n v="0"/>
  </r>
  <r>
    <x v="67"/>
    <n v="202508"/>
    <x v="1"/>
    <x v="5"/>
    <s v="Hernán P"/>
    <s v="Daniel R"/>
    <n v="71848"/>
    <n v="1090271"/>
    <n v="15.174758064516125"/>
    <n v="86839.824264342169"/>
    <n v="15.5"/>
    <n v="14.5"/>
    <n v="12.554963454108265"/>
    <n v="1109423"/>
  </r>
  <r>
    <x v="68"/>
    <n v="202410"/>
    <x v="2"/>
    <x v="8"/>
    <s v="Sofía V"/>
    <s v="José A"/>
    <n v="71801"/>
    <n v="3378276"/>
    <n v="47.050631720430104"/>
    <n v="0"/>
    <n v="52"/>
    <n v="52"/>
    <m/>
    <n v="0"/>
  </r>
  <r>
    <x v="51"/>
    <n v="202501"/>
    <x v="1"/>
    <x v="10"/>
    <s v="Sofía V"/>
    <s v="Melany A"/>
    <n v="71775"/>
    <n v="2843180"/>
    <n v="39.612661290322599"/>
    <n v="69521.171297107896"/>
    <n v="43.5"/>
    <n v="41"/>
    <n v="40.896605407427558"/>
    <n v="3003677"/>
  </r>
  <r>
    <x v="60"/>
    <n v="202510"/>
    <x v="1"/>
    <x v="8"/>
    <s v="Sofía V"/>
    <s v="Melany A"/>
    <n v="71767"/>
    <n v="8080249"/>
    <n v="112.58940188172052"/>
    <n v="81000.243443003492"/>
    <n v="88.5"/>
    <n v="92.5"/>
    <n v="99.755858705359771"/>
    <n v="6368843"/>
  </r>
  <r>
    <x v="89"/>
    <n v="202503"/>
    <x v="1"/>
    <x v="0"/>
    <s v="Sebastián S"/>
    <s v="Rodolfo O"/>
    <n v="71746"/>
    <n v="2479490"/>
    <n v="34.559159946236555"/>
    <n v="71840.276422153634"/>
    <n v="34"/>
    <n v="34"/>
    <n v="34.513924827207255"/>
    <n v="2416430"/>
  </r>
  <r>
    <x v="39"/>
    <n v="202411"/>
    <x v="2"/>
    <x v="7"/>
    <s v="Sofía V"/>
    <s v="Melany A"/>
    <n v="71746"/>
    <n v="4582563"/>
    <n v="63.872423611111081"/>
    <n v="0"/>
    <n v="60.5"/>
    <n v="60.5"/>
    <m/>
    <n v="0"/>
  </r>
  <r>
    <x v="97"/>
    <n v="202604"/>
    <x v="0"/>
    <x v="9"/>
    <s v="María R"/>
    <s v="María R"/>
    <n v="71742"/>
    <n v="5606053"/>
    <n v="78.141729166668043"/>
    <n v="71887.976023851748"/>
    <n v="94"/>
    <n v="77.5"/>
    <n v="81.023149648384276"/>
    <n v="5824590"/>
  </r>
  <r>
    <x v="81"/>
    <n v="202505"/>
    <x v="1"/>
    <x v="3"/>
    <s v="Fátima L"/>
    <s v="Fátima L"/>
    <n v="71737"/>
    <n v="752476"/>
    <n v="10.489415322580646"/>
    <n v="74944.557617107945"/>
    <n v="11.5"/>
    <n v="12"/>
    <n v="10.040433674242259"/>
    <n v="820972"/>
  </r>
  <r>
    <x v="67"/>
    <n v="202404"/>
    <x v="2"/>
    <x v="9"/>
    <s v="Hernán P"/>
    <s v="Daniel R"/>
    <n v="71733"/>
    <n v="1041122"/>
    <n v="14.513819444444444"/>
    <n v="0"/>
    <n v="15.5"/>
    <n v="14.5"/>
    <m/>
    <n v="0"/>
  </r>
  <r>
    <x v="85"/>
    <n v="202504"/>
    <x v="1"/>
    <x v="9"/>
    <s v="Hernán P"/>
    <s v="Daniel R"/>
    <n v="71725"/>
    <n v="2544245"/>
    <n v="35.472159722222216"/>
    <n v="72354.913017415325"/>
    <n v="44"/>
    <n v="40.5"/>
    <n v="35.163406517918389"/>
    <n v="2741018"/>
  </r>
  <r>
    <x v="94"/>
    <n v="202604"/>
    <x v="0"/>
    <x v="9"/>
    <s v="Hernán P"/>
    <s v="Daniel R"/>
    <n v="71680"/>
    <n v="2039024"/>
    <n v="28.446201388888674"/>
    <n v="0"/>
    <n v="33"/>
    <n v="31.5"/>
    <n v="35.22317754154448"/>
    <m/>
  </r>
  <r>
    <x v="55"/>
    <n v="202602"/>
    <x v="0"/>
    <x v="2"/>
    <s v="Sebastián S"/>
    <s v="Vik E"/>
    <n v="71669"/>
    <n v="4138428"/>
    <n v="57.743645833333332"/>
    <n v="83303.730995802282"/>
    <n v="69.5"/>
    <n v="59"/>
    <n v="57.926444284268129"/>
    <n v="4825489"/>
  </r>
  <r>
    <x v="70"/>
    <n v="202511"/>
    <x v="1"/>
    <x v="7"/>
    <s v="Sebastián S"/>
    <s v="Vik E"/>
    <n v="71643"/>
    <n v="3769598"/>
    <n v="52.616277777777782"/>
    <n v="72733.90955278599"/>
    <n v="60.5"/>
    <n v="57.5"/>
    <n v="51.827245547198956"/>
    <n v="3660767"/>
  </r>
  <r>
    <x v="98"/>
    <n v="202506"/>
    <x v="1"/>
    <x v="11"/>
    <s v="Hernán P"/>
    <s v="Daniel R"/>
    <n v="71633"/>
    <n v="5241607"/>
    <n v="73.173527777777821"/>
    <n v="62695.975172654558"/>
    <n v="87"/>
    <n v="77.5"/>
    <n v="83.60356666541135"/>
    <n v="5318382"/>
  </r>
  <r>
    <x v="9"/>
    <n v="202409"/>
    <x v="2"/>
    <x v="4"/>
    <s v="Sofía V"/>
    <s v="Joe H"/>
    <n v="71592"/>
    <n v="4583148"/>
    <n v="64.017284722222243"/>
    <n v="0"/>
    <n v="70.5"/>
    <n v="69.5"/>
    <m/>
    <n v="0"/>
  </r>
  <r>
    <x v="79"/>
    <n v="202502"/>
    <x v="1"/>
    <x v="2"/>
    <s v="Sebastián S"/>
    <s v="Vik E"/>
    <n v="71586"/>
    <n v="5423674"/>
    <n v="75.764062500000023"/>
    <n v="65727.196999850275"/>
    <n v="84.5"/>
    <n v="78.5"/>
    <n v="82.517962389486271"/>
    <n v="5350985"/>
  </r>
  <r>
    <x v="85"/>
    <n v="202402"/>
    <x v="2"/>
    <x v="2"/>
    <s v="Hernán P"/>
    <s v="Daniel R"/>
    <n v="71549"/>
    <n v="2573890"/>
    <n v="35.973663793103455"/>
    <n v="0"/>
    <n v="44"/>
    <n v="40.5"/>
    <m/>
    <n v="0"/>
  </r>
  <r>
    <x v="55"/>
    <n v="202509"/>
    <x v="1"/>
    <x v="4"/>
    <s v="Sebastián S"/>
    <s v="Vik E"/>
    <n v="71548"/>
    <n v="3775263"/>
    <n v="52.765270833333361"/>
    <n v="77796.983989007858"/>
    <n v="69.5"/>
    <n v="59"/>
    <n v="48.527118358899592"/>
    <n v="4978333"/>
  </r>
  <r>
    <x v="66"/>
    <n v="202508"/>
    <x v="1"/>
    <x v="5"/>
    <s v="Sebastián S"/>
    <s v="Rodolfo O"/>
    <n v="71540"/>
    <n v="3918882"/>
    <n v="54.778575268817235"/>
    <n v="85359.837322305844"/>
    <n v="55"/>
    <n v="55.5"/>
    <n v="45.910143375776272"/>
    <n v="4037493"/>
  </r>
  <r>
    <x v="47"/>
    <n v="202405"/>
    <x v="2"/>
    <x v="3"/>
    <s v="Sebastián S"/>
    <s v="Vik E"/>
    <n v="71536"/>
    <n v="4561203"/>
    <n v="63.760920698924728"/>
    <n v="0"/>
    <n v="61.5"/>
    <n v="48.5"/>
    <m/>
    <n v="0"/>
  </r>
  <r>
    <x v="98"/>
    <n v="202403"/>
    <x v="2"/>
    <x v="0"/>
    <s v="Hernán P"/>
    <s v="Daniel R"/>
    <n v="71441"/>
    <n v="5363460"/>
    <n v="75.07537634408601"/>
    <n v="0"/>
    <n v="87"/>
    <n v="77.5"/>
    <m/>
    <n v="0"/>
  </r>
  <r>
    <x v="39"/>
    <n v="202402"/>
    <x v="2"/>
    <x v="2"/>
    <s v="Sofía V"/>
    <s v="Melany A"/>
    <n v="71395"/>
    <n v="4789909"/>
    <n v="67.090323275862076"/>
    <n v="0"/>
    <n v="60.5"/>
    <n v="60.5"/>
    <m/>
    <n v="0"/>
  </r>
  <r>
    <x v="39"/>
    <n v="202409"/>
    <x v="2"/>
    <x v="4"/>
    <s v="Sofía V"/>
    <s v="Melany A"/>
    <n v="71394"/>
    <n v="4267169"/>
    <n v="59.769208333333317"/>
    <n v="0"/>
    <n v="60.5"/>
    <n v="60.5"/>
    <m/>
    <n v="0"/>
  </r>
  <r>
    <x v="81"/>
    <n v="202405"/>
    <x v="2"/>
    <x v="3"/>
    <s v="Fátima L"/>
    <s v="Fátima L"/>
    <n v="71376"/>
    <n v="791350"/>
    <n v="11.087096774193547"/>
    <n v="0"/>
    <n v="11.5"/>
    <n v="12"/>
    <m/>
    <n v="0"/>
  </r>
  <r>
    <x v="98"/>
    <n v="202508"/>
    <x v="1"/>
    <x v="5"/>
    <s v="Hernán P"/>
    <s v="Daniel R"/>
    <n v="71336"/>
    <n v="5175514"/>
    <n v="72.551048387096785"/>
    <n v="66488.263656043186"/>
    <n v="87"/>
    <n v="77.5"/>
    <n v="77.841013517422354"/>
    <n v="5462962"/>
  </r>
  <r>
    <x v="83"/>
    <n v="202406"/>
    <x v="2"/>
    <x v="11"/>
    <s v="Hernán P"/>
    <s v="Daniel R"/>
    <n v="71335"/>
    <n v="3308607"/>
    <n v="46.381270833333346"/>
    <n v="0"/>
    <n v="51"/>
    <n v="49"/>
    <m/>
    <n v="0"/>
  </r>
  <r>
    <x v="67"/>
    <n v="202406"/>
    <x v="2"/>
    <x v="11"/>
    <s v="Hernán P"/>
    <s v="Daniel R"/>
    <n v="71334"/>
    <n v="1037031"/>
    <n v="14.537687500000006"/>
    <n v="0"/>
    <n v="15.5"/>
    <n v="14.5"/>
    <m/>
    <n v="0"/>
  </r>
  <r>
    <x v="66"/>
    <n v="202406"/>
    <x v="2"/>
    <x v="11"/>
    <s v="Sebastián S"/>
    <s v="Rodolfo O"/>
    <n v="71317"/>
    <n v="3691100"/>
    <n v="51.756055555555555"/>
    <n v="0"/>
    <n v="55"/>
    <n v="55.5"/>
    <m/>
    <n v="0"/>
  </r>
  <r>
    <x v="55"/>
    <n v="202507"/>
    <x v="1"/>
    <x v="6"/>
    <s v="Sebastián S"/>
    <s v="Vik E"/>
    <n v="71299"/>
    <n v="4398569"/>
    <n v="61.691451612903229"/>
    <n v="82779.102495847124"/>
    <n v="69.5"/>
    <n v="59"/>
    <n v="53.136223000493025"/>
    <n v="5248901"/>
  </r>
  <r>
    <x v="75"/>
    <n v="202605"/>
    <x v="0"/>
    <x v="3"/>
    <s v="Hernán P"/>
    <s v="Daniel R"/>
    <n v="71291"/>
    <n v="1731113"/>
    <n v="24.282190860215206"/>
    <n v="58931.556494518583"/>
    <n v="31"/>
    <n v="27"/>
    <n v="27.070532526124346"/>
    <n v="1595309"/>
  </r>
  <r>
    <x v="82"/>
    <n v="202502"/>
    <x v="1"/>
    <x v="2"/>
    <s v="Sebastián S"/>
    <s v="Vik E"/>
    <n v="71287"/>
    <n v="3811966"/>
    <n v="53.47369791666668"/>
    <n v="68211.041530521819"/>
    <n v="61.5"/>
    <n v="56"/>
    <n v="55.884889080520665"/>
    <n v="3723168"/>
  </r>
  <r>
    <x v="57"/>
    <n v="202402"/>
    <x v="2"/>
    <x v="2"/>
    <s v="Hernán P"/>
    <s v="Daniel R"/>
    <n v="71261"/>
    <n v="3687926"/>
    <n v="51.752277298850608"/>
    <n v="0"/>
    <n v="53.5"/>
    <n v="52"/>
    <m/>
    <n v="0"/>
  </r>
  <r>
    <x v="51"/>
    <n v="202411"/>
    <x v="2"/>
    <x v="7"/>
    <s v="Sofía V"/>
    <s v="Melany A"/>
    <n v="71256"/>
    <n v="2693860"/>
    <n v="37.805395833333343"/>
    <n v="0"/>
    <n v="43.5"/>
    <n v="41"/>
    <m/>
    <n v="0"/>
  </r>
  <r>
    <x v="68"/>
    <n v="202402"/>
    <x v="2"/>
    <x v="2"/>
    <s v="Sofía V"/>
    <s v="José A"/>
    <n v="71250"/>
    <n v="3384962"/>
    <n v="47.508074712643669"/>
    <n v="0"/>
    <n v="52"/>
    <n v="52"/>
    <m/>
    <n v="0"/>
  </r>
  <r>
    <x v="53"/>
    <n v="202402"/>
    <x v="2"/>
    <x v="2"/>
    <s v="Sebastián S"/>
    <s v="Johanna V"/>
    <n v="71247"/>
    <n v="4671774"/>
    <n v="65.571192528735665"/>
    <n v="0"/>
    <n v="68"/>
    <n v="60.5"/>
    <m/>
    <n v="0"/>
  </r>
  <r>
    <x v="87"/>
    <n v="202604"/>
    <x v="0"/>
    <x v="9"/>
    <s v="Fátima L"/>
    <s v="Fátima L"/>
    <n v="71246"/>
    <n v="679758"/>
    <n v="9.5409999999999933"/>
    <n v="67766.15641104606"/>
    <n v="11"/>
    <n v="11"/>
    <n v="10.04229432420742"/>
    <n v="680528"/>
  </r>
  <r>
    <x v="82"/>
    <n v="202501"/>
    <x v="1"/>
    <x v="10"/>
    <s v="Sebastián S"/>
    <s v="Vik E"/>
    <n v="71241"/>
    <n v="3628386"/>
    <n v="50.931303763440873"/>
    <n v="76654.013116478571"/>
    <n v="61.5"/>
    <n v="56"/>
    <n v="47.334588398999223"/>
    <n v="3820388"/>
  </r>
  <r>
    <x v="102"/>
    <n v="202401"/>
    <x v="2"/>
    <x v="10"/>
    <s v="Fátima L"/>
    <s v="Fátima L"/>
    <n v="71237"/>
    <n v="721389"/>
    <n v="10.126572580645162"/>
    <n v="0"/>
    <n v="11"/>
    <n v="12"/>
    <m/>
    <n v="0"/>
  </r>
  <r>
    <x v="61"/>
    <n v="202503"/>
    <x v="1"/>
    <x v="0"/>
    <s v="Sofía V"/>
    <s v="Joe H"/>
    <n v="71148"/>
    <n v="2573285"/>
    <n v="36.167842741935488"/>
    <n v="68548.90710025336"/>
    <n v="41.5"/>
    <n v="35.5"/>
    <n v="37.539407539153729"/>
    <n v="2454686"/>
  </r>
  <r>
    <x v="97"/>
    <n v="202505"/>
    <x v="1"/>
    <x v="3"/>
    <s v="María R"/>
    <s v="María R"/>
    <n v="71144"/>
    <n v="5558760"/>
    <n v="78.133501344086028"/>
    <n v="66564.511309523441"/>
    <n v="94"/>
    <n v="77.5"/>
    <n v="83.509360177706313"/>
    <n v="5550094"/>
  </r>
  <r>
    <x v="39"/>
    <n v="202405"/>
    <x v="2"/>
    <x v="3"/>
    <s v="Sofía V"/>
    <s v="Melany A"/>
    <n v="71136"/>
    <n v="4580161"/>
    <n v="64.386122311827975"/>
    <n v="0"/>
    <n v="60.5"/>
    <n v="60.5"/>
    <m/>
    <n v="0"/>
  </r>
  <r>
    <x v="54"/>
    <n v="202409"/>
    <x v="2"/>
    <x v="4"/>
    <s v="Sebastián S"/>
    <s v="Rodolfo O"/>
    <n v="71100"/>
    <n v="5325657"/>
    <n v="74.903743055555566"/>
    <n v="0"/>
    <n v="80"/>
    <n v="80.5"/>
    <m/>
    <n v="0"/>
  </r>
  <r>
    <x v="61"/>
    <n v="202411"/>
    <x v="2"/>
    <x v="7"/>
    <s v="Sofía V"/>
    <s v="Joe H"/>
    <n v="71064"/>
    <n v="2730367"/>
    <n v="38.421006944444436"/>
    <n v="0"/>
    <n v="41.5"/>
    <n v="35.5"/>
    <m/>
    <n v="0"/>
  </r>
  <r>
    <x v="43"/>
    <n v="202509"/>
    <x v="1"/>
    <x v="4"/>
    <s v="Sofía V"/>
    <s v="José A"/>
    <n v="71059"/>
    <n v="2151722"/>
    <n v="30.28083333333333"/>
    <n v="77132.204009384266"/>
    <n v="32.5"/>
    <n v="32"/>
    <n v="27.896549795701571"/>
    <n v="2167554"/>
  </r>
  <r>
    <x v="69"/>
    <n v="202601"/>
    <x v="0"/>
    <x v="10"/>
    <s v="Sofía V"/>
    <s v="José A"/>
    <n v="71055"/>
    <n v="6021223"/>
    <n v="84.740315860215006"/>
    <n v="84608.166271428563"/>
    <n v="84"/>
    <n v="76"/>
    <n v="84"/>
    <n v="7107086"/>
  </r>
  <r>
    <x v="18"/>
    <n v="202404"/>
    <x v="2"/>
    <x v="9"/>
    <s v="Sofía V"/>
    <s v="Joe H"/>
    <n v="71048"/>
    <n v="3646882"/>
    <n v="51.329541666666685"/>
    <n v="0"/>
    <n v="50.5"/>
    <n v="51.5"/>
    <m/>
    <n v="0"/>
  </r>
  <r>
    <x v="98"/>
    <n v="202503"/>
    <x v="1"/>
    <x v="0"/>
    <s v="Hernán P"/>
    <s v="Daniel R"/>
    <n v="71034"/>
    <n v="5331605"/>
    <n v="75.056935483870973"/>
    <n v="75013.053476935747"/>
    <n v="87"/>
    <n v="77.5"/>
    <n v="71.07569953327264"/>
    <n v="5407039"/>
  </r>
  <r>
    <x v="54"/>
    <n v="202404"/>
    <x v="2"/>
    <x v="9"/>
    <s v="Sebastián S"/>
    <s v="Rodolfo O"/>
    <n v="71021"/>
    <n v="5846282"/>
    <n v="82.317277777777775"/>
    <n v="0"/>
    <n v="80"/>
    <n v="80.5"/>
    <m/>
    <n v="0"/>
  </r>
  <r>
    <x v="92"/>
    <n v="202511"/>
    <x v="1"/>
    <x v="7"/>
    <s v="Fátima L"/>
    <s v="Fátima L"/>
    <n v="71015"/>
    <n v="579949"/>
    <n v="8.1666180555555563"/>
    <n v="58434.685114101325"/>
    <n v="11.5"/>
    <n v="10"/>
    <n v="9.9247321837633766"/>
    <n v="646973"/>
  </r>
  <r>
    <x v="84"/>
    <n v="202407"/>
    <x v="2"/>
    <x v="6"/>
    <s v="Sofía V"/>
    <s v="Melany A"/>
    <n v="70959"/>
    <n v="3833552"/>
    <n v="54.024522849462365"/>
    <n v="0"/>
    <n v="52.5"/>
    <n v="52.5"/>
    <m/>
    <n v="0"/>
  </r>
  <r>
    <x v="79"/>
    <n v="202411"/>
    <x v="2"/>
    <x v="7"/>
    <s v="Sebastián S"/>
    <s v="Vik E"/>
    <n v="70947"/>
    <n v="5649673"/>
    <n v="79.631951388888908"/>
    <n v="0"/>
    <n v="84.5"/>
    <n v="78.5"/>
    <m/>
    <n v="0"/>
  </r>
  <r>
    <x v="57"/>
    <n v="202508"/>
    <x v="1"/>
    <x v="5"/>
    <s v="Hernán P"/>
    <s v="Daniel R"/>
    <n v="70917"/>
    <n v="2982382"/>
    <n v="42.054428763440839"/>
    <n v="68258.789738159176"/>
    <n v="53.5"/>
    <n v="52"/>
    <n v="43.692275990248611"/>
    <n v="3249228"/>
  </r>
  <r>
    <x v="78"/>
    <n v="202407"/>
    <x v="2"/>
    <x v="6"/>
    <s v="Sebastián S"/>
    <s v="Vik E"/>
    <n v="70904"/>
    <n v="3769582"/>
    <n v="53.164341397849462"/>
    <n v="0"/>
    <n v="63"/>
    <n v="59"/>
    <m/>
    <n v="0"/>
  </r>
  <r>
    <x v="46"/>
    <n v="202502"/>
    <x v="1"/>
    <x v="2"/>
    <s v="Sofía V"/>
    <s v="José A"/>
    <n v="70899"/>
    <n v="3810704"/>
    <n v="53.748645833333356"/>
    <n v="80387.399760346962"/>
    <n v="58"/>
    <n v="58.5"/>
    <n v="47.404249563495931"/>
    <n v="4046501"/>
  </r>
  <r>
    <x v="45"/>
    <n v="202402"/>
    <x v="2"/>
    <x v="2"/>
    <s v="Sofía V"/>
    <s v="Joe H"/>
    <n v="70893"/>
    <n v="4474720"/>
    <n v="63.119331896551756"/>
    <n v="0"/>
    <n v="68"/>
    <n v="68.5"/>
    <m/>
    <n v="0"/>
  </r>
  <r>
    <x v="79"/>
    <n v="202410"/>
    <x v="2"/>
    <x v="8"/>
    <s v="Sebastián S"/>
    <s v="Vik E"/>
    <n v="70893"/>
    <n v="5418427"/>
    <n v="76.431108870967762"/>
    <n v="0"/>
    <n v="84.5"/>
    <n v="78.5"/>
    <m/>
    <n v="0"/>
  </r>
  <r>
    <x v="87"/>
    <n v="202504"/>
    <x v="1"/>
    <x v="9"/>
    <s v="Fátima L"/>
    <s v="Fátima L"/>
    <n v="70822"/>
    <n v="657392"/>
    <n v="9.282243055555556"/>
    <n v="66285.165630220232"/>
    <n v="11"/>
    <n v="11"/>
    <n v="9.9176274774259117"/>
    <n v="698243"/>
  </r>
  <r>
    <x v="61"/>
    <n v="202601"/>
    <x v="0"/>
    <x v="10"/>
    <s v="Sofía V"/>
    <s v="Joe H"/>
    <n v="70812"/>
    <n v="2723288"/>
    <n v="38.457802419354827"/>
    <n v="63000.275387293863"/>
    <n v="41.5"/>
    <n v="35.5"/>
    <n v="37.124878906032741"/>
    <n v="2338878"/>
  </r>
  <r>
    <x v="64"/>
    <n v="202602"/>
    <x v="0"/>
    <x v="2"/>
    <s v="Sebastián S"/>
    <s v="Johanna V"/>
    <n v="70812"/>
    <n v="4837239"/>
    <n v="68.310937499999994"/>
    <n v="72935.799661020879"/>
    <n v="75.5"/>
    <n v="70.5"/>
    <n v="63.423114179855602"/>
    <n v="4625816"/>
  </r>
  <r>
    <x v="64"/>
    <n v="202405"/>
    <x v="2"/>
    <x v="3"/>
    <s v="Sebastián S"/>
    <s v="Johanna V"/>
    <n v="70808"/>
    <n v="5276871"/>
    <n v="74.523467741935519"/>
    <n v="0"/>
    <n v="75.5"/>
    <n v="70.5"/>
    <m/>
    <n v="0"/>
  </r>
  <r>
    <x v="98"/>
    <n v="202401"/>
    <x v="2"/>
    <x v="10"/>
    <s v="Hernán P"/>
    <s v="Daniel R"/>
    <n v="70783"/>
    <n v="5077161"/>
    <n v="71.728783602150543"/>
    <n v="0"/>
    <n v="87"/>
    <n v="77.5"/>
    <m/>
    <n v="0"/>
  </r>
  <r>
    <x v="68"/>
    <n v="202506"/>
    <x v="1"/>
    <x v="11"/>
    <s v="Sofía V"/>
    <s v="José A"/>
    <n v="70744"/>
    <n v="3300782"/>
    <n v="46.657965277777777"/>
    <n v="74256.967469096315"/>
    <n v="52"/>
    <n v="52"/>
    <n v="44.450810913786555"/>
    <n v="3274226"/>
  </r>
  <r>
    <x v="0"/>
    <n v="202412"/>
    <x v="2"/>
    <x v="1"/>
    <s v="Fátima L"/>
    <s v="Fátima L"/>
    <n v="70744"/>
    <n v="1051277"/>
    <n v="14.860369623655917"/>
    <n v="0"/>
    <n v="13.5"/>
    <n v="12.5"/>
    <m/>
    <n v="0"/>
  </r>
  <r>
    <x v="68"/>
    <n v="202406"/>
    <x v="2"/>
    <x v="11"/>
    <s v="Sofía V"/>
    <s v="José A"/>
    <n v="70721"/>
    <n v="3358151"/>
    <n v="47.484548611111101"/>
    <n v="0"/>
    <n v="52"/>
    <n v="52"/>
    <m/>
    <n v="0"/>
  </r>
  <r>
    <x v="68"/>
    <n v="202504"/>
    <x v="1"/>
    <x v="9"/>
    <s v="Sofía V"/>
    <s v="José A"/>
    <n v="70689"/>
    <n v="3458485"/>
    <n v="48.925041666666651"/>
    <n v="69245.925712147931"/>
    <n v="52"/>
    <n v="52"/>
    <n v="49.944962023856256"/>
    <n v="3535540"/>
  </r>
  <r>
    <x v="46"/>
    <n v="202404"/>
    <x v="2"/>
    <x v="9"/>
    <s v="Sofía V"/>
    <s v="José A"/>
    <n v="70656"/>
    <n v="3990675"/>
    <n v="56.480277777777786"/>
    <n v="0"/>
    <n v="58"/>
    <n v="58.5"/>
    <m/>
    <n v="0"/>
  </r>
  <r>
    <x v="70"/>
    <n v="202409"/>
    <x v="2"/>
    <x v="4"/>
    <s v="Sebastián S"/>
    <s v="Vik E"/>
    <n v="70633"/>
    <n v="3468131"/>
    <n v="49.101013888888879"/>
    <n v="0"/>
    <n v="60.5"/>
    <n v="57.5"/>
    <m/>
    <n v="0"/>
  </r>
  <r>
    <x v="97"/>
    <n v="202603"/>
    <x v="0"/>
    <x v="0"/>
    <s v="María R"/>
    <s v="María R"/>
    <n v="70618"/>
    <n v="5651567"/>
    <n v="80.03004032258066"/>
    <n v="71839.239239153336"/>
    <n v="94"/>
    <n v="77.5"/>
    <n v="81.023149648384276"/>
    <n v="5820641"/>
  </r>
  <r>
    <x v="66"/>
    <n v="202411"/>
    <x v="2"/>
    <x v="7"/>
    <s v="Sebastián S"/>
    <s v="Rodolfo O"/>
    <n v="70550"/>
    <n v="3654668"/>
    <n v="51.802673611111111"/>
    <n v="0"/>
    <n v="55"/>
    <n v="55.5"/>
    <m/>
    <n v="0"/>
  </r>
  <r>
    <x v="57"/>
    <n v="202406"/>
    <x v="2"/>
    <x v="11"/>
    <s v="Hernán P"/>
    <s v="Daniel R"/>
    <n v="70549"/>
    <n v="3291870"/>
    <n v="46.660687500000023"/>
    <n v="0"/>
    <n v="53.5"/>
    <n v="52"/>
    <m/>
    <n v="0"/>
  </r>
  <r>
    <x v="38"/>
    <n v="202408"/>
    <x v="2"/>
    <x v="5"/>
    <s v="Sofía V"/>
    <s v="Melany A"/>
    <n v="70548"/>
    <n v="4017919"/>
    <n v="56.952762096774201"/>
    <n v="0"/>
    <n v="56"/>
    <n v="60"/>
    <m/>
    <n v="0"/>
  </r>
  <r>
    <x v="77"/>
    <n v="202406"/>
    <x v="2"/>
    <x v="11"/>
    <s v="Fátima L"/>
    <s v="Fátima L"/>
    <n v="70535"/>
    <n v="1046908"/>
    <n v="14.842333333333336"/>
    <n v="0"/>
    <n v="17"/>
    <n v="13.5"/>
    <m/>
    <n v="0"/>
  </r>
  <r>
    <x v="42"/>
    <n v="202512"/>
    <x v="1"/>
    <x v="1"/>
    <s v="Hernán P"/>
    <s v="Daniel R"/>
    <n v="70518"/>
    <n v="1861936"/>
    <n v="26.403642473118239"/>
    <n v="68137.126129965865"/>
    <n v="22.5"/>
    <n v="21"/>
    <n v="27.326309689793966"/>
    <n v="1509344"/>
  </r>
  <r>
    <x v="78"/>
    <n v="202501"/>
    <x v="1"/>
    <x v="10"/>
    <s v="Sebastián S"/>
    <s v="Vik E"/>
    <n v="70516"/>
    <n v="3637023"/>
    <n v="51.577251344086015"/>
    <n v="70196.308244983738"/>
    <n v="63"/>
    <n v="59"/>
    <n v="51.812175183157201"/>
    <n v="3729324"/>
  </r>
  <r>
    <x v="64"/>
    <n v="202502"/>
    <x v="1"/>
    <x v="2"/>
    <s v="Sebastián S"/>
    <s v="Johanna V"/>
    <n v="70511"/>
    <n v="4768710"/>
    <n v="67.630312500000002"/>
    <n v="68841.652684011482"/>
    <n v="75.5"/>
    <n v="70.5"/>
    <n v="69.270707254643469"/>
    <n v="5013216"/>
  </r>
  <r>
    <x v="64"/>
    <n v="202407"/>
    <x v="2"/>
    <x v="6"/>
    <s v="Sebastián S"/>
    <s v="Johanna V"/>
    <n v="70508"/>
    <n v="5385002"/>
    <n v="76.374139784946266"/>
    <n v="0"/>
    <n v="75.5"/>
    <n v="70.5"/>
    <m/>
    <n v="0"/>
  </r>
  <r>
    <x v="51"/>
    <n v="202606"/>
    <x v="0"/>
    <x v="11"/>
    <s v="Sofía V"/>
    <s v="Melany A"/>
    <n v="70493"/>
    <n v="2564085"/>
    <n v="36.37370138888847"/>
    <n v="70630.528090339227"/>
    <n v="43.5"/>
    <n v="41"/>
    <n v="38.914029696684921"/>
    <n v="2748518"/>
  </r>
  <r>
    <x v="67"/>
    <n v="202502"/>
    <x v="1"/>
    <x v="2"/>
    <s v="Hernán P"/>
    <s v="Daniel R"/>
    <n v="70440"/>
    <n v="955543"/>
    <n v="13.565312499999999"/>
    <n v="84249.261670013162"/>
    <n v="15.5"/>
    <n v="14.5"/>
    <n v="11.341855715515504"/>
    <n v="1026553"/>
  </r>
  <r>
    <x v="57"/>
    <n v="202507"/>
    <x v="1"/>
    <x v="6"/>
    <s v="Hernán P"/>
    <s v="Daniel R"/>
    <n v="70411"/>
    <n v="2992467"/>
    <n v="42.499973118279563"/>
    <n v="69566.043170247998"/>
    <n v="53.5"/>
    <n v="52"/>
    <n v="43.01620623551316"/>
    <n v="3250088"/>
  </r>
  <r>
    <x v="75"/>
    <n v="202603"/>
    <x v="0"/>
    <x v="0"/>
    <s v="Hernán P"/>
    <s v="Daniel R"/>
    <n v="70390"/>
    <n v="1751367"/>
    <n v="24.880954301075274"/>
    <n v="76494.195457796741"/>
    <n v="31"/>
    <n v="27"/>
    <n v="27.070532526124346"/>
    <n v="2070739"/>
  </r>
  <r>
    <x v="67"/>
    <n v="202407"/>
    <x v="2"/>
    <x v="6"/>
    <s v="Hernán P"/>
    <s v="Daniel R"/>
    <n v="70370"/>
    <n v="1018812"/>
    <n v="14.477862903225811"/>
    <n v="0"/>
    <n v="15.5"/>
    <n v="14.5"/>
    <m/>
    <n v="0"/>
  </r>
  <r>
    <x v="82"/>
    <n v="202408"/>
    <x v="2"/>
    <x v="5"/>
    <s v="Sebastián S"/>
    <s v="Vik E"/>
    <n v="70366"/>
    <n v="3602962"/>
    <n v="51.203118279569871"/>
    <n v="0"/>
    <n v="61.5"/>
    <n v="56"/>
    <m/>
    <n v="0"/>
  </r>
  <r>
    <x v="57"/>
    <n v="202401"/>
    <x v="2"/>
    <x v="10"/>
    <s v="Hernán P"/>
    <s v="Daniel R"/>
    <n v="70361"/>
    <n v="3228787"/>
    <n v="45.888810483870955"/>
    <n v="0"/>
    <n v="53.5"/>
    <n v="52"/>
    <m/>
    <n v="0"/>
  </r>
  <r>
    <x v="77"/>
    <n v="202602"/>
    <x v="0"/>
    <x v="2"/>
    <s v="Fátima L"/>
    <s v="Fátima L"/>
    <n v="70360"/>
    <n v="930383"/>
    <n v="13.223177083333333"/>
    <n v="67875.893660940055"/>
    <n v="17"/>
    <n v="13.5"/>
    <n v="14.845130740132706"/>
    <n v="1007627"/>
  </r>
  <r>
    <x v="51"/>
    <n v="202504"/>
    <x v="1"/>
    <x v="9"/>
    <s v="Sofía V"/>
    <s v="Melany A"/>
    <n v="70330"/>
    <n v="2803706"/>
    <n v="39.864805555555563"/>
    <n v="65592.681755390629"/>
    <n v="43.5"/>
    <n v="41"/>
    <n v="42.744192415483646"/>
    <n v="3004173"/>
  </r>
  <r>
    <x v="79"/>
    <n v="202409"/>
    <x v="2"/>
    <x v="4"/>
    <s v="Sebastián S"/>
    <s v="Vik E"/>
    <n v="70319"/>
    <n v="5410453"/>
    <n v="76.941375000000008"/>
    <n v="0"/>
    <n v="84.5"/>
    <n v="78.5"/>
    <m/>
    <n v="0"/>
  </r>
  <r>
    <x v="82"/>
    <n v="202606"/>
    <x v="0"/>
    <x v="11"/>
    <s v="Sebastián S"/>
    <s v="Vik E"/>
    <n v="70314"/>
    <n v="3578619"/>
    <n v="50.894715277777991"/>
    <n v="68502.847204589416"/>
    <n v="61.5"/>
    <n v="56"/>
    <n v="52.842490794418893"/>
    <n v="3619861"/>
  </r>
  <r>
    <x v="51"/>
    <n v="202410"/>
    <x v="2"/>
    <x v="8"/>
    <s v="Sofía V"/>
    <s v="Melany A"/>
    <n v="70296"/>
    <n v="2523442"/>
    <n v="35.897157258064517"/>
    <n v="0"/>
    <n v="43.5"/>
    <n v="41"/>
    <m/>
    <n v="0"/>
  </r>
  <r>
    <x v="98"/>
    <n v="202412"/>
    <x v="2"/>
    <x v="1"/>
    <s v="Hernán P"/>
    <s v="Daniel R"/>
    <n v="70255"/>
    <n v="6132746"/>
    <n v="87.292399193548349"/>
    <n v="0"/>
    <n v="87"/>
    <n v="77.5"/>
    <m/>
    <n v="0"/>
  </r>
  <r>
    <x v="57"/>
    <n v="202601"/>
    <x v="0"/>
    <x v="10"/>
    <s v="Hernán P"/>
    <s v="Daniel R"/>
    <n v="70242"/>
    <n v="2990520"/>
    <n v="42.574583333333337"/>
    <n v="72859.643322539327"/>
    <n v="53.5"/>
    <n v="52"/>
    <n v="43.483853774506514"/>
    <n v="3168218"/>
  </r>
  <r>
    <x v="34"/>
    <n v="202509"/>
    <x v="1"/>
    <x v="4"/>
    <s v="Hernán P"/>
    <s v="Daniel R"/>
    <n v="70223"/>
    <n v="1018441"/>
    <n v="14.502881944444439"/>
    <n v="85196.494534109312"/>
    <n v="15"/>
    <n v="15"/>
    <n v="11.954025873591037"/>
    <n v="983476"/>
  </r>
  <r>
    <x v="70"/>
    <n v="202406"/>
    <x v="2"/>
    <x v="11"/>
    <s v="Sebastián S"/>
    <s v="Vik E"/>
    <n v="70200"/>
    <n v="3731997"/>
    <n v="53.162666666666667"/>
    <n v="0"/>
    <n v="60.5"/>
    <n v="57.5"/>
    <m/>
    <n v="0"/>
  </r>
  <r>
    <x v="82"/>
    <n v="202511"/>
    <x v="1"/>
    <x v="7"/>
    <s v="Sebastián S"/>
    <s v="Vik E"/>
    <n v="70188"/>
    <n v="3660686"/>
    <n v="52.155250000000024"/>
    <n v="78285.192257043527"/>
    <n v="61.5"/>
    <n v="56"/>
    <n v="46.760904514105448"/>
    <n v="3798326"/>
  </r>
  <r>
    <x v="82"/>
    <n v="202602"/>
    <x v="0"/>
    <x v="2"/>
    <s v="Sebastián S"/>
    <s v="Vik E"/>
    <n v="70178"/>
    <n v="3926842"/>
    <n v="55.955520833333317"/>
    <n v="74826.504166560117"/>
    <n v="61.5"/>
    <n v="56"/>
    <n v="52.842490794418893"/>
    <n v="3954019"/>
  </r>
  <r>
    <x v="67"/>
    <n v="202405"/>
    <x v="2"/>
    <x v="3"/>
    <s v="Hernán P"/>
    <s v="Daniel R"/>
    <n v="70150"/>
    <n v="1035298"/>
    <n v="14.758333333333338"/>
    <n v="0"/>
    <n v="15.5"/>
    <n v="14.5"/>
    <m/>
    <n v="0"/>
  </r>
  <r>
    <x v="71"/>
    <n v="202401"/>
    <x v="2"/>
    <x v="10"/>
    <s v="Sebastián S"/>
    <s v="Rodolfo O"/>
    <n v="70149"/>
    <n v="3587589"/>
    <n v="51.142056451612909"/>
    <n v="0"/>
    <n v="53.5"/>
    <n v="54"/>
    <m/>
    <n v="0"/>
  </r>
  <r>
    <x v="68"/>
    <n v="202505"/>
    <x v="1"/>
    <x v="3"/>
    <s v="Sofía V"/>
    <s v="José A"/>
    <n v="70149"/>
    <n v="3582139"/>
    <n v="51.064482526881697"/>
    <n v="71777.200461531625"/>
    <n v="52"/>
    <n v="52"/>
    <n v="49.906362563134756"/>
    <n v="3538124"/>
  </r>
  <r>
    <x v="57"/>
    <n v="202605"/>
    <x v="0"/>
    <x v="3"/>
    <s v="Hernán P"/>
    <s v="Daniel R"/>
    <n v="70139"/>
    <n v="3170605"/>
    <n v="45.204852150537803"/>
    <n v="73725.175832495152"/>
    <n v="53.5"/>
    <n v="52"/>
    <n v="43.483853774506514"/>
    <n v="3205855"/>
  </r>
  <r>
    <x v="85"/>
    <n v="202509"/>
    <x v="1"/>
    <x v="4"/>
    <s v="Hernán P"/>
    <s v="Daniel R"/>
    <n v="70113"/>
    <n v="2340837"/>
    <n v="33.386791666666674"/>
    <n v="70259.926068114321"/>
    <n v="44"/>
    <n v="40.5"/>
    <n v="33.316808613357324"/>
    <n v="2773529"/>
  </r>
  <r>
    <x v="98"/>
    <n v="202601"/>
    <x v="0"/>
    <x v="10"/>
    <s v="Hernán P"/>
    <s v="Daniel R"/>
    <n v="70105"/>
    <n v="4804352"/>
    <n v="68.530987903225807"/>
    <n v="75710.403406093581"/>
    <n v="87"/>
    <n v="77.5"/>
    <n v="73.970842069892498"/>
    <n v="5600362"/>
  </r>
  <r>
    <x v="98"/>
    <n v="202510"/>
    <x v="1"/>
    <x v="8"/>
    <s v="Hernán P"/>
    <s v="Daniel R"/>
    <n v="70051"/>
    <n v="4876260"/>
    <n v="69.60996639784949"/>
    <n v="75447.556249915957"/>
    <n v="87"/>
    <n v="77.5"/>
    <n v="64.631117724312404"/>
    <n v="5460769"/>
  </r>
  <r>
    <x v="67"/>
    <n v="202507"/>
    <x v="1"/>
    <x v="6"/>
    <s v="Hernán P"/>
    <s v="Daniel R"/>
    <n v="70041"/>
    <n v="1039442"/>
    <n v="14.840470430107526"/>
    <n v="73888.81602557849"/>
    <n v="15.5"/>
    <n v="14.5"/>
    <n v="14.067648338554656"/>
    <n v="1071057"/>
  </r>
  <r>
    <x v="98"/>
    <n v="202411"/>
    <x v="2"/>
    <x v="7"/>
    <s v="Hernán P"/>
    <s v="Daniel R"/>
    <n v="70035"/>
    <n v="5447213"/>
    <n v="77.777972222222218"/>
    <n v="0"/>
    <n v="87"/>
    <n v="77.5"/>
    <m/>
    <n v="0"/>
  </r>
  <r>
    <x v="95"/>
    <n v="202508"/>
    <x v="1"/>
    <x v="5"/>
    <s v="Fátima L"/>
    <s v="Fátima L"/>
    <n v="69984"/>
    <n v="328881"/>
    <n v="4.6993615591397848"/>
    <n v="53413.00596444527"/>
    <n v="8.5"/>
    <n v="6.5"/>
    <n v="6.1573211254749811"/>
    <n v="379288"/>
  </r>
  <r>
    <x v="87"/>
    <n v="202401"/>
    <x v="2"/>
    <x v="10"/>
    <s v="Fátima L"/>
    <s v="Fátima L"/>
    <n v="69982"/>
    <n v="649660"/>
    <n v="9.2832795698924766"/>
    <n v="0"/>
    <n v="11"/>
    <n v="11"/>
    <m/>
    <n v="0"/>
  </r>
  <r>
    <x v="66"/>
    <n v="202401"/>
    <x v="2"/>
    <x v="10"/>
    <s v="Sebastián S"/>
    <s v="Rodolfo O"/>
    <n v="69944"/>
    <n v="3497009"/>
    <n v="49.997499999999995"/>
    <n v="0"/>
    <n v="55"/>
    <n v="55.5"/>
    <m/>
    <n v="0"/>
  </r>
  <r>
    <x v="51"/>
    <n v="202402"/>
    <x v="2"/>
    <x v="2"/>
    <s v="Sofía V"/>
    <s v="Melany A"/>
    <n v="69936"/>
    <n v="3053011"/>
    <n v="43.654554597701143"/>
    <n v="0"/>
    <n v="43.5"/>
    <n v="41"/>
    <m/>
    <n v="0"/>
  </r>
  <r>
    <x v="94"/>
    <n v="202606"/>
    <x v="0"/>
    <x v="11"/>
    <s v="Hernán P"/>
    <s v="Daniel R"/>
    <n v="69936"/>
    <n v="1986541"/>
    <n v="28.405319444444427"/>
    <n v="0"/>
    <n v="33"/>
    <n v="31.5"/>
    <n v="35.22317754154448"/>
    <m/>
  </r>
  <r>
    <x v="81"/>
    <n v="202507"/>
    <x v="1"/>
    <x v="6"/>
    <s v="Fátima L"/>
    <s v="Fátima L"/>
    <n v="69935"/>
    <n v="719985"/>
    <n v="10.29508064516129"/>
    <n v="82577.291277390177"/>
    <n v="11.5"/>
    <n v="12"/>
    <n v="8.7189279142307416"/>
    <n v="888569"/>
  </r>
  <r>
    <x v="78"/>
    <n v="202508"/>
    <x v="1"/>
    <x v="5"/>
    <s v="Sebastián S"/>
    <s v="Vik E"/>
    <n v="69927"/>
    <n v="3498120"/>
    <n v="50.025255376344091"/>
    <n v="77089.001182314329"/>
    <n v="63"/>
    <n v="59"/>
    <n v="45.377683409426965"/>
    <n v="3970265"/>
  </r>
  <r>
    <x v="82"/>
    <n v="202601"/>
    <x v="0"/>
    <x v="10"/>
    <s v="Sebastián S"/>
    <s v="Vik E"/>
    <n v="69897"/>
    <n v="3799222"/>
    <n v="54.354247311827969"/>
    <n v="71821.342059084825"/>
    <n v="61.5"/>
    <n v="56"/>
    <n v="52.842490794418893"/>
    <n v="3795219"/>
  </r>
  <r>
    <x v="82"/>
    <n v="202409"/>
    <x v="2"/>
    <x v="4"/>
    <s v="Sebastián S"/>
    <s v="Vik E"/>
    <n v="69853"/>
    <n v="3378992"/>
    <n v="48.373062500000017"/>
    <n v="0"/>
    <n v="61.5"/>
    <n v="56"/>
    <m/>
    <n v="0"/>
  </r>
  <r>
    <x v="101"/>
    <n v="202603"/>
    <x v="0"/>
    <x v="0"/>
    <s v="Fátima L"/>
    <s v="Fátima L"/>
    <n v="69811"/>
    <n v="999878"/>
    <n v="14.322668010752686"/>
    <n v="62586.084885250384"/>
    <n v="13.5"/>
    <n v="14.5"/>
    <n v="13.189776457714554"/>
    <n v="825496"/>
  </r>
  <r>
    <x v="97"/>
    <n v="202501"/>
    <x v="1"/>
    <x v="10"/>
    <s v="María R"/>
    <s v="María R"/>
    <n v="69803"/>
    <n v="5320582"/>
    <n v="76.222379032258061"/>
    <n v="68388.997441059095"/>
    <n v="94"/>
    <n v="77.5"/>
    <n v="77.798803449129807"/>
    <n v="5172297"/>
  </r>
  <r>
    <x v="97"/>
    <n v="202508"/>
    <x v="1"/>
    <x v="5"/>
    <s v="María R"/>
    <s v="María R"/>
    <n v="69789"/>
    <n v="5398976"/>
    <n v="77.361760752688184"/>
    <n v="71586.952448746131"/>
    <n v="94"/>
    <n v="77.5"/>
    <n v="75.41843974801813"/>
    <n v="5557073"/>
  </r>
  <r>
    <x v="87"/>
    <n v="202408"/>
    <x v="2"/>
    <x v="5"/>
    <s v="Fátima L"/>
    <s v="Fátima L"/>
    <n v="69746"/>
    <n v="665656"/>
    <n v="9.5440389784946262"/>
    <n v="0"/>
    <n v="11"/>
    <n v="11"/>
    <m/>
    <n v="0"/>
  </r>
  <r>
    <x v="67"/>
    <n v="202509"/>
    <x v="1"/>
    <x v="4"/>
    <s v="Hernán P"/>
    <s v="Daniel R"/>
    <n v="69728"/>
    <n v="1006904"/>
    <n v="14.440465277777774"/>
    <n v="81223.637300053"/>
    <n v="15.5"/>
    <n v="14.5"/>
    <n v="12.396685785941072"/>
    <n v="1215443"/>
  </r>
  <r>
    <x v="61"/>
    <n v="202506"/>
    <x v="1"/>
    <x v="11"/>
    <s v="Sofía V"/>
    <s v="Joe H"/>
    <n v="69711"/>
    <n v="2536119"/>
    <n v="36.380555555555553"/>
    <n v="77293.265946827698"/>
    <n v="41.5"/>
    <n v="35.5"/>
    <n v="32.811636420495816"/>
    <n v="2568338"/>
  </r>
  <r>
    <x v="85"/>
    <n v="202407"/>
    <x v="2"/>
    <x v="6"/>
    <s v="Hernán P"/>
    <s v="Daniel R"/>
    <n v="69697"/>
    <n v="2595941"/>
    <n v="37.246209677419351"/>
    <n v="0"/>
    <n v="44"/>
    <n v="40.5"/>
    <m/>
    <n v="0"/>
  </r>
  <r>
    <x v="81"/>
    <n v="202402"/>
    <x v="2"/>
    <x v="2"/>
    <s v="Fátima L"/>
    <s v="Fátima L"/>
    <n v="69686"/>
    <n v="788843"/>
    <n v="11.31998563218391"/>
    <n v="0"/>
    <n v="11.5"/>
    <n v="12"/>
    <m/>
    <n v="0"/>
  </r>
  <r>
    <x v="98"/>
    <n v="202511"/>
    <x v="1"/>
    <x v="7"/>
    <s v="Hernán P"/>
    <s v="Daniel R"/>
    <n v="69644"/>
    <n v="4891799"/>
    <n v="70.24004166666667"/>
    <n v="73537.185582036036"/>
    <n v="87"/>
    <n v="77.5"/>
    <n v="66.521437981099297"/>
    <n v="5441491"/>
  </r>
  <r>
    <x v="99"/>
    <n v="202412"/>
    <x v="2"/>
    <x v="1"/>
    <s v="Hernán P"/>
    <s v="Daniel R"/>
    <n v="69629"/>
    <n v="4111245"/>
    <n v="59.04481182795702"/>
    <n v="0"/>
    <n v="53.5"/>
    <n v="51"/>
    <m/>
    <n v="0"/>
  </r>
  <r>
    <x v="90"/>
    <n v="202503"/>
    <x v="1"/>
    <x v="0"/>
    <s v="Sebastián S"/>
    <s v="Vik E"/>
    <n v="69617"/>
    <n v="3465965"/>
    <n v="49.786041666666662"/>
    <n v="80360.202417633787"/>
    <n v="47.5"/>
    <n v="43"/>
    <n v="43.130371324692533"/>
    <n v="3956911"/>
  </r>
  <r>
    <x v="77"/>
    <n v="202505"/>
    <x v="1"/>
    <x v="3"/>
    <s v="Fátima L"/>
    <s v="Fátima L"/>
    <n v="69598"/>
    <n v="1000164"/>
    <n v="14.370510752688176"/>
    <n v="84060.725206066098"/>
    <n v="17"/>
    <n v="13.5"/>
    <n v="11.898109819397858"/>
    <n v="1090567"/>
  </r>
  <r>
    <x v="9"/>
    <n v="202510"/>
    <x v="1"/>
    <x v="8"/>
    <s v="Sofía V"/>
    <s v="Joe H"/>
    <n v="69594"/>
    <n v="4269464"/>
    <n v="61.347849462365573"/>
    <n v="81165.451874847902"/>
    <n v="70.5"/>
    <n v="69.5"/>
    <n v="52.601989410263492"/>
    <n v="5217601"/>
  </r>
  <r>
    <x v="83"/>
    <n v="202407"/>
    <x v="2"/>
    <x v="6"/>
    <s v="Hernán P"/>
    <s v="Daniel R"/>
    <n v="69585"/>
    <n v="3256569"/>
    <n v="46.800127688172033"/>
    <n v="0"/>
    <n v="51"/>
    <n v="49"/>
    <m/>
    <n v="0"/>
  </r>
  <r>
    <x v="94"/>
    <n v="202508"/>
    <x v="1"/>
    <x v="5"/>
    <s v="Hernán P"/>
    <s v="Daniel R"/>
    <n v="69567"/>
    <n v="2243869"/>
    <n v="32.254993279569895"/>
    <n v="59099.758750926645"/>
    <n v="33"/>
    <n v="31.5"/>
    <n v="37.967479519784284"/>
    <n v="2524542"/>
  </r>
  <r>
    <x v="98"/>
    <n v="202505"/>
    <x v="1"/>
    <x v="3"/>
    <s v="Hernán P"/>
    <s v="Daniel R"/>
    <n v="69526"/>
    <n v="5120724"/>
    <n v="73.652090053763445"/>
    <n v="65970.444233809394"/>
    <n v="87"/>
    <n v="77.5"/>
    <n v="77.621481247744356"/>
    <n v="5606297"/>
  </r>
  <r>
    <x v="18"/>
    <n v="202402"/>
    <x v="2"/>
    <x v="2"/>
    <s v="Sofía V"/>
    <s v="Joe H"/>
    <n v="69499"/>
    <n v="3815119"/>
    <n v="54.894683908045977"/>
    <n v="0"/>
    <n v="50.5"/>
    <n v="51.5"/>
    <m/>
    <n v="0"/>
  </r>
  <r>
    <x v="77"/>
    <n v="202401"/>
    <x v="2"/>
    <x v="10"/>
    <s v="Fátima L"/>
    <s v="Fátima L"/>
    <n v="69467"/>
    <n v="1018705"/>
    <n v="14.664576612903225"/>
    <n v="0"/>
    <n v="17"/>
    <n v="13.5"/>
    <m/>
    <n v="0"/>
  </r>
  <r>
    <x v="74"/>
    <n v="202503"/>
    <x v="1"/>
    <x v="0"/>
    <s v="Sebastián S"/>
    <s v="Rodolfo O"/>
    <n v="69426"/>
    <n v="1823537"/>
    <n v="26.265806451612917"/>
    <n v="68787.720419018064"/>
    <n v="27"/>
    <n v="27"/>
    <n v="26.509624666902589"/>
    <n v="1779198"/>
  </r>
  <r>
    <x v="98"/>
    <n v="202404"/>
    <x v="2"/>
    <x v="9"/>
    <s v="Hernán P"/>
    <s v="Daniel R"/>
    <n v="69418"/>
    <n v="5245136"/>
    <n v="75.558534722222234"/>
    <n v="0"/>
    <n v="87"/>
    <n v="77.5"/>
    <m/>
    <n v="0"/>
  </r>
  <r>
    <x v="60"/>
    <n v="202509"/>
    <x v="1"/>
    <x v="4"/>
    <s v="Sofía V"/>
    <s v="Melany A"/>
    <n v="69413"/>
    <n v="8045446"/>
    <n v="115.90629166666677"/>
    <n v="81772.043333732538"/>
    <n v="88.5"/>
    <n v="92.5"/>
    <n v="98.388709050163826"/>
    <n v="6210214"/>
  </r>
  <r>
    <x v="82"/>
    <n v="202403"/>
    <x v="2"/>
    <x v="0"/>
    <s v="Sebastián S"/>
    <s v="Vik E"/>
    <n v="69396"/>
    <n v="4362813"/>
    <n v="62.868467741935497"/>
    <n v="0"/>
    <n v="61.5"/>
    <n v="56"/>
    <m/>
    <n v="0"/>
  </r>
  <r>
    <x v="97"/>
    <n v="202403"/>
    <x v="2"/>
    <x v="0"/>
    <s v="María R"/>
    <s v="María R"/>
    <n v="69357"/>
    <n v="5572566"/>
    <n v="80.346404569892513"/>
    <n v="0"/>
    <n v="94"/>
    <n v="77.5"/>
    <m/>
    <n v="0"/>
  </r>
  <r>
    <x v="57"/>
    <n v="202410"/>
    <x v="2"/>
    <x v="8"/>
    <s v="Hernán P"/>
    <s v="Daniel R"/>
    <n v="69350"/>
    <n v="3226436"/>
    <n v="46.523985215053756"/>
    <n v="0"/>
    <n v="53.5"/>
    <n v="52"/>
    <m/>
    <n v="0"/>
  </r>
  <r>
    <x v="94"/>
    <n v="202505"/>
    <x v="1"/>
    <x v="3"/>
    <s v="Hernán P"/>
    <s v="Daniel R"/>
    <n v="69337"/>
    <n v="2358692"/>
    <n v="34.017836021505374"/>
    <n v="60133.840312378794"/>
    <n v="33"/>
    <n v="31.5"/>
    <n v="39.224041367510225"/>
    <n v="2590234"/>
  </r>
  <r>
    <x v="53"/>
    <n v="202502"/>
    <x v="1"/>
    <x v="2"/>
    <s v="Sebastián S"/>
    <s v="Johanna V"/>
    <n v="69324"/>
    <n v="4604128"/>
    <n v="66.415104166666652"/>
    <n v="74809.724161266306"/>
    <n v="68"/>
    <n v="60.5"/>
    <n v="61.544518999628202"/>
    <n v="4732624"/>
  </r>
  <r>
    <x v="47"/>
    <n v="202404"/>
    <x v="2"/>
    <x v="9"/>
    <s v="Sebastián S"/>
    <s v="Vik E"/>
    <n v="69299"/>
    <n v="4445652"/>
    <n v="64.152083333333337"/>
    <n v="0"/>
    <n v="61.5"/>
    <n v="48.5"/>
    <m/>
    <n v="0"/>
  </r>
  <r>
    <x v="55"/>
    <n v="202504"/>
    <x v="1"/>
    <x v="9"/>
    <s v="Sebastián S"/>
    <s v="Vik E"/>
    <n v="69296"/>
    <n v="4241333"/>
    <n v="61.20566666666668"/>
    <n v="79980.22752204827"/>
    <n v="69.5"/>
    <n v="59"/>
    <n v="53.029772500094289"/>
    <n v="5098134"/>
  </r>
  <r>
    <x v="79"/>
    <n v="202407"/>
    <x v="2"/>
    <x v="6"/>
    <s v="Sebastián S"/>
    <s v="Vik E"/>
    <n v="69288"/>
    <n v="5884099"/>
    <n v="84.921760752688201"/>
    <n v="0"/>
    <n v="84.5"/>
    <n v="78.5"/>
    <m/>
    <n v="0"/>
  </r>
  <r>
    <x v="70"/>
    <n v="202411"/>
    <x v="2"/>
    <x v="7"/>
    <s v="Sebastián S"/>
    <s v="Vik E"/>
    <n v="69270"/>
    <n v="3567039"/>
    <n v="51.494430555555581"/>
    <n v="0"/>
    <n v="60.5"/>
    <n v="57.5"/>
    <m/>
    <n v="0"/>
  </r>
  <r>
    <x v="72"/>
    <n v="202410"/>
    <x v="2"/>
    <x v="8"/>
    <s v="Sebastián S"/>
    <s v="Vik E"/>
    <n v="69260"/>
    <n v="4833644"/>
    <n v="69.789670698924724"/>
    <n v="0"/>
    <n v="79.5"/>
    <n v="67"/>
    <m/>
    <n v="0"/>
  </r>
  <r>
    <x v="80"/>
    <n v="202403"/>
    <x v="2"/>
    <x v="0"/>
    <s v="Fátima L"/>
    <s v="Fátima L"/>
    <n v="69259"/>
    <n v="582289"/>
    <n v="8.4073857526881728"/>
    <n v="0"/>
    <n v="10"/>
    <n v="9"/>
    <m/>
    <n v="0"/>
  </r>
  <r>
    <x v="99"/>
    <n v="202606"/>
    <x v="0"/>
    <x v="11"/>
    <s v="Hernán P"/>
    <s v="Daniel R"/>
    <n v="69154"/>
    <n v="2929767"/>
    <n v="42.365895833333198"/>
    <n v="65058.938479453682"/>
    <n v="53.5"/>
    <n v="51"/>
    <n v="45.515809558361951"/>
    <n v="2961210"/>
  </r>
  <r>
    <x v="87"/>
    <n v="202409"/>
    <x v="2"/>
    <x v="4"/>
    <s v="Fátima L"/>
    <s v="Fátima L"/>
    <n v="69135"/>
    <n v="634753"/>
    <n v="9.1813263888888912"/>
    <n v="0"/>
    <n v="11"/>
    <n v="11"/>
    <m/>
    <n v="0"/>
  </r>
  <r>
    <x v="75"/>
    <n v="202606"/>
    <x v="0"/>
    <x v="11"/>
    <s v="Hernán P"/>
    <s v="Daniel R"/>
    <n v="69056"/>
    <n v="1641535"/>
    <n v="23.771222222222271"/>
    <n v="57171.470313944978"/>
    <n v="31"/>
    <n v="27"/>
    <n v="27.070532526124346"/>
    <n v="1547662"/>
  </r>
  <r>
    <x v="72"/>
    <n v="202409"/>
    <x v="2"/>
    <x v="4"/>
    <s v="Sebastián S"/>
    <s v="Vik E"/>
    <n v="69052"/>
    <n v="4776219"/>
    <n v="69.168847222222226"/>
    <n v="0"/>
    <n v="79.5"/>
    <n v="67"/>
    <m/>
    <n v="0"/>
  </r>
  <r>
    <x v="60"/>
    <n v="202404"/>
    <x v="2"/>
    <x v="9"/>
    <s v="Sofía V"/>
    <s v="Melany A"/>
    <n v="69045"/>
    <n v="5627454"/>
    <n v="81.504645833333328"/>
    <n v="0"/>
    <n v="88.5"/>
    <n v="92.5"/>
    <m/>
    <n v="0"/>
  </r>
  <r>
    <x v="64"/>
    <n v="202401"/>
    <x v="2"/>
    <x v="10"/>
    <s v="Sebastián S"/>
    <s v="Johanna V"/>
    <n v="69021"/>
    <n v="5052296"/>
    <n v="73.199536290322541"/>
    <n v="0"/>
    <n v="75.5"/>
    <n v="70.5"/>
    <m/>
    <n v="0"/>
  </r>
  <r>
    <x v="82"/>
    <n v="202504"/>
    <x v="1"/>
    <x v="9"/>
    <s v="Sebastián S"/>
    <s v="Vik E"/>
    <n v="68990"/>
    <n v="3569671"/>
    <n v="51.741763888888897"/>
    <n v="64328.061858291352"/>
    <n v="61.5"/>
    <n v="56"/>
    <n v="55.491655536951313"/>
    <n v="3964103"/>
  </r>
  <r>
    <x v="57"/>
    <n v="202502"/>
    <x v="1"/>
    <x v="2"/>
    <s v="Hernán P"/>
    <s v="Daniel R"/>
    <n v="68981"/>
    <n v="3056310"/>
    <n v="44.306718750000002"/>
    <n v="74824.192578787304"/>
    <n v="53.5"/>
    <n v="52"/>
    <n v="40.846547816494109"/>
    <n v="3421756"/>
  </r>
  <r>
    <x v="92"/>
    <n v="202507"/>
    <x v="1"/>
    <x v="6"/>
    <s v="Fátima L"/>
    <s v="Fátima L"/>
    <n v="68979"/>
    <n v="598305"/>
    <n v="8.673790322580647"/>
    <n v="68438.707285598284"/>
    <n v="11.5"/>
    <n v="10"/>
    <n v="8.7422044297716131"/>
    <n v="678355"/>
  </r>
  <r>
    <x v="39"/>
    <n v="202404"/>
    <x v="2"/>
    <x v="9"/>
    <s v="Sofía V"/>
    <s v="Melany A"/>
    <n v="68963"/>
    <n v="4550700"/>
    <n v="65.987444444444435"/>
    <n v="0"/>
    <n v="60.5"/>
    <n v="60.5"/>
    <m/>
    <n v="0"/>
  </r>
  <r>
    <x v="72"/>
    <n v="202506"/>
    <x v="1"/>
    <x v="11"/>
    <s v="Sebastián S"/>
    <s v="Vik E"/>
    <n v="68942"/>
    <n v="4864150"/>
    <n v="70.553923611111102"/>
    <n v="79688.842944106204"/>
    <n v="79.5"/>
    <n v="67"/>
    <n v="61.039287939112356"/>
    <n v="5574830"/>
  </r>
  <r>
    <x v="67"/>
    <n v="202506"/>
    <x v="1"/>
    <x v="11"/>
    <s v="Hernán P"/>
    <s v="Daniel R"/>
    <n v="68936"/>
    <n v="1033362"/>
    <n v="14.990159722222224"/>
    <n v="74900.673267326711"/>
    <n v="15.5"/>
    <n v="14.5"/>
    <n v="13.796425785277616"/>
    <n v="1086062"/>
  </r>
  <r>
    <x v="85"/>
    <n v="202404"/>
    <x v="2"/>
    <x v="9"/>
    <s v="Hernán P"/>
    <s v="Daniel R"/>
    <n v="68909"/>
    <n v="2564931"/>
    <n v="37.221770833333338"/>
    <n v="0"/>
    <n v="44"/>
    <n v="40.5"/>
    <m/>
    <n v="0"/>
  </r>
  <r>
    <x v="97"/>
    <n v="202601"/>
    <x v="0"/>
    <x v="10"/>
    <s v="María R"/>
    <s v="María R"/>
    <n v="68903"/>
    <n v="5175743"/>
    <n v="75.116162634408568"/>
    <n v="67196.4127157154"/>
    <n v="94"/>
    <n v="77.5"/>
    <n v="81.023149648384276"/>
    <n v="5444465"/>
  </r>
  <r>
    <x v="83"/>
    <n v="202404"/>
    <x v="2"/>
    <x v="9"/>
    <s v="Hernán P"/>
    <s v="Daniel R"/>
    <n v="68807"/>
    <n v="3359027"/>
    <n v="48.817756944444447"/>
    <n v="0"/>
    <n v="51"/>
    <n v="49"/>
    <m/>
    <n v="0"/>
  </r>
  <r>
    <x v="84"/>
    <n v="202408"/>
    <x v="2"/>
    <x v="5"/>
    <s v="Sofía V"/>
    <s v="Melany A"/>
    <n v="68799"/>
    <n v="3556032"/>
    <n v="51.686908602150538"/>
    <n v="0"/>
    <n v="52.5"/>
    <n v="52.5"/>
    <m/>
    <n v="0"/>
  </r>
  <r>
    <x v="96"/>
    <n v="202605"/>
    <x v="0"/>
    <x v="3"/>
    <s v="Fátima L"/>
    <s v="Fátima L"/>
    <n v="68767"/>
    <n v="657953"/>
    <n v="9.5677956989247388"/>
    <n v="61076.217754492849"/>
    <n v="11.5"/>
    <n v="10"/>
    <n v="10.042294324207418"/>
    <n v="613345"/>
  </r>
  <r>
    <x v="9"/>
    <n v="202509"/>
    <x v="1"/>
    <x v="4"/>
    <s v="Sofía V"/>
    <s v="Joe H"/>
    <n v="68734"/>
    <n v="4292560"/>
    <n v="62.452152777777805"/>
    <n v="75171.977769458725"/>
    <n v="70.5"/>
    <n v="69.5"/>
    <n v="57.103188945814921"/>
    <n v="4925299"/>
  </r>
  <r>
    <x v="70"/>
    <n v="202410"/>
    <x v="2"/>
    <x v="8"/>
    <s v="Sebastián S"/>
    <s v="Vik E"/>
    <n v="68717"/>
    <n v="3492481"/>
    <n v="50.824422043010749"/>
    <n v="0"/>
    <n v="60.5"/>
    <n v="57.5"/>
    <m/>
    <n v="0"/>
  </r>
  <r>
    <x v="76"/>
    <n v="202502"/>
    <x v="1"/>
    <x v="2"/>
    <s v="Hernán P"/>
    <s v="Daniel R"/>
    <n v="68621"/>
    <n v="6659969"/>
    <n v="97.053749999999994"/>
    <n v="83583.715735030972"/>
    <n v="106"/>
    <n v="94.5"/>
    <n v="79.680220859201711"/>
    <n v="6974699"/>
  </r>
  <r>
    <x v="77"/>
    <n v="202407"/>
    <x v="2"/>
    <x v="6"/>
    <s v="Fátima L"/>
    <s v="Fátima L"/>
    <n v="68611"/>
    <n v="1072349"/>
    <n v="15.629334677419358"/>
    <n v="0"/>
    <n v="17"/>
    <n v="13.5"/>
    <m/>
    <n v="0"/>
  </r>
  <r>
    <x v="100"/>
    <n v="202603"/>
    <x v="0"/>
    <x v="0"/>
    <s v="Hernán P"/>
    <s v="Daniel R"/>
    <n v="68611"/>
    <n v="2244985"/>
    <n v="32.72048387096774"/>
    <n v="68538.880218183403"/>
    <n v="41.5"/>
    <n v="43"/>
    <n v="33.730466012000377"/>
    <n v="2311848"/>
  </r>
  <r>
    <x v="51"/>
    <n v="202409"/>
    <x v="2"/>
    <x v="4"/>
    <s v="Sofía V"/>
    <s v="Melany A"/>
    <n v="68609"/>
    <n v="2688404"/>
    <n v="39.184590277777751"/>
    <n v="0"/>
    <n v="43.5"/>
    <n v="41"/>
    <m/>
    <n v="0"/>
  </r>
  <r>
    <x v="64"/>
    <n v="202411"/>
    <x v="2"/>
    <x v="7"/>
    <s v="Sebastián S"/>
    <s v="Johanna V"/>
    <n v="68589"/>
    <n v="5053187"/>
    <n v="73.673347222222233"/>
    <n v="0"/>
    <n v="75.5"/>
    <n v="70.5"/>
    <m/>
    <n v="0"/>
  </r>
  <r>
    <x v="57"/>
    <n v="202504"/>
    <x v="1"/>
    <x v="9"/>
    <s v="Hernán P"/>
    <s v="Daniel R"/>
    <n v="68517"/>
    <n v="2984682"/>
    <n v="43.56143749999999"/>
    <n v="71378.63395667811"/>
    <n v="53.5"/>
    <n v="52"/>
    <n v="41.81478622596638"/>
    <n v="3139985"/>
  </r>
  <r>
    <x v="96"/>
    <n v="202603"/>
    <x v="0"/>
    <x v="0"/>
    <s v="Fátima L"/>
    <s v="Fátima L"/>
    <n v="68503"/>
    <n v="707382"/>
    <n v="10.326223118279572"/>
    <n v="71490.500340086583"/>
    <n v="11.5"/>
    <n v="10"/>
    <n v="10.042294324207418"/>
    <n v="717929"/>
  </r>
  <r>
    <x v="87"/>
    <n v="202503"/>
    <x v="1"/>
    <x v="0"/>
    <s v="Fátima L"/>
    <s v="Fátima L"/>
    <n v="68484"/>
    <n v="686383"/>
    <n v="10.022466397849465"/>
    <n v="80092.759516213366"/>
    <n v="11"/>
    <n v="11"/>
    <n v="8.5698490618375303"/>
    <n v="745290"/>
  </r>
  <r>
    <x v="84"/>
    <n v="202505"/>
    <x v="1"/>
    <x v="3"/>
    <s v="Sofía V"/>
    <s v="Melany A"/>
    <n v="68483"/>
    <n v="3411281"/>
    <n v="49.812385752688165"/>
    <n v="59330.737594184888"/>
    <n v="52.5"/>
    <n v="52.5"/>
    <n v="57.496022269818297"/>
    <n v="3467483"/>
  </r>
  <r>
    <x v="57"/>
    <n v="202510"/>
    <x v="1"/>
    <x v="8"/>
    <s v="Hernán P"/>
    <s v="Daniel R"/>
    <n v="68466"/>
    <n v="2795187"/>
    <n v="40.826182795698926"/>
    <n v="72817.453628280811"/>
    <n v="53.5"/>
    <n v="52"/>
    <n v="38.38621993387595"/>
    <n v="3327061"/>
  </r>
  <r>
    <x v="81"/>
    <n v="202508"/>
    <x v="1"/>
    <x v="5"/>
    <s v="Fátima L"/>
    <s v="Fátima L"/>
    <n v="68421"/>
    <n v="686361"/>
    <n v="10.031404569892471"/>
    <n v="80955.405872449803"/>
    <n v="11.5"/>
    <n v="12"/>
    <n v="8.478263095628277"/>
    <n v="829307"/>
  </r>
  <r>
    <x v="89"/>
    <n v="202403"/>
    <x v="2"/>
    <x v="0"/>
    <s v="Sebastián S"/>
    <s v="Rodolfo O"/>
    <n v="68419"/>
    <n v="2416952"/>
    <n v="35.32558467741935"/>
    <n v="0"/>
    <n v="34"/>
    <n v="34"/>
    <m/>
    <n v="0"/>
  </r>
  <r>
    <x v="101"/>
    <n v="202403"/>
    <x v="2"/>
    <x v="0"/>
    <s v="Fátima L"/>
    <s v="Fátima L"/>
    <n v="68396"/>
    <n v="1041441"/>
    <n v="15.226646505376346"/>
    <n v="0"/>
    <n v="13.5"/>
    <n v="14.5"/>
    <m/>
    <n v="0"/>
  </r>
  <r>
    <x v="68"/>
    <n v="202405"/>
    <x v="2"/>
    <x v="3"/>
    <s v="Sofía V"/>
    <s v="José A"/>
    <n v="68359"/>
    <n v="3408610"/>
    <n v="49.863192204301079"/>
    <n v="0"/>
    <n v="52"/>
    <n v="52"/>
    <m/>
    <n v="0"/>
  </r>
  <r>
    <x v="85"/>
    <n v="202502"/>
    <x v="1"/>
    <x v="2"/>
    <s v="Hernán P"/>
    <s v="Daniel R"/>
    <n v="68342"/>
    <n v="2406858"/>
    <n v="35.217968750000004"/>
    <n v="75126.74506948929"/>
    <n v="44"/>
    <n v="40.5"/>
    <n v="32.037302797742008"/>
    <n v="2496087"/>
  </r>
  <r>
    <x v="91"/>
    <n v="202503"/>
    <x v="1"/>
    <x v="0"/>
    <s v="Hernán P"/>
    <s v="Daniel R"/>
    <n v="68339"/>
    <n v="1319679"/>
    <n v="19.310685483870966"/>
    <n v="71216.252269302175"/>
    <n v="19"/>
    <n v="21.5"/>
    <n v="18.530591514555848"/>
    <n v="1421687"/>
  </r>
  <r>
    <x v="72"/>
    <n v="202510"/>
    <x v="1"/>
    <x v="8"/>
    <s v="Sebastián S"/>
    <s v="Vik E"/>
    <n v="68262"/>
    <n v="4516043"/>
    <n v="66.157244623655913"/>
    <n v="72723.172830190728"/>
    <n v="79.5"/>
    <n v="67"/>
    <n v="62.099085398061511"/>
    <n v="5292564"/>
  </r>
  <r>
    <x v="96"/>
    <n v="202401"/>
    <x v="2"/>
    <x v="10"/>
    <s v="Fátima L"/>
    <s v="Fátima L"/>
    <n v="68258"/>
    <n v="709637"/>
    <n v="10.396317204301075"/>
    <n v="0"/>
    <n v="11.5"/>
    <n v="10"/>
    <m/>
    <n v="0"/>
  </r>
  <r>
    <x v="92"/>
    <n v="202606"/>
    <x v="0"/>
    <x v="11"/>
    <s v="Fátima L"/>
    <s v="Fátima L"/>
    <n v="68246"/>
    <n v="592249"/>
    <n v="8.6781041666666745"/>
    <n v="53792.800664865514"/>
    <n v="11.5"/>
    <n v="10"/>
    <n v="10.042294324207418"/>
    <n v="540203"/>
  </r>
  <r>
    <x v="97"/>
    <n v="202408"/>
    <x v="2"/>
    <x v="5"/>
    <s v="María R"/>
    <s v="María R"/>
    <n v="68178"/>
    <n v="5388798"/>
    <n v="79.040067204301081"/>
    <n v="0"/>
    <n v="94"/>
    <n v="77.5"/>
    <m/>
    <n v="0"/>
  </r>
  <r>
    <x v="79"/>
    <n v="202406"/>
    <x v="2"/>
    <x v="11"/>
    <s v="Sebastián S"/>
    <s v="Vik E"/>
    <n v="68167"/>
    <n v="5714080"/>
    <n v="83.825097222222226"/>
    <n v="0"/>
    <n v="84.5"/>
    <n v="78.5"/>
    <m/>
    <n v="0"/>
  </r>
  <r>
    <x v="96"/>
    <n v="202403"/>
    <x v="2"/>
    <x v="0"/>
    <s v="Fátima L"/>
    <s v="Fátima L"/>
    <n v="68146"/>
    <n v="778503"/>
    <n v="11.424018817204304"/>
    <n v="0"/>
    <n v="11.5"/>
    <n v="10"/>
    <m/>
    <n v="0"/>
  </r>
  <r>
    <x v="93"/>
    <n v="202503"/>
    <x v="1"/>
    <x v="0"/>
    <s v="Hernán P"/>
    <s v="Daniel R"/>
    <n v="68114"/>
    <n v="2551029"/>
    <n v="37.452446236559133"/>
    <n v="63044.220982479579"/>
    <n v="45.5"/>
    <n v="42.5"/>
    <n v="40.464126770778066"/>
    <n v="2645582"/>
  </r>
  <r>
    <x v="103"/>
    <n v="202603"/>
    <x v="0"/>
    <x v="0"/>
    <s v="María R"/>
    <s v="María R"/>
    <n v="68100"/>
    <n v="3979052"/>
    <n v="58.429865591397864"/>
    <n v="63702.456785033522"/>
    <n v="66"/>
    <n v="65.5"/>
    <n v="58.116081161406527"/>
    <n v="3702137"/>
  </r>
  <r>
    <x v="9"/>
    <n v="202506"/>
    <x v="1"/>
    <x v="11"/>
    <s v="Sofía V"/>
    <s v="Joe H"/>
    <n v="68083"/>
    <n v="4488061"/>
    <n v="65.920069444444437"/>
    <n v="80288.078520513984"/>
    <n v="70.5"/>
    <n v="69.5"/>
    <n v="55.899470166710728"/>
    <n v="4828109"/>
  </r>
  <r>
    <x v="85"/>
    <n v="202501"/>
    <x v="1"/>
    <x v="10"/>
    <s v="Hernán P"/>
    <s v="Daniel R"/>
    <n v="68081"/>
    <n v="2516043"/>
    <n v="36.956801075268828"/>
    <n v="76947.930524732437"/>
    <n v="44"/>
    <n v="40.5"/>
    <n v="32.697991392910801"/>
    <n v="2720340"/>
  </r>
  <r>
    <x v="64"/>
    <n v="202409"/>
    <x v="2"/>
    <x v="4"/>
    <s v="Sebastián S"/>
    <s v="Johanna V"/>
    <n v="68075"/>
    <n v="4742536"/>
    <n v="69.66589583333338"/>
    <n v="0"/>
    <n v="75.5"/>
    <n v="70.5"/>
    <m/>
    <n v="0"/>
  </r>
  <r>
    <x v="23"/>
    <n v="202502"/>
    <x v="1"/>
    <x v="2"/>
    <s v="Sebastián S"/>
    <s v="Rodolfo O"/>
    <n v="68029"/>
    <n v="5721232"/>
    <n v="84.099947916666665"/>
    <n v="80481.167801453019"/>
    <n v="94.5"/>
    <n v="97"/>
    <n v="71.087833542801931"/>
    <n v="7170208"/>
  </r>
  <r>
    <x v="80"/>
    <n v="202409"/>
    <x v="2"/>
    <x v="4"/>
    <s v="Fátima L"/>
    <s v="Fátima L"/>
    <n v="68012"/>
    <n v="528126"/>
    <n v="7.7651875000000006"/>
    <n v="0"/>
    <n v="10"/>
    <n v="9"/>
    <m/>
    <n v="0"/>
  </r>
  <r>
    <x v="75"/>
    <n v="202511"/>
    <x v="1"/>
    <x v="7"/>
    <s v="Hernán P"/>
    <s v="Daniel R"/>
    <n v="68009"/>
    <n v="1650909"/>
    <n v="24.274784722222218"/>
    <n v="68980.111963511372"/>
    <n v="31"/>
    <n v="27"/>
    <n v="23.93311612589563"/>
    <n v="1579422"/>
  </r>
  <r>
    <x v="91"/>
    <n v="202601"/>
    <x v="0"/>
    <x v="10"/>
    <s v="Hernán P"/>
    <s v="Daniel R"/>
    <n v="68004"/>
    <n v="1117393"/>
    <n v="16.431323924731185"/>
    <n v="65993.62656648735"/>
    <n v="19"/>
    <n v="21.5"/>
    <n v="17.464859694273773"/>
    <n v="1152569"/>
  </r>
  <r>
    <x v="85"/>
    <n v="202411"/>
    <x v="2"/>
    <x v="7"/>
    <s v="Hernán P"/>
    <s v="Daniel R"/>
    <n v="67986"/>
    <n v="2567285"/>
    <n v="37.762131944444448"/>
    <n v="0"/>
    <n v="44"/>
    <n v="40.5"/>
    <m/>
    <n v="0"/>
  </r>
  <r>
    <x v="75"/>
    <n v="202407"/>
    <x v="2"/>
    <x v="6"/>
    <s v="Hernán P"/>
    <s v="Daniel R"/>
    <n v="67984"/>
    <n v="1757976"/>
    <n v="25.858649193548384"/>
    <n v="0"/>
    <n v="31"/>
    <n v="27"/>
    <m/>
    <n v="0"/>
  </r>
  <r>
    <x v="57"/>
    <n v="202404"/>
    <x v="2"/>
    <x v="9"/>
    <s v="Hernán P"/>
    <s v="Daniel R"/>
    <n v="67980"/>
    <n v="3227990"/>
    <n v="47.484645833333332"/>
    <n v="0"/>
    <n v="53.5"/>
    <n v="52"/>
    <m/>
    <n v="0"/>
  </r>
  <r>
    <x v="85"/>
    <n v="202507"/>
    <x v="1"/>
    <x v="6"/>
    <s v="Hernán P"/>
    <s v="Daniel R"/>
    <n v="67976"/>
    <n v="2465488"/>
    <n v="36.270020161290326"/>
    <n v="73181.619797208215"/>
    <n v="44"/>
    <n v="40.5"/>
    <n v="33.689988235188743"/>
    <n v="2696459"/>
  </r>
  <r>
    <x v="60"/>
    <n v="202504"/>
    <x v="1"/>
    <x v="9"/>
    <s v="Sofía V"/>
    <s v="Melany A"/>
    <n v="67974"/>
    <n v="9037321"/>
    <n v="132.95187499999997"/>
    <n v="72496.814802223686"/>
    <n v="88.5"/>
    <n v="92.5"/>
    <n v="124.65818442719775"/>
    <n v="6319758"/>
  </r>
  <r>
    <x v="84"/>
    <n v="202403"/>
    <x v="2"/>
    <x v="0"/>
    <s v="Sofía V"/>
    <s v="Melany A"/>
    <n v="67963"/>
    <n v="3774569"/>
    <n v="55.538366935483872"/>
    <n v="0"/>
    <n v="52.5"/>
    <n v="52.5"/>
    <m/>
    <n v="0"/>
  </r>
  <r>
    <x v="82"/>
    <n v="202505"/>
    <x v="1"/>
    <x v="3"/>
    <s v="Sebastián S"/>
    <s v="Vik E"/>
    <n v="67962"/>
    <n v="3684553"/>
    <n v="54.214717741935495"/>
    <n v="66469.983829849618"/>
    <n v="61.5"/>
    <n v="56"/>
    <n v="55.43182813812242"/>
    <n v="3923407"/>
  </r>
  <r>
    <x v="100"/>
    <n v="202511"/>
    <x v="1"/>
    <x v="7"/>
    <s v="Hernán P"/>
    <s v="Daniel R"/>
    <n v="67950"/>
    <n v="2100302"/>
    <n v="30.909423611111116"/>
    <n v="64960.94646936137"/>
    <n v="41.5"/>
    <n v="43"/>
    <n v="32.331771074034478"/>
    <n v="2410746"/>
  </r>
  <r>
    <x v="34"/>
    <n v="202502"/>
    <x v="1"/>
    <x v="2"/>
    <s v="Hernán P"/>
    <s v="Daniel R"/>
    <n v="67948"/>
    <n v="983161"/>
    <n v="14.469218750000001"/>
    <n v="86581.688609877034"/>
    <n v="15"/>
    <n v="15"/>
    <n v="11.355299091358255"/>
    <n v="1111856"/>
  </r>
  <r>
    <x v="0"/>
    <n v="202402"/>
    <x v="2"/>
    <x v="2"/>
    <s v="Fátima L"/>
    <s v="Fátima L"/>
    <n v="67923"/>
    <n v="935322"/>
    <n v="13.770387931034488"/>
    <n v="0"/>
    <n v="13.5"/>
    <n v="12.5"/>
    <m/>
    <n v="0"/>
  </r>
  <r>
    <x v="75"/>
    <n v="202408"/>
    <x v="2"/>
    <x v="5"/>
    <s v="Hernán P"/>
    <s v="Daniel R"/>
    <n v="67883"/>
    <n v="1795920"/>
    <n v="26.456095430107517"/>
    <n v="0"/>
    <n v="31"/>
    <n v="27"/>
    <m/>
    <n v="0"/>
  </r>
  <r>
    <x v="71"/>
    <n v="202409"/>
    <x v="2"/>
    <x v="4"/>
    <s v="Sebastián S"/>
    <s v="Rodolfo O"/>
    <n v="67882"/>
    <n v="3555248"/>
    <n v="52.373756944444445"/>
    <n v="0"/>
    <n v="53.5"/>
    <n v="54"/>
    <m/>
    <n v="0"/>
  </r>
  <r>
    <x v="38"/>
    <n v="202501"/>
    <x v="1"/>
    <x v="10"/>
    <s v="Sofía V"/>
    <s v="Melany A"/>
    <n v="67864"/>
    <n v="3602615"/>
    <n v="53.085685483870954"/>
    <n v="78938.844917223963"/>
    <n v="56"/>
    <n v="60"/>
    <n v="45.6380504905758"/>
    <n v="4553715"/>
  </r>
  <r>
    <x v="39"/>
    <n v="202410"/>
    <x v="2"/>
    <x v="8"/>
    <s v="Sofía V"/>
    <s v="Melany A"/>
    <n v="67854"/>
    <n v="4277187"/>
    <n v="63.03547043010753"/>
    <n v="0"/>
    <n v="60.5"/>
    <n v="60.5"/>
    <m/>
    <n v="0"/>
  </r>
  <r>
    <x v="91"/>
    <n v="202403"/>
    <x v="2"/>
    <x v="0"/>
    <s v="Hernán P"/>
    <s v="Daniel R"/>
    <n v="67825"/>
    <n v="1426973"/>
    <n v="21.039045698924728"/>
    <n v="0"/>
    <n v="19"/>
    <n v="21.5"/>
    <m/>
    <n v="0"/>
  </r>
  <r>
    <x v="81"/>
    <n v="202411"/>
    <x v="2"/>
    <x v="7"/>
    <s v="Fátima L"/>
    <s v="Fátima L"/>
    <n v="67814"/>
    <n v="782567"/>
    <n v="11.539937500000001"/>
    <n v="0"/>
    <n v="11.5"/>
    <n v="12"/>
    <m/>
    <n v="0"/>
  </r>
  <r>
    <x v="79"/>
    <n v="202401"/>
    <x v="2"/>
    <x v="10"/>
    <s v="Sebastián S"/>
    <s v="Vik E"/>
    <n v="67794"/>
    <n v="5172368"/>
    <n v="76.295719086021506"/>
    <n v="0"/>
    <n v="84.5"/>
    <n v="78.5"/>
    <m/>
    <n v="0"/>
  </r>
  <r>
    <x v="104"/>
    <n v="202512"/>
    <x v="1"/>
    <x v="1"/>
    <s v="Fátima L"/>
    <s v="Fátima L"/>
    <n v="67792"/>
    <n v="637678"/>
    <n v="9.4063911290322437"/>
    <n v="66384.576160026219"/>
    <n v="11"/>
    <n v="10"/>
    <n v="9.6058135320894138"/>
    <n v="668856"/>
  </r>
  <r>
    <x v="70"/>
    <n v="202606"/>
    <x v="0"/>
    <x v="11"/>
    <s v="Sebastián S"/>
    <s v="Vik E"/>
    <n v="67768"/>
    <n v="3530697"/>
    <n v="52.099784722222182"/>
    <n v="71159.35823190627"/>
    <n v="60.5"/>
    <n v="57.5"/>
    <n v="51.161312105083525"/>
    <n v="3640606"/>
  </r>
  <r>
    <x v="84"/>
    <n v="202603"/>
    <x v="0"/>
    <x v="0"/>
    <s v="Sofía V"/>
    <s v="Melany A"/>
    <n v="67721"/>
    <n v="3486324"/>
    <n v="51.48100134408601"/>
    <n v="99333.98702306622"/>
    <n v="52.5"/>
    <n v="52.5"/>
    <n v="46.965208254619732"/>
    <n v="4665241"/>
  </r>
  <r>
    <x v="93"/>
    <n v="202604"/>
    <x v="0"/>
    <x v="9"/>
    <s v="Hernán P"/>
    <s v="Daniel R"/>
    <n v="67717"/>
    <n v="2546172"/>
    <n v="37.600402777777269"/>
    <n v="64284.134742959301"/>
    <n v="45.5"/>
    <n v="42.5"/>
    <n v="36.981595266169094"/>
    <n v="2377330"/>
  </r>
  <r>
    <x v="81"/>
    <n v="202603"/>
    <x v="0"/>
    <x v="0"/>
    <s v="Fátima L"/>
    <s v="Fátima L"/>
    <n v="67714"/>
    <n v="775077"/>
    <n v="11.446317204301074"/>
    <n v="86396.573600572709"/>
    <n v="11.5"/>
    <n v="12"/>
    <n v="10.04229432420742"/>
    <n v="867620"/>
  </r>
  <r>
    <x v="74"/>
    <n v="202605"/>
    <x v="0"/>
    <x v="3"/>
    <s v="Sebastián S"/>
    <s v="Rodolfo O"/>
    <n v="67663"/>
    <n v="1618489"/>
    <n v="23.9199126344086"/>
    <n v="65572.539602137011"/>
    <n v="27"/>
    <n v="27"/>
    <n v="23.582599197509253"/>
    <n v="1546371"/>
  </r>
  <r>
    <x v="103"/>
    <n v="202512"/>
    <x v="1"/>
    <x v="1"/>
    <s v="María R"/>
    <s v="María R"/>
    <n v="67652"/>
    <n v="4322796"/>
    <n v="63.89729838709674"/>
    <n v="64553.274876580843"/>
    <n v="66"/>
    <n v="65.5"/>
    <n v="66.964775811370302"/>
    <n v="4401178"/>
  </r>
  <r>
    <x v="0"/>
    <n v="202405"/>
    <x v="2"/>
    <x v="3"/>
    <s v="Fátima L"/>
    <s v="Fátima L"/>
    <n v="67589"/>
    <n v="823114"/>
    <n v="12.178259408602152"/>
    <n v="0"/>
    <n v="13.5"/>
    <n v="12.5"/>
    <m/>
    <n v="0"/>
  </r>
  <r>
    <x v="7"/>
    <n v="202404"/>
    <x v="2"/>
    <x v="9"/>
    <s v="Sebastián S"/>
    <s v="Rodolfo O"/>
    <n v="67549"/>
    <n v="4469812"/>
    <n v="66.170951388888923"/>
    <n v="0"/>
    <n v="65.5"/>
    <n v="63"/>
    <m/>
    <n v="0"/>
  </r>
  <r>
    <x v="105"/>
    <n v="202503"/>
    <x v="1"/>
    <x v="0"/>
    <s v="María R"/>
    <s v="María R"/>
    <n v="67542"/>
    <n v="3466723"/>
    <n v="51.327123655913979"/>
    <n v="62284.604377231488"/>
    <n v="61.5"/>
    <n v="56"/>
    <n v="55.659381233338642"/>
    <n v="3356256"/>
  </r>
  <r>
    <x v="92"/>
    <n v="202503"/>
    <x v="1"/>
    <x v="0"/>
    <s v="Fátima L"/>
    <s v="Fátima L"/>
    <n v="67538"/>
    <n v="676448"/>
    <n v="10.015786290322582"/>
    <n v="81746.854003781686"/>
    <n v="11.5"/>
    <n v="10"/>
    <n v="8.2749158758905512"/>
    <n v="662006"/>
  </r>
  <r>
    <x v="57"/>
    <n v="202505"/>
    <x v="1"/>
    <x v="3"/>
    <s v="Hernán P"/>
    <s v="Daniel R"/>
    <n v="67455"/>
    <n v="3026444"/>
    <n v="44.866283602150538"/>
    <n v="67501.908976516803"/>
    <n v="53.5"/>
    <n v="52"/>
    <n v="44.834934387601812"/>
    <n v="3120707"/>
  </r>
  <r>
    <x v="60"/>
    <n v="202508"/>
    <x v="1"/>
    <x v="5"/>
    <s v="Sofía V"/>
    <s v="Melany A"/>
    <n v="67404"/>
    <n v="8124258"/>
    <n v="120.53115591397849"/>
    <n v="87573.10847321352"/>
    <n v="88.5"/>
    <n v="92.5"/>
    <n v="92.771145179630281"/>
    <n v="6381770"/>
  </r>
  <r>
    <x v="92"/>
    <n v="202504"/>
    <x v="1"/>
    <x v="9"/>
    <s v="Fátima L"/>
    <s v="Fátima L"/>
    <n v="67377"/>
    <n v="563740"/>
    <n v="8.3669930555555574"/>
    <n v="63498.404735583194"/>
    <n v="11.5"/>
    <n v="10"/>
    <n v="8.8780105948723449"/>
    <n v="623118"/>
  </r>
  <r>
    <x v="74"/>
    <n v="202602"/>
    <x v="0"/>
    <x v="2"/>
    <s v="Sebastián S"/>
    <s v="Rodolfo O"/>
    <n v="67371"/>
    <n v="1516617"/>
    <n v="22.511302083333327"/>
    <n v="80307.729531358273"/>
    <n v="27"/>
    <n v="27"/>
    <n v="23.582599197509253"/>
    <n v="1893865"/>
  </r>
  <r>
    <x v="91"/>
    <n v="202501"/>
    <x v="1"/>
    <x v="10"/>
    <s v="Hernán P"/>
    <s v="Daniel R"/>
    <n v="67368"/>
    <n v="1113516"/>
    <n v="16.528938172043016"/>
    <n v="62106.969824478627"/>
    <n v="19"/>
    <n v="21.5"/>
    <n v="17.928999968069974"/>
    <n v="1167741"/>
  </r>
  <r>
    <x v="78"/>
    <n v="202406"/>
    <x v="2"/>
    <x v="11"/>
    <s v="Sebastián S"/>
    <s v="Vik E"/>
    <n v="67302"/>
    <n v="3571259"/>
    <n v="53.062868055555562"/>
    <n v="0"/>
    <n v="63"/>
    <n v="59"/>
    <m/>
    <n v="0"/>
  </r>
  <r>
    <x v="98"/>
    <n v="202504"/>
    <x v="1"/>
    <x v="9"/>
    <s v="Hernán P"/>
    <s v="Daniel R"/>
    <n v="67287"/>
    <n v="5070666"/>
    <n v="75.359131944444442"/>
    <n v="72889.09464360273"/>
    <n v="87"/>
    <n v="77.5"/>
    <n v="69.566868058842573"/>
    <n v="5652887"/>
  </r>
  <r>
    <x v="55"/>
    <n v="202505"/>
    <x v="1"/>
    <x v="3"/>
    <s v="Sebastián S"/>
    <s v="Vik E"/>
    <n v="67218"/>
    <n v="4494402"/>
    <n v="66.862654569892499"/>
    <n v="77689.846511296957"/>
    <n v="69.5"/>
    <n v="59"/>
    <n v="57.850572395537739"/>
    <n v="5156748"/>
  </r>
  <r>
    <x v="98"/>
    <n v="202602"/>
    <x v="0"/>
    <x v="2"/>
    <s v="Hernán P"/>
    <s v="Daniel R"/>
    <n v="67213"/>
    <n v="4820852"/>
    <n v="71.724947916666665"/>
    <n v="67826.47902479519"/>
    <n v="87"/>
    <n v="77.5"/>
    <n v="73.970842069892498"/>
    <n v="5017182"/>
  </r>
  <r>
    <x v="105"/>
    <n v="202412"/>
    <x v="2"/>
    <x v="1"/>
    <s v="María R"/>
    <s v="María R"/>
    <n v="67145"/>
    <n v="4024533"/>
    <n v="59.937970430107541"/>
    <n v="0"/>
    <n v="61.5"/>
    <n v="56"/>
    <m/>
    <n v="0"/>
  </r>
  <r>
    <x v="66"/>
    <n v="202504"/>
    <x v="1"/>
    <x v="9"/>
    <s v="Sebastián S"/>
    <s v="Rodolfo O"/>
    <n v="67140"/>
    <n v="3724737"/>
    <n v="55.47743055555555"/>
    <n v="64235.996728829588"/>
    <n v="55"/>
    <n v="55.5"/>
    <n v="57.985199415895586"/>
    <n v="3803700"/>
  </r>
  <r>
    <x v="80"/>
    <n v="202603"/>
    <x v="0"/>
    <x v="0"/>
    <s v="Fátima L"/>
    <s v="Fátima L"/>
    <n v="67139"/>
    <n v="553833"/>
    <n v="8.249086021505379"/>
    <n v="58636.340292554647"/>
    <n v="10"/>
    <n v="9"/>
    <n v="8.1521894564878892"/>
    <n v="478015"/>
  </r>
  <r>
    <x v="0"/>
    <n v="202404"/>
    <x v="2"/>
    <x v="9"/>
    <s v="Fátima L"/>
    <s v="Fátima L"/>
    <n v="67135"/>
    <n v="841222"/>
    <n v="12.530243055555557"/>
    <n v="0"/>
    <n v="13.5"/>
    <n v="12.5"/>
    <m/>
    <n v="0"/>
  </r>
  <r>
    <x v="78"/>
    <n v="202602"/>
    <x v="0"/>
    <x v="2"/>
    <s v="Sebastián S"/>
    <s v="Vik E"/>
    <n v="67129"/>
    <n v="3755677"/>
    <n v="55.947291666666658"/>
    <n v="69070.229488797093"/>
    <n v="63"/>
    <n v="59"/>
    <n v="55.026064794188251"/>
    <n v="3800663"/>
  </r>
  <r>
    <x v="78"/>
    <n v="202606"/>
    <x v="0"/>
    <x v="11"/>
    <s v="Sebastián S"/>
    <s v="Vik E"/>
    <n v="67119"/>
    <n v="3402026"/>
    <n v="50.686368055556038"/>
    <n v="66368.739862817107"/>
    <n v="63"/>
    <n v="59"/>
    <n v="55.026064794188251"/>
    <n v="3652011"/>
  </r>
  <r>
    <x v="97"/>
    <n v="202404"/>
    <x v="2"/>
    <x v="9"/>
    <s v="María R"/>
    <s v="María R"/>
    <n v="67108"/>
    <n v="5277936"/>
    <n v="78.648402777777804"/>
    <n v="0"/>
    <n v="94"/>
    <n v="77.5"/>
    <m/>
    <n v="0"/>
  </r>
  <r>
    <x v="60"/>
    <n v="202507"/>
    <x v="1"/>
    <x v="6"/>
    <s v="Sofía V"/>
    <s v="Melany A"/>
    <n v="67081"/>
    <n v="8577642"/>
    <n v="127.87024193548389"/>
    <n v="83713.317484422398"/>
    <n v="88.5"/>
    <n v="92.5"/>
    <n v="102.46448400036414"/>
    <n v="6727748"/>
  </r>
  <r>
    <x v="93"/>
    <n v="202605"/>
    <x v="0"/>
    <x v="3"/>
    <s v="Hernán P"/>
    <s v="Daniel R"/>
    <n v="67050"/>
    <n v="2633170"/>
    <n v="39.271881720430606"/>
    <n v="68120.244426139441"/>
    <n v="45.5"/>
    <n v="42.5"/>
    <n v="36.981595266169094"/>
    <n v="2519195"/>
  </r>
  <r>
    <x v="74"/>
    <n v="202601"/>
    <x v="0"/>
    <x v="10"/>
    <s v="Sebastián S"/>
    <s v="Rodolfo O"/>
    <n v="67034"/>
    <n v="1460734"/>
    <n v="21.790887096774188"/>
    <n v="87117.013739392467"/>
    <n v="27"/>
    <n v="27"/>
    <n v="23.582599197509253"/>
    <n v="2054446"/>
  </r>
  <r>
    <x v="77"/>
    <n v="202403"/>
    <x v="2"/>
    <x v="0"/>
    <s v="Fátima L"/>
    <s v="Fátima L"/>
    <n v="67015"/>
    <n v="1173683"/>
    <n v="17.513736559139787"/>
    <n v="0"/>
    <n v="17"/>
    <n v="13.5"/>
    <m/>
    <n v="0"/>
  </r>
  <r>
    <x v="70"/>
    <n v="202508"/>
    <x v="1"/>
    <x v="5"/>
    <s v="Sebastián S"/>
    <s v="Vik E"/>
    <n v="67005"/>
    <n v="3471691"/>
    <n v="51.812795698924752"/>
    <n v="77264.656017034591"/>
    <n v="60.5"/>
    <n v="57.5"/>
    <n v="44.932454228937416"/>
    <n v="3800859"/>
  </r>
  <r>
    <x v="72"/>
    <n v="202405"/>
    <x v="2"/>
    <x v="3"/>
    <s v="Sebastián S"/>
    <s v="Vik E"/>
    <n v="67004"/>
    <n v="4983094"/>
    <n v="74.369684139784923"/>
    <n v="0"/>
    <n v="79.5"/>
    <n v="67"/>
    <m/>
    <n v="0"/>
  </r>
  <r>
    <x v="85"/>
    <n v="202601"/>
    <x v="0"/>
    <x v="10"/>
    <s v="Hernán P"/>
    <s v="Daniel R"/>
    <n v="67004"/>
    <n v="2537568"/>
    <n v="37.871740591397852"/>
    <n v="76707.514207493892"/>
    <n v="44"/>
    <n v="40.5"/>
    <n v="35.762421795855829"/>
    <n v="2743246"/>
  </r>
  <r>
    <x v="72"/>
    <n v="202402"/>
    <x v="2"/>
    <x v="2"/>
    <s v="Sebastián S"/>
    <s v="Vik E"/>
    <n v="66982"/>
    <n v="4755868"/>
    <n v="71.00242816091955"/>
    <n v="0"/>
    <n v="79.5"/>
    <n v="67"/>
    <m/>
    <n v="0"/>
  </r>
  <r>
    <x v="7"/>
    <n v="202402"/>
    <x v="2"/>
    <x v="2"/>
    <s v="Sebastián S"/>
    <s v="Rodolfo O"/>
    <n v="66939"/>
    <n v="4638980"/>
    <n v="69.301508620689674"/>
    <n v="0"/>
    <n v="65.5"/>
    <n v="63"/>
    <m/>
    <n v="0"/>
  </r>
  <r>
    <x v="80"/>
    <n v="202605"/>
    <x v="0"/>
    <x v="3"/>
    <s v="Fátima L"/>
    <s v="Fátima L"/>
    <n v="66918"/>
    <n v="534897"/>
    <n v="7.9933602150537837"/>
    <n v="57451.242479069559"/>
    <n v="10"/>
    <n v="9"/>
    <n v="8.1521894564878892"/>
    <n v="468353"/>
  </r>
  <r>
    <x v="85"/>
    <n v="202409"/>
    <x v="2"/>
    <x v="4"/>
    <s v="Hernán P"/>
    <s v="Daniel R"/>
    <n v="66914"/>
    <n v="2538446"/>
    <n v="37.935819444444448"/>
    <n v="0"/>
    <n v="44"/>
    <n v="40.5"/>
    <m/>
    <n v="0"/>
  </r>
  <r>
    <x v="85"/>
    <n v="202505"/>
    <x v="1"/>
    <x v="3"/>
    <s v="Hernán P"/>
    <s v="Daniel R"/>
    <n v="66861"/>
    <n v="2578448"/>
    <n v="38.56426075268817"/>
    <n v="77271.93901453467"/>
    <n v="44"/>
    <n v="40.5"/>
    <n v="33.368486320952812"/>
    <n v="2732618"/>
  </r>
  <r>
    <x v="78"/>
    <n v="202401"/>
    <x v="2"/>
    <x v="10"/>
    <s v="Sebastián S"/>
    <s v="Vik E"/>
    <n v="66854"/>
    <n v="3496235"/>
    <n v="52.2968682795699"/>
    <n v="0"/>
    <n v="63"/>
    <n v="59"/>
    <m/>
    <n v="0"/>
  </r>
  <r>
    <x v="94"/>
    <n v="202503"/>
    <x v="1"/>
    <x v="0"/>
    <s v="Hernán P"/>
    <s v="Daniel R"/>
    <n v="66836"/>
    <n v="2561977"/>
    <n v="38.332338709677423"/>
    <n v="63827.580763636397"/>
    <n v="33"/>
    <n v="31.5"/>
    <n v="40.139023277216225"/>
    <n v="2570592"/>
  </r>
  <r>
    <x v="78"/>
    <n v="202507"/>
    <x v="1"/>
    <x v="6"/>
    <s v="Sebastián S"/>
    <s v="Vik E"/>
    <n v="66729"/>
    <n v="3536892"/>
    <n v="53.003830645161301"/>
    <n v="74449.540047534683"/>
    <n v="63"/>
    <n v="59"/>
    <n v="47.507240847179965"/>
    <n v="4023394"/>
  </r>
  <r>
    <x v="72"/>
    <n v="202404"/>
    <x v="2"/>
    <x v="9"/>
    <s v="Sebastián S"/>
    <s v="Vik E"/>
    <n v="66700"/>
    <n v="4778671"/>
    <n v="71.644368055555546"/>
    <n v="0"/>
    <n v="79.5"/>
    <n v="67"/>
    <m/>
    <n v="0"/>
  </r>
  <r>
    <x v="97"/>
    <n v="202410"/>
    <x v="2"/>
    <x v="8"/>
    <s v="María R"/>
    <s v="María R"/>
    <n v="66679"/>
    <n v="5354658"/>
    <n v="80.305053763440881"/>
    <n v="0"/>
    <n v="94"/>
    <n v="77.5"/>
    <m/>
    <n v="0"/>
  </r>
  <r>
    <x v="66"/>
    <n v="202405"/>
    <x v="2"/>
    <x v="3"/>
    <s v="Sebastián S"/>
    <s v="Rodolfo O"/>
    <n v="66677"/>
    <n v="3613778"/>
    <n v="54.198487903225818"/>
    <n v="0"/>
    <n v="55"/>
    <n v="55.5"/>
    <m/>
    <n v="0"/>
  </r>
  <r>
    <x v="94"/>
    <n v="202504"/>
    <x v="1"/>
    <x v="9"/>
    <s v="Hernán P"/>
    <s v="Daniel R"/>
    <n v="66676"/>
    <n v="2360967"/>
    <n v="35.409645833333336"/>
    <n v="57604.311988234454"/>
    <n v="33"/>
    <n v="31.5"/>
    <n v="40.985946511820536"/>
    <n v="2598394"/>
  </r>
  <r>
    <x v="70"/>
    <n v="202401"/>
    <x v="2"/>
    <x v="10"/>
    <s v="Sebastián S"/>
    <s v="Vik E"/>
    <n v="66665"/>
    <n v="3420432"/>
    <n v="51.308118279569911"/>
    <n v="0"/>
    <n v="60.5"/>
    <n v="57.5"/>
    <m/>
    <n v="0"/>
  </r>
  <r>
    <x v="64"/>
    <n v="202410"/>
    <x v="2"/>
    <x v="8"/>
    <s v="Sebastián S"/>
    <s v="Johanna V"/>
    <n v="66660"/>
    <n v="4741165"/>
    <n v="71.124845430107499"/>
    <n v="0"/>
    <n v="75.5"/>
    <n v="70.5"/>
    <m/>
    <n v="0"/>
  </r>
  <r>
    <x v="104"/>
    <n v="202406"/>
    <x v="2"/>
    <x v="11"/>
    <s v="Fátima L"/>
    <s v="Fátima L"/>
    <n v="66624"/>
    <n v="536266"/>
    <n v="8.0491736111111116"/>
    <n v="0"/>
    <n v="11"/>
    <n v="10"/>
    <m/>
    <n v="0"/>
  </r>
  <r>
    <x v="57"/>
    <n v="202509"/>
    <x v="1"/>
    <x v="4"/>
    <s v="Hernán P"/>
    <s v="Daniel R"/>
    <n v="66540"/>
    <n v="2789009"/>
    <n v="41.914493055555546"/>
    <n v="69488.618637647931"/>
    <n v="53.5"/>
    <n v="52"/>
    <n v="40.136198771534595"/>
    <n v="3343826"/>
  </r>
  <r>
    <x v="0"/>
    <n v="202502"/>
    <x v="1"/>
    <x v="2"/>
    <s v="Fátima L"/>
    <s v="Fátima L"/>
    <n v="66528"/>
    <n v="785428"/>
    <n v="11.806041666666665"/>
    <n v="71318.826740287899"/>
    <n v="13.5"/>
    <n v="12.5"/>
    <n v="11.012909436384669"/>
    <n v="897605"/>
  </r>
  <r>
    <x v="78"/>
    <n v="202510"/>
    <x v="1"/>
    <x v="8"/>
    <s v="Sebastián S"/>
    <s v="Vik E"/>
    <n v="66503"/>
    <n v="3150292"/>
    <n v="47.370524193548391"/>
    <n v="66105.305274881379"/>
    <n v="63"/>
    <n v="59"/>
    <n v="47.65565315673755"/>
    <n v="3945338"/>
  </r>
  <r>
    <x v="85"/>
    <n v="202506"/>
    <x v="1"/>
    <x v="11"/>
    <s v="Hernán P"/>
    <s v="Daniel R"/>
    <n v="66487"/>
    <n v="2491028"/>
    <n v="37.46628472222222"/>
    <n v="82263.761855426928"/>
    <n v="44"/>
    <n v="40.5"/>
    <n v="30.280993037709802"/>
    <n v="2690676"/>
  </r>
  <r>
    <x v="84"/>
    <n v="202502"/>
    <x v="1"/>
    <x v="2"/>
    <s v="Sofía V"/>
    <s v="Melany A"/>
    <n v="66466"/>
    <n v="3311640"/>
    <n v="49.824427083333333"/>
    <n v="59617.162883271441"/>
    <n v="52.5"/>
    <n v="52.5"/>
    <n v="55.548428167977207"/>
    <n v="3097538"/>
  </r>
  <r>
    <x v="77"/>
    <n v="202502"/>
    <x v="1"/>
    <x v="2"/>
    <s v="Fátima L"/>
    <s v="Fátima L"/>
    <n v="66419"/>
    <n v="953267"/>
    <n v="14.352395833333331"/>
    <n v="59814.667767906889"/>
    <n v="17"/>
    <n v="13.5"/>
    <n v="15.937010863269697"/>
    <n v="994613"/>
  </r>
  <r>
    <x v="84"/>
    <n v="202501"/>
    <x v="1"/>
    <x v="10"/>
    <s v="Sofía V"/>
    <s v="Melany A"/>
    <n v="66415"/>
    <n v="3290007"/>
    <n v="49.53680779569892"/>
    <n v="65092.009788105177"/>
    <n v="52.5"/>
    <n v="52.5"/>
    <n v="50.543948492449395"/>
    <n v="3478107"/>
  </r>
  <r>
    <x v="90"/>
    <n v="202408"/>
    <x v="2"/>
    <x v="5"/>
    <s v="Sebastián S"/>
    <s v="Vik E"/>
    <n v="66412"/>
    <n v="2839922"/>
    <n v="42.762143817204297"/>
    <n v="0"/>
    <n v="47.5"/>
    <n v="43"/>
    <m/>
    <n v="0"/>
  </r>
  <r>
    <x v="84"/>
    <n v="202507"/>
    <x v="1"/>
    <x v="6"/>
    <s v="Sofía V"/>
    <s v="Melany A"/>
    <n v="66393"/>
    <n v="3210835"/>
    <n v="48.360732526881712"/>
    <n v="74507.450527905195"/>
    <n v="52.5"/>
    <n v="52.5"/>
    <n v="43.094140213500516"/>
    <n v="4218935"/>
  </r>
  <r>
    <x v="97"/>
    <n v="202406"/>
    <x v="2"/>
    <x v="11"/>
    <s v="María R"/>
    <s v="María R"/>
    <n v="66375"/>
    <n v="5363729"/>
    <n v="80.809701388888925"/>
    <n v="0"/>
    <n v="94"/>
    <n v="77.5"/>
    <m/>
    <n v="0"/>
  </r>
  <r>
    <x v="75"/>
    <n v="202405"/>
    <x v="2"/>
    <x v="3"/>
    <s v="Hernán P"/>
    <s v="Daniel R"/>
    <n v="66372"/>
    <n v="1738955"/>
    <n v="26.200181451612902"/>
    <n v="0"/>
    <n v="31"/>
    <n v="27"/>
    <m/>
    <n v="0"/>
  </r>
  <r>
    <x v="93"/>
    <n v="202510"/>
    <x v="1"/>
    <x v="8"/>
    <s v="Hernán P"/>
    <s v="Daniel R"/>
    <n v="66346"/>
    <n v="2202861"/>
    <n v="33.202580645161284"/>
    <n v="59105.33944422959"/>
    <n v="45.5"/>
    <n v="42.5"/>
    <n v="37.270090159596627"/>
    <n v="2466996"/>
  </r>
  <r>
    <x v="82"/>
    <n v="202510"/>
    <x v="1"/>
    <x v="8"/>
    <s v="Sebastián S"/>
    <s v="Vik E"/>
    <n v="66341"/>
    <n v="3456704"/>
    <n v="52.105120967741954"/>
    <n v="77388.414225701388"/>
    <n v="61.5"/>
    <n v="56"/>
    <n v="44.666940711804862"/>
    <n v="3639258"/>
  </r>
  <r>
    <x v="82"/>
    <n v="202507"/>
    <x v="1"/>
    <x v="6"/>
    <s v="Sebastián S"/>
    <s v="Vik E"/>
    <n v="66329"/>
    <n v="3647830"/>
    <n v="54.996243279569896"/>
    <n v="69273.834798171389"/>
    <n v="61.5"/>
    <n v="56"/>
    <n v="52.658125115029598"/>
    <n v="3981975"/>
  </r>
  <r>
    <x v="64"/>
    <n v="202404"/>
    <x v="2"/>
    <x v="9"/>
    <s v="Sebastián S"/>
    <s v="Johanna V"/>
    <n v="66312"/>
    <n v="5057276"/>
    <n v="76.264562500000068"/>
    <n v="0"/>
    <n v="75.5"/>
    <n v="70.5"/>
    <m/>
    <n v="0"/>
  </r>
  <r>
    <x v="100"/>
    <n v="202408"/>
    <x v="2"/>
    <x v="5"/>
    <s v="Hernán P"/>
    <s v="Daniel R"/>
    <n v="66309"/>
    <n v="2287401"/>
    <n v="34.49593413978495"/>
    <n v="0"/>
    <n v="41.5"/>
    <n v="43"/>
    <m/>
    <n v="0"/>
  </r>
  <r>
    <x v="99"/>
    <n v="202603"/>
    <x v="0"/>
    <x v="0"/>
    <s v="Hernán P"/>
    <s v="Daniel R"/>
    <n v="66289"/>
    <n v="3275101"/>
    <n v="49.406357526881727"/>
    <n v="70818.602074228475"/>
    <n v="53.5"/>
    <n v="51"/>
    <n v="45.515809558361951"/>
    <n v="3223366"/>
  </r>
  <r>
    <x v="98"/>
    <n v="202507"/>
    <x v="1"/>
    <x v="6"/>
    <s v="Hernán P"/>
    <s v="Daniel R"/>
    <n v="66254"/>
    <n v="4813479"/>
    <n v="72.651579301075273"/>
    <n v="60212.044303161827"/>
    <n v="87"/>
    <n v="77.5"/>
    <n v="79.942120479494093"/>
    <n v="5208145"/>
  </r>
  <r>
    <x v="57"/>
    <n v="202407"/>
    <x v="2"/>
    <x v="6"/>
    <s v="Hernán P"/>
    <s v="Daniel R"/>
    <n v="66253"/>
    <n v="3283371"/>
    <n v="49.557788978494635"/>
    <n v="0"/>
    <n v="53.5"/>
    <n v="52"/>
    <m/>
    <n v="0"/>
  </r>
  <r>
    <x v="99"/>
    <n v="202605"/>
    <x v="0"/>
    <x v="3"/>
    <s v="Hernán P"/>
    <s v="Daniel R"/>
    <n v="66228"/>
    <n v="3056968"/>
    <n v="46.158508064516283"/>
    <n v="68291.589104097337"/>
    <n v="53.5"/>
    <n v="51"/>
    <n v="45.515809558361951"/>
    <n v="3108347"/>
  </r>
  <r>
    <x v="100"/>
    <n v="202412"/>
    <x v="2"/>
    <x v="1"/>
    <s v="Hernán P"/>
    <s v="Daniel R"/>
    <n v="66227"/>
    <n v="2565756"/>
    <n v="38.742130376344079"/>
    <n v="0"/>
    <n v="41.5"/>
    <n v="43"/>
    <m/>
    <n v="0"/>
  </r>
  <r>
    <x v="51"/>
    <n v="202401"/>
    <x v="2"/>
    <x v="10"/>
    <s v="Sofía V"/>
    <s v="Melany A"/>
    <n v="66211"/>
    <n v="2849913"/>
    <n v="43.043131720430118"/>
    <n v="0"/>
    <n v="43.5"/>
    <n v="41"/>
    <m/>
    <n v="0"/>
  </r>
  <r>
    <x v="77"/>
    <n v="202408"/>
    <x v="2"/>
    <x v="5"/>
    <s v="Fátima L"/>
    <s v="Fátima L"/>
    <n v="66181"/>
    <n v="1056778"/>
    <n v="15.967997311827959"/>
    <n v="0"/>
    <n v="17"/>
    <n v="13.5"/>
    <m/>
    <n v="0"/>
  </r>
  <r>
    <x v="57"/>
    <n v="202409"/>
    <x v="2"/>
    <x v="4"/>
    <s v="Hernán P"/>
    <s v="Daniel R"/>
    <n v="66180"/>
    <n v="3095850"/>
    <n v="46.779493055555562"/>
    <n v="0"/>
    <n v="53.5"/>
    <n v="52"/>
    <m/>
    <n v="0"/>
  </r>
  <r>
    <x v="84"/>
    <n v="202601"/>
    <x v="0"/>
    <x v="10"/>
    <s v="Sofía V"/>
    <s v="Melany A"/>
    <n v="66153"/>
    <n v="3015239"/>
    <n v="45.579973118279568"/>
    <n v="74982.203981893384"/>
    <n v="52.5"/>
    <n v="52.5"/>
    <n v="46.965208254619732"/>
    <n v="3521555"/>
  </r>
  <r>
    <x v="96"/>
    <n v="202606"/>
    <x v="0"/>
    <x v="11"/>
    <s v="Fátima L"/>
    <s v="Fátima L"/>
    <n v="66121"/>
    <n v="597876"/>
    <n v="9.0421527777777815"/>
    <n v="56773.042543243442"/>
    <n v="11.5"/>
    <n v="10"/>
    <n v="10.042294324207418"/>
    <n v="570132"/>
  </r>
  <r>
    <x v="93"/>
    <n v="202511"/>
    <x v="1"/>
    <x v="7"/>
    <s v="Hernán P"/>
    <s v="Daniel R"/>
    <n v="66113"/>
    <n v="2378106"/>
    <n v="35.970423611111102"/>
    <n v="56385.180939566191"/>
    <n v="45.5"/>
    <n v="42.5"/>
    <n v="42.176090248763444"/>
    <n v="2428265"/>
  </r>
  <r>
    <x v="84"/>
    <n v="202410"/>
    <x v="2"/>
    <x v="8"/>
    <s v="Sofía V"/>
    <s v="Melany A"/>
    <n v="66107"/>
    <n v="3050036"/>
    <n v="46.138138440860203"/>
    <n v="0"/>
    <n v="52.5"/>
    <n v="52.5"/>
    <m/>
    <n v="0"/>
  </r>
  <r>
    <x v="100"/>
    <n v="202410"/>
    <x v="2"/>
    <x v="8"/>
    <s v="Hernán P"/>
    <s v="Daniel R"/>
    <n v="66107"/>
    <n v="2228283"/>
    <n v="33.707446236559143"/>
    <n v="0"/>
    <n v="41.5"/>
    <n v="43"/>
    <m/>
    <n v="0"/>
  </r>
  <r>
    <x v="81"/>
    <n v="202404"/>
    <x v="2"/>
    <x v="9"/>
    <s v="Fátima L"/>
    <s v="Fátima L"/>
    <n v="66080"/>
    <n v="766901"/>
    <n v="11.605562500000003"/>
    <n v="0"/>
    <n v="11.5"/>
    <n v="12"/>
    <m/>
    <n v="0"/>
  </r>
  <r>
    <x v="92"/>
    <n v="202604"/>
    <x v="0"/>
    <x v="9"/>
    <s v="Fátima L"/>
    <s v="Fátima L"/>
    <n v="66058"/>
    <n v="612963"/>
    <n v="9.2792291666666689"/>
    <n v="56126.441339338533"/>
    <n v="11.5"/>
    <n v="10"/>
    <n v="10.042294324207418"/>
    <n v="563638"/>
  </r>
  <r>
    <x v="75"/>
    <n v="202410"/>
    <x v="2"/>
    <x v="8"/>
    <s v="Hernán P"/>
    <s v="Daniel R"/>
    <n v="66030"/>
    <n v="1694595"/>
    <n v="25.664126344086014"/>
    <n v="0"/>
    <n v="31"/>
    <n v="27"/>
    <m/>
    <n v="0"/>
  </r>
  <r>
    <x v="68"/>
    <n v="202502"/>
    <x v="1"/>
    <x v="2"/>
    <s v="Sofía V"/>
    <s v="José A"/>
    <n v="66018"/>
    <n v="3440526"/>
    <n v="52.114791666666669"/>
    <n v="74812.76315653541"/>
    <n v="52"/>
    <n v="52"/>
    <n v="45.988491600038522"/>
    <n v="3309726"/>
  </r>
  <r>
    <x v="98"/>
    <n v="202509"/>
    <x v="1"/>
    <x v="4"/>
    <s v="Hernán P"/>
    <s v="Daniel R"/>
    <n v="65999"/>
    <n v="4965027"/>
    <n v="75.229340277777794"/>
    <n v="68411.210640070596"/>
    <n v="87"/>
    <n v="77.5"/>
    <n v="72.576223743829303"/>
    <n v="5278766"/>
  </r>
  <r>
    <x v="82"/>
    <n v="202407"/>
    <x v="2"/>
    <x v="6"/>
    <s v="Sebastián S"/>
    <s v="Vik E"/>
    <n v="65975"/>
    <n v="3751014"/>
    <n v="56.855006720430104"/>
    <n v="0"/>
    <n v="61.5"/>
    <n v="56"/>
    <m/>
    <n v="0"/>
  </r>
  <r>
    <x v="68"/>
    <n v="202404"/>
    <x v="2"/>
    <x v="9"/>
    <s v="Sofía V"/>
    <s v="José A"/>
    <n v="65949"/>
    <n v="3239151"/>
    <n v="49.116375000000012"/>
    <n v="0"/>
    <n v="52"/>
    <n v="52"/>
    <m/>
    <n v="0"/>
  </r>
  <r>
    <x v="0"/>
    <n v="202408"/>
    <x v="2"/>
    <x v="5"/>
    <s v="Fátima L"/>
    <s v="Fátima L"/>
    <n v="65943"/>
    <n v="813167"/>
    <n v="12.331290322580646"/>
    <n v="0"/>
    <n v="13.5"/>
    <n v="12.5"/>
    <m/>
    <n v="0"/>
  </r>
  <r>
    <x v="97"/>
    <n v="202511"/>
    <x v="1"/>
    <x v="7"/>
    <s v="María R"/>
    <s v="María R"/>
    <n v="65909"/>
    <n v="5253336"/>
    <n v="79.705451388888946"/>
    <n v="67098.806646751225"/>
    <n v="94"/>
    <n v="77.5"/>
    <n v="78.292537863702151"/>
    <n v="5199357"/>
  </r>
  <r>
    <x v="90"/>
    <n v="202605"/>
    <x v="0"/>
    <x v="3"/>
    <s v="Sebastián S"/>
    <s v="Vik E"/>
    <n v="65907"/>
    <n v="2775015"/>
    <n v="42.104811827957029"/>
    <n v="70766.764724401641"/>
    <n v="47.5"/>
    <n v="43"/>
    <n v="41.487905995618128"/>
    <n v="2935965"/>
  </r>
  <r>
    <x v="90"/>
    <n v="202506"/>
    <x v="1"/>
    <x v="11"/>
    <s v="Sebastián S"/>
    <s v="Vik E"/>
    <n v="65887"/>
    <n v="2547626"/>
    <n v="38.666687500000002"/>
    <n v="57909.044159478144"/>
    <n v="47.5"/>
    <n v="43"/>
    <n v="43.993578325761803"/>
    <n v="2752091"/>
  </r>
  <r>
    <x v="87"/>
    <n v="202510"/>
    <x v="1"/>
    <x v="8"/>
    <s v="Fátima L"/>
    <s v="Fátima L"/>
    <n v="65859"/>
    <n v="617416"/>
    <n v="9.3748723118279553"/>
    <n v="78457.803001832799"/>
    <n v="11"/>
    <n v="11"/>
    <n v="7.8694001919168839"/>
    <n v="691803"/>
  </r>
  <r>
    <x v="91"/>
    <n v="202602"/>
    <x v="0"/>
    <x v="2"/>
    <s v="Hernán P"/>
    <s v="Daniel R"/>
    <n v="65856"/>
    <n v="1139532"/>
    <n v="17.303489583333338"/>
    <n v="64405.788153500136"/>
    <n v="19"/>
    <n v="21.5"/>
    <n v="17.464859694273773"/>
    <n v="1124838"/>
  </r>
  <r>
    <x v="61"/>
    <n v="202405"/>
    <x v="2"/>
    <x v="3"/>
    <s v="Sofía V"/>
    <s v="Joe H"/>
    <n v="65839"/>
    <n v="2179670"/>
    <n v="33.105954301075272"/>
    <n v="0"/>
    <n v="41.5"/>
    <n v="35.5"/>
    <m/>
    <n v="0"/>
  </r>
  <r>
    <x v="77"/>
    <n v="202410"/>
    <x v="2"/>
    <x v="8"/>
    <s v="Fátima L"/>
    <s v="Fátima L"/>
    <n v="65796"/>
    <n v="981918"/>
    <n v="14.923642473118282"/>
    <n v="0"/>
    <n v="17"/>
    <n v="13.5"/>
    <m/>
    <n v="0"/>
  </r>
  <r>
    <x v="81"/>
    <n v="202605"/>
    <x v="0"/>
    <x v="3"/>
    <s v="Fátima L"/>
    <s v="Fátima L"/>
    <n v="65774"/>
    <n v="693710"/>
    <n v="10.546948924731183"/>
    <n v="73813.949628338873"/>
    <n v="11.5"/>
    <n v="12"/>
    <n v="10.04229432420742"/>
    <n v="741261"/>
  </r>
  <r>
    <x v="94"/>
    <n v="202506"/>
    <x v="1"/>
    <x v="11"/>
    <s v="Hernán P"/>
    <s v="Daniel R"/>
    <n v="65731"/>
    <n v="2242582"/>
    <n v="34.117708333333347"/>
    <n v="59658.366691367155"/>
    <n v="33"/>
    <n v="31.5"/>
    <n v="37.590398704705265"/>
    <n v="2491576"/>
  </r>
  <r>
    <x v="75"/>
    <n v="202411"/>
    <x v="2"/>
    <x v="7"/>
    <s v="Hernán P"/>
    <s v="Daniel R"/>
    <n v="65695"/>
    <n v="1677603"/>
    <n v="25.536097222222217"/>
    <n v="0"/>
    <n v="31"/>
    <n v="27"/>
    <m/>
    <n v="0"/>
  </r>
  <r>
    <x v="75"/>
    <n v="202508"/>
    <x v="1"/>
    <x v="5"/>
    <s v="Hernán P"/>
    <s v="Daniel R"/>
    <n v="65671"/>
    <n v="1635211"/>
    <n v="24.900006720430106"/>
    <n v="71277.192622083632"/>
    <n v="31"/>
    <n v="27"/>
    <n v="22.941579484899169"/>
    <n v="1549059"/>
  </r>
  <r>
    <x v="84"/>
    <n v="202510"/>
    <x v="1"/>
    <x v="8"/>
    <s v="Sofía V"/>
    <s v="Melany A"/>
    <n v="65646"/>
    <n v="2868446"/>
    <n v="43.695665322580645"/>
    <n v="69411.939497840984"/>
    <n v="52.5"/>
    <n v="52.5"/>
    <n v="41.324961537621661"/>
    <n v="3394089"/>
  </r>
  <r>
    <x v="81"/>
    <n v="202409"/>
    <x v="2"/>
    <x v="4"/>
    <s v="Fátima L"/>
    <s v="Fátima L"/>
    <n v="65613"/>
    <n v="748924"/>
    <n v="11.414326388888888"/>
    <n v="0"/>
    <n v="11.5"/>
    <n v="12"/>
    <m/>
    <n v="0"/>
  </r>
  <r>
    <x v="75"/>
    <n v="202406"/>
    <x v="2"/>
    <x v="11"/>
    <s v="Hernán P"/>
    <s v="Daniel R"/>
    <n v="65607"/>
    <n v="1733244"/>
    <n v="26.41877777777777"/>
    <n v="0"/>
    <n v="31"/>
    <n v="27"/>
    <m/>
    <n v="0"/>
  </r>
  <r>
    <x v="84"/>
    <n v="202411"/>
    <x v="2"/>
    <x v="7"/>
    <s v="Sofía V"/>
    <s v="Melany A"/>
    <n v="65571"/>
    <n v="3146570"/>
    <n v="47.987333333333346"/>
    <n v="0"/>
    <n v="52.5"/>
    <n v="52.5"/>
    <m/>
    <n v="0"/>
  </r>
  <r>
    <x v="64"/>
    <n v="202402"/>
    <x v="2"/>
    <x v="2"/>
    <s v="Sebastián S"/>
    <s v="Johanna V"/>
    <n v="65563"/>
    <n v="5106603"/>
    <n v="77.887923850574722"/>
    <n v="0"/>
    <n v="75.5"/>
    <n v="70.5"/>
    <m/>
    <n v="0"/>
  </r>
  <r>
    <x v="80"/>
    <n v="202508"/>
    <x v="1"/>
    <x v="5"/>
    <s v="Fátima L"/>
    <s v="Fátima L"/>
    <n v="65531"/>
    <n v="491321"/>
    <n v="7.4975739247311823"/>
    <n v="59567.531455199321"/>
    <n v="10"/>
    <n v="9"/>
    <n v="8.2481260847534301"/>
    <n v="578901"/>
  </r>
  <r>
    <x v="85"/>
    <n v="202410"/>
    <x v="2"/>
    <x v="8"/>
    <s v="Hernán P"/>
    <s v="Daniel R"/>
    <n v="65525"/>
    <n v="2580220"/>
    <n v="39.377540322580657"/>
    <n v="0"/>
    <n v="44"/>
    <n v="40.5"/>
    <m/>
    <n v="0"/>
  </r>
  <r>
    <x v="93"/>
    <n v="202601"/>
    <x v="0"/>
    <x v="10"/>
    <s v="Hernán P"/>
    <s v="Daniel R"/>
    <n v="65523"/>
    <n v="2430425"/>
    <n v="37.092426075268797"/>
    <n v="66518.697149075873"/>
    <n v="45.5"/>
    <n v="42.5"/>
    <n v="36.981595266169094"/>
    <n v="2459968"/>
  </r>
  <r>
    <x v="74"/>
    <n v="202403"/>
    <x v="2"/>
    <x v="0"/>
    <s v="Sebastián S"/>
    <s v="Rodolfo O"/>
    <n v="65512"/>
    <n v="1747553"/>
    <n v="26.675268817204305"/>
    <n v="0"/>
    <n v="27"/>
    <n v="27"/>
    <m/>
    <n v="0"/>
  </r>
  <r>
    <x v="70"/>
    <n v="202402"/>
    <x v="2"/>
    <x v="2"/>
    <s v="Sebastián S"/>
    <s v="Vik E"/>
    <n v="65512"/>
    <n v="3716744"/>
    <n v="56.734195402298866"/>
    <n v="0"/>
    <n v="60.5"/>
    <n v="57.5"/>
    <m/>
    <n v="0"/>
  </r>
  <r>
    <x v="95"/>
    <n v="202509"/>
    <x v="1"/>
    <x v="4"/>
    <s v="Fátima L"/>
    <s v="Fátima L"/>
    <n v="65504"/>
    <n v="315190"/>
    <n v="4.811770833333334"/>
    <n v="61499.143460509636"/>
    <n v="8.5"/>
    <n v="6.5"/>
    <n v="5.1251105668226504"/>
    <n v="358846"/>
  </r>
  <r>
    <x v="81"/>
    <n v="202606"/>
    <x v="0"/>
    <x v="11"/>
    <s v="Fátima L"/>
    <s v="Fátima L"/>
    <n v="65478"/>
    <n v="647603"/>
    <n v="9.8903680555555624"/>
    <n v="68616.06454204215"/>
    <n v="11.5"/>
    <n v="12"/>
    <n v="10.04229432420742"/>
    <n v="689063"/>
  </r>
  <r>
    <x v="61"/>
    <n v="202602"/>
    <x v="0"/>
    <x v="2"/>
    <s v="Sofía V"/>
    <s v="Joe H"/>
    <n v="65336"/>
    <n v="2518906"/>
    <n v="38.552916666666661"/>
    <n v="56431.153251777076"/>
    <n v="41.5"/>
    <n v="35.5"/>
    <n v="37.124878906032741"/>
    <n v="2095000"/>
  </r>
  <r>
    <x v="90"/>
    <n v="202507"/>
    <x v="1"/>
    <x v="6"/>
    <s v="Sebastián S"/>
    <s v="Vik E"/>
    <n v="65331"/>
    <n v="2662955"/>
    <n v="40.761169354838721"/>
    <n v="65544.241047094751"/>
    <n v="47.5"/>
    <n v="43"/>
    <n v="40.628364406365129"/>
    <n v="3071568"/>
  </r>
  <r>
    <x v="70"/>
    <n v="202509"/>
    <x v="1"/>
    <x v="4"/>
    <s v="Sebastián S"/>
    <s v="Vik E"/>
    <n v="65318"/>
    <n v="3262649"/>
    <n v="49.95054166666668"/>
    <n v="74164.203619918495"/>
    <n v="60.5"/>
    <n v="57.5"/>
    <n v="43.992234403549112"/>
    <n v="3784111"/>
  </r>
  <r>
    <x v="0"/>
    <n v="202407"/>
    <x v="2"/>
    <x v="6"/>
    <s v="Fátima L"/>
    <s v="Fátima L"/>
    <n v="65301"/>
    <n v="803922"/>
    <n v="12.310967741935483"/>
    <n v="0"/>
    <n v="13.5"/>
    <n v="12.5"/>
    <m/>
    <n v="0"/>
  </r>
  <r>
    <x v="61"/>
    <n v="202403"/>
    <x v="2"/>
    <x v="0"/>
    <s v="Sofía V"/>
    <s v="Joe H"/>
    <n v="65285"/>
    <n v="2341805"/>
    <n v="35.870672043010757"/>
    <n v="0"/>
    <n v="41.5"/>
    <n v="35.5"/>
    <m/>
    <n v="0"/>
  </r>
  <r>
    <x v="90"/>
    <n v="202604"/>
    <x v="0"/>
    <x v="9"/>
    <s v="Sebastián S"/>
    <s v="Vik E"/>
    <n v="65245"/>
    <n v="2824864"/>
    <n v="43.296506944444381"/>
    <n v="72835.230141987762"/>
    <n v="47.5"/>
    <n v="43"/>
    <n v="41.487905995618128"/>
    <n v="3021781"/>
  </r>
  <r>
    <x v="92"/>
    <n v="202406"/>
    <x v="2"/>
    <x v="11"/>
    <s v="Fátima L"/>
    <s v="Fátima L"/>
    <n v="65244"/>
    <n v="611465"/>
    <n v="9.3720277777777774"/>
    <n v="0"/>
    <n v="11.5"/>
    <n v="10"/>
    <m/>
    <n v="0"/>
  </r>
  <r>
    <x v="97"/>
    <n v="202506"/>
    <x v="1"/>
    <x v="11"/>
    <s v="María R"/>
    <s v="María R"/>
    <n v="65243"/>
    <n v="5349573"/>
    <n v="81.994402777777793"/>
    <n v="69693.551853346769"/>
    <n v="94"/>
    <n v="77.5"/>
    <n v="76.758502727151594"/>
    <n v="5537099"/>
  </r>
  <r>
    <x v="44"/>
    <n v="202506"/>
    <x v="1"/>
    <x v="11"/>
    <s v="Sebastián S"/>
    <s v="Johanna V"/>
    <n v="65233"/>
    <n v="5548449"/>
    <n v="85.055881944444408"/>
    <n v="100266.49580725215"/>
    <n v="117.5"/>
    <n v="99"/>
    <n v="55.337023751843219"/>
    <n v="9804029"/>
  </r>
  <r>
    <x v="71"/>
    <n v="202405"/>
    <x v="2"/>
    <x v="3"/>
    <s v="Sebastián S"/>
    <s v="Rodolfo O"/>
    <n v="65229"/>
    <n v="3637903"/>
    <n v="55.771276881720439"/>
    <n v="0"/>
    <n v="53.5"/>
    <n v="54"/>
    <m/>
    <n v="0"/>
  </r>
  <r>
    <x v="86"/>
    <n v="202605"/>
    <x v="0"/>
    <x v="3"/>
    <s v="Sebastián S"/>
    <s v="Vik E"/>
    <n v="65196"/>
    <n v="2118463"/>
    <n v="32.493548387096958"/>
    <n v="65420.908515162606"/>
    <n v="36"/>
    <n v="35"/>
    <n v="31.443465596679005"/>
    <n v="2057060"/>
  </r>
  <r>
    <x v="92"/>
    <n v="202407"/>
    <x v="2"/>
    <x v="6"/>
    <s v="Fátima L"/>
    <s v="Fátima L"/>
    <n v="65180"/>
    <n v="645817"/>
    <n v="9.9082459677419372"/>
    <n v="0"/>
    <n v="11.5"/>
    <n v="10"/>
    <m/>
    <n v="0"/>
  </r>
  <r>
    <x v="98"/>
    <n v="202409"/>
    <x v="2"/>
    <x v="4"/>
    <s v="Hernán P"/>
    <s v="Daniel R"/>
    <n v="65154"/>
    <n v="5112709"/>
    <n v="78.471701388888889"/>
    <n v="0"/>
    <n v="87"/>
    <n v="77.5"/>
    <m/>
    <n v="0"/>
  </r>
  <r>
    <x v="97"/>
    <n v="202401"/>
    <x v="2"/>
    <x v="10"/>
    <s v="María R"/>
    <s v="María R"/>
    <n v="65132"/>
    <n v="4990917"/>
    <n v="76.62727822580645"/>
    <n v="0"/>
    <n v="94"/>
    <n v="77.5"/>
    <m/>
    <n v="0"/>
  </r>
  <r>
    <x v="102"/>
    <n v="202403"/>
    <x v="2"/>
    <x v="0"/>
    <s v="Fátima L"/>
    <s v="Fátima L"/>
    <n v="65130"/>
    <n v="675748"/>
    <n v="10.37533602150538"/>
    <n v="0"/>
    <n v="11"/>
    <n v="12"/>
    <m/>
    <n v="0"/>
  </r>
  <r>
    <x v="97"/>
    <n v="202509"/>
    <x v="1"/>
    <x v="4"/>
    <s v="María R"/>
    <s v="María R"/>
    <n v="65121"/>
    <n v="5165049"/>
    <n v="79.314375000000041"/>
    <n v="66829.473993005144"/>
    <n v="94"/>
    <n v="77.5"/>
    <n v="77.286986136395612"/>
    <n v="5558391"/>
  </r>
  <r>
    <x v="94"/>
    <n v="202601"/>
    <x v="0"/>
    <x v="10"/>
    <s v="Hernán P"/>
    <s v="Daniel R"/>
    <n v="65105"/>
    <n v="1991286"/>
    <n v="30.585766129032258"/>
    <n v="0"/>
    <n v="33"/>
    <n v="31.5"/>
    <n v="35.22317754154448"/>
    <n v="0"/>
  </r>
  <r>
    <x v="94"/>
    <n v="202507"/>
    <x v="1"/>
    <x v="6"/>
    <s v="Hernán P"/>
    <s v="Daniel R"/>
    <n v="65103"/>
    <n v="2195280"/>
    <n v="33.720053763440873"/>
    <n v="60584.294318627166"/>
    <n v="33"/>
    <n v="31.5"/>
    <n v="36.235127514310953"/>
    <n v="2502907"/>
  </r>
  <r>
    <x v="92"/>
    <n v="202501"/>
    <x v="1"/>
    <x v="10"/>
    <s v="Fátima L"/>
    <s v="Fátima L"/>
    <n v="65097"/>
    <n v="556142"/>
    <n v="8.5433400537634441"/>
    <n v="64597.895506264933"/>
    <n v="11.5"/>
    <n v="10"/>
    <n v="8.6092837180131259"/>
    <n v="626834"/>
  </r>
  <r>
    <x v="81"/>
    <n v="202410"/>
    <x v="2"/>
    <x v="8"/>
    <s v="Fátima L"/>
    <s v="Fátima L"/>
    <n v="65094"/>
    <n v="780507"/>
    <n v="11.990369623655917"/>
    <n v="0"/>
    <n v="11.5"/>
    <n v="12"/>
    <m/>
    <n v="0"/>
  </r>
  <r>
    <x v="99"/>
    <n v="202511"/>
    <x v="1"/>
    <x v="7"/>
    <s v="Hernán P"/>
    <s v="Daniel R"/>
    <n v="65091"/>
    <n v="2950419"/>
    <n v="45.327479166666656"/>
    <n v="58870.918633612702"/>
    <n v="53.5"/>
    <n v="51"/>
    <n v="50.116749466101247"/>
    <n v="3191131"/>
  </r>
  <r>
    <x v="105"/>
    <n v="202505"/>
    <x v="1"/>
    <x v="3"/>
    <s v="María R"/>
    <s v="María R"/>
    <n v="65082"/>
    <n v="3402519"/>
    <n v="52.28026209677418"/>
    <n v="56505.444755931174"/>
    <n v="61.5"/>
    <n v="56"/>
    <n v="60.215771678230169"/>
    <n v="3465327"/>
  </r>
  <r>
    <x v="102"/>
    <n v="202402"/>
    <x v="2"/>
    <x v="2"/>
    <s v="Fátima L"/>
    <s v="Fátima L"/>
    <n v="65072"/>
    <n v="640357"/>
    <n v="9.840682471264369"/>
    <n v="0"/>
    <n v="11"/>
    <n v="12"/>
    <m/>
    <n v="0"/>
  </r>
  <r>
    <x v="70"/>
    <n v="202405"/>
    <x v="2"/>
    <x v="3"/>
    <s v="Sebastián S"/>
    <s v="Vik E"/>
    <n v="65032"/>
    <n v="3551221"/>
    <n v="54.607291666666647"/>
    <n v="0"/>
    <n v="60.5"/>
    <n v="57.5"/>
    <m/>
    <n v="0"/>
  </r>
  <r>
    <x v="57"/>
    <n v="202408"/>
    <x v="2"/>
    <x v="5"/>
    <s v="Hernán P"/>
    <s v="Daniel R"/>
    <n v="65008"/>
    <n v="3257550"/>
    <n v="50.10969758064514"/>
    <n v="0"/>
    <n v="53.5"/>
    <n v="52"/>
    <m/>
    <n v="0"/>
  </r>
  <r>
    <x v="39"/>
    <n v="202502"/>
    <x v="1"/>
    <x v="2"/>
    <s v="Sofía V"/>
    <s v="Melany A"/>
    <n v="64984"/>
    <n v="3904541"/>
    <n v="60.084375000000009"/>
    <n v="74964.674873007971"/>
    <n v="60.5"/>
    <n v="60.5"/>
    <n v="52.085073757931838"/>
    <n v="4682952"/>
  </r>
  <r>
    <x v="75"/>
    <n v="202507"/>
    <x v="1"/>
    <x v="6"/>
    <s v="Hernán P"/>
    <s v="Daniel R"/>
    <n v="64976"/>
    <n v="1624890"/>
    <n v="25.0075"/>
    <n v="71383.265099575947"/>
    <n v="31"/>
    <n v="27"/>
    <n v="22.762895024952464"/>
    <n v="1514836"/>
  </r>
  <r>
    <x v="82"/>
    <n v="202402"/>
    <x v="2"/>
    <x v="2"/>
    <s v="Sebastián S"/>
    <s v="Vik E"/>
    <n v="64963"/>
    <n v="3760036"/>
    <n v="57.879741379310332"/>
    <n v="0"/>
    <n v="61.5"/>
    <n v="56"/>
    <m/>
    <n v="0"/>
  </r>
  <r>
    <x v="0"/>
    <n v="202406"/>
    <x v="2"/>
    <x v="11"/>
    <s v="Fátima L"/>
    <s v="Fátima L"/>
    <n v="64925"/>
    <n v="796898"/>
    <n v="12.274111111111113"/>
    <n v="0"/>
    <n v="13.5"/>
    <n v="12.5"/>
    <m/>
    <n v="0"/>
  </r>
  <r>
    <x v="42"/>
    <n v="202412"/>
    <x v="2"/>
    <x v="1"/>
    <s v="Hernán P"/>
    <s v="Daniel R"/>
    <n v="64893"/>
    <n v="1640221"/>
    <n v="25.275974462365589"/>
    <n v="0"/>
    <n v="22.5"/>
    <n v="21"/>
    <m/>
    <n v="0"/>
  </r>
  <r>
    <x v="106"/>
    <n v="202503"/>
    <x v="1"/>
    <x v="0"/>
    <s v="María R"/>
    <s v="María R"/>
    <n v="64887"/>
    <n v="3335318"/>
    <n v="51.401827956989251"/>
    <n v="54687.432309621807"/>
    <n v="64.5"/>
    <n v="61"/>
    <n v="60.988742369847522"/>
    <n v="3174805"/>
  </r>
  <r>
    <x v="84"/>
    <n v="202508"/>
    <x v="1"/>
    <x v="5"/>
    <s v="Sofía V"/>
    <s v="Melany A"/>
    <n v="64829"/>
    <n v="3066906"/>
    <n v="47.307298387096779"/>
    <n v="72239.453702685685"/>
    <n v="52.5"/>
    <n v="52.5"/>
    <n v="42.454720139806085"/>
    <n v="3699432"/>
  </r>
  <r>
    <x v="105"/>
    <n v="202504"/>
    <x v="1"/>
    <x v="9"/>
    <s v="María R"/>
    <s v="María R"/>
    <n v="64803"/>
    <n v="3286679"/>
    <n v="50.718111111111121"/>
    <n v="56211.007690383747"/>
    <n v="61.5"/>
    <n v="56"/>
    <n v="58.470381959764545"/>
    <n v="3364998"/>
  </r>
  <r>
    <x v="66"/>
    <n v="202509"/>
    <x v="1"/>
    <x v="4"/>
    <s v="Sebastián S"/>
    <s v="Rodolfo O"/>
    <n v="64771"/>
    <n v="3404190"/>
    <n v="52.557215277777814"/>
    <n v="78186.312216216204"/>
    <n v="55"/>
    <n v="55.5"/>
    <n v="43.539467376157361"/>
    <n v="3739395"/>
  </r>
  <r>
    <x v="41"/>
    <n v="202402"/>
    <x v="2"/>
    <x v="2"/>
    <s v="Sebastián S"/>
    <s v="Rodolfo O"/>
    <n v="64759"/>
    <n v="4444075"/>
    <n v="68.625244252873586"/>
    <n v="0"/>
    <n v="64.5"/>
    <n v="64"/>
    <m/>
    <n v="0"/>
  </r>
  <r>
    <x v="82"/>
    <n v="202406"/>
    <x v="2"/>
    <x v="11"/>
    <s v="Sebastián S"/>
    <s v="Vik E"/>
    <n v="64744"/>
    <n v="3715245"/>
    <n v="57.383763888888879"/>
    <n v="0"/>
    <n v="61.5"/>
    <n v="56"/>
    <m/>
    <n v="0"/>
  </r>
  <r>
    <x v="82"/>
    <n v="202506"/>
    <x v="1"/>
    <x v="11"/>
    <s v="Sebastián S"/>
    <s v="Vik E"/>
    <n v="64722"/>
    <n v="3472407"/>
    <n v="53.651354166666664"/>
    <n v="67981.023256917193"/>
    <n v="61.5"/>
    <n v="56"/>
    <n v="51.079060355960095"/>
    <n v="3943200"/>
  </r>
  <r>
    <x v="87"/>
    <n v="202601"/>
    <x v="0"/>
    <x v="10"/>
    <s v="Fátima L"/>
    <s v="Fátima L"/>
    <n v="64714"/>
    <n v="630542"/>
    <n v="9.7435013440860221"/>
    <n v="67231.475228972267"/>
    <n v="11"/>
    <n v="11"/>
    <n v="10.04229432420742"/>
    <n v="675158"/>
  </r>
  <r>
    <x v="78"/>
    <n v="202506"/>
    <x v="1"/>
    <x v="11"/>
    <s v="Sebastián S"/>
    <s v="Vik E"/>
    <n v="64661"/>
    <n v="3440874"/>
    <n v="53.214340277777787"/>
    <n v="70667.537195200697"/>
    <n v="63"/>
    <n v="59"/>
    <n v="48.6910194775216"/>
    <n v="3774694"/>
  </r>
  <r>
    <x v="74"/>
    <n v="202606"/>
    <x v="0"/>
    <x v="11"/>
    <s v="Sebastián S"/>
    <s v="Rodolfo O"/>
    <n v="64660"/>
    <n v="1541256"/>
    <n v="23.836263888888904"/>
    <n v="118016.31445247766"/>
    <n v="27"/>
    <n v="27"/>
    <n v="23.582599197509253"/>
    <n v="2783131"/>
  </r>
  <r>
    <x v="94"/>
    <n v="202511"/>
    <x v="1"/>
    <x v="7"/>
    <s v="Hernán P"/>
    <s v="Daniel R"/>
    <n v="64634"/>
    <n v="2088503"/>
    <n v="32.312826388888887"/>
    <n v="52097.673105472939"/>
    <n v="33"/>
    <n v="31.5"/>
    <n v="40.088212687959754"/>
    <n v="2553032"/>
  </r>
  <r>
    <x v="100"/>
    <n v="202409"/>
    <x v="2"/>
    <x v="4"/>
    <s v="Hernán P"/>
    <s v="Daniel R"/>
    <n v="64616"/>
    <n v="2205957"/>
    <n v="34.139340277777784"/>
    <n v="0"/>
    <n v="41.5"/>
    <n v="43"/>
    <m/>
    <n v="0"/>
  </r>
  <r>
    <x v="96"/>
    <n v="202601"/>
    <x v="0"/>
    <x v="10"/>
    <s v="Fátima L"/>
    <s v="Fátima L"/>
    <n v="64610"/>
    <n v="643587"/>
    <n v="9.9611223118279568"/>
    <n v="73433.916741750392"/>
    <n v="11.5"/>
    <n v="10"/>
    <n v="10.042294324207418"/>
    <n v="737445"/>
  </r>
  <r>
    <x v="87"/>
    <n v="202505"/>
    <x v="1"/>
    <x v="3"/>
    <s v="Fátima L"/>
    <s v="Fátima L"/>
    <n v="64598"/>
    <n v="640877"/>
    <n v="9.9210416666666674"/>
    <n v="82119.441355932198"/>
    <n v="11"/>
    <n v="11"/>
    <n v="7.804202383966949"/>
    <n v="716950"/>
  </r>
  <r>
    <x v="103"/>
    <n v="202601"/>
    <x v="0"/>
    <x v="10"/>
    <s v="María R"/>
    <s v="María R"/>
    <n v="64597"/>
    <n v="3719546"/>
    <n v="57.58092741935485"/>
    <n v="58182.169486084531"/>
    <n v="66"/>
    <n v="65.5"/>
    <n v="58.116081161406527"/>
    <n v="3381320"/>
  </r>
  <r>
    <x v="78"/>
    <n v="202601"/>
    <x v="0"/>
    <x v="10"/>
    <s v="Sebastián S"/>
    <s v="Vik E"/>
    <n v="64521"/>
    <n v="3438453"/>
    <n v="53.291827956989245"/>
    <n v="70936.311366250287"/>
    <n v="63"/>
    <n v="59"/>
    <n v="55.026064794188251"/>
    <n v="3903346"/>
  </r>
  <r>
    <x v="70"/>
    <n v="202507"/>
    <x v="1"/>
    <x v="6"/>
    <s v="Sebastián S"/>
    <s v="Vik E"/>
    <n v="64502"/>
    <n v="3669325"/>
    <n v="56.886572580645165"/>
    <n v="77989.940482709557"/>
    <n v="60.5"/>
    <n v="57.5"/>
    <n v="47.048692014497604"/>
    <n v="4066921"/>
  </r>
  <r>
    <x v="78"/>
    <n v="202502"/>
    <x v="1"/>
    <x v="2"/>
    <s v="Sebastián S"/>
    <s v="Vik E"/>
    <n v="64478"/>
    <n v="3701008"/>
    <n v="57.399739583333336"/>
    <n v="67135.803221681359"/>
    <n v="63"/>
    <n v="59"/>
    <n v="55.127188510418641"/>
    <n v="3698569"/>
  </r>
  <r>
    <x v="102"/>
    <n v="202406"/>
    <x v="2"/>
    <x v="11"/>
    <s v="Fátima L"/>
    <s v="Fátima L"/>
    <n v="64460"/>
    <n v="589565"/>
    <n v="9.1462777777777777"/>
    <n v="0"/>
    <n v="11"/>
    <n v="12"/>
    <m/>
    <n v="0"/>
  </r>
  <r>
    <x v="92"/>
    <n v="202505"/>
    <x v="1"/>
    <x v="3"/>
    <s v="Fátima L"/>
    <s v="Fátima L"/>
    <n v="64438"/>
    <n v="585529"/>
    <n v="9.0866868279569868"/>
    <n v="65489.22342287955"/>
    <n v="11.5"/>
    <n v="10"/>
    <n v="8.9408430791597624"/>
    <n v="638148"/>
  </r>
  <r>
    <x v="107"/>
    <n v="202512"/>
    <x v="1"/>
    <x v="1"/>
    <s v="María R"/>
    <s v="María R"/>
    <n v="64422"/>
    <n v="3354155"/>
    <n v="52.065463709677367"/>
    <n v="57779.043471588848"/>
    <n v="57.5"/>
    <n v="57"/>
    <n v="58.051403562077091"/>
    <n v="3366180"/>
  </r>
  <r>
    <x v="55"/>
    <n v="202506"/>
    <x v="1"/>
    <x v="11"/>
    <s v="Sebastián S"/>
    <s v="Vik E"/>
    <n v="64377"/>
    <n v="4214268"/>
    <n v="65.462638888888904"/>
    <n v="79346.607330227329"/>
    <n v="69.5"/>
    <n v="59"/>
    <n v="53.112143566024429"/>
    <n v="4998298"/>
  </r>
  <r>
    <x v="82"/>
    <n v="202509"/>
    <x v="1"/>
    <x v="4"/>
    <s v="Sebastián S"/>
    <s v="Vik E"/>
    <n v="64337"/>
    <n v="3335745"/>
    <n v="51.848125000000003"/>
    <n v="73345.397234256132"/>
    <n v="61.5"/>
    <n v="56"/>
    <n v="45.479953286585143"/>
    <n v="3761298"/>
  </r>
  <r>
    <x v="51"/>
    <n v="202506"/>
    <x v="1"/>
    <x v="11"/>
    <s v="Sofía V"/>
    <s v="Melany A"/>
    <n v="64318"/>
    <n v="2584678"/>
    <n v="40.186222222222227"/>
    <n v="76387.837674189839"/>
    <n v="43.5"/>
    <n v="41"/>
    <n v="33.836256120040936"/>
    <n v="2924957"/>
  </r>
  <r>
    <x v="57"/>
    <n v="202506"/>
    <x v="1"/>
    <x v="11"/>
    <s v="Hernán P"/>
    <s v="Daniel R"/>
    <n v="64305"/>
    <n v="2830209"/>
    <n v="44.011965277777783"/>
    <n v="74076.559309161486"/>
    <n v="53.5"/>
    <n v="52"/>
    <n v="38.20654234476536"/>
    <n v="3154057"/>
  </r>
  <r>
    <x v="57"/>
    <n v="202405"/>
    <x v="2"/>
    <x v="3"/>
    <s v="Hernán P"/>
    <s v="Daniel R"/>
    <n v="64288"/>
    <n v="3155230"/>
    <n v="49.079973118279561"/>
    <n v="0"/>
    <n v="53.5"/>
    <n v="52"/>
    <m/>
    <n v="0"/>
  </r>
  <r>
    <x v="38"/>
    <n v="202405"/>
    <x v="2"/>
    <x v="3"/>
    <s v="Sofía V"/>
    <s v="Melany A"/>
    <n v="64281"/>
    <n v="3794471"/>
    <n v="59.029240591397873"/>
    <n v="0"/>
    <n v="56"/>
    <n v="60"/>
    <m/>
    <n v="0"/>
  </r>
  <r>
    <x v="84"/>
    <n v="202406"/>
    <x v="2"/>
    <x v="11"/>
    <s v="Sofía V"/>
    <s v="Melany A"/>
    <n v="64271"/>
    <n v="3475746"/>
    <n v="54.079423611111125"/>
    <n v="0"/>
    <n v="52.5"/>
    <n v="52.5"/>
    <m/>
    <n v="0"/>
  </r>
  <r>
    <x v="97"/>
    <n v="202407"/>
    <x v="2"/>
    <x v="6"/>
    <s v="María R"/>
    <s v="María R"/>
    <n v="64243"/>
    <n v="5192395"/>
    <n v="80.823702956989294"/>
    <n v="0"/>
    <n v="94"/>
    <n v="77.5"/>
    <m/>
    <n v="0"/>
  </r>
  <r>
    <x v="94"/>
    <n v="202510"/>
    <x v="1"/>
    <x v="8"/>
    <s v="Hernán P"/>
    <s v="Daniel R"/>
    <n v="64235"/>
    <n v="2137908"/>
    <n v="33.282741935483877"/>
    <n v="60711.959542320968"/>
    <n v="33"/>
    <n v="31.5"/>
    <n v="35.213946249086419"/>
    <n v="2655816"/>
  </r>
  <r>
    <x v="91"/>
    <n v="202511"/>
    <x v="1"/>
    <x v="7"/>
    <s v="Hernán P"/>
    <s v="Daniel R"/>
    <n v="64221"/>
    <n v="1069260"/>
    <n v="16.64974305555555"/>
    <n v="63913.996564101006"/>
    <n v="19"/>
    <n v="21.5"/>
    <n v="16.729662632309523"/>
    <n v="1118704"/>
  </r>
  <r>
    <x v="86"/>
    <n v="202511"/>
    <x v="1"/>
    <x v="7"/>
    <s v="Sebastián S"/>
    <s v="Vik E"/>
    <n v="64196"/>
    <n v="2052918"/>
    <n v="31.97881944444444"/>
    <n v="59211.856345393746"/>
    <n v="36"/>
    <n v="35"/>
    <n v="34.670731449879668"/>
    <n v="2028264"/>
  </r>
  <r>
    <x v="4"/>
    <n v="202503"/>
    <x v="1"/>
    <x v="0"/>
    <s v="Sofía V"/>
    <s v="José A"/>
    <n v="64184"/>
    <n v="4717756"/>
    <n v="73.503528225806463"/>
    <n v="109741.89229286708"/>
    <n v="107.5"/>
    <n v="102.5"/>
    <n v="42.989561155094464"/>
    <n v="11381428"/>
  </r>
  <r>
    <x v="91"/>
    <n v="202406"/>
    <x v="2"/>
    <x v="11"/>
    <s v="Hernán P"/>
    <s v="Daniel R"/>
    <n v="64128"/>
    <n v="1124878"/>
    <n v="17.541270833333336"/>
    <n v="0"/>
    <n v="19"/>
    <n v="21.5"/>
    <m/>
    <n v="0"/>
  </r>
  <r>
    <x v="84"/>
    <n v="202511"/>
    <x v="1"/>
    <x v="7"/>
    <s v="Sofía V"/>
    <s v="Melany A"/>
    <n v="64114"/>
    <n v="2961508"/>
    <n v="46.191250000000004"/>
    <n v="68849.377273169273"/>
    <n v="52.5"/>
    <n v="52.5"/>
    <n v="43.014308150527093"/>
    <n v="3552162"/>
  </r>
  <r>
    <x v="61"/>
    <n v="202502"/>
    <x v="1"/>
    <x v="2"/>
    <s v="Sofía V"/>
    <s v="Joe H"/>
    <n v="64106"/>
    <n v="2116916"/>
    <n v="33.022031249999998"/>
    <n v="59215.677158960993"/>
    <n v="41.5"/>
    <n v="35.5"/>
    <n v="35.749240936944204"/>
    <n v="1933409"/>
  </r>
  <r>
    <x v="81"/>
    <n v="202604"/>
    <x v="0"/>
    <x v="9"/>
    <s v="Fátima L"/>
    <s v="Fátima L"/>
    <n v="64089"/>
    <n v="688852"/>
    <n v="10.748305555555552"/>
    <n v="71589.769438144853"/>
    <n v="11.5"/>
    <n v="12"/>
    <n v="10.04229432420742"/>
    <n v="718926"/>
  </r>
  <r>
    <x v="101"/>
    <n v="202604"/>
    <x v="0"/>
    <x v="9"/>
    <s v="Fátima L"/>
    <s v="Fátima L"/>
    <n v="64034"/>
    <n v="923700"/>
    <n v="14.425152777777784"/>
    <n v="61307.109918989037"/>
    <n v="13.5"/>
    <n v="14.5"/>
    <n v="13.189776457714554"/>
    <n v="808627"/>
  </r>
  <r>
    <x v="70"/>
    <n v="202505"/>
    <x v="1"/>
    <x v="3"/>
    <s v="Sebastián S"/>
    <s v="Vik E"/>
    <n v="64015"/>
    <n v="3663874"/>
    <n v="57.234643817204294"/>
    <n v="68283.586700494081"/>
    <n v="60.5"/>
    <n v="57.5"/>
    <n v="53.656723336319558"/>
    <n v="3755811"/>
  </r>
  <r>
    <x v="108"/>
    <n v="202604"/>
    <x v="0"/>
    <x v="9"/>
    <s v="María R"/>
    <s v="María R"/>
    <n v="63999"/>
    <n v="1956145"/>
    <n v="30.565256944444499"/>
    <n v="25243.854937565051"/>
    <n v="22"/>
    <n v="20"/>
    <n v="96.1"/>
    <n v="2425934"/>
  </r>
  <r>
    <x v="101"/>
    <n v="202407"/>
    <x v="2"/>
    <x v="6"/>
    <s v="Fátima L"/>
    <s v="Fátima L"/>
    <n v="63991"/>
    <n v="873658"/>
    <n v="13.652916666666671"/>
    <n v="0"/>
    <n v="13.5"/>
    <n v="14.5"/>
    <m/>
    <n v="0"/>
  </r>
  <r>
    <x v="102"/>
    <n v="202405"/>
    <x v="2"/>
    <x v="3"/>
    <s v="Fátima L"/>
    <s v="Fátima L"/>
    <n v="63987"/>
    <n v="593198"/>
    <n v="9.2705779569892499"/>
    <n v="0"/>
    <n v="11"/>
    <n v="12"/>
    <m/>
    <n v="0"/>
  </r>
  <r>
    <x v="101"/>
    <n v="202412"/>
    <x v="2"/>
    <x v="1"/>
    <s v="Fátima L"/>
    <s v="Fátima L"/>
    <n v="63976"/>
    <n v="893654"/>
    <n v="13.968669354838713"/>
    <n v="0"/>
    <n v="13.5"/>
    <n v="14.5"/>
    <m/>
    <n v="0"/>
  </r>
  <r>
    <x v="97"/>
    <n v="202510"/>
    <x v="1"/>
    <x v="8"/>
    <s v="María R"/>
    <s v="María R"/>
    <n v="63965"/>
    <n v="5316395"/>
    <n v="83.114650537634418"/>
    <n v="70012.918882567392"/>
    <n v="94"/>
    <n v="77.5"/>
    <n v="75.934484732984558"/>
    <n v="5484296"/>
  </r>
  <r>
    <x v="96"/>
    <n v="202503"/>
    <x v="1"/>
    <x v="0"/>
    <s v="Fátima L"/>
    <s v="Fátima L"/>
    <n v="63958"/>
    <n v="705803"/>
    <n v="11.035443548387098"/>
    <n v="71553.465779395643"/>
    <n v="11.5"/>
    <n v="10"/>
    <n v="9.8639955774614805"/>
    <n v="775198"/>
  </r>
  <r>
    <x v="78"/>
    <n v="202402"/>
    <x v="2"/>
    <x v="2"/>
    <s v="Sebastián S"/>
    <s v="Vik E"/>
    <n v="63939"/>
    <n v="3678518"/>
    <n v="57.531803160919551"/>
    <n v="0"/>
    <n v="63"/>
    <n v="59"/>
    <m/>
    <n v="0"/>
  </r>
  <r>
    <x v="69"/>
    <n v="202602"/>
    <x v="0"/>
    <x v="2"/>
    <s v="Sofía V"/>
    <s v="José A"/>
    <n v="63928"/>
    <n v="5620898"/>
    <n v="87.925416666666663"/>
    <n v="88558.527017857152"/>
    <n v="84"/>
    <n v="76"/>
    <n v="84"/>
    <n v="7438916"/>
  </r>
  <r>
    <x v="61"/>
    <n v="202404"/>
    <x v="2"/>
    <x v="9"/>
    <s v="Sofía V"/>
    <s v="Joe H"/>
    <n v="63907"/>
    <n v="2127137"/>
    <n v="33.285097222222227"/>
    <n v="0"/>
    <n v="41.5"/>
    <n v="35.5"/>
    <m/>
    <n v="0"/>
  </r>
  <r>
    <x v="97"/>
    <n v="202411"/>
    <x v="2"/>
    <x v="7"/>
    <s v="María R"/>
    <s v="María R"/>
    <n v="63904"/>
    <n v="5243032"/>
    <n v="82.045930555555572"/>
    <n v="0"/>
    <n v="94"/>
    <n v="77.5"/>
    <m/>
    <n v="0"/>
  </r>
  <r>
    <x v="77"/>
    <n v="202409"/>
    <x v="2"/>
    <x v="4"/>
    <s v="Fátima L"/>
    <s v="Fátima L"/>
    <n v="63895"/>
    <n v="1019846"/>
    <n v="15.961263888888896"/>
    <n v="0"/>
    <n v="17"/>
    <n v="13.5"/>
    <m/>
    <n v="0"/>
  </r>
  <r>
    <x v="78"/>
    <n v="202509"/>
    <x v="1"/>
    <x v="4"/>
    <s v="Sebastián S"/>
    <s v="Vik E"/>
    <n v="63870"/>
    <n v="3182482"/>
    <n v="49.827118055555566"/>
    <n v="64266.180040301937"/>
    <n v="63"/>
    <n v="59"/>
    <n v="49.520329635342193"/>
    <n v="3789743"/>
  </r>
  <r>
    <x v="99"/>
    <n v="202503"/>
    <x v="1"/>
    <x v="0"/>
    <s v="Hernán P"/>
    <s v="Daniel R"/>
    <n v="63848"/>
    <n v="3240910"/>
    <n v="50.759973118279582"/>
    <n v="64399.81744685414"/>
    <n v="53.5"/>
    <n v="51"/>
    <n v="50.324837375114569"/>
    <n v="3239805"/>
  </r>
  <r>
    <x v="57"/>
    <n v="202501"/>
    <x v="1"/>
    <x v="10"/>
    <s v="Hernán P"/>
    <s v="Daniel R"/>
    <n v="63836"/>
    <n v="2895922"/>
    <n v="45.364751344086031"/>
    <n v="73879.160644000556"/>
    <n v="53.5"/>
    <n v="52"/>
    <n v="39.198087860722971"/>
    <n v="3098967"/>
  </r>
  <r>
    <x v="71"/>
    <n v="202402"/>
    <x v="2"/>
    <x v="2"/>
    <s v="Sebastián S"/>
    <s v="Rodolfo O"/>
    <n v="63806"/>
    <n v="3567587"/>
    <n v="55.912852011494238"/>
    <n v="0"/>
    <n v="53.5"/>
    <n v="54"/>
    <m/>
    <n v="0"/>
  </r>
  <r>
    <x v="100"/>
    <n v="202508"/>
    <x v="1"/>
    <x v="5"/>
    <s v="Hernán P"/>
    <s v="Daniel R"/>
    <n v="63787"/>
    <n v="2150736"/>
    <n v="33.717654569892474"/>
    <n v="69624.759653340792"/>
    <n v="41.5"/>
    <n v="43"/>
    <n v="30.890393887295833"/>
    <n v="2382280"/>
  </r>
  <r>
    <x v="74"/>
    <n v="202511"/>
    <x v="1"/>
    <x v="7"/>
    <s v="Sebastián S"/>
    <s v="Rodolfo O"/>
    <n v="63774"/>
    <n v="1440427"/>
    <n v="22.58647222222222"/>
    <n v="54175.419795783622"/>
    <n v="27"/>
    <n v="27"/>
    <n v="26.588195632442631"/>
    <n v="1361378"/>
  </r>
  <r>
    <x v="100"/>
    <n v="202510"/>
    <x v="1"/>
    <x v="8"/>
    <s v="Hernán P"/>
    <s v="Daniel R"/>
    <n v="63766"/>
    <n v="2129290"/>
    <n v="33.392163978494622"/>
    <n v="69411.888713846289"/>
    <n v="41.5"/>
    <n v="43"/>
    <n v="30.676150432645542"/>
    <n v="2452035"/>
  </r>
  <r>
    <x v="97"/>
    <n v="202507"/>
    <x v="1"/>
    <x v="6"/>
    <s v="María R"/>
    <s v="María R"/>
    <n v="63700"/>
    <n v="5226859"/>
    <n v="82.054677419354846"/>
    <n v="67455.640041651131"/>
    <n v="94"/>
    <n v="77.5"/>
    <n v="77.485866663967997"/>
    <n v="5538448"/>
  </r>
  <r>
    <x v="103"/>
    <n v="202606"/>
    <x v="0"/>
    <x v="11"/>
    <s v="María R"/>
    <s v="María R"/>
    <n v="63681"/>
    <n v="3653879"/>
    <n v="57.377590277777635"/>
    <n v="60624.927309099548"/>
    <n v="66"/>
    <n v="65.5"/>
    <n v="58.116081161406527"/>
    <n v="3523283"/>
  </r>
  <r>
    <x v="89"/>
    <n v="202408"/>
    <x v="2"/>
    <x v="5"/>
    <s v="Sebastián S"/>
    <s v="Rodolfo O"/>
    <n v="63681"/>
    <n v="1761197"/>
    <n v="27.656633064516132"/>
    <n v="0"/>
    <n v="34"/>
    <n v="34"/>
    <m/>
    <n v="0"/>
  </r>
  <r>
    <x v="90"/>
    <n v="202505"/>
    <x v="1"/>
    <x v="3"/>
    <s v="Sebastián S"/>
    <s v="Vik E"/>
    <n v="63669"/>
    <n v="2816787"/>
    <n v="44.241034946236553"/>
    <n v="55524.793911842309"/>
    <n v="47.5"/>
    <n v="43"/>
    <n v="50.730247004108868"/>
    <n v="2899612"/>
  </r>
  <r>
    <x v="7"/>
    <n v="202401"/>
    <x v="2"/>
    <x v="10"/>
    <s v="Sebastián S"/>
    <s v="Rodolfo O"/>
    <n v="63660"/>
    <n v="4339531"/>
    <n v="68.167345430107488"/>
    <n v="0"/>
    <n v="65.5"/>
    <n v="63"/>
    <m/>
    <n v="0"/>
  </r>
  <r>
    <x v="90"/>
    <n v="202602"/>
    <x v="0"/>
    <x v="2"/>
    <s v="Sebastián S"/>
    <s v="Vik E"/>
    <n v="63654"/>
    <n v="2741659"/>
    <n v="43.071093749999989"/>
    <n v="69461.279653506033"/>
    <n v="47.5"/>
    <n v="43"/>
    <n v="41.487905995618128"/>
    <n v="2881803"/>
  </r>
  <r>
    <x v="97"/>
    <n v="202409"/>
    <x v="2"/>
    <x v="4"/>
    <s v="María R"/>
    <s v="María R"/>
    <n v="63647"/>
    <n v="5146841"/>
    <n v="80.865263888888933"/>
    <n v="0"/>
    <n v="94"/>
    <n v="77.5"/>
    <m/>
    <n v="0"/>
  </r>
  <r>
    <x v="101"/>
    <n v="202404"/>
    <x v="2"/>
    <x v="9"/>
    <s v="Fátima L"/>
    <s v="Fátima L"/>
    <n v="63627"/>
    <n v="930156"/>
    <n v="14.618770833333338"/>
    <n v="0"/>
    <n v="13.5"/>
    <n v="14.5"/>
    <m/>
    <n v="0"/>
  </r>
  <r>
    <x v="70"/>
    <n v="202510"/>
    <x v="1"/>
    <x v="8"/>
    <s v="Sebastián S"/>
    <s v="Vik E"/>
    <n v="63586"/>
    <n v="3319560"/>
    <n v="52.206028225806463"/>
    <n v="72152.418642295059"/>
    <n v="60.5"/>
    <n v="57.5"/>
    <n v="46.007610589703845"/>
    <n v="3761453"/>
  </r>
  <r>
    <x v="104"/>
    <n v="202411"/>
    <x v="2"/>
    <x v="7"/>
    <s v="Fátima L"/>
    <s v="Fátima L"/>
    <n v="63580"/>
    <n v="552421"/>
    <n v="8.6885555555555563"/>
    <n v="0"/>
    <n v="11"/>
    <n v="10"/>
    <m/>
    <n v="0"/>
  </r>
  <r>
    <x v="66"/>
    <n v="202402"/>
    <x v="2"/>
    <x v="2"/>
    <s v="Sebastián S"/>
    <s v="Rodolfo O"/>
    <n v="63558"/>
    <n v="3486172"/>
    <n v="54.849827586206899"/>
    <n v="0"/>
    <n v="55"/>
    <n v="55.5"/>
    <m/>
    <n v="0"/>
  </r>
  <r>
    <x v="82"/>
    <n v="202508"/>
    <x v="1"/>
    <x v="5"/>
    <s v="Sebastián S"/>
    <s v="Vik E"/>
    <n v="63556"/>
    <n v="3491522"/>
    <n v="54.935887096774223"/>
    <n v="73884.374011054475"/>
    <n v="61.5"/>
    <n v="56"/>
    <n v="47.256569832717318"/>
    <n v="3747353"/>
  </r>
  <r>
    <x v="66"/>
    <n v="202506"/>
    <x v="1"/>
    <x v="11"/>
    <s v="Sebastián S"/>
    <s v="Rodolfo O"/>
    <n v="63551"/>
    <n v="3556361"/>
    <n v="55.960576388888896"/>
    <n v="74883.115075101246"/>
    <n v="55"/>
    <n v="55.5"/>
    <n v="47.492165576088532"/>
    <n v="3764947"/>
  </r>
  <r>
    <x v="98"/>
    <n v="202402"/>
    <x v="2"/>
    <x v="2"/>
    <s v="Hernán P"/>
    <s v="Daniel R"/>
    <n v="63535"/>
    <n v="4865125"/>
    <n v="76.574518678160928"/>
    <n v="0"/>
    <n v="87"/>
    <n v="77.5"/>
    <m/>
    <n v="0"/>
  </r>
  <r>
    <x v="84"/>
    <n v="202604"/>
    <x v="0"/>
    <x v="9"/>
    <s v="Sofía V"/>
    <s v="Melany A"/>
    <n v="63523"/>
    <n v="2969277"/>
    <n v="46.74361805555521"/>
    <n v="69653.132249833492"/>
    <n v="52.5"/>
    <n v="52.5"/>
    <n v="46.965208254619732"/>
    <n v="3271274"/>
  </r>
  <r>
    <x v="75"/>
    <n v="202409"/>
    <x v="2"/>
    <x v="4"/>
    <s v="Hernán P"/>
    <s v="Daniel R"/>
    <n v="63519"/>
    <n v="1704533"/>
    <n v="26.834986111111107"/>
    <n v="0"/>
    <n v="31"/>
    <n v="27"/>
    <m/>
    <n v="0"/>
  </r>
  <r>
    <x v="99"/>
    <n v="202604"/>
    <x v="0"/>
    <x v="9"/>
    <s v="Hernán P"/>
    <s v="Daniel R"/>
    <n v="63514"/>
    <n v="3036566"/>
    <n v="47.809173611110936"/>
    <n v="66983.48915865623"/>
    <n v="53.5"/>
    <n v="51"/>
    <n v="45.515809558361951"/>
    <n v="3048808"/>
  </r>
  <r>
    <x v="91"/>
    <n v="202605"/>
    <x v="0"/>
    <x v="3"/>
    <s v="Hernán P"/>
    <s v="Daniel R"/>
    <n v="63508"/>
    <n v="1187393"/>
    <n v="18.696633064516107"/>
    <n v="64065.809258510984"/>
    <n v="19"/>
    <n v="21.5"/>
    <n v="17.464859694273773"/>
    <n v="1118900"/>
  </r>
  <r>
    <x v="84"/>
    <n v="202504"/>
    <x v="1"/>
    <x v="9"/>
    <s v="Sofía V"/>
    <s v="Melany A"/>
    <n v="63499"/>
    <n v="3110946"/>
    <n v="48.992368055555559"/>
    <n v="56231.151374622314"/>
    <n v="52.5"/>
    <n v="52.5"/>
    <n v="55.324245617421262"/>
    <n v="3412034"/>
  </r>
  <r>
    <x v="78"/>
    <n v="202505"/>
    <x v="1"/>
    <x v="3"/>
    <s v="Sebastián S"/>
    <s v="Vik E"/>
    <n v="63470"/>
    <n v="3787342"/>
    <n v="59.671801075268831"/>
    <n v="65573.418562198582"/>
    <n v="63"/>
    <n v="59"/>
    <n v="57.757280816579339"/>
    <n v="3859746"/>
  </r>
  <r>
    <x v="0"/>
    <n v="202409"/>
    <x v="2"/>
    <x v="4"/>
    <s v="Fátima L"/>
    <s v="Fátima L"/>
    <n v="63468"/>
    <n v="800409"/>
    <n v="12.611229166666666"/>
    <n v="0"/>
    <n v="13.5"/>
    <n v="12.5"/>
    <m/>
    <n v="0"/>
  </r>
  <r>
    <x v="81"/>
    <n v="202601"/>
    <x v="0"/>
    <x v="10"/>
    <s v="Fátima L"/>
    <s v="Fátima L"/>
    <n v="63462"/>
    <n v="677601"/>
    <n v="10.677305107526884"/>
    <n v="82633.766737910642"/>
    <n v="11.5"/>
    <n v="12"/>
    <n v="10.04229432420742"/>
    <n v="829833"/>
  </r>
  <r>
    <x v="87"/>
    <n v="202509"/>
    <x v="1"/>
    <x v="4"/>
    <s v="Fátima L"/>
    <s v="Fátima L"/>
    <n v="63444"/>
    <n v="630922"/>
    <n v="9.9444722222222204"/>
    <n v="72592.024482059351"/>
    <n v="11"/>
    <n v="11"/>
    <n v="8.6913392277126569"/>
    <n v="689080"/>
  </r>
  <r>
    <x v="0"/>
    <n v="202511"/>
    <x v="1"/>
    <x v="7"/>
    <s v="Fátima L"/>
    <s v="Fátima L"/>
    <n v="63436"/>
    <n v="1010599"/>
    <n v="15.931125"/>
    <n v="60464.265333343064"/>
    <n v="13.5"/>
    <n v="12.5"/>
    <n v="16.713986921506585"/>
    <n v="874242"/>
  </r>
  <r>
    <x v="81"/>
    <n v="202502"/>
    <x v="1"/>
    <x v="2"/>
    <s v="Fátima L"/>
    <s v="Fátima L"/>
    <n v="63412"/>
    <n v="689677"/>
    <n v="10.876145833333334"/>
    <n v="73170.122950076839"/>
    <n v="11.5"/>
    <n v="12"/>
    <n v="9.4256620351801068"/>
    <n v="757856"/>
  </r>
  <r>
    <x v="92"/>
    <n v="202412"/>
    <x v="2"/>
    <x v="1"/>
    <s v="Fátima L"/>
    <s v="Fátima L"/>
    <n v="63408"/>
    <n v="712910"/>
    <n v="11.243279569892476"/>
    <n v="0"/>
    <n v="11.5"/>
    <n v="10"/>
    <m/>
    <n v="0"/>
  </r>
  <r>
    <x v="97"/>
    <n v="202405"/>
    <x v="2"/>
    <x v="3"/>
    <s v="María R"/>
    <s v="María R"/>
    <n v="63395"/>
    <n v="5369308"/>
    <n v="84.696377688172063"/>
    <n v="0"/>
    <n v="94"/>
    <n v="77.5"/>
    <m/>
    <n v="0"/>
  </r>
  <r>
    <x v="79"/>
    <n v="202405"/>
    <x v="2"/>
    <x v="3"/>
    <s v="Sebastián S"/>
    <s v="Vik E"/>
    <n v="63381"/>
    <n v="5370305"/>
    <n v="84.730483870967717"/>
    <n v="0"/>
    <n v="84.5"/>
    <n v="78.5"/>
    <m/>
    <n v="0"/>
  </r>
  <r>
    <x v="60"/>
    <n v="202505"/>
    <x v="1"/>
    <x v="3"/>
    <s v="Sofía V"/>
    <s v="Melany A"/>
    <n v="63348"/>
    <n v="8571966"/>
    <n v="135.31649193548384"/>
    <n v="75861.027415993289"/>
    <n v="88.5"/>
    <n v="92.5"/>
    <n v="112.99564601194456"/>
    <n v="6243191"/>
  </r>
  <r>
    <x v="98"/>
    <n v="202408"/>
    <x v="2"/>
    <x v="5"/>
    <s v="Hernán P"/>
    <s v="Daniel R"/>
    <n v="63322"/>
    <n v="5176808"/>
    <n v="81.753508064516112"/>
    <n v="0"/>
    <n v="87"/>
    <n v="77.5"/>
    <m/>
    <n v="0"/>
  </r>
  <r>
    <x v="82"/>
    <n v="202405"/>
    <x v="2"/>
    <x v="3"/>
    <s v="Sebastián S"/>
    <s v="Vik E"/>
    <n v="63305"/>
    <n v="3654509"/>
    <n v="57.728830645161317"/>
    <n v="0"/>
    <n v="61.5"/>
    <n v="56"/>
    <m/>
    <n v="0"/>
  </r>
  <r>
    <x v="101"/>
    <n v="202605"/>
    <x v="0"/>
    <x v="3"/>
    <s v="Fátima L"/>
    <s v="Fátima L"/>
    <n v="63291"/>
    <n v="941433"/>
    <n v="14.87476478494623"/>
    <n v="63211.824208919701"/>
    <n v="13.5"/>
    <n v="14.5"/>
    <n v="13.189776457714554"/>
    <n v="833750"/>
  </r>
  <r>
    <x v="91"/>
    <n v="202603"/>
    <x v="0"/>
    <x v="0"/>
    <s v="Hernán P"/>
    <s v="Daniel R"/>
    <n v="63266"/>
    <n v="1249248"/>
    <n v="19.74588037634409"/>
    <n v="76421.776233198616"/>
    <n v="19"/>
    <n v="21.5"/>
    <n v="17.464859694273773"/>
    <n v="1334696"/>
  </r>
  <r>
    <x v="97"/>
    <n v="202402"/>
    <x v="2"/>
    <x v="2"/>
    <s v="María R"/>
    <s v="María R"/>
    <n v="63233"/>
    <n v="4949663"/>
    <n v="78.276795977011517"/>
    <n v="0"/>
    <n v="94"/>
    <n v="77.5"/>
    <m/>
    <n v="0"/>
  </r>
  <r>
    <x v="104"/>
    <n v="202412"/>
    <x v="2"/>
    <x v="1"/>
    <s v="Fátima L"/>
    <s v="Fátima L"/>
    <n v="63223"/>
    <n v="653032"/>
    <n v="10.328951612903229"/>
    <n v="0"/>
    <n v="11"/>
    <n v="10"/>
    <m/>
    <n v="0"/>
  </r>
  <r>
    <x v="81"/>
    <n v="202504"/>
    <x v="1"/>
    <x v="9"/>
    <s v="Fátima L"/>
    <s v="Fátima L"/>
    <n v="63187"/>
    <n v="730843"/>
    <n v="11.566430555555556"/>
    <n v="69384.487654088283"/>
    <n v="11.5"/>
    <n v="12"/>
    <n v="10.533237251005877"/>
    <n v="797358"/>
  </r>
  <r>
    <x v="86"/>
    <n v="202406"/>
    <x v="2"/>
    <x v="11"/>
    <s v="Sebastián S"/>
    <s v="Vik E"/>
    <n v="63183"/>
    <n v="2184947"/>
    <n v="34.581069444444445"/>
    <n v="0"/>
    <n v="36"/>
    <n v="35"/>
    <m/>
    <n v="0"/>
  </r>
  <r>
    <x v="81"/>
    <n v="202506"/>
    <x v="1"/>
    <x v="11"/>
    <s v="Fátima L"/>
    <s v="Fátima L"/>
    <n v="63160"/>
    <n v="686892"/>
    <n v="10.875374999999998"/>
    <n v="77753.59044072454"/>
    <n v="11.5"/>
    <n v="12"/>
    <n v="8.8342114635034346"/>
    <n v="821000"/>
  </r>
  <r>
    <x v="87"/>
    <n v="202404"/>
    <x v="2"/>
    <x v="9"/>
    <s v="Fátima L"/>
    <s v="Fátima L"/>
    <n v="63129"/>
    <n v="655827"/>
    <n v="10.388729166666669"/>
    <n v="0"/>
    <n v="11"/>
    <n v="11"/>
    <m/>
    <n v="0"/>
  </r>
  <r>
    <x v="57"/>
    <n v="202606"/>
    <x v="0"/>
    <x v="11"/>
    <s v="Hernán P"/>
    <s v="Daniel R"/>
    <n v="63107"/>
    <n v="2816904"/>
    <n v="44.63695833333346"/>
    <n v="70791.611853518014"/>
    <n v="53.5"/>
    <n v="52"/>
    <n v="43.483853774506514"/>
    <n v="3078292"/>
  </r>
  <r>
    <x v="77"/>
    <n v="202510"/>
    <x v="1"/>
    <x v="8"/>
    <s v="Fátima L"/>
    <s v="Fátima L"/>
    <n v="63050"/>
    <n v="929282"/>
    <n v="14.738857526881716"/>
    <n v="69085.925929755322"/>
    <n v="17"/>
    <n v="13.5"/>
    <n v="13.451098577514443"/>
    <n v="1145472"/>
  </r>
  <r>
    <x v="87"/>
    <n v="202602"/>
    <x v="0"/>
    <x v="2"/>
    <s v="Fátima L"/>
    <s v="Fátima L"/>
    <n v="63035"/>
    <n v="627573"/>
    <n v="9.9559374999999992"/>
    <n v="65381.702587353728"/>
    <n v="11"/>
    <n v="11"/>
    <n v="10.04229432420742"/>
    <n v="656582"/>
  </r>
  <r>
    <x v="83"/>
    <n v="202602"/>
    <x v="0"/>
    <x v="2"/>
    <s v="Hernán P"/>
    <s v="Daniel R"/>
    <n v="63027"/>
    <n v="2959385"/>
    <n v="46.954114583333336"/>
    <n v="79260.851098808635"/>
    <n v="51"/>
    <n v="49"/>
    <n v="41.451897990651069"/>
    <n v="3285513"/>
  </r>
  <r>
    <x v="75"/>
    <n v="202403"/>
    <x v="2"/>
    <x v="0"/>
    <s v="Hernán P"/>
    <s v="Daniel R"/>
    <n v="63002"/>
    <n v="1855531"/>
    <n v="29.452076612903216"/>
    <n v="0"/>
    <n v="31"/>
    <n v="27"/>
    <m/>
    <n v="0"/>
  </r>
  <r>
    <x v="78"/>
    <n v="202410"/>
    <x v="2"/>
    <x v="8"/>
    <s v="Sebastián S"/>
    <s v="Vik E"/>
    <n v="62957"/>
    <n v="3552781"/>
    <n v="56.431478494623647"/>
    <n v="0"/>
    <n v="63"/>
    <n v="59"/>
    <m/>
    <n v="0"/>
  </r>
  <r>
    <x v="97"/>
    <n v="202502"/>
    <x v="1"/>
    <x v="2"/>
    <s v="María R"/>
    <s v="María R"/>
    <n v="62937"/>
    <n v="4943060"/>
    <n v="78.540364583333314"/>
    <n v="66394.466228872072"/>
    <n v="94"/>
    <n v="77.5"/>
    <n v="74.449885973335512"/>
    <n v="4927338"/>
  </r>
  <r>
    <x v="70"/>
    <n v="202504"/>
    <x v="1"/>
    <x v="9"/>
    <s v="Sebastián S"/>
    <s v="Vik E"/>
    <n v="62920"/>
    <n v="3445128"/>
    <n v="54.754243055555555"/>
    <n v="65322.501436602128"/>
    <n v="60.5"/>
    <n v="57.5"/>
    <n v="52.740290010841392"/>
    <n v="3670194"/>
  </r>
  <r>
    <x v="85"/>
    <n v="202602"/>
    <x v="0"/>
    <x v="2"/>
    <s v="Hernán P"/>
    <s v="Daniel R"/>
    <n v="62899"/>
    <n v="2407695"/>
    <n v="38.278645833333329"/>
    <n v="69895.460491147693"/>
    <n v="44"/>
    <n v="40.5"/>
    <n v="35.762421795855829"/>
    <n v="2499631"/>
  </r>
  <r>
    <x v="103"/>
    <n v="202604"/>
    <x v="0"/>
    <x v="9"/>
    <s v="María R"/>
    <s v="María R"/>
    <n v="62892"/>
    <n v="3673070"/>
    <n v="58.402895833333204"/>
    <n v="63124.314867537665"/>
    <n v="66"/>
    <n v="65.5"/>
    <n v="58.116081161406527"/>
    <n v="3668538"/>
  </r>
  <r>
    <x v="98"/>
    <n v="202405"/>
    <x v="2"/>
    <x v="3"/>
    <s v="Hernán P"/>
    <s v="Daniel R"/>
    <n v="62829"/>
    <n v="5216223"/>
    <n v="83.022540322580667"/>
    <n v="0"/>
    <n v="87"/>
    <n v="77.5"/>
    <m/>
    <n v="0"/>
  </r>
  <r>
    <x v="102"/>
    <n v="202408"/>
    <x v="2"/>
    <x v="5"/>
    <s v="Fátima L"/>
    <s v="Fátima L"/>
    <n v="62824"/>
    <n v="607578"/>
    <n v="9.6711021505376351"/>
    <n v="0"/>
    <n v="11"/>
    <n v="12"/>
    <m/>
    <n v="0"/>
  </r>
  <r>
    <x v="75"/>
    <n v="202401"/>
    <x v="2"/>
    <x v="10"/>
    <s v="Hernán P"/>
    <s v="Daniel R"/>
    <n v="62823"/>
    <n v="1742207"/>
    <n v="27.731854838709683"/>
    <n v="0"/>
    <n v="31"/>
    <n v="27"/>
    <m/>
    <n v="0"/>
  </r>
  <r>
    <x v="97"/>
    <n v="202602"/>
    <x v="0"/>
    <x v="2"/>
    <s v="María R"/>
    <s v="María R"/>
    <n v="62805"/>
    <n v="4849465"/>
    <n v="77.214479166666678"/>
    <n v="61836.882529780931"/>
    <n v="94"/>
    <n v="77.5"/>
    <n v="81.023149648384276"/>
    <n v="5010219"/>
  </r>
  <r>
    <x v="89"/>
    <n v="202604"/>
    <x v="0"/>
    <x v="9"/>
    <s v="Sebastián S"/>
    <s v="Rodolfo O"/>
    <n v="62805"/>
    <n v="1795576"/>
    <n v="28.589749999999803"/>
    <n v="58338.383461989702"/>
    <n v="34"/>
    <n v="34"/>
    <n v="29.696606396863505"/>
    <n v="1732452"/>
  </r>
  <r>
    <x v="86"/>
    <n v="202604"/>
    <x v="0"/>
    <x v="9"/>
    <s v="Sebastián S"/>
    <s v="Vik E"/>
    <n v="62766"/>
    <n v="2012869"/>
    <n v="32.069187499999828"/>
    <n v="62689.124534930095"/>
    <n v="36"/>
    <n v="35"/>
    <n v="31.443465596679005"/>
    <n v="1971163"/>
  </r>
  <r>
    <x v="0"/>
    <n v="202501"/>
    <x v="1"/>
    <x v="10"/>
    <s v="Fátima L"/>
    <s v="Fátima L"/>
    <n v="62760"/>
    <n v="803194"/>
    <n v="12.797768817204304"/>
    <n v="90201.587872933698"/>
    <n v="13.5"/>
    <n v="12.5"/>
    <n v="8.9044308303247739"/>
    <n v="1014394"/>
  </r>
  <r>
    <x v="84"/>
    <n v="202409"/>
    <x v="2"/>
    <x v="4"/>
    <s v="Sofía V"/>
    <s v="Melany A"/>
    <n v="62753"/>
    <n v="3105864"/>
    <n v="49.49359722222222"/>
    <n v="0"/>
    <n v="52.5"/>
    <n v="52.5"/>
    <m/>
    <n v="0"/>
  </r>
  <r>
    <x v="74"/>
    <n v="202508"/>
    <x v="1"/>
    <x v="5"/>
    <s v="Sebastián S"/>
    <s v="Rodolfo O"/>
    <n v="62698"/>
    <n v="1427545"/>
    <n v="22.768487903225807"/>
    <n v="62459.998740363837"/>
    <n v="27"/>
    <n v="27"/>
    <n v="22.85534067866497"/>
    <n v="1567585"/>
  </r>
  <r>
    <x v="90"/>
    <n v="202606"/>
    <x v="0"/>
    <x v="11"/>
    <s v="Sebastián S"/>
    <s v="Vik E"/>
    <n v="62674"/>
    <n v="2452236"/>
    <n v="39.127131944444152"/>
    <n v="61377.465502089901"/>
    <n v="47.5"/>
    <n v="43"/>
    <n v="41.487905995618128"/>
    <n v="2546423"/>
  </r>
  <r>
    <x v="90"/>
    <n v="202508"/>
    <x v="1"/>
    <x v="5"/>
    <s v="Sebastián S"/>
    <s v="Vik E"/>
    <n v="62671"/>
    <n v="2486996"/>
    <n v="39.683366935483868"/>
    <n v="69732.654383438523"/>
    <n v="47.5"/>
    <n v="43"/>
    <n v="35.664731996644903"/>
    <n v="2909496"/>
  </r>
  <r>
    <x v="102"/>
    <n v="202410"/>
    <x v="2"/>
    <x v="8"/>
    <s v="Fátima L"/>
    <s v="Fátima L"/>
    <n v="62652"/>
    <n v="609408"/>
    <n v="9.7268481182795732"/>
    <n v="0"/>
    <n v="11"/>
    <n v="12"/>
    <m/>
    <n v="0"/>
  </r>
  <r>
    <x v="75"/>
    <n v="202505"/>
    <x v="1"/>
    <x v="3"/>
    <s v="Hernán P"/>
    <s v="Daniel R"/>
    <n v="62649"/>
    <n v="1636554"/>
    <n v="26.122560483870966"/>
    <n v="69690.455192919893"/>
    <n v="31"/>
    <n v="27"/>
    <n v="23.483191571494622"/>
    <n v="1509920"/>
  </r>
  <r>
    <x v="91"/>
    <n v="202410"/>
    <x v="2"/>
    <x v="8"/>
    <s v="Hernán P"/>
    <s v="Daniel R"/>
    <n v="62649"/>
    <n v="1188044"/>
    <n v="18.963602150537632"/>
    <n v="0"/>
    <n v="19"/>
    <n v="21.5"/>
    <m/>
    <n v="0"/>
  </r>
  <r>
    <x v="86"/>
    <n v="202403"/>
    <x v="2"/>
    <x v="0"/>
    <s v="Sebastián S"/>
    <s v="Vik E"/>
    <n v="62643"/>
    <n v="2429737"/>
    <n v="38.786774193548389"/>
    <n v="0"/>
    <n v="36"/>
    <n v="35"/>
    <m/>
    <n v="0"/>
  </r>
  <r>
    <x v="86"/>
    <n v="202606"/>
    <x v="0"/>
    <x v="11"/>
    <s v="Sebastián S"/>
    <s v="Vik E"/>
    <n v="62628"/>
    <n v="1893904"/>
    <n v="30.240680555555524"/>
    <n v="60897.923258886636"/>
    <n v="36"/>
    <n v="35"/>
    <n v="31.443465596679005"/>
    <n v="1914842"/>
  </r>
  <r>
    <x v="109"/>
    <n v="202512"/>
    <x v="1"/>
    <x v="1"/>
    <s v="María R"/>
    <s v="María R"/>
    <n v="62627"/>
    <n v="3066355"/>
    <n v="48.962177419354802"/>
    <n v="58527.687323498205"/>
    <n v="59"/>
    <n v="50"/>
    <n v="52.391523913313677"/>
    <n v="3176297"/>
  </r>
  <r>
    <x v="103"/>
    <n v="202508"/>
    <x v="1"/>
    <x v="5"/>
    <s v="María R"/>
    <s v="María R"/>
    <n v="62610"/>
    <n v="3860930"/>
    <n v="61.666095430107553"/>
    <n v="62117.905755088133"/>
    <n v="66"/>
    <n v="65.5"/>
    <n v="62.154871499088607"/>
    <n v="3653890"/>
  </r>
  <r>
    <x v="79"/>
    <n v="202402"/>
    <x v="2"/>
    <x v="2"/>
    <s v="Sebastián S"/>
    <s v="Vik E"/>
    <n v="62597"/>
    <n v="5172296"/>
    <n v="82.628060344827588"/>
    <n v="0"/>
    <n v="84.5"/>
    <n v="78.5"/>
    <m/>
    <n v="0"/>
  </r>
  <r>
    <x v="103"/>
    <n v="202511"/>
    <x v="1"/>
    <x v="7"/>
    <s v="María R"/>
    <s v="María R"/>
    <n v="62569"/>
    <n v="3732556"/>
    <n v="59.655361111111141"/>
    <n v="57147.042696670091"/>
    <n v="66"/>
    <n v="65.5"/>
    <n v="65.314945688650539"/>
    <n v="3588152"/>
  </r>
  <r>
    <x v="103"/>
    <n v="202503"/>
    <x v="1"/>
    <x v="0"/>
    <s v="María R"/>
    <s v="María R"/>
    <n v="62561"/>
    <n v="3580872"/>
    <n v="57.238266129032283"/>
    <n v="61073.205197246789"/>
    <n v="66"/>
    <n v="65.5"/>
    <n v="58.632452291228816"/>
    <n v="3794339"/>
  </r>
  <r>
    <x v="90"/>
    <n v="202601"/>
    <x v="0"/>
    <x v="10"/>
    <s v="Sebastián S"/>
    <s v="Vik E"/>
    <n v="62540"/>
    <n v="2593587"/>
    <n v="41.471048387096765"/>
    <n v="63177.380626943086"/>
    <n v="47.5"/>
    <n v="43"/>
    <n v="41.487905995618128"/>
    <n v="2621097"/>
  </r>
  <r>
    <x v="89"/>
    <n v="202511"/>
    <x v="1"/>
    <x v="7"/>
    <s v="Sebastián S"/>
    <s v="Rodolfo O"/>
    <n v="62495"/>
    <n v="1848445"/>
    <n v="29.577479166666663"/>
    <n v="64087.475439550493"/>
    <n v="34"/>
    <n v="34"/>
    <n v="28.842528392985564"/>
    <n v="1820105"/>
  </r>
  <r>
    <x v="70"/>
    <n v="202502"/>
    <x v="1"/>
    <x v="2"/>
    <s v="Sebastián S"/>
    <s v="Vik E"/>
    <n v="62492"/>
    <n v="3438742"/>
    <n v="55.027083333333323"/>
    <n v="68787.099020740978"/>
    <n v="60.5"/>
    <n v="57.5"/>
    <n v="49.991085668013646"/>
    <n v="3445531"/>
  </r>
  <r>
    <x v="84"/>
    <n v="202506"/>
    <x v="1"/>
    <x v="11"/>
    <s v="Sofía V"/>
    <s v="Melany A"/>
    <n v="62470"/>
    <n v="2996137"/>
    <n v="47.961229166666648"/>
    <n v="67484.697465417674"/>
    <n v="52.5"/>
    <n v="52.5"/>
    <n v="44.397274234434562"/>
    <n v="3640308"/>
  </r>
  <r>
    <x v="51"/>
    <n v="202404"/>
    <x v="2"/>
    <x v="9"/>
    <s v="Sofía V"/>
    <s v="Melany A"/>
    <n v="62469"/>
    <n v="2598351"/>
    <n v="41.594097222222224"/>
    <n v="0"/>
    <n v="43.5"/>
    <n v="41"/>
    <m/>
    <n v="0"/>
  </r>
  <r>
    <x v="78"/>
    <n v="202405"/>
    <x v="2"/>
    <x v="3"/>
    <s v="Sebastián S"/>
    <s v="Vik E"/>
    <n v="62451"/>
    <n v="3530353"/>
    <n v="56.53008064516127"/>
    <n v="0"/>
    <n v="63"/>
    <n v="59"/>
    <m/>
    <n v="0"/>
  </r>
  <r>
    <x v="93"/>
    <n v="202508"/>
    <x v="1"/>
    <x v="5"/>
    <s v="Hernán P"/>
    <s v="Daniel R"/>
    <n v="62451"/>
    <n v="2341679"/>
    <n v="37.496525537634412"/>
    <n v="65077.749545937026"/>
    <n v="45.5"/>
    <n v="42.5"/>
    <n v="35.982785304323684"/>
    <n v="2401397"/>
  </r>
  <r>
    <x v="90"/>
    <n v="202407"/>
    <x v="2"/>
    <x v="6"/>
    <s v="Sebastián S"/>
    <s v="Vik E"/>
    <n v="62423"/>
    <n v="2946064"/>
    <n v="47.19510080645162"/>
    <n v="0"/>
    <n v="47.5"/>
    <n v="43"/>
    <m/>
    <n v="0"/>
  </r>
  <r>
    <x v="101"/>
    <n v="202406"/>
    <x v="2"/>
    <x v="11"/>
    <s v="Fátima L"/>
    <s v="Fátima L"/>
    <n v="62422"/>
    <n v="856504"/>
    <n v="13.721215277777777"/>
    <n v="0"/>
    <n v="13.5"/>
    <n v="14.5"/>
    <m/>
    <n v="0"/>
  </r>
  <r>
    <x v="92"/>
    <n v="202405"/>
    <x v="2"/>
    <x v="3"/>
    <s v="Fátima L"/>
    <s v="Fátima L"/>
    <n v="62371"/>
    <n v="602683"/>
    <n v="9.6629166666666677"/>
    <n v="0"/>
    <n v="11.5"/>
    <n v="10"/>
    <m/>
    <n v="0"/>
  </r>
  <r>
    <x v="94"/>
    <n v="202509"/>
    <x v="1"/>
    <x v="4"/>
    <s v="Hernán P"/>
    <s v="Daniel R"/>
    <n v="62342"/>
    <n v="2125939"/>
    <n v="34.101034722222217"/>
    <n v="56194.808763333"/>
    <n v="33"/>
    <n v="31.5"/>
    <n v="37.83158438982305"/>
    <n v="2645208"/>
  </r>
  <r>
    <x v="86"/>
    <n v="202505"/>
    <x v="1"/>
    <x v="3"/>
    <s v="Sebastián S"/>
    <s v="Vik E"/>
    <n v="62309"/>
    <n v="1989571"/>
    <n v="31.930678763440856"/>
    <n v="55049.27232488407"/>
    <n v="36"/>
    <n v="35"/>
    <n v="36.141641223850456"/>
    <n v="2024388"/>
  </r>
  <r>
    <x v="91"/>
    <n v="202408"/>
    <x v="2"/>
    <x v="5"/>
    <s v="Hernán P"/>
    <s v="Daniel R"/>
    <n v="62280"/>
    <n v="1213449"/>
    <n v="19.483709677419359"/>
    <n v="0"/>
    <n v="19"/>
    <n v="21.5"/>
    <m/>
    <n v="0"/>
  </r>
  <r>
    <x v="89"/>
    <n v="202602"/>
    <x v="0"/>
    <x v="2"/>
    <s v="Sebastián S"/>
    <s v="Rodolfo O"/>
    <n v="62232"/>
    <n v="1815764"/>
    <n v="29.177187499999999"/>
    <n v="57191.088217385673"/>
    <n v="34"/>
    <n v="34"/>
    <n v="29.696606396863505"/>
    <n v="1698381"/>
  </r>
  <r>
    <x v="90"/>
    <n v="202511"/>
    <x v="1"/>
    <x v="7"/>
    <s v="Sebastián S"/>
    <s v="Vik E"/>
    <n v="62229"/>
    <n v="2507948"/>
    <n v="40.301673611111106"/>
    <n v="64444.085821496075"/>
    <n v="47.5"/>
    <n v="43"/>
    <n v="38.916650426957311"/>
    <n v="3048531"/>
  </r>
  <r>
    <x v="70"/>
    <n v="202404"/>
    <x v="2"/>
    <x v="9"/>
    <s v="Sebastián S"/>
    <s v="Vik E"/>
    <n v="62212"/>
    <n v="3340792"/>
    <n v="53.700208333333329"/>
    <n v="0"/>
    <n v="60.5"/>
    <n v="57.5"/>
    <m/>
    <n v="0"/>
  </r>
  <r>
    <x v="70"/>
    <n v="202506"/>
    <x v="1"/>
    <x v="11"/>
    <s v="Sebastián S"/>
    <s v="Vik E"/>
    <n v="62198"/>
    <n v="3322932"/>
    <n v="53.425409722222248"/>
    <n v="73709.551659058983"/>
    <n v="60.5"/>
    <n v="57.5"/>
    <n v="45.081423712493958"/>
    <n v="3793753"/>
  </r>
  <r>
    <x v="92"/>
    <n v="202603"/>
    <x v="0"/>
    <x v="0"/>
    <s v="Fátima L"/>
    <s v="Fátima L"/>
    <n v="62177"/>
    <n v="647020"/>
    <n v="10.406102150537633"/>
    <n v="67737.987190859189"/>
    <n v="11.5"/>
    <n v="10"/>
    <n v="10.042294324207418"/>
    <n v="680245"/>
  </r>
  <r>
    <x v="100"/>
    <n v="202501"/>
    <x v="1"/>
    <x v="10"/>
    <s v="Hernán P"/>
    <s v="Daniel R"/>
    <n v="62169"/>
    <n v="2185237"/>
    <n v="35.149879032258056"/>
    <n v="64546.729086109925"/>
    <n v="41.5"/>
    <n v="43"/>
    <n v="33.855111962137364"/>
    <n v="2347229"/>
  </r>
  <r>
    <x v="78"/>
    <n v="202404"/>
    <x v="2"/>
    <x v="9"/>
    <s v="Sebastián S"/>
    <s v="Vik E"/>
    <n v="62163"/>
    <n v="3504098"/>
    <n v="56.369152777777792"/>
    <n v="0"/>
    <n v="63"/>
    <n v="59"/>
    <m/>
    <n v="0"/>
  </r>
  <r>
    <x v="101"/>
    <n v="202408"/>
    <x v="2"/>
    <x v="5"/>
    <s v="Fátima L"/>
    <s v="Fátima L"/>
    <n v="62159"/>
    <n v="777329"/>
    <n v="12.505490591397853"/>
    <n v="0"/>
    <n v="13.5"/>
    <n v="14.5"/>
    <m/>
    <n v="0"/>
  </r>
  <r>
    <x v="78"/>
    <n v="202411"/>
    <x v="2"/>
    <x v="7"/>
    <s v="Sebastián S"/>
    <s v="Vik E"/>
    <n v="62100"/>
    <n v="3602140"/>
    <n v="58.005159722222224"/>
    <n v="0"/>
    <n v="63"/>
    <n v="59"/>
    <m/>
    <n v="0"/>
  </r>
  <r>
    <x v="99"/>
    <n v="202508"/>
    <x v="1"/>
    <x v="5"/>
    <s v="Hernán P"/>
    <s v="Daniel R"/>
    <n v="62048"/>
    <n v="2856244"/>
    <n v="46.032762096774192"/>
    <n v="63836.599296574401"/>
    <n v="53.5"/>
    <n v="51"/>
    <n v="44.743041632439706"/>
    <n v="3140492"/>
  </r>
  <r>
    <x v="84"/>
    <n v="202401"/>
    <x v="2"/>
    <x v="10"/>
    <s v="Sofía V"/>
    <s v="Melany A"/>
    <n v="61992"/>
    <n v="3333399"/>
    <n v="53.771102150537651"/>
    <n v="0"/>
    <n v="52.5"/>
    <n v="52.5"/>
    <m/>
    <n v="0"/>
  </r>
  <r>
    <x v="96"/>
    <n v="202504"/>
    <x v="1"/>
    <x v="9"/>
    <s v="Fátima L"/>
    <s v="Fátima L"/>
    <n v="61981"/>
    <n v="613405"/>
    <n v="9.896638888888889"/>
    <n v="60463.477131881496"/>
    <n v="11.5"/>
    <n v="10"/>
    <n v="10.145057960561125"/>
    <n v="674470"/>
  </r>
  <r>
    <x v="74"/>
    <n v="202604"/>
    <x v="0"/>
    <x v="9"/>
    <s v="Sebastián S"/>
    <s v="Rodolfo O"/>
    <n v="61981"/>
    <n v="1474556"/>
    <n v="23.79047222222222"/>
    <n v="73667.269059276834"/>
    <n v="27"/>
    <n v="27"/>
    <n v="23.582599197509253"/>
    <n v="1737266"/>
  </r>
  <r>
    <x v="93"/>
    <n v="202408"/>
    <x v="2"/>
    <x v="5"/>
    <s v="Hernán P"/>
    <s v="Daniel R"/>
    <n v="61979"/>
    <n v="2299143"/>
    <n v="37.095624999999998"/>
    <n v="0"/>
    <n v="45.5"/>
    <n v="42.5"/>
    <m/>
    <n v="0"/>
  </r>
  <r>
    <x v="93"/>
    <n v="202606"/>
    <x v="0"/>
    <x v="11"/>
    <s v="Hernán P"/>
    <s v="Daniel R"/>
    <n v="61962"/>
    <n v="2347084"/>
    <n v="37.879381944444056"/>
    <n v="62557.850578079015"/>
    <n v="45.5"/>
    <n v="42.5"/>
    <n v="36.981595266169094"/>
    <n v="2313489"/>
  </r>
  <r>
    <x v="81"/>
    <n v="202511"/>
    <x v="1"/>
    <x v="7"/>
    <s v="Fátima L"/>
    <s v="Fátima L"/>
    <n v="61947"/>
    <n v="712017"/>
    <n v="11.493999999999998"/>
    <n v="71204.444174849312"/>
    <n v="11.5"/>
    <n v="12"/>
    <n v="9.9996185385784866"/>
    <n v="864725"/>
  </r>
  <r>
    <x v="100"/>
    <n v="202411"/>
    <x v="2"/>
    <x v="7"/>
    <s v="Hernán P"/>
    <s v="Daniel R"/>
    <n v="61868"/>
    <n v="2180306"/>
    <n v="35.241500000000016"/>
    <n v="0"/>
    <n v="41.5"/>
    <n v="43"/>
    <m/>
    <n v="0"/>
  </r>
  <r>
    <x v="0"/>
    <n v="202410"/>
    <x v="2"/>
    <x v="8"/>
    <s v="Fátima L"/>
    <s v="Fátima L"/>
    <n v="61857"/>
    <n v="792295"/>
    <n v="12.808494623655919"/>
    <n v="0"/>
    <n v="13.5"/>
    <n v="12.5"/>
    <m/>
    <n v="0"/>
  </r>
  <r>
    <x v="86"/>
    <n v="202507"/>
    <x v="1"/>
    <x v="6"/>
    <s v="Sebastián S"/>
    <s v="Vik E"/>
    <n v="61841"/>
    <n v="2010223"/>
    <n v="32.506485215053765"/>
    <n v="63351.520369439611"/>
    <n v="36"/>
    <n v="35"/>
    <n v="31.731244621711063"/>
    <n v="2288125"/>
  </r>
  <r>
    <x v="79"/>
    <n v="202404"/>
    <x v="2"/>
    <x v="9"/>
    <s v="Sebastián S"/>
    <s v="Vik E"/>
    <n v="61827"/>
    <n v="5352725"/>
    <n v="86.575756944444421"/>
    <n v="0"/>
    <n v="84.5"/>
    <n v="78.5"/>
    <m/>
    <n v="0"/>
  </r>
  <r>
    <x v="105"/>
    <n v="202501"/>
    <x v="1"/>
    <x v="10"/>
    <s v="María R"/>
    <s v="María R"/>
    <n v="61822"/>
    <n v="3268596"/>
    <n v="52.870934139784943"/>
    <n v="59762.566401335469"/>
    <n v="61.5"/>
    <n v="56"/>
    <n v="54.69303473431421"/>
    <n v="3179676"/>
  </r>
  <r>
    <x v="92"/>
    <n v="202510"/>
    <x v="1"/>
    <x v="8"/>
    <s v="Fátima L"/>
    <s v="Fátima L"/>
    <n v="61766"/>
    <n v="551640"/>
    <n v="8.9311155913978499"/>
    <n v="58324.04545410526"/>
    <n v="11.5"/>
    <n v="10"/>
    <n v="9.4581983417813742"/>
    <n v="657794"/>
  </r>
  <r>
    <x v="96"/>
    <n v="202508"/>
    <x v="1"/>
    <x v="5"/>
    <s v="Fátima L"/>
    <s v="Fátima L"/>
    <n v="61745"/>
    <n v="620337"/>
    <n v="10.04674059139785"/>
    <n v="56120.828959276005"/>
    <n v="11.5"/>
    <n v="10"/>
    <n v="11.053604365861148"/>
    <n v="664981"/>
  </r>
  <r>
    <x v="38"/>
    <n v="202409"/>
    <x v="2"/>
    <x v="4"/>
    <s v="Sofía V"/>
    <s v="Melany A"/>
    <n v="61743"/>
    <n v="3313877"/>
    <n v="53.672013888888898"/>
    <n v="0"/>
    <n v="56"/>
    <n v="60"/>
    <m/>
    <n v="0"/>
  </r>
  <r>
    <x v="72"/>
    <n v="202502"/>
    <x v="1"/>
    <x v="2"/>
    <s v="Sebastián S"/>
    <s v="Vik E"/>
    <n v="61706"/>
    <n v="4481766"/>
    <n v="72.63041666666669"/>
    <n v="70330.854174203589"/>
    <n v="79.5"/>
    <n v="67"/>
    <n v="63.724043488780076"/>
    <n v="4805013"/>
  </r>
  <r>
    <x v="77"/>
    <n v="202411"/>
    <x v="2"/>
    <x v="7"/>
    <s v="Fátima L"/>
    <s v="Fátima L"/>
    <n v="61655"/>
    <n v="962555"/>
    <n v="15.611944444444449"/>
    <n v="0"/>
    <n v="17"/>
    <n v="13.5"/>
    <m/>
    <n v="0"/>
  </r>
  <r>
    <x v="100"/>
    <n v="202503"/>
    <x v="1"/>
    <x v="0"/>
    <s v="Hernán P"/>
    <s v="Daniel R"/>
    <n v="61577"/>
    <n v="2347002"/>
    <n v="38.115188172043005"/>
    <n v="63805.815704606866"/>
    <n v="41.5"/>
    <n v="43"/>
    <n v="36.783512193709683"/>
    <n v="2436628"/>
  </r>
  <r>
    <x v="78"/>
    <n v="202504"/>
    <x v="1"/>
    <x v="9"/>
    <s v="Sebastián S"/>
    <s v="Vik E"/>
    <n v="61563"/>
    <n v="3653034"/>
    <n v="59.33836805555557"/>
    <n v="65271.561770757697"/>
    <n v="63"/>
    <n v="59"/>
    <n v="55.966693777451418"/>
    <n v="3980602"/>
  </r>
  <r>
    <x v="101"/>
    <n v="202512"/>
    <x v="1"/>
    <x v="1"/>
    <s v="Fátima L"/>
    <s v="Fátima L"/>
    <n v="61555"/>
    <n v="1162585"/>
    <n v="18.886780913978487"/>
    <n v="67174.379761159027"/>
    <n v="13.5"/>
    <n v="14.5"/>
    <n v="17.306969325710387"/>
    <n v="1363035"/>
  </r>
  <r>
    <x v="101"/>
    <n v="202409"/>
    <x v="2"/>
    <x v="4"/>
    <s v="Fátima L"/>
    <s v="Fátima L"/>
    <n v="61539"/>
    <n v="822095"/>
    <n v="13.358965277777779"/>
    <n v="0"/>
    <n v="13.5"/>
    <n v="14.5"/>
    <m/>
    <n v="0"/>
  </r>
  <r>
    <x v="51"/>
    <n v="202405"/>
    <x v="2"/>
    <x v="3"/>
    <s v="Sofía V"/>
    <s v="Melany A"/>
    <n v="61538"/>
    <n v="2561476"/>
    <n v="41.624220430107535"/>
    <n v="0"/>
    <n v="43.5"/>
    <n v="41"/>
    <m/>
    <n v="0"/>
  </r>
  <r>
    <x v="92"/>
    <n v="202401"/>
    <x v="2"/>
    <x v="10"/>
    <s v="Fátima L"/>
    <s v="Fátima L"/>
    <n v="61522"/>
    <n v="608172"/>
    <n v="9.8854771505376373"/>
    <n v="0"/>
    <n v="11.5"/>
    <n v="10"/>
    <m/>
    <n v="0"/>
  </r>
  <r>
    <x v="101"/>
    <n v="202405"/>
    <x v="2"/>
    <x v="3"/>
    <s v="Fátima L"/>
    <s v="Fátima L"/>
    <n v="61506"/>
    <n v="914045"/>
    <n v="14.860981182795701"/>
    <n v="0"/>
    <n v="13.5"/>
    <n v="14.5"/>
    <m/>
    <n v="0"/>
  </r>
  <r>
    <x v="61"/>
    <n v="202401"/>
    <x v="2"/>
    <x v="10"/>
    <s v="Sofía V"/>
    <s v="Joe H"/>
    <n v="61497"/>
    <n v="1966223"/>
    <n v="31.972641129032255"/>
    <n v="0"/>
    <n v="41.5"/>
    <n v="35.5"/>
    <m/>
    <n v="0"/>
  </r>
  <r>
    <x v="102"/>
    <n v="202404"/>
    <x v="2"/>
    <x v="9"/>
    <s v="Fátima L"/>
    <s v="Fátima L"/>
    <n v="61486"/>
    <n v="596769"/>
    <n v="9.7057430555555548"/>
    <n v="0"/>
    <n v="11"/>
    <n v="12"/>
    <m/>
    <n v="0"/>
  </r>
  <r>
    <x v="98"/>
    <n v="202501"/>
    <x v="1"/>
    <x v="10"/>
    <s v="Hernán P"/>
    <s v="Daniel R"/>
    <n v="61482"/>
    <n v="4780613"/>
    <n v="77.756122311827951"/>
    <n v="74321.899393539526"/>
    <n v="87"/>
    <n v="77.5"/>
    <n v="64.323069902806566"/>
    <n v="5317650"/>
  </r>
  <r>
    <x v="103"/>
    <n v="202412"/>
    <x v="2"/>
    <x v="1"/>
    <s v="María R"/>
    <s v="María R"/>
    <n v="61479"/>
    <n v="3892343"/>
    <n v="63.31142473118279"/>
    <n v="0"/>
    <n v="66"/>
    <n v="65.5"/>
    <m/>
    <n v="0"/>
  </r>
  <r>
    <x v="100"/>
    <n v="202401"/>
    <x v="2"/>
    <x v="10"/>
    <s v="Hernán P"/>
    <s v="Daniel R"/>
    <n v="61473"/>
    <n v="2267898"/>
    <n v="36.892540322580651"/>
    <n v="0"/>
    <n v="41.5"/>
    <n v="43"/>
    <m/>
    <n v="0"/>
  </r>
  <r>
    <x v="103"/>
    <n v="202509"/>
    <x v="1"/>
    <x v="4"/>
    <s v="María R"/>
    <s v="María R"/>
    <n v="61471"/>
    <n v="3628906"/>
    <n v="59.034548611111134"/>
    <n v="62641.475536460101"/>
    <n v="66"/>
    <n v="65.5"/>
    <n v="57.931358719157508"/>
    <n v="3836609"/>
  </r>
  <r>
    <x v="38"/>
    <n v="202404"/>
    <x v="2"/>
    <x v="9"/>
    <s v="Sofía V"/>
    <s v="Melany A"/>
    <n v="61409"/>
    <n v="3631196"/>
    <n v="59.131138888888898"/>
    <n v="0"/>
    <n v="56"/>
    <n v="60"/>
    <m/>
    <n v="0"/>
  </r>
  <r>
    <x v="90"/>
    <n v="202411"/>
    <x v="2"/>
    <x v="7"/>
    <s v="Sebastián S"/>
    <s v="Vik E"/>
    <n v="61375"/>
    <n v="2724824"/>
    <n v="44.39609027777778"/>
    <n v="0"/>
    <n v="47.5"/>
    <n v="43"/>
    <m/>
    <n v="0"/>
  </r>
  <r>
    <x v="99"/>
    <n v="202403"/>
    <x v="2"/>
    <x v="0"/>
    <s v="Hernán P"/>
    <s v="Daniel R"/>
    <n v="61333"/>
    <n v="3285366"/>
    <n v="53.565900537634384"/>
    <n v="0"/>
    <n v="53.5"/>
    <n v="51"/>
    <m/>
    <n v="0"/>
  </r>
  <r>
    <x v="96"/>
    <n v="202507"/>
    <x v="1"/>
    <x v="6"/>
    <s v="Fátima L"/>
    <s v="Fátima L"/>
    <n v="61317"/>
    <n v="652448"/>
    <n v="10.640611559139789"/>
    <n v="61898.1737404542"/>
    <n v="11.5"/>
    <n v="10"/>
    <n v="10.540662519960359"/>
    <n v="703877"/>
  </r>
  <r>
    <x v="82"/>
    <n v="202404"/>
    <x v="2"/>
    <x v="9"/>
    <s v="Sebastián S"/>
    <s v="Vik E"/>
    <n v="61265"/>
    <n v="3537290"/>
    <n v="57.737701388888908"/>
    <n v="0"/>
    <n v="61.5"/>
    <n v="56"/>
    <m/>
    <n v="0"/>
  </r>
  <r>
    <x v="87"/>
    <n v="202501"/>
    <x v="1"/>
    <x v="10"/>
    <s v="Fátima L"/>
    <s v="Fátima L"/>
    <n v="61258"/>
    <n v="609575"/>
    <n v="9.950866935483873"/>
    <n v="73480.818267320661"/>
    <n v="11"/>
    <n v="11"/>
    <n v="8.2956985833008616"/>
    <n v="667618"/>
  </r>
  <r>
    <x v="80"/>
    <n v="202601"/>
    <x v="0"/>
    <x v="10"/>
    <s v="Fátima L"/>
    <s v="Fátima L"/>
    <n v="61208"/>
    <n v="465374"/>
    <n v="7.6031384408602163"/>
    <n v="64884.803833776772"/>
    <n v="10"/>
    <n v="9"/>
    <n v="8.1521894564878892"/>
    <n v="528953"/>
  </r>
  <r>
    <x v="78"/>
    <n v="202409"/>
    <x v="2"/>
    <x v="4"/>
    <s v="Sebastián S"/>
    <s v="Vik E"/>
    <n v="61206"/>
    <n v="3574601"/>
    <n v="58.402895833333339"/>
    <n v="0"/>
    <n v="63"/>
    <n v="59"/>
    <m/>
    <n v="0"/>
  </r>
  <r>
    <x v="66"/>
    <n v="202404"/>
    <x v="2"/>
    <x v="9"/>
    <s v="Sebastián S"/>
    <s v="Rodolfo O"/>
    <n v="61177"/>
    <n v="3338291"/>
    <n v="54.567625000000007"/>
    <n v="0"/>
    <n v="55"/>
    <n v="55.5"/>
    <m/>
    <n v="0"/>
  </r>
  <r>
    <x v="95"/>
    <n v="202404"/>
    <x v="2"/>
    <x v="9"/>
    <s v="Fátima L"/>
    <s v="Fátima L"/>
    <n v="61165"/>
    <n v="337045"/>
    <n v="5.5104583333333323"/>
    <n v="0"/>
    <n v="8.5"/>
    <n v="6.5"/>
    <m/>
    <n v="0"/>
  </r>
  <r>
    <x v="77"/>
    <n v="202511"/>
    <x v="1"/>
    <x v="7"/>
    <s v="Fátima L"/>
    <s v="Fátima L"/>
    <n v="61161"/>
    <n v="968081"/>
    <n v="15.828312499999992"/>
    <n v="64737.796761738675"/>
    <n v="17"/>
    <n v="13.5"/>
    <n v="14.953875145966586"/>
    <n v="1088357"/>
  </r>
  <r>
    <x v="71"/>
    <n v="202404"/>
    <x v="2"/>
    <x v="9"/>
    <s v="Sebastián S"/>
    <s v="Rodolfo O"/>
    <n v="61154"/>
    <n v="3389244"/>
    <n v="55.421819444444445"/>
    <n v="0"/>
    <n v="53.5"/>
    <n v="54"/>
    <m/>
    <n v="0"/>
  </r>
  <r>
    <x v="75"/>
    <n v="202404"/>
    <x v="2"/>
    <x v="9"/>
    <s v="Hernán P"/>
    <s v="Daniel R"/>
    <n v="61123"/>
    <n v="1707532"/>
    <n v="27.935881944444443"/>
    <n v="0"/>
    <n v="31"/>
    <n v="27"/>
    <m/>
    <n v="0"/>
  </r>
  <r>
    <x v="93"/>
    <n v="202509"/>
    <x v="1"/>
    <x v="4"/>
    <s v="Hernán P"/>
    <s v="Daniel R"/>
    <n v="61096"/>
    <n v="2126028"/>
    <n v="34.798312499999987"/>
    <n v="58056.786087450106"/>
    <n v="45.5"/>
    <n v="42.5"/>
    <n v="36.619800944502757"/>
    <n v="2408983"/>
  </r>
  <r>
    <x v="89"/>
    <n v="202407"/>
    <x v="2"/>
    <x v="6"/>
    <s v="Sebastián S"/>
    <s v="Rodolfo O"/>
    <n v="61092"/>
    <n v="1982991"/>
    <n v="32.459112903225808"/>
    <n v="0"/>
    <n v="34"/>
    <n v="34"/>
    <m/>
    <n v="0"/>
  </r>
  <r>
    <x v="104"/>
    <n v="202603"/>
    <x v="0"/>
    <x v="0"/>
    <s v="Fátima L"/>
    <s v="Fátima L"/>
    <n v="61046"/>
    <n v="566105"/>
    <n v="9.2733534946236578"/>
    <n v="58583.964674689523"/>
    <n v="11"/>
    <n v="10"/>
    <n v="10.023956063077975"/>
    <n v="587243"/>
  </r>
  <r>
    <x v="89"/>
    <n v="202411"/>
    <x v="2"/>
    <x v="7"/>
    <s v="Sebastián S"/>
    <s v="Rodolfo O"/>
    <n v="61036"/>
    <n v="1767853"/>
    <n v="28.96425"/>
    <n v="0"/>
    <n v="34"/>
    <n v="34"/>
    <m/>
    <n v="0"/>
  </r>
  <r>
    <x v="42"/>
    <n v="202504"/>
    <x v="1"/>
    <x v="9"/>
    <s v="Hernán P"/>
    <s v="Daniel R"/>
    <n v="60971"/>
    <n v="1251344"/>
    <n v="20.523562500000008"/>
    <n v="47904.603429141003"/>
    <n v="22.5"/>
    <n v="21"/>
    <n v="26.121576642439983"/>
    <n v="877253"/>
  </r>
  <r>
    <x v="80"/>
    <n v="202604"/>
    <x v="0"/>
    <x v="9"/>
    <s v="Fátima L"/>
    <s v="Fátima L"/>
    <n v="60956"/>
    <n v="498743"/>
    <n v="8.1820763888888877"/>
    <n v="54492.477005236789"/>
    <n v="10"/>
    <n v="9"/>
    <n v="8.1521894564878892"/>
    <n v="444233"/>
  </r>
  <r>
    <x v="101"/>
    <n v="202402"/>
    <x v="2"/>
    <x v="2"/>
    <s v="Fátima L"/>
    <s v="Fátima L"/>
    <n v="60944"/>
    <n v="899897"/>
    <n v="14.766027298850577"/>
    <n v="0"/>
    <n v="13.5"/>
    <n v="14.5"/>
    <m/>
    <n v="0"/>
  </r>
  <r>
    <x v="80"/>
    <n v="202401"/>
    <x v="2"/>
    <x v="10"/>
    <s v="Fátima L"/>
    <s v="Fátima L"/>
    <n v="60910"/>
    <n v="548623"/>
    <n v="9.0071370967741942"/>
    <n v="0"/>
    <n v="10"/>
    <n v="9"/>
    <m/>
    <n v="0"/>
  </r>
  <r>
    <x v="38"/>
    <n v="202410"/>
    <x v="2"/>
    <x v="8"/>
    <s v="Sofía V"/>
    <s v="Melany A"/>
    <n v="60903"/>
    <n v="3183302"/>
    <n v="52.268124999999998"/>
    <n v="0"/>
    <n v="56"/>
    <n v="60"/>
    <m/>
    <n v="0"/>
  </r>
  <r>
    <x v="90"/>
    <n v="202402"/>
    <x v="2"/>
    <x v="2"/>
    <s v="Sebastián S"/>
    <s v="Vik E"/>
    <n v="60883"/>
    <n v="2892307"/>
    <n v="47.506264367816094"/>
    <n v="0"/>
    <n v="47.5"/>
    <n v="43"/>
    <m/>
    <n v="0"/>
  </r>
  <r>
    <x v="91"/>
    <n v="202411"/>
    <x v="2"/>
    <x v="7"/>
    <s v="Hernán P"/>
    <s v="Daniel R"/>
    <n v="60870"/>
    <n v="1157447"/>
    <n v="19.014916666666668"/>
    <n v="0"/>
    <n v="19"/>
    <n v="21.5"/>
    <m/>
    <n v="0"/>
  </r>
  <r>
    <x v="92"/>
    <n v="202506"/>
    <x v="1"/>
    <x v="11"/>
    <s v="Fátima L"/>
    <s v="Fátima L"/>
    <n v="60839"/>
    <n v="553282"/>
    <n v="9.0941666666666663"/>
    <n v="68505.811199402466"/>
    <n v="11.5"/>
    <n v="10"/>
    <n v="8.0764214059087873"/>
    <n v="639745"/>
  </r>
  <r>
    <x v="86"/>
    <n v="202508"/>
    <x v="1"/>
    <x v="5"/>
    <s v="Sebastián S"/>
    <s v="Vik E"/>
    <n v="60838"/>
    <n v="1825597"/>
    <n v="30.007654569892466"/>
    <n v="61475.135646099086"/>
    <n v="36"/>
    <n v="35"/>
    <n v="29.696502509723917"/>
    <n v="2064322"/>
  </r>
  <r>
    <x v="102"/>
    <n v="202603"/>
    <x v="0"/>
    <x v="0"/>
    <s v="Fátima L"/>
    <s v="Fátima L"/>
    <n v="60831"/>
    <n v="736031"/>
    <n v="12.099650537634407"/>
    <n v="75154.427411477256"/>
    <n v="11"/>
    <n v="12"/>
    <n v="10.653753026634384"/>
    <n v="800677"/>
  </r>
  <r>
    <x v="84"/>
    <n v="202509"/>
    <x v="1"/>
    <x v="4"/>
    <s v="Sofía V"/>
    <s v="Melany A"/>
    <n v="60805"/>
    <n v="2704834"/>
    <n v="44.483736111111121"/>
    <n v="65890.492023799947"/>
    <n v="52.5"/>
    <n v="52.5"/>
    <n v="41.050439402137137"/>
    <n v="3494292"/>
  </r>
  <r>
    <x v="96"/>
    <n v="202511"/>
    <x v="1"/>
    <x v="7"/>
    <s v="Fátima L"/>
    <s v="Fátima L"/>
    <n v="60801"/>
    <n v="599401"/>
    <n v="9.8583333333333343"/>
    <n v="62533.630136268599"/>
    <n v="11.5"/>
    <n v="10"/>
    <n v="9.5852578635500656"/>
    <n v="694560"/>
  </r>
  <r>
    <x v="99"/>
    <n v="202408"/>
    <x v="2"/>
    <x v="5"/>
    <s v="Hernán P"/>
    <s v="Daniel R"/>
    <n v="60797"/>
    <n v="3009584"/>
    <n v="49.502372311827941"/>
    <n v="0"/>
    <n v="53.5"/>
    <n v="51"/>
    <m/>
    <n v="0"/>
  </r>
  <r>
    <x v="94"/>
    <n v="202403"/>
    <x v="2"/>
    <x v="0"/>
    <s v="Hernán P"/>
    <s v="Daniel R"/>
    <n v="60788"/>
    <n v="2579412"/>
    <n v="42.432795698924721"/>
    <n v="0"/>
    <n v="33"/>
    <n v="31.5"/>
    <m/>
    <n v="0"/>
  </r>
  <r>
    <x v="100"/>
    <n v="202507"/>
    <x v="1"/>
    <x v="6"/>
    <s v="Hernán P"/>
    <s v="Daniel R"/>
    <n v="60774"/>
    <n v="2136099"/>
    <n v="35.148420698924753"/>
    <n v="61696.571245355146"/>
    <n v="41.5"/>
    <n v="43"/>
    <n v="34.622651905648929"/>
    <n v="2379109"/>
  </r>
  <r>
    <x v="100"/>
    <n v="202403"/>
    <x v="2"/>
    <x v="0"/>
    <s v="Hernán P"/>
    <s v="Daniel R"/>
    <n v="60767"/>
    <n v="2449737"/>
    <n v="40.313319892473103"/>
    <n v="0"/>
    <n v="41.5"/>
    <n v="43"/>
    <m/>
    <n v="0"/>
  </r>
  <r>
    <x v="75"/>
    <n v="202509"/>
    <x v="1"/>
    <x v="4"/>
    <s v="Hernán P"/>
    <s v="Daniel R"/>
    <n v="60736"/>
    <n v="1551267"/>
    <n v="25.541006944444447"/>
    <n v="66695.012886887402"/>
    <n v="31"/>
    <n v="27"/>
    <n v="23.259112980919557"/>
    <n v="1609700"/>
  </r>
  <r>
    <x v="89"/>
    <n v="202605"/>
    <x v="0"/>
    <x v="3"/>
    <s v="Sebastián S"/>
    <s v="Rodolfo O"/>
    <n v="60712"/>
    <n v="1858752"/>
    <n v="30.615779569892776"/>
    <n v="64398.840932948719"/>
    <n v="34"/>
    <n v="34"/>
    <n v="29.696606396863505"/>
    <n v="1912427"/>
  </r>
  <r>
    <x v="105"/>
    <n v="202506"/>
    <x v="1"/>
    <x v="11"/>
    <s v="María R"/>
    <s v="María R"/>
    <n v="60709"/>
    <n v="3244500"/>
    <n v="53.443541666666675"/>
    <n v="56747.713313363834"/>
    <n v="61.5"/>
    <n v="56"/>
    <n v="57.174115229695694"/>
    <n v="3426889"/>
  </r>
  <r>
    <x v="91"/>
    <n v="202502"/>
    <x v="1"/>
    <x v="2"/>
    <s v="Hernán P"/>
    <s v="Daniel R"/>
    <n v="60708"/>
    <n v="1170970"/>
    <n v="19.288697916666671"/>
    <n v="57366.020556004638"/>
    <n v="19"/>
    <n v="21.5"/>
    <n v="20.412263020001859"/>
    <n v="1141420"/>
  </r>
  <r>
    <x v="75"/>
    <n v="202510"/>
    <x v="1"/>
    <x v="8"/>
    <s v="Hernán P"/>
    <s v="Daniel R"/>
    <n v="60643"/>
    <n v="1547006"/>
    <n v="25.510060483870969"/>
    <n v="69331.199186136495"/>
    <n v="31"/>
    <n v="27"/>
    <n v="22.313273074170912"/>
    <n v="1684326"/>
  </r>
  <r>
    <x v="94"/>
    <n v="202412"/>
    <x v="2"/>
    <x v="1"/>
    <s v="Hernán P"/>
    <s v="Daniel R"/>
    <n v="60600"/>
    <n v="3137712"/>
    <n v="51.777184139784929"/>
    <n v="0"/>
    <n v="33"/>
    <n v="31.5"/>
    <m/>
    <n v="0"/>
  </r>
  <r>
    <x v="99"/>
    <n v="202510"/>
    <x v="1"/>
    <x v="8"/>
    <s v="Hernán P"/>
    <s v="Daniel R"/>
    <n v="60542"/>
    <n v="2859461"/>
    <n v="47.230665322580663"/>
    <n v="56823.434353153483"/>
    <n v="53.5"/>
    <n v="51"/>
    <n v="50.32186460657514"/>
    <n v="3261894"/>
  </r>
  <r>
    <x v="74"/>
    <n v="202407"/>
    <x v="2"/>
    <x v="6"/>
    <s v="Sebastián S"/>
    <s v="Rodolfo O"/>
    <n v="60476"/>
    <n v="1549399"/>
    <n v="25.619905913978496"/>
    <n v="0"/>
    <n v="27"/>
    <n v="27"/>
    <m/>
    <n v="0"/>
  </r>
  <r>
    <x v="92"/>
    <n v="202404"/>
    <x v="2"/>
    <x v="9"/>
    <s v="Fátima L"/>
    <s v="Fátima L"/>
    <n v="60475"/>
    <n v="585020"/>
    <n v="9.6738055555555569"/>
    <n v="0"/>
    <n v="11.5"/>
    <n v="10"/>
    <m/>
    <n v="0"/>
  </r>
  <r>
    <x v="80"/>
    <n v="202402"/>
    <x v="2"/>
    <x v="2"/>
    <s v="Fátima L"/>
    <s v="Fátima L"/>
    <n v="60466"/>
    <n v="531731"/>
    <n v="8.7938505747126445"/>
    <n v="0"/>
    <n v="10"/>
    <n v="9"/>
    <m/>
    <n v="0"/>
  </r>
  <r>
    <x v="84"/>
    <n v="202605"/>
    <x v="0"/>
    <x v="3"/>
    <s v="Sofía V"/>
    <s v="Melany A"/>
    <n v="60430"/>
    <n v="2837037"/>
    <n v="46.947278225807167"/>
    <n v="73265.106943532708"/>
    <n v="52.5"/>
    <n v="52.5"/>
    <n v="46.965208254619732"/>
    <n v="3440911"/>
  </r>
  <r>
    <x v="100"/>
    <n v="202406"/>
    <x v="2"/>
    <x v="11"/>
    <s v="Hernán P"/>
    <s v="Daniel R"/>
    <n v="60424"/>
    <n v="2273610"/>
    <n v="37.62733333333334"/>
    <n v="0"/>
    <n v="41.5"/>
    <n v="43"/>
    <m/>
    <n v="0"/>
  </r>
  <r>
    <x v="87"/>
    <n v="202502"/>
    <x v="1"/>
    <x v="2"/>
    <s v="Fátima L"/>
    <s v="Fátima L"/>
    <n v="60405"/>
    <n v="604072"/>
    <n v="10.000364583333333"/>
    <n v="81288.584684543413"/>
    <n v="11"/>
    <n v="11"/>
    <n v="7.4312028231789471"/>
    <n v="651006"/>
  </r>
  <r>
    <x v="91"/>
    <n v="202604"/>
    <x v="0"/>
    <x v="9"/>
    <s v="Hernán P"/>
    <s v="Daniel R"/>
    <n v="60380"/>
    <n v="1163569"/>
    <n v="19.270854166666687"/>
    <n v="62135.3623502513"/>
    <n v="19"/>
    <n v="21.5"/>
    <n v="17.464859694273773"/>
    <n v="1085185"/>
  </r>
  <r>
    <x v="106"/>
    <n v="202412"/>
    <x v="2"/>
    <x v="1"/>
    <s v="María R"/>
    <s v="María R"/>
    <n v="60376"/>
    <n v="3644203"/>
    <n v="60.358487903225779"/>
    <n v="0"/>
    <n v="64.5"/>
    <n v="61"/>
    <m/>
    <n v="0"/>
  </r>
  <r>
    <x v="95"/>
    <n v="202606"/>
    <x v="0"/>
    <x v="11"/>
    <s v="Fátima L"/>
    <s v="Fátima L"/>
    <n v="60341"/>
    <n v="335763"/>
    <n v="5.5644652777777779"/>
    <n v="44707.452040538046"/>
    <n v="8.5"/>
    <n v="6.5"/>
    <n v="7.4225653700663532"/>
    <n v="331844"/>
  </r>
  <r>
    <x v="86"/>
    <n v="202407"/>
    <x v="2"/>
    <x v="6"/>
    <s v="Sebastián S"/>
    <s v="Vik E"/>
    <n v="60335"/>
    <n v="2224938"/>
    <n v="36.876545698924723"/>
    <n v="0"/>
    <n v="36"/>
    <n v="35"/>
    <m/>
    <n v="0"/>
  </r>
  <r>
    <x v="109"/>
    <n v="202606"/>
    <x v="0"/>
    <x v="11"/>
    <s v="María R"/>
    <s v="María R"/>
    <n v="60188"/>
    <n v="2854550"/>
    <n v="47.427381944444448"/>
    <n v="55173.888862472057"/>
    <n v="59"/>
    <n v="50"/>
    <n v="50.48039166574727"/>
    <n v="2785200"/>
  </r>
  <r>
    <x v="81"/>
    <n v="202510"/>
    <x v="1"/>
    <x v="8"/>
    <s v="Fátima L"/>
    <s v="Fátima L"/>
    <n v="60123"/>
    <n v="674923"/>
    <n v="11.225779569892476"/>
    <n v="68349.184238919304"/>
    <n v="11.5"/>
    <n v="12"/>
    <n v="9.8746261204926942"/>
    <n v="877570"/>
  </r>
  <r>
    <x v="38"/>
    <n v="202411"/>
    <x v="2"/>
    <x v="7"/>
    <s v="Sofía V"/>
    <s v="Melany A"/>
    <n v="60107"/>
    <n v="3205105"/>
    <n v="53.322986111111121"/>
    <n v="0"/>
    <n v="56"/>
    <n v="60"/>
    <m/>
    <n v="0"/>
  </r>
  <r>
    <x v="103"/>
    <n v="202605"/>
    <x v="0"/>
    <x v="3"/>
    <s v="María R"/>
    <s v="María R"/>
    <n v="60097"/>
    <n v="3684960"/>
    <n v="61.317130376344778"/>
    <n v="62951.728929195699"/>
    <n v="66"/>
    <n v="65.5"/>
    <n v="58.116081161406527"/>
    <n v="3658508"/>
  </r>
  <r>
    <x v="99"/>
    <n v="202601"/>
    <x v="0"/>
    <x v="10"/>
    <s v="Hernán P"/>
    <s v="Daniel R"/>
    <n v="60076"/>
    <n v="2882492"/>
    <n v="47.981142473118261"/>
    <n v="70225.000016786071"/>
    <n v="53.5"/>
    <n v="51"/>
    <n v="45.515809558361951"/>
    <n v="3196348"/>
  </r>
  <r>
    <x v="103"/>
    <n v="202504"/>
    <x v="1"/>
    <x v="9"/>
    <s v="María R"/>
    <s v="María R"/>
    <n v="60075"/>
    <n v="3443434"/>
    <n v="57.319013888888904"/>
    <n v="58646.546651065684"/>
    <n v="66"/>
    <n v="65.5"/>
    <n v="58.715036206440104"/>
    <n v="3701498"/>
  </r>
  <r>
    <x v="93"/>
    <n v="202403"/>
    <x v="2"/>
    <x v="0"/>
    <s v="Hernán P"/>
    <s v="Daniel R"/>
    <n v="60042"/>
    <n v="2647640"/>
    <n v="44.096377688172048"/>
    <n v="0"/>
    <n v="45.5"/>
    <n v="42.5"/>
    <m/>
    <n v="0"/>
  </r>
  <r>
    <x v="93"/>
    <n v="202602"/>
    <x v="0"/>
    <x v="2"/>
    <s v="Hernán P"/>
    <s v="Daniel R"/>
    <n v="60036"/>
    <n v="2348347"/>
    <n v="39.115781249999998"/>
    <n v="61943.894607911039"/>
    <n v="45.5"/>
    <n v="42.5"/>
    <n v="36.981595266169094"/>
    <n v="2290784"/>
  </r>
  <r>
    <x v="80"/>
    <n v="202602"/>
    <x v="0"/>
    <x v="2"/>
    <s v="Fátima L"/>
    <s v="Fátima L"/>
    <n v="59966"/>
    <n v="465796"/>
    <n v="7.7676041666666658"/>
    <n v="59272.734187432936"/>
    <n v="10"/>
    <n v="9"/>
    <n v="8.1521894564878892"/>
    <n v="483203"/>
  </r>
  <r>
    <x v="77"/>
    <n v="202404"/>
    <x v="2"/>
    <x v="9"/>
    <s v="Fátima L"/>
    <s v="Fátima L"/>
    <n v="59962"/>
    <n v="1035652"/>
    <n v="17.271722222222227"/>
    <n v="0"/>
    <n v="17"/>
    <n v="13.5"/>
    <m/>
    <n v="0"/>
  </r>
  <r>
    <x v="109"/>
    <n v="202508"/>
    <x v="1"/>
    <x v="5"/>
    <s v="María R"/>
    <s v="María R"/>
    <n v="59858"/>
    <n v="2722294"/>
    <n v="45.479065860215066"/>
    <n v="58620.803417057978"/>
    <n v="59"/>
    <n v="50"/>
    <n v="46.439048960694457"/>
    <n v="2800998"/>
  </r>
  <r>
    <x v="96"/>
    <n v="202602"/>
    <x v="0"/>
    <x v="2"/>
    <s v="Fátima L"/>
    <s v="Fátima L"/>
    <n v="59849"/>
    <n v="603202"/>
    <n v="10.078645833333333"/>
    <n v="65449.887473983632"/>
    <n v="11.5"/>
    <n v="10"/>
    <n v="10.042294324207418"/>
    <n v="657267"/>
  </r>
  <r>
    <x v="104"/>
    <n v="202407"/>
    <x v="2"/>
    <x v="6"/>
    <s v="Fátima L"/>
    <s v="Fátima L"/>
    <n v="59839"/>
    <n v="556030"/>
    <n v="9.2921706989247337"/>
    <n v="0"/>
    <n v="11"/>
    <n v="10"/>
    <m/>
    <n v="0"/>
  </r>
  <r>
    <x v="89"/>
    <n v="202410"/>
    <x v="2"/>
    <x v="8"/>
    <s v="Sebastián S"/>
    <s v="Rodolfo O"/>
    <n v="59811"/>
    <n v="1670453"/>
    <n v="27.928635752688173"/>
    <n v="0"/>
    <n v="34"/>
    <n v="34"/>
    <m/>
    <n v="0"/>
  </r>
  <r>
    <x v="90"/>
    <n v="202510"/>
    <x v="1"/>
    <x v="8"/>
    <s v="Sebastián S"/>
    <s v="Vik E"/>
    <n v="59721"/>
    <n v="2176587"/>
    <n v="36.445725806451613"/>
    <n v="57906.933865138824"/>
    <n v="47.5"/>
    <n v="43"/>
    <n v="37.58767292133129"/>
    <n v="3009988"/>
  </r>
  <r>
    <x v="89"/>
    <n v="202601"/>
    <x v="0"/>
    <x v="10"/>
    <s v="Sebastián S"/>
    <s v="Rodolfo O"/>
    <n v="59721"/>
    <n v="1773812"/>
    <n v="29.701875000000001"/>
    <n v="60173.339347917317"/>
    <n v="34"/>
    <n v="34"/>
    <n v="29.696606396863505"/>
    <n v="1786944"/>
  </r>
  <r>
    <x v="98"/>
    <n v="202406"/>
    <x v="2"/>
    <x v="11"/>
    <s v="Hernán P"/>
    <s v="Daniel R"/>
    <n v="59710"/>
    <n v="5055235"/>
    <n v="84.66247222222222"/>
    <n v="0"/>
    <n v="87"/>
    <n v="77.5"/>
    <m/>
    <n v="0"/>
  </r>
  <r>
    <x v="80"/>
    <n v="202407"/>
    <x v="2"/>
    <x v="6"/>
    <s v="Fátima L"/>
    <s v="Fátima L"/>
    <n v="59702"/>
    <n v="568477"/>
    <n v="9.5218817204301107"/>
    <n v="0"/>
    <n v="10"/>
    <n v="9"/>
    <m/>
    <n v="0"/>
  </r>
  <r>
    <x v="87"/>
    <n v="202508"/>
    <x v="1"/>
    <x v="5"/>
    <s v="Fátima L"/>
    <s v="Fátima L"/>
    <n v="59672"/>
    <n v="636861"/>
    <n v="10.672647849462365"/>
    <n v="73233.051077736003"/>
    <n v="11"/>
    <n v="11"/>
    <n v="8.696358824705797"/>
    <n v="695471"/>
  </r>
  <r>
    <x v="80"/>
    <n v="202507"/>
    <x v="1"/>
    <x v="6"/>
    <s v="Fátima L"/>
    <s v="Fátima L"/>
    <n v="59665"/>
    <n v="485401"/>
    <n v="8.1354771505376355"/>
    <n v="62687.261827595743"/>
    <n v="10"/>
    <n v="9"/>
    <n v="7.7432216027390757"/>
    <n v="596164"/>
  </r>
  <r>
    <x v="103"/>
    <n v="202409"/>
    <x v="2"/>
    <x v="4"/>
    <s v="María R"/>
    <s v="María R"/>
    <n v="59659"/>
    <n v="3264239"/>
    <n v="54.715354166666678"/>
    <n v="0"/>
    <n v="66"/>
    <n v="65.5"/>
    <m/>
    <n v="0"/>
  </r>
  <r>
    <x v="42"/>
    <n v="202604"/>
    <x v="0"/>
    <x v="9"/>
    <s v="Hernán P"/>
    <s v="Daniel R"/>
    <n v="59602"/>
    <n v="1189667"/>
    <n v="19.960159722222286"/>
    <n v="65879.568889695642"/>
    <n v="22.5"/>
    <n v="21"/>
    <n v="19.647967156057994"/>
    <n v="1294400"/>
  </r>
  <r>
    <x v="91"/>
    <n v="202510"/>
    <x v="1"/>
    <x v="8"/>
    <s v="Hernán P"/>
    <s v="Daniel R"/>
    <n v="59589"/>
    <n v="1038126"/>
    <n v="17.421438172043004"/>
    <n v="65781.072873047713"/>
    <n v="19"/>
    <n v="21.5"/>
    <n v="15.781527796050105"/>
    <n v="1230484"/>
  </r>
  <r>
    <x v="86"/>
    <n v="202503"/>
    <x v="1"/>
    <x v="0"/>
    <s v="Sebastián S"/>
    <s v="Vik E"/>
    <n v="59576"/>
    <n v="2126697"/>
    <n v="35.697177419354837"/>
    <n v="65775.617360423843"/>
    <n v="36"/>
    <n v="35"/>
    <n v="32.332602951433493"/>
    <n v="2296305"/>
  </r>
  <r>
    <x v="96"/>
    <n v="202411"/>
    <x v="2"/>
    <x v="7"/>
    <s v="Fátima L"/>
    <s v="Fátima L"/>
    <n v="59556"/>
    <n v="607830"/>
    <n v="10.206048611111111"/>
    <n v="0"/>
    <n v="11.5"/>
    <n v="10"/>
    <m/>
    <n v="0"/>
  </r>
  <r>
    <x v="100"/>
    <n v="202605"/>
    <x v="0"/>
    <x v="3"/>
    <s v="Hernán P"/>
    <s v="Daniel R"/>
    <n v="59548"/>
    <n v="2207601"/>
    <n v="37.072903225806641"/>
    <n v="70019.471582744809"/>
    <n v="41.5"/>
    <n v="43"/>
    <n v="33.730466012000377"/>
    <n v="2361789"/>
  </r>
  <r>
    <x v="102"/>
    <n v="202604"/>
    <x v="0"/>
    <x v="9"/>
    <s v="Fátima L"/>
    <s v="Fátima L"/>
    <n v="59532"/>
    <n v="672313"/>
    <n v="11.293381944444421"/>
    <n v="65712.53362545454"/>
    <n v="11"/>
    <n v="12"/>
    <n v="10.653753026634384"/>
    <n v="700085"/>
  </r>
  <r>
    <x v="103"/>
    <n v="202410"/>
    <x v="2"/>
    <x v="8"/>
    <s v="María R"/>
    <s v="María R"/>
    <n v="59526"/>
    <n v="3204716"/>
    <n v="53.83724462365592"/>
    <n v="0"/>
    <n v="66"/>
    <n v="65.5"/>
    <m/>
    <n v="0"/>
  </r>
  <r>
    <x v="102"/>
    <n v="202409"/>
    <x v="2"/>
    <x v="4"/>
    <s v="Fátima L"/>
    <s v="Fátima L"/>
    <n v="59510"/>
    <n v="592436"/>
    <n v="9.9553124999999998"/>
    <n v="0"/>
    <n v="11"/>
    <n v="12"/>
    <m/>
    <n v="0"/>
  </r>
  <r>
    <x v="93"/>
    <n v="202407"/>
    <x v="2"/>
    <x v="6"/>
    <s v="Hernán P"/>
    <s v="Daniel R"/>
    <n v="59487"/>
    <n v="2421473"/>
    <n v="40.705752688172034"/>
    <n v="0"/>
    <n v="45.5"/>
    <n v="42.5"/>
    <m/>
    <n v="0"/>
  </r>
  <r>
    <x v="74"/>
    <n v="202408"/>
    <x v="2"/>
    <x v="5"/>
    <s v="Sebastián S"/>
    <s v="Rodolfo O"/>
    <n v="59486"/>
    <n v="1503568"/>
    <n v="25.276115591397847"/>
    <n v="0"/>
    <n v="27"/>
    <n v="27"/>
    <m/>
    <n v="0"/>
  </r>
  <r>
    <x v="107"/>
    <n v="202508"/>
    <x v="1"/>
    <x v="5"/>
    <s v="María R"/>
    <s v="María R"/>
    <n v="59472"/>
    <n v="2669829"/>
    <n v="44.89253360215055"/>
    <n v="53678.184174585687"/>
    <n v="57.5"/>
    <n v="57"/>
    <n v="49.737695323606872"/>
    <n v="2610554"/>
  </r>
  <r>
    <x v="86"/>
    <n v="202401"/>
    <x v="2"/>
    <x v="10"/>
    <s v="Sebastián S"/>
    <s v="Vik E"/>
    <n v="59388"/>
    <n v="2038209"/>
    <n v="34.320322580645168"/>
    <n v="0"/>
    <n v="36"/>
    <n v="35"/>
    <m/>
    <n v="0"/>
  </r>
  <r>
    <x v="0"/>
    <n v="202504"/>
    <x v="1"/>
    <x v="9"/>
    <s v="Fátima L"/>
    <s v="Fátima L"/>
    <n v="59339"/>
    <n v="1380007"/>
    <n v="23.256479166666665"/>
    <n v="70492.122266405466"/>
    <n v="13.5"/>
    <n v="12.5"/>
    <n v="19.576753197820398"/>
    <n v="879806"/>
  </r>
  <r>
    <x v="105"/>
    <n v="202403"/>
    <x v="2"/>
    <x v="0"/>
    <s v="María R"/>
    <s v="María R"/>
    <n v="59319"/>
    <n v="3422536"/>
    <n v="57.697452956989238"/>
    <n v="0"/>
    <n v="61.5"/>
    <n v="56"/>
    <m/>
    <n v="0"/>
  </r>
  <r>
    <x v="89"/>
    <n v="202504"/>
    <x v="1"/>
    <x v="9"/>
    <s v="Sebastián S"/>
    <s v="Rodolfo O"/>
    <n v="59310"/>
    <n v="1711418"/>
    <n v="28.855652777777784"/>
    <n v="56463.179922599709"/>
    <n v="34"/>
    <n v="34"/>
    <n v="30.310332722068225"/>
    <n v="1795569"/>
  </r>
  <r>
    <x v="99"/>
    <n v="202407"/>
    <x v="2"/>
    <x v="6"/>
    <s v="Hernán P"/>
    <s v="Daniel R"/>
    <n v="59307"/>
    <n v="2990369"/>
    <n v="50.421498655913972"/>
    <n v="0"/>
    <n v="53.5"/>
    <n v="51"/>
    <m/>
    <n v="0"/>
  </r>
  <r>
    <x v="89"/>
    <n v="202406"/>
    <x v="2"/>
    <x v="11"/>
    <s v="Sebastián S"/>
    <s v="Rodolfo O"/>
    <n v="59182"/>
    <n v="1782815"/>
    <n v="30.124500000000005"/>
    <n v="0"/>
    <n v="34"/>
    <n v="34"/>
    <m/>
    <n v="0"/>
  </r>
  <r>
    <x v="103"/>
    <n v="202408"/>
    <x v="2"/>
    <x v="5"/>
    <s v="María R"/>
    <s v="María R"/>
    <n v="59160"/>
    <n v="3476282"/>
    <n v="58.760766129032248"/>
    <n v="0"/>
    <n v="66"/>
    <n v="65.5"/>
    <m/>
    <n v="0"/>
  </r>
  <r>
    <x v="91"/>
    <n v="202401"/>
    <x v="2"/>
    <x v="10"/>
    <s v="Hernán P"/>
    <s v="Daniel R"/>
    <n v="59149"/>
    <n v="1132392"/>
    <n v="19.144576612903229"/>
    <n v="0"/>
    <n v="19"/>
    <n v="21.5"/>
    <m/>
    <n v="0"/>
  </r>
  <r>
    <x v="84"/>
    <n v="202602"/>
    <x v="0"/>
    <x v="2"/>
    <s v="Sofía V"/>
    <s v="Melany A"/>
    <n v="59138"/>
    <n v="2779834"/>
    <n v="47.005520833333321"/>
    <n v="66446.737071437019"/>
    <n v="52.5"/>
    <n v="52.5"/>
    <n v="46.965208254619732"/>
    <n v="3120685"/>
  </r>
  <r>
    <x v="91"/>
    <n v="202405"/>
    <x v="2"/>
    <x v="3"/>
    <s v="Hernán P"/>
    <s v="Daniel R"/>
    <n v="59129"/>
    <n v="1103857"/>
    <n v="18.668595430107523"/>
    <n v="0"/>
    <n v="19"/>
    <n v="21.5"/>
    <m/>
    <n v="0"/>
  </r>
  <r>
    <x v="90"/>
    <n v="202502"/>
    <x v="1"/>
    <x v="2"/>
    <s v="Sebastián S"/>
    <s v="Vik E"/>
    <n v="59116"/>
    <n v="2775224"/>
    <n v="46.945052083333316"/>
    <n v="63926.766446772293"/>
    <n v="47.5"/>
    <n v="43"/>
    <n v="43.412556809216227"/>
    <n v="2931971"/>
  </r>
  <r>
    <x v="87"/>
    <n v="202507"/>
    <x v="1"/>
    <x v="6"/>
    <s v="Fátima L"/>
    <s v="Fátima L"/>
    <n v="58964"/>
    <n v="631090"/>
    <n v="10.702896505376343"/>
    <n v="77401.883683630265"/>
    <n v="11"/>
    <n v="11"/>
    <n v="8.1534144902660692"/>
    <n v="723569"/>
  </r>
  <r>
    <x v="96"/>
    <n v="202407"/>
    <x v="2"/>
    <x v="6"/>
    <s v="Fátima L"/>
    <s v="Fátima L"/>
    <n v="58951"/>
    <n v="669280"/>
    <n v="11.353219086021506"/>
    <n v="0"/>
    <n v="11.5"/>
    <n v="10"/>
    <m/>
    <n v="0"/>
  </r>
  <r>
    <x v="103"/>
    <n v="202510"/>
    <x v="1"/>
    <x v="8"/>
    <s v="María R"/>
    <s v="María R"/>
    <n v="58945"/>
    <n v="3755725"/>
    <n v="63.716182795698955"/>
    <n v="62502.298567141974"/>
    <n v="66"/>
    <n v="65.5"/>
    <n v="60.089383848267282"/>
    <n v="3728861"/>
  </r>
  <r>
    <x v="60"/>
    <n v="202506"/>
    <x v="1"/>
    <x v="11"/>
    <s v="Sofía V"/>
    <s v="Melany A"/>
    <n v="58893"/>
    <n v="7651930"/>
    <n v="129.92870138888892"/>
    <n v="77987.955874729843"/>
    <n v="88.5"/>
    <n v="92.5"/>
    <n v="98.116811297004716"/>
    <n v="5962370"/>
  </r>
  <r>
    <x v="99"/>
    <n v="202504"/>
    <x v="1"/>
    <x v="9"/>
    <s v="Hernán P"/>
    <s v="Daniel R"/>
    <n v="58888"/>
    <n v="2990521"/>
    <n v="50.782958333333326"/>
    <n v="57351.307324359717"/>
    <n v="53.5"/>
    <n v="51"/>
    <n v="52.143899930416929"/>
    <n v="3196285"/>
  </r>
  <r>
    <x v="99"/>
    <n v="202406"/>
    <x v="2"/>
    <x v="11"/>
    <s v="Hernán P"/>
    <s v="Daniel R"/>
    <n v="58850"/>
    <n v="2987857"/>
    <n v="50.770368055555558"/>
    <n v="0"/>
    <n v="53.5"/>
    <n v="51"/>
    <m/>
    <n v="0"/>
  </r>
  <r>
    <x v="93"/>
    <n v="202502"/>
    <x v="1"/>
    <x v="2"/>
    <s v="Hernán P"/>
    <s v="Daniel R"/>
    <n v="58813"/>
    <n v="2174557"/>
    <n v="36.974322916666672"/>
    <n v="57768.367422201816"/>
    <n v="45.5"/>
    <n v="42.5"/>
    <n v="37.642696462359503"/>
    <n v="2245141"/>
  </r>
  <r>
    <x v="75"/>
    <n v="202601"/>
    <x v="0"/>
    <x v="10"/>
    <s v="Hernán P"/>
    <s v="Daniel R"/>
    <n v="58809"/>
    <n v="1535141"/>
    <n v="26.104025537634406"/>
    <n v="65497.882946665741"/>
    <n v="31"/>
    <n v="27"/>
    <n v="27.070532526124346"/>
    <n v="1773063"/>
  </r>
  <r>
    <x v="100"/>
    <n v="202405"/>
    <x v="2"/>
    <x v="3"/>
    <s v="Hernán P"/>
    <s v="Daniel R"/>
    <n v="58798"/>
    <n v="2318569"/>
    <n v="39.433004032258069"/>
    <n v="0"/>
    <n v="41.5"/>
    <n v="43"/>
    <m/>
    <n v="0"/>
  </r>
  <r>
    <x v="80"/>
    <n v="202511"/>
    <x v="1"/>
    <x v="7"/>
    <s v="Fátima L"/>
    <s v="Fátima L"/>
    <n v="58788"/>
    <n v="487732"/>
    <n v="8.2964097222222222"/>
    <n v="60043.768922203024"/>
    <n v="10"/>
    <n v="9"/>
    <n v="8.1229472892006633"/>
    <n v="580756"/>
  </r>
  <r>
    <x v="104"/>
    <n v="202408"/>
    <x v="2"/>
    <x v="5"/>
    <s v="Fátima L"/>
    <s v="Fátima L"/>
    <n v="58786"/>
    <n v="556845"/>
    <n v="9.4724395161290342"/>
    <n v="0"/>
    <n v="11"/>
    <n v="10"/>
    <m/>
    <n v="0"/>
  </r>
  <r>
    <x v="106"/>
    <n v="202601"/>
    <x v="0"/>
    <x v="10"/>
    <s v="María R"/>
    <s v="María R"/>
    <n v="58768"/>
    <n v="3274355"/>
    <n v="55.716518817204324"/>
    <n v="59287.666607148429"/>
    <n v="64.5"/>
    <n v="61"/>
    <n v="55.57085132952011"/>
    <n v="3294666"/>
  </r>
  <r>
    <x v="100"/>
    <n v="202407"/>
    <x v="2"/>
    <x v="6"/>
    <s v="Hernán P"/>
    <s v="Daniel R"/>
    <n v="58759"/>
    <n v="2267360"/>
    <n v="38.587688172043016"/>
    <n v="0"/>
    <n v="41.5"/>
    <n v="43"/>
    <m/>
    <n v="0"/>
  </r>
  <r>
    <x v="81"/>
    <n v="202509"/>
    <x v="1"/>
    <x v="4"/>
    <s v="Fátima L"/>
    <s v="Fátima L"/>
    <n v="58756"/>
    <n v="667524"/>
    <n v="11.360902777777778"/>
    <n v="68893.222491471795"/>
    <n v="11.5"/>
    <n v="12"/>
    <n v="9.6892597828854932"/>
    <n v="855400"/>
  </r>
  <r>
    <x v="96"/>
    <n v="202402"/>
    <x v="2"/>
    <x v="2"/>
    <s v="Fátima L"/>
    <s v="Fátima L"/>
    <n v="58745"/>
    <n v="671131"/>
    <n v="11.424482758620693"/>
    <n v="0"/>
    <n v="11.5"/>
    <n v="10"/>
    <m/>
    <n v="0"/>
  </r>
  <r>
    <x v="91"/>
    <n v="202409"/>
    <x v="2"/>
    <x v="4"/>
    <s v="Hernán P"/>
    <s v="Daniel R"/>
    <n v="58682"/>
    <n v="1066628"/>
    <n v="18.176326388888889"/>
    <n v="0"/>
    <n v="19"/>
    <n v="21.5"/>
    <m/>
    <n v="0"/>
  </r>
  <r>
    <x v="105"/>
    <n v="202606"/>
    <x v="0"/>
    <x v="11"/>
    <s v="María R"/>
    <s v="María R"/>
    <n v="58661"/>
    <n v="2920448"/>
    <n v="49.785458333333416"/>
    <m/>
    <n v="61.5"/>
    <n v="56"/>
    <m/>
    <n v="3350928"/>
  </r>
  <r>
    <x v="95"/>
    <n v="202512"/>
    <x v="1"/>
    <x v="1"/>
    <s v="Fátima L"/>
    <s v="Fátima L"/>
    <n v="58656"/>
    <n v="373185"/>
    <n v="6.3622849462365458"/>
    <n v="55796.735028354677"/>
    <n v="8.5"/>
    <n v="6.5"/>
    <n v="6.6882986936485711"/>
    <n v="396541"/>
  </r>
  <r>
    <x v="86"/>
    <n v="202504"/>
    <x v="1"/>
    <x v="9"/>
    <s v="Sebastián S"/>
    <s v="Vik E"/>
    <n v="58651"/>
    <n v="1919161"/>
    <n v="32.721888888888905"/>
    <n v="53630.960740027491"/>
    <n v="36"/>
    <n v="35"/>
    <n v="35.784578413633248"/>
    <n v="2026039"/>
  </r>
  <r>
    <x v="102"/>
    <n v="202605"/>
    <x v="0"/>
    <x v="3"/>
    <s v="Fátima L"/>
    <s v="Fátima L"/>
    <n v="58631"/>
    <n v="697767"/>
    <n v="11.900940860215069"/>
    <n v="65816.996399954543"/>
    <n v="11"/>
    <n v="12"/>
    <n v="10.653753026634384"/>
    <n v="701198"/>
  </r>
  <r>
    <x v="103"/>
    <n v="202602"/>
    <x v="0"/>
    <x v="2"/>
    <s v="María R"/>
    <s v="María R"/>
    <n v="58628"/>
    <n v="3462166"/>
    <n v="59.053124999999987"/>
    <n v="47730.289879594944"/>
    <n v="66"/>
    <n v="65.5"/>
    <n v="58.116081161406527"/>
    <n v="2773897"/>
  </r>
  <r>
    <x v="96"/>
    <n v="202505"/>
    <x v="1"/>
    <x v="3"/>
    <s v="Fátima L"/>
    <s v="Fátima L"/>
    <n v="58592"/>
    <n v="605059"/>
    <n v="10.326599462365593"/>
    <n v="57487.690511162029"/>
    <n v="11.5"/>
    <n v="10"/>
    <n v="10.525023785440109"/>
    <n v="674475"/>
  </r>
  <r>
    <x v="106"/>
    <n v="202501"/>
    <x v="1"/>
    <x v="10"/>
    <s v="María R"/>
    <s v="María R"/>
    <n v="58583"/>
    <n v="3197874"/>
    <n v="54.587016129032257"/>
    <n v="53493.039269444314"/>
    <n v="64.5"/>
    <n v="61"/>
    <n v="59.781130473673691"/>
    <n v="3002472"/>
  </r>
  <r>
    <x v="95"/>
    <n v="202409"/>
    <x v="2"/>
    <x v="4"/>
    <s v="Fátima L"/>
    <s v="Fátima L"/>
    <n v="58571"/>
    <n v="364024"/>
    <n v="6.2151250000000005"/>
    <n v="0"/>
    <n v="8.5"/>
    <n v="6.5"/>
    <m/>
    <n v="0"/>
  </r>
  <r>
    <x v="86"/>
    <n v="202408"/>
    <x v="2"/>
    <x v="5"/>
    <s v="Sebastián S"/>
    <s v="Vik E"/>
    <n v="58548"/>
    <n v="2007532"/>
    <n v="34.28880376344086"/>
    <n v="0"/>
    <n v="36"/>
    <n v="35"/>
    <m/>
    <n v="0"/>
  </r>
  <r>
    <x v="90"/>
    <n v="202409"/>
    <x v="2"/>
    <x v="4"/>
    <s v="Sebastián S"/>
    <s v="Vik E"/>
    <n v="58532"/>
    <n v="2482785"/>
    <n v="42.417666666666683"/>
    <n v="0"/>
    <n v="47.5"/>
    <n v="43"/>
    <m/>
    <n v="0"/>
  </r>
  <r>
    <x v="102"/>
    <n v="202407"/>
    <x v="2"/>
    <x v="6"/>
    <s v="Fátima L"/>
    <s v="Fátima L"/>
    <n v="58532"/>
    <n v="608138"/>
    <n v="10.389919354838712"/>
    <n v="0"/>
    <n v="11"/>
    <n v="12"/>
    <m/>
    <n v="0"/>
  </r>
  <r>
    <x v="100"/>
    <n v="202402"/>
    <x v="2"/>
    <x v="2"/>
    <s v="Hernán P"/>
    <s v="Daniel R"/>
    <n v="58529"/>
    <n v="2233159"/>
    <n v="38.154525862068986"/>
    <n v="0"/>
    <n v="41.5"/>
    <n v="43"/>
    <m/>
    <n v="0"/>
  </r>
  <r>
    <x v="80"/>
    <n v="202405"/>
    <x v="2"/>
    <x v="3"/>
    <s v="Fátima L"/>
    <s v="Fátima L"/>
    <n v="58460"/>
    <n v="544483"/>
    <n v="9.313716397849463"/>
    <n v="0"/>
    <n v="10"/>
    <n v="9"/>
    <m/>
    <n v="0"/>
  </r>
  <r>
    <x v="92"/>
    <n v="202502"/>
    <x v="1"/>
    <x v="2"/>
    <s v="Fátima L"/>
    <s v="Fátima L"/>
    <n v="58454"/>
    <n v="543513"/>
    <n v="9.2980729166666674"/>
    <n v="58570.610201847376"/>
    <n v="11.5"/>
    <n v="10"/>
    <n v="9.2796168270559889"/>
    <n v="575429"/>
  </r>
  <r>
    <x v="106"/>
    <n v="202508"/>
    <x v="1"/>
    <x v="5"/>
    <s v="María R"/>
    <s v="María R"/>
    <n v="58414"/>
    <n v="3195837"/>
    <n v="54.710409946236588"/>
    <n v="58034.33703917278"/>
    <n v="64.5"/>
    <n v="61"/>
    <n v="55.068037528245256"/>
    <n v="3227369"/>
  </r>
  <r>
    <x v="75"/>
    <n v="202501"/>
    <x v="1"/>
    <x v="10"/>
    <s v="Hernán P"/>
    <s v="Daniel R"/>
    <n v="58410"/>
    <n v="1570142"/>
    <n v="26.881176075268808"/>
    <n v="65964.487108396948"/>
    <n v="31"/>
    <n v="27"/>
    <n v="23.802832839734592"/>
    <n v="1569109"/>
  </r>
  <r>
    <x v="87"/>
    <n v="202511"/>
    <x v="1"/>
    <x v="7"/>
    <s v="Fátima L"/>
    <s v="Fátima L"/>
    <n v="58410"/>
    <n v="644661"/>
    <n v="11.036909722222218"/>
    <n v="82554.291258030789"/>
    <n v="11"/>
    <n v="11"/>
    <n v="7.8089309492713754"/>
    <n v="688718"/>
  </r>
  <r>
    <x v="101"/>
    <n v="202606"/>
    <x v="0"/>
    <x v="11"/>
    <s v="Fátima L"/>
    <s v="Fátima L"/>
    <n v="58340"/>
    <n v="862652"/>
    <n v="14.786624999999999"/>
    <n v="58760.527396708741"/>
    <n v="13.5"/>
    <n v="14.5"/>
    <n v="13.189776457714554"/>
    <n v="775038"/>
  </r>
  <r>
    <x v="99"/>
    <n v="202505"/>
    <x v="1"/>
    <x v="3"/>
    <s v="Hernán P"/>
    <s v="Daniel R"/>
    <n v="58337"/>
    <n v="2996508"/>
    <n v="51.365087365591386"/>
    <n v="58781.59644793794"/>
    <n v="53.5"/>
    <n v="51"/>
    <n v="50.976971383449346"/>
    <n v="3163356"/>
  </r>
  <r>
    <x v="91"/>
    <n v="202407"/>
    <x v="2"/>
    <x v="6"/>
    <s v="Hernán P"/>
    <s v="Daniel R"/>
    <n v="58317"/>
    <n v="1243210"/>
    <n v="21.317963709677418"/>
    <n v="0"/>
    <n v="19"/>
    <n v="21.5"/>
    <m/>
    <n v="0"/>
  </r>
  <r>
    <x v="91"/>
    <n v="202508"/>
    <x v="1"/>
    <x v="5"/>
    <s v="Hernán P"/>
    <s v="Daniel R"/>
    <n v="58305"/>
    <n v="1088181"/>
    <n v="18.663608870967739"/>
    <n v="65394.20270035346"/>
    <n v="19"/>
    <n v="21.5"/>
    <n v="16.640329800887969"/>
    <n v="1277129"/>
  </r>
  <r>
    <x v="99"/>
    <n v="202401"/>
    <x v="2"/>
    <x v="10"/>
    <s v="Hernán P"/>
    <s v="Daniel R"/>
    <n v="58243"/>
    <n v="3044318"/>
    <n v="52.268924731182764"/>
    <n v="0"/>
    <n v="53.5"/>
    <n v="51"/>
    <m/>
    <n v="0"/>
  </r>
  <r>
    <x v="80"/>
    <n v="202410"/>
    <x v="2"/>
    <x v="8"/>
    <s v="Fátima L"/>
    <s v="Fátima L"/>
    <n v="58176"/>
    <n v="510476"/>
    <n v="8.7747446236559163"/>
    <n v="0"/>
    <n v="10"/>
    <n v="9"/>
    <m/>
    <n v="0"/>
  </r>
  <r>
    <x v="103"/>
    <n v="202403"/>
    <x v="2"/>
    <x v="0"/>
    <s v="María R"/>
    <s v="María R"/>
    <n v="58165"/>
    <n v="3667681"/>
    <n v="63.056545698924744"/>
    <n v="0"/>
    <n v="66"/>
    <n v="65.5"/>
    <m/>
    <n v="0"/>
  </r>
  <r>
    <x v="92"/>
    <n v="202602"/>
    <x v="0"/>
    <x v="2"/>
    <s v="Fátima L"/>
    <s v="Fátima L"/>
    <n v="58155"/>
    <n v="565192"/>
    <n v="9.7188020833333333"/>
    <n v="58912.666368867169"/>
    <n v="11.5"/>
    <n v="10"/>
    <n v="10.042294324207418"/>
    <n v="591618"/>
  </r>
  <r>
    <x v="100"/>
    <n v="202404"/>
    <x v="2"/>
    <x v="9"/>
    <s v="Hernán P"/>
    <s v="Daniel R"/>
    <n v="58137"/>
    <n v="2294310"/>
    <n v="39.463958333333331"/>
    <n v="0"/>
    <n v="41.5"/>
    <n v="43"/>
    <m/>
    <n v="0"/>
  </r>
  <r>
    <x v="81"/>
    <n v="202602"/>
    <x v="0"/>
    <x v="2"/>
    <s v="Fátima L"/>
    <s v="Fátima L"/>
    <n v="58115"/>
    <n v="655011"/>
    <n v="11.270937499999999"/>
    <n v="75343.304495281816"/>
    <n v="11.5"/>
    <n v="12"/>
    <n v="10.04229432420742"/>
    <n v="756620"/>
  </r>
  <r>
    <x v="86"/>
    <n v="202603"/>
    <x v="0"/>
    <x v="0"/>
    <s v="Sebastián S"/>
    <s v="Vik E"/>
    <n v="58101"/>
    <n v="2126605"/>
    <n v="36.601673387096767"/>
    <n v="68357.87186025118"/>
    <n v="36"/>
    <n v="35"/>
    <n v="31.443465596679005"/>
    <n v="2149408"/>
  </r>
  <r>
    <x v="100"/>
    <n v="202506"/>
    <x v="1"/>
    <x v="11"/>
    <s v="Hernán P"/>
    <s v="Daniel R"/>
    <n v="58100"/>
    <n v="2162608"/>
    <n v="37.222159722222237"/>
    <n v="63445.652920749097"/>
    <n v="41.5"/>
    <n v="43"/>
    <n v="34.085991245158212"/>
    <n v="2374343"/>
  </r>
  <r>
    <x v="93"/>
    <n v="202501"/>
    <x v="1"/>
    <x v="10"/>
    <s v="Hernán P"/>
    <s v="Daniel R"/>
    <n v="58094"/>
    <n v="2225295"/>
    <n v="38.304818548387104"/>
    <n v="59781.538471576852"/>
    <n v="45.5"/>
    <n v="42.5"/>
    <n v="37.223783744843189"/>
    <n v="2397517"/>
  </r>
  <r>
    <x v="90"/>
    <n v="202504"/>
    <x v="1"/>
    <x v="9"/>
    <s v="Sebastián S"/>
    <s v="Vik E"/>
    <n v="58050"/>
    <n v="2649130"/>
    <n v="45.635041666666659"/>
    <n v="57290.172052808164"/>
    <n v="47.5"/>
    <n v="43"/>
    <n v="46.240569282251769"/>
    <n v="3155897"/>
  </r>
  <r>
    <x v="103"/>
    <n v="202501"/>
    <x v="1"/>
    <x v="10"/>
    <s v="María R"/>
    <s v="María R"/>
    <n v="57965"/>
    <n v="3307978"/>
    <n v="57.068393817204317"/>
    <n v="59840.638207872966"/>
    <n v="66"/>
    <n v="65.5"/>
    <n v="55.279793114986937"/>
    <n v="3540031"/>
  </r>
  <r>
    <x v="92"/>
    <n v="202601"/>
    <x v="0"/>
    <x v="10"/>
    <s v="Fátima L"/>
    <s v="Fátima L"/>
    <n v="57948"/>
    <n v="582226"/>
    <n v="10.047399193548388"/>
    <n v="64228.781300024944"/>
    <n v="11.5"/>
    <n v="10"/>
    <n v="10.042294324207418"/>
    <n v="645004"/>
  </r>
  <r>
    <x v="102"/>
    <n v="202411"/>
    <x v="2"/>
    <x v="7"/>
    <s v="Fátima L"/>
    <s v="Fátima L"/>
    <n v="57942"/>
    <n v="591405"/>
    <n v="10.20682638888889"/>
    <n v="0"/>
    <n v="11"/>
    <n v="12"/>
    <m/>
    <n v="0"/>
  </r>
  <r>
    <x v="100"/>
    <n v="202509"/>
    <x v="1"/>
    <x v="4"/>
    <s v="Hernán P"/>
    <s v="Daniel R"/>
    <n v="57836"/>
    <n v="2057836"/>
    <n v="35.580513888888895"/>
    <n v="67847.081992609921"/>
    <n v="41.5"/>
    <n v="43"/>
    <n v="30.330507658739762"/>
    <n v="2402330"/>
  </r>
  <r>
    <x v="94"/>
    <n v="202410"/>
    <x v="2"/>
    <x v="8"/>
    <s v="Hernán P"/>
    <s v="Daniel R"/>
    <n v="57821"/>
    <n v="2389872"/>
    <n v="41.3323185483871"/>
    <n v="0"/>
    <n v="33"/>
    <n v="31.5"/>
    <m/>
    <n v="0"/>
  </r>
  <r>
    <x v="90"/>
    <n v="202501"/>
    <x v="1"/>
    <x v="10"/>
    <s v="Sebastián S"/>
    <s v="Vik E"/>
    <n v="57805"/>
    <n v="2496107"/>
    <n v="43.181814516129037"/>
    <n v="59437.46708346637"/>
    <n v="47.5"/>
    <n v="43"/>
    <n v="41.995519534753825"/>
    <n v="2731123"/>
  </r>
  <r>
    <x v="103"/>
    <n v="202507"/>
    <x v="1"/>
    <x v="6"/>
    <s v="María R"/>
    <s v="María R"/>
    <n v="57783"/>
    <n v="3540284"/>
    <n v="61.268770161290341"/>
    <n v="60379.600810782933"/>
    <n v="66"/>
    <n v="65.5"/>
    <n v="58.633775852452402"/>
    <n v="3598882"/>
  </r>
  <r>
    <x v="93"/>
    <n v="202507"/>
    <x v="1"/>
    <x v="6"/>
    <s v="Hernán P"/>
    <s v="Daniel R"/>
    <n v="57772"/>
    <n v="2359337"/>
    <n v="40.838743279569897"/>
    <n v="62461.597368737355"/>
    <n v="45.5"/>
    <n v="42.5"/>
    <n v="37.772602837417537"/>
    <n v="2529845"/>
  </r>
  <r>
    <x v="92"/>
    <n v="202408"/>
    <x v="2"/>
    <x v="5"/>
    <s v="Fátima L"/>
    <s v="Fátima L"/>
    <n v="57758"/>
    <n v="633258"/>
    <n v="10.963891129032261"/>
    <n v="0"/>
    <n v="11.5"/>
    <n v="10"/>
    <m/>
    <n v="0"/>
  </r>
  <r>
    <x v="95"/>
    <n v="202511"/>
    <x v="1"/>
    <x v="7"/>
    <s v="Fátima L"/>
    <s v="Fátima L"/>
    <n v="57730"/>
    <n v="317345"/>
    <n v="5.4970902777777795"/>
    <n v="55898.895761410873"/>
    <n v="8.5"/>
    <n v="6.5"/>
    <n v="5.6771239516877046"/>
    <n v="342071"/>
  </r>
  <r>
    <x v="75"/>
    <n v="202506"/>
    <x v="1"/>
    <x v="11"/>
    <s v="Hernán P"/>
    <s v="Daniel R"/>
    <n v="57724"/>
    <n v="1568156"/>
    <n v="27.166562500000015"/>
    <n v="68886.849868990525"/>
    <n v="31"/>
    <n v="27"/>
    <n v="22.764225581258678"/>
    <n v="1473350"/>
  </r>
  <r>
    <x v="93"/>
    <n v="202505"/>
    <x v="1"/>
    <x v="3"/>
    <s v="Hernán P"/>
    <s v="Daniel R"/>
    <n v="57701"/>
    <n v="2363562"/>
    <n v="40.962137096774178"/>
    <n v="51308.0762759996"/>
    <n v="45.5"/>
    <n v="42.5"/>
    <n v="46.066089425878644"/>
    <n v="2133699"/>
  </r>
  <r>
    <x v="94"/>
    <n v="202407"/>
    <x v="2"/>
    <x v="6"/>
    <s v="Hernán P"/>
    <s v="Daniel R"/>
    <n v="57699"/>
    <n v="2389532"/>
    <n v="41.413514784946237"/>
    <n v="0"/>
    <n v="33"/>
    <n v="31.5"/>
    <m/>
    <n v="0"/>
  </r>
  <r>
    <x v="100"/>
    <n v="202601"/>
    <x v="0"/>
    <x v="10"/>
    <s v="Hernán P"/>
    <s v="Daniel R"/>
    <n v="57667"/>
    <n v="2001640"/>
    <n v="34.710450268817205"/>
    <n v="70583.081006143722"/>
    <n v="41.5"/>
    <n v="43"/>
    <n v="33.730466012000377"/>
    <n v="2380800"/>
  </r>
  <r>
    <x v="86"/>
    <n v="202501"/>
    <x v="1"/>
    <x v="10"/>
    <s v="Sebastián S"/>
    <s v="Vik E"/>
    <n v="57665"/>
    <n v="1825356"/>
    <n v="31.654301075268826"/>
    <n v="62357.203358773586"/>
    <n v="36"/>
    <n v="35"/>
    <n v="29.272569032606786"/>
    <n v="1953570"/>
  </r>
  <r>
    <x v="106"/>
    <n v="202502"/>
    <x v="1"/>
    <x v="2"/>
    <s v="María R"/>
    <s v="María R"/>
    <n v="57658"/>
    <n v="3045628"/>
    <n v="52.822239583333342"/>
    <n v="51222.101577207774"/>
    <n v="64.5"/>
    <n v="61"/>
    <n v="59.459259503620387"/>
    <n v="2907850"/>
  </r>
  <r>
    <x v="102"/>
    <n v="202606"/>
    <x v="0"/>
    <x v="11"/>
    <s v="Fátima L"/>
    <s v="Fátima L"/>
    <n v="57650"/>
    <n v="661304"/>
    <n v="11.471006944444442"/>
    <n v="61182.246666545434"/>
    <n v="11"/>
    <n v="12"/>
    <n v="10.653753026634384"/>
    <n v="651821"/>
  </r>
  <r>
    <x v="101"/>
    <n v="202410"/>
    <x v="2"/>
    <x v="8"/>
    <s v="Fátima L"/>
    <s v="Fátima L"/>
    <n v="57637"/>
    <n v="786738"/>
    <n v="13.649905913978499"/>
    <n v="0"/>
    <n v="13.5"/>
    <n v="14.5"/>
    <m/>
    <n v="0"/>
  </r>
  <r>
    <x v="86"/>
    <n v="202601"/>
    <x v="0"/>
    <x v="10"/>
    <s v="Sebastián S"/>
    <s v="Vik E"/>
    <n v="57623"/>
    <n v="1886916"/>
    <n v="32.745651881720427"/>
    <n v="58637.478888291967"/>
    <n v="36"/>
    <n v="35"/>
    <n v="31.443465596679005"/>
    <n v="1843766"/>
  </r>
  <r>
    <x v="92"/>
    <n v="202509"/>
    <x v="1"/>
    <x v="4"/>
    <s v="Fátima L"/>
    <s v="Fátima L"/>
    <n v="57612"/>
    <n v="558835"/>
    <n v="9.7000555555555543"/>
    <n v="60302.037870425396"/>
    <n v="11.5"/>
    <n v="10"/>
    <n v="9.2672667414789931"/>
    <n v="646275"/>
  </r>
  <r>
    <x v="0"/>
    <n v="202411"/>
    <x v="2"/>
    <x v="7"/>
    <s v="Fátima L"/>
    <s v="Fátima L"/>
    <n v="57585"/>
    <n v="768126"/>
    <n v="13.33898611111111"/>
    <n v="0"/>
    <n v="13.5"/>
    <n v="12.5"/>
    <m/>
    <n v="0"/>
  </r>
  <r>
    <x v="96"/>
    <n v="202404"/>
    <x v="2"/>
    <x v="9"/>
    <s v="Fátima L"/>
    <s v="Fátima L"/>
    <n v="57584"/>
    <n v="627401"/>
    <n v="10.895354166666673"/>
    <n v="0"/>
    <n v="11.5"/>
    <n v="10"/>
    <m/>
    <n v="0"/>
  </r>
  <r>
    <x v="105"/>
    <n v="202502"/>
    <x v="1"/>
    <x v="2"/>
    <s v="María R"/>
    <s v="María R"/>
    <n v="57575"/>
    <n v="3074727"/>
    <n v="53.403906249999999"/>
    <n v="56950.110791693412"/>
    <n v="61.5"/>
    <n v="56"/>
    <n v="53.989835441171287"/>
    <n v="2973673"/>
  </r>
  <r>
    <x v="105"/>
    <n v="202408"/>
    <x v="2"/>
    <x v="5"/>
    <s v="María R"/>
    <s v="María R"/>
    <n v="57548"/>
    <n v="3256744"/>
    <n v="56.591989247311844"/>
    <n v="0"/>
    <n v="61.5"/>
    <n v="56"/>
    <m/>
    <n v="0"/>
  </r>
  <r>
    <x v="96"/>
    <n v="202409"/>
    <x v="2"/>
    <x v="4"/>
    <s v="Fátima L"/>
    <s v="Fátima L"/>
    <n v="57516"/>
    <n v="595987"/>
    <n v="10.362041666666668"/>
    <n v="0"/>
    <n v="11.5"/>
    <n v="10"/>
    <m/>
    <n v="0"/>
  </r>
  <r>
    <x v="103"/>
    <n v="202407"/>
    <x v="2"/>
    <x v="6"/>
    <s v="María R"/>
    <s v="María R"/>
    <n v="57504"/>
    <n v="3383213"/>
    <n v="58.834012096774202"/>
    <n v="0"/>
    <n v="66"/>
    <n v="65.5"/>
    <m/>
    <n v="0"/>
  </r>
  <r>
    <x v="75"/>
    <n v="202504"/>
    <x v="1"/>
    <x v="9"/>
    <s v="Hernán P"/>
    <s v="Daniel R"/>
    <n v="57456"/>
    <n v="1540390"/>
    <n v="26.809854166666668"/>
    <n v="64179.430689373774"/>
    <n v="31"/>
    <n v="27"/>
    <n v="24.001305612314241"/>
    <n v="1479918"/>
  </r>
  <r>
    <x v="90"/>
    <n v="202509"/>
    <x v="1"/>
    <x v="4"/>
    <s v="Sebastián S"/>
    <s v="Vik E"/>
    <n v="57431"/>
    <n v="2098240"/>
    <n v="36.534652777777779"/>
    <n v="61458.45580064907"/>
    <n v="47.5"/>
    <n v="43"/>
    <n v="34.140783276527429"/>
    <n v="2940499"/>
  </r>
  <r>
    <x v="92"/>
    <n v="202409"/>
    <x v="2"/>
    <x v="4"/>
    <s v="Fátima L"/>
    <s v="Fátima L"/>
    <n v="57431"/>
    <n v="591814"/>
    <n v="10.304875000000003"/>
    <n v="0"/>
    <n v="11.5"/>
    <n v="10"/>
    <m/>
    <n v="0"/>
  </r>
  <r>
    <x v="94"/>
    <n v="202401"/>
    <x v="2"/>
    <x v="10"/>
    <s v="Hernán P"/>
    <s v="Daniel R"/>
    <n v="57397"/>
    <n v="2468942"/>
    <n v="43.014811827956983"/>
    <n v="0"/>
    <n v="33"/>
    <n v="31.5"/>
    <m/>
    <n v="0"/>
  </r>
  <r>
    <x v="106"/>
    <n v="202512"/>
    <x v="1"/>
    <x v="1"/>
    <s v="María R"/>
    <s v="María R"/>
    <n v="57372"/>
    <n v="3697500"/>
    <n v="64.448172043010715"/>
    <n v="63394.784593261858"/>
    <n v="64.5"/>
    <n v="61"/>
    <n v="58.324990828867044"/>
    <n v="3620998"/>
  </r>
  <r>
    <x v="103"/>
    <n v="202406"/>
    <x v="2"/>
    <x v="11"/>
    <s v="María R"/>
    <s v="María R"/>
    <n v="57347"/>
    <n v="3479178"/>
    <n v="60.668368055555575"/>
    <n v="0"/>
    <n v="66"/>
    <n v="65.5"/>
    <m/>
    <n v="0"/>
  </r>
  <r>
    <x v="98"/>
    <n v="202407"/>
    <x v="2"/>
    <x v="6"/>
    <s v="Hernán P"/>
    <s v="Daniel R"/>
    <n v="57345"/>
    <n v="4910168"/>
    <n v="85.62533602150539"/>
    <n v="0"/>
    <n v="87"/>
    <n v="77.5"/>
    <m/>
    <n v="0"/>
  </r>
  <r>
    <x v="91"/>
    <n v="202507"/>
    <x v="1"/>
    <x v="6"/>
    <s v="Hernán P"/>
    <s v="Daniel R"/>
    <n v="57323"/>
    <n v="1123763"/>
    <n v="19.604045698924729"/>
    <n v="61233.361275843563"/>
    <n v="19"/>
    <n v="21.5"/>
    <n v="18.352132507272994"/>
    <n v="1307076"/>
  </r>
  <r>
    <x v="109"/>
    <n v="202605"/>
    <x v="0"/>
    <x v="3"/>
    <s v="María R"/>
    <s v="María R"/>
    <n v="57323"/>
    <n v="2782428"/>
    <n v="48.539684139785329"/>
    <n v="57934.110457474933"/>
    <n v="59"/>
    <n v="50"/>
    <n v="50.48039166574727"/>
    <n v="2924537"/>
  </r>
  <r>
    <x v="74"/>
    <n v="202509"/>
    <x v="1"/>
    <x v="4"/>
    <s v="Sebastián S"/>
    <s v="Rodolfo O"/>
    <n v="57292"/>
    <n v="1261697"/>
    <n v="22.022340277777776"/>
    <n v="57280.493263868462"/>
    <n v="27"/>
    <n v="27"/>
    <n v="22.026649354918465"/>
    <n v="1428697"/>
  </r>
  <r>
    <x v="94"/>
    <n v="202405"/>
    <x v="2"/>
    <x v="3"/>
    <s v="Hernán P"/>
    <s v="Daniel R"/>
    <n v="57270"/>
    <n v="2437681"/>
    <n v="42.564469086021496"/>
    <n v="0"/>
    <n v="33"/>
    <n v="31.5"/>
    <m/>
    <n v="0"/>
  </r>
  <r>
    <x v="86"/>
    <n v="202510"/>
    <x v="1"/>
    <x v="8"/>
    <s v="Sebastián S"/>
    <s v="Vik E"/>
    <n v="57244"/>
    <n v="1774260"/>
    <n v="30.99456989247312"/>
    <n v="57333.367490909863"/>
    <n v="36"/>
    <n v="35"/>
    <n v="30.946383365346659"/>
    <n v="2036866"/>
  </r>
  <r>
    <x v="80"/>
    <n v="202411"/>
    <x v="2"/>
    <x v="7"/>
    <s v="Fátima L"/>
    <s v="Fátima L"/>
    <n v="57185"/>
    <n v="474693"/>
    <n v="8.3010763888888892"/>
    <n v="0"/>
    <n v="10"/>
    <n v="9"/>
    <m/>
    <n v="0"/>
  </r>
  <r>
    <x v="87"/>
    <n v="202506"/>
    <x v="1"/>
    <x v="11"/>
    <s v="Fátima L"/>
    <s v="Fátima L"/>
    <n v="57155"/>
    <n v="600190"/>
    <n v="10.501166666666666"/>
    <n v="77970.734860945566"/>
    <n v="11"/>
    <n v="11"/>
    <n v="7.6976252830037941"/>
    <n v="700311"/>
  </r>
  <r>
    <x v="80"/>
    <n v="202406"/>
    <x v="2"/>
    <x v="11"/>
    <s v="Fátima L"/>
    <s v="Fátima L"/>
    <n v="57124"/>
    <n v="515248"/>
    <n v="9.019840277777778"/>
    <n v="0"/>
    <n v="10"/>
    <n v="9"/>
    <m/>
    <n v="0"/>
  </r>
  <r>
    <x v="104"/>
    <n v="202511"/>
    <x v="1"/>
    <x v="7"/>
    <s v="Fátima L"/>
    <s v="Fátima L"/>
    <n v="57114"/>
    <n v="516147"/>
    <n v="9.0371944444444452"/>
    <n v="66759.350192462633"/>
    <n v="11"/>
    <n v="10"/>
    <n v="7.7314503288600731"/>
    <n v="535291"/>
  </r>
  <r>
    <x v="96"/>
    <n v="202604"/>
    <x v="0"/>
    <x v="9"/>
    <s v="Fátima L"/>
    <s v="Fátima L"/>
    <n v="57072"/>
    <n v="636295"/>
    <n v="11.149006944444443"/>
    <n v="59235.841919714811"/>
    <n v="11.5"/>
    <n v="10"/>
    <n v="10.042294324207418"/>
    <n v="594864"/>
  </r>
  <r>
    <x v="98"/>
    <n v="202502"/>
    <x v="1"/>
    <x v="2"/>
    <s v="Hernán P"/>
    <s v="Daniel R"/>
    <n v="57065"/>
    <n v="4473828"/>
    <n v="78.39947916666668"/>
    <n v="66711.246981130709"/>
    <n v="87"/>
    <n v="77.5"/>
    <n v="67.062578537400498"/>
    <n v="4829260"/>
  </r>
  <r>
    <x v="104"/>
    <n v="202410"/>
    <x v="2"/>
    <x v="8"/>
    <s v="Fátima L"/>
    <s v="Fátima L"/>
    <n v="57039"/>
    <n v="553456"/>
    <n v="9.7030913978494642"/>
    <n v="0"/>
    <n v="11"/>
    <n v="10"/>
    <m/>
    <n v="0"/>
  </r>
  <r>
    <x v="100"/>
    <n v="202606"/>
    <x v="0"/>
    <x v="11"/>
    <s v="Hernán P"/>
    <s v="Daniel R"/>
    <n v="57038"/>
    <n v="2119703"/>
    <n v="37.16309722222217"/>
    <n v="68114.52959121883"/>
    <n v="41.5"/>
    <n v="43"/>
    <n v="33.730466012000377"/>
    <n v="2297535"/>
  </r>
  <r>
    <x v="103"/>
    <n v="202401"/>
    <x v="2"/>
    <x v="10"/>
    <s v="María R"/>
    <s v="María R"/>
    <n v="56991"/>
    <n v="3349856"/>
    <n v="58.778595430107529"/>
    <n v="0"/>
    <n v="66"/>
    <n v="65.5"/>
    <m/>
    <n v="0"/>
  </r>
  <r>
    <x v="96"/>
    <n v="202501"/>
    <x v="1"/>
    <x v="10"/>
    <s v="Fátima L"/>
    <s v="Fátima L"/>
    <n v="56982"/>
    <n v="634784"/>
    <n v="11.140020161290323"/>
    <n v="71671.405013665382"/>
    <n v="11.5"/>
    <n v="10"/>
    <n v="8.8568678105161656"/>
    <n v="734107"/>
  </r>
  <r>
    <x v="104"/>
    <n v="202405"/>
    <x v="2"/>
    <x v="3"/>
    <s v="Fátima L"/>
    <s v="Fátima L"/>
    <n v="56982"/>
    <n v="532477"/>
    <n v="9.3447177419354865"/>
    <n v="0"/>
    <n v="11"/>
    <n v="10"/>
    <m/>
    <n v="0"/>
  </r>
  <r>
    <x v="105"/>
    <n v="202411"/>
    <x v="2"/>
    <x v="7"/>
    <s v="María R"/>
    <s v="María R"/>
    <n v="56979"/>
    <n v="3297572"/>
    <n v="57.872986111111082"/>
    <n v="0"/>
    <n v="61.5"/>
    <n v="56"/>
    <m/>
    <n v="0"/>
  </r>
  <r>
    <x v="77"/>
    <n v="202402"/>
    <x v="2"/>
    <x v="2"/>
    <s v="Fátima L"/>
    <s v="Fátima L"/>
    <n v="56966"/>
    <n v="1018333"/>
    <n v="17.876048850574712"/>
    <n v="0"/>
    <n v="17"/>
    <n v="13.5"/>
    <m/>
    <n v="0"/>
  </r>
  <r>
    <x v="93"/>
    <n v="202401"/>
    <x v="2"/>
    <x v="10"/>
    <s v="Hernán P"/>
    <s v="Daniel R"/>
    <n v="56935"/>
    <n v="2331547"/>
    <n v="40.951176075268812"/>
    <n v="0"/>
    <n v="45.5"/>
    <n v="42.5"/>
    <m/>
    <n v="0"/>
  </r>
  <r>
    <x v="105"/>
    <n v="202401"/>
    <x v="2"/>
    <x v="10"/>
    <s v="María R"/>
    <s v="María R"/>
    <n v="56917"/>
    <n v="3156556"/>
    <n v="55.459193548387105"/>
    <n v="0"/>
    <n v="61.5"/>
    <n v="56"/>
    <m/>
    <n v="0"/>
  </r>
  <r>
    <x v="80"/>
    <n v="202404"/>
    <x v="2"/>
    <x v="9"/>
    <s v="Fátima L"/>
    <s v="Fátima L"/>
    <n v="56893"/>
    <n v="518613"/>
    <n v="9.1156041666666656"/>
    <n v="0"/>
    <n v="10"/>
    <n v="9"/>
    <m/>
    <n v="0"/>
  </r>
  <r>
    <x v="106"/>
    <n v="202605"/>
    <x v="0"/>
    <x v="3"/>
    <s v="María R"/>
    <s v="María R"/>
    <n v="56854"/>
    <n v="3379480"/>
    <n v="59.441713709677479"/>
    <n v="59289.774383027303"/>
    <n v="64.5"/>
    <n v="61"/>
    <n v="55.57085132952011"/>
    <n v="3294783"/>
  </r>
  <r>
    <x v="89"/>
    <n v="202606"/>
    <x v="0"/>
    <x v="11"/>
    <s v="Sebastián S"/>
    <s v="Rodolfo O"/>
    <n v="56831"/>
    <n v="1748913"/>
    <n v="30.773847222222102"/>
    <n v="57016.047438970345"/>
    <n v="34"/>
    <n v="34"/>
    <n v="29.696606396863505"/>
    <n v="1693183"/>
  </r>
  <r>
    <x v="94"/>
    <n v="202406"/>
    <x v="2"/>
    <x v="11"/>
    <s v="Hernán P"/>
    <s v="Daniel R"/>
    <n v="56817"/>
    <n v="2385451"/>
    <n v="41.984444444444456"/>
    <n v="0"/>
    <n v="33"/>
    <n v="31.5"/>
    <m/>
    <n v="0"/>
  </r>
  <r>
    <x v="99"/>
    <n v="202509"/>
    <x v="1"/>
    <x v="4"/>
    <s v="Hernán P"/>
    <s v="Daniel R"/>
    <n v="56813"/>
    <n v="2755404"/>
    <n v="48.499694444444479"/>
    <n v="57495.340141930727"/>
    <n v="53.5"/>
    <n v="51"/>
    <n v="47.923945544075728"/>
    <n v="3198876"/>
  </r>
  <r>
    <x v="84"/>
    <n v="202402"/>
    <x v="2"/>
    <x v="2"/>
    <s v="Sofía V"/>
    <s v="Melany A"/>
    <n v="56778"/>
    <n v="3143089"/>
    <n v="55.357277298850583"/>
    <n v="0"/>
    <n v="52.5"/>
    <n v="52.5"/>
    <m/>
    <n v="0"/>
  </r>
  <r>
    <x v="109"/>
    <n v="202601"/>
    <x v="0"/>
    <x v="10"/>
    <s v="María R"/>
    <s v="María R"/>
    <n v="56752"/>
    <n v="2589819"/>
    <n v="45.633978494623662"/>
    <n v="61213.66201872666"/>
    <n v="59"/>
    <n v="50"/>
    <n v="50.48039166574727"/>
    <n v="3090090"/>
  </r>
  <r>
    <x v="80"/>
    <n v="202408"/>
    <x v="2"/>
    <x v="5"/>
    <s v="Fátima L"/>
    <s v="Fátima L"/>
    <n v="56731"/>
    <n v="552099"/>
    <n v="9.7318817204301116"/>
    <n v="0"/>
    <n v="10"/>
    <n v="9"/>
    <m/>
    <n v="0"/>
  </r>
  <r>
    <x v="93"/>
    <n v="202404"/>
    <x v="2"/>
    <x v="9"/>
    <s v="Hernán P"/>
    <s v="Daniel R"/>
    <n v="56683"/>
    <n v="2206003"/>
    <n v="38.918006944444457"/>
    <n v="0"/>
    <n v="45.5"/>
    <n v="42.5"/>
    <m/>
    <n v="0"/>
  </r>
  <r>
    <x v="106"/>
    <n v="202606"/>
    <x v="0"/>
    <x v="11"/>
    <s v="María R"/>
    <s v="María R"/>
    <n v="56661"/>
    <n v="3134248"/>
    <n v="55.315749999999838"/>
    <n v="58269.006108961534"/>
    <n v="64.5"/>
    <n v="61"/>
    <n v="55.57085132952011"/>
    <n v="3238058"/>
  </r>
  <r>
    <x v="100"/>
    <n v="202504"/>
    <x v="1"/>
    <x v="9"/>
    <s v="Hernán P"/>
    <s v="Daniel R"/>
    <n v="56630"/>
    <n v="2207757"/>
    <n v="38.985624999999992"/>
    <n v="61043.683825431435"/>
    <n v="41.5"/>
    <n v="43"/>
    <n v="36.166845636537836"/>
    <n v="2448646"/>
  </r>
  <r>
    <x v="90"/>
    <n v="202401"/>
    <x v="2"/>
    <x v="10"/>
    <s v="Sebastián S"/>
    <s v="Vik E"/>
    <n v="56607"/>
    <n v="2510485"/>
    <n v="44.349280913978504"/>
    <n v="0"/>
    <n v="47.5"/>
    <n v="43"/>
    <m/>
    <n v="0"/>
  </r>
  <r>
    <x v="75"/>
    <n v="202402"/>
    <x v="2"/>
    <x v="2"/>
    <s v="Hernán P"/>
    <s v="Daniel R"/>
    <n v="56539"/>
    <n v="1606633"/>
    <n v="28.4165301724138"/>
    <n v="0"/>
    <n v="31"/>
    <n v="27"/>
    <m/>
    <n v="0"/>
  </r>
  <r>
    <x v="99"/>
    <n v="202507"/>
    <x v="1"/>
    <x v="6"/>
    <s v="Hernán P"/>
    <s v="Daniel R"/>
    <n v="56534"/>
    <n v="2843431"/>
    <n v="50.29589381720433"/>
    <n v="62272.786880596235"/>
    <n v="53.5"/>
    <n v="51"/>
    <n v="45.660884351491802"/>
    <n v="3124305"/>
  </r>
  <r>
    <x v="84"/>
    <n v="202405"/>
    <x v="2"/>
    <x v="3"/>
    <s v="Sofía V"/>
    <s v="Melany A"/>
    <n v="56505"/>
    <n v="3238597"/>
    <n v="57.314758064516141"/>
    <n v="0"/>
    <n v="52.5"/>
    <n v="52.5"/>
    <m/>
    <n v="0"/>
  </r>
  <r>
    <x v="102"/>
    <n v="202512"/>
    <x v="1"/>
    <x v="1"/>
    <s v="Fátima L"/>
    <s v="Fátima L"/>
    <n v="56498"/>
    <n v="921392"/>
    <n v="16.308541666666663"/>
    <n v="75830.432717601245"/>
    <n v="11"/>
    <n v="12"/>
    <n v="12.150688146952019"/>
    <n v="941905"/>
  </r>
  <r>
    <x v="106"/>
    <n v="202507"/>
    <x v="1"/>
    <x v="6"/>
    <s v="María R"/>
    <s v="María R"/>
    <n v="56470"/>
    <n v="3163743"/>
    <n v="56.025638440860234"/>
    <n v="55489.753917888673"/>
    <n v="64.5"/>
    <n v="61"/>
    <n v="57.014899627804603"/>
    <n v="3250058"/>
  </r>
  <r>
    <x v="105"/>
    <n v="202407"/>
    <x v="2"/>
    <x v="6"/>
    <s v="María R"/>
    <s v="María R"/>
    <n v="56454"/>
    <n v="3255820"/>
    <n v="57.672426075268831"/>
    <n v="0"/>
    <n v="61.5"/>
    <n v="56"/>
    <m/>
    <n v="0"/>
  </r>
  <r>
    <x v="89"/>
    <n v="202409"/>
    <x v="2"/>
    <x v="4"/>
    <s v="Sebastián S"/>
    <s v="Rodolfo O"/>
    <n v="56439"/>
    <n v="1647954"/>
    <n v="29.198750000000015"/>
    <n v="0"/>
    <n v="34"/>
    <n v="34"/>
    <m/>
    <n v="0"/>
  </r>
  <r>
    <x v="61"/>
    <n v="202402"/>
    <x v="2"/>
    <x v="2"/>
    <s v="Sofía V"/>
    <s v="Joe H"/>
    <n v="56396"/>
    <n v="1917553"/>
    <n v="34.001645114942534"/>
    <n v="0"/>
    <n v="41.5"/>
    <n v="35.5"/>
    <m/>
    <n v="0"/>
  </r>
  <r>
    <x v="86"/>
    <n v="202411"/>
    <x v="2"/>
    <x v="7"/>
    <s v="Sebastián S"/>
    <s v="Vik E"/>
    <n v="56392"/>
    <n v="2028623"/>
    <n v="35.973437499999996"/>
    <n v="0"/>
    <n v="36"/>
    <n v="35"/>
    <m/>
    <n v="0"/>
  </r>
  <r>
    <x v="107"/>
    <n v="202606"/>
    <x v="0"/>
    <x v="11"/>
    <s v="María R"/>
    <s v="María R"/>
    <n v="56387"/>
    <n v="2681039"/>
    <n v="47.547402777777727"/>
    <n v="52244.914385891163"/>
    <n v="57.5"/>
    <n v="57"/>
    <n v="50.0561866937662"/>
    <n v="2615181"/>
  </r>
  <r>
    <x v="104"/>
    <n v="202601"/>
    <x v="0"/>
    <x v="10"/>
    <s v="Fátima L"/>
    <s v="Fátima L"/>
    <n v="56360"/>
    <n v="492038"/>
    <n v="8.7301948924731203"/>
    <n v="52504.135272356085"/>
    <n v="11"/>
    <n v="10"/>
    <n v="10.023956063077975"/>
    <n v="526299"/>
  </r>
  <r>
    <x v="96"/>
    <n v="202509"/>
    <x v="1"/>
    <x v="4"/>
    <s v="Fátima L"/>
    <s v="Fátima L"/>
    <n v="56343"/>
    <n v="568094"/>
    <n v="10.082868055555556"/>
    <n v="60392.157851774697"/>
    <n v="11.5"/>
    <n v="10"/>
    <n v="9.4067516414021615"/>
    <n v="699266"/>
  </r>
  <r>
    <x v="77"/>
    <n v="202509"/>
    <x v="1"/>
    <x v="4"/>
    <s v="Fátima L"/>
    <s v="Fátima L"/>
    <n v="56333"/>
    <n v="889146"/>
    <n v="15.783881944444444"/>
    <n v="67089.793011031026"/>
    <n v="17"/>
    <n v="13.5"/>
    <n v="13.253072041134557"/>
    <n v="1144762"/>
  </r>
  <r>
    <x v="74"/>
    <n v="202510"/>
    <x v="1"/>
    <x v="8"/>
    <s v="Sebastián S"/>
    <s v="Rodolfo O"/>
    <n v="56330"/>
    <n v="1320182"/>
    <n v="23.436639784946234"/>
    <n v="55194.547147635785"/>
    <n v="27"/>
    <n v="27"/>
    <n v="23.918708427278929"/>
    <n v="1410300"/>
  </r>
  <r>
    <x v="104"/>
    <n v="202403"/>
    <x v="2"/>
    <x v="0"/>
    <s v="Fátima L"/>
    <s v="Fátima L"/>
    <n v="56302"/>
    <n v="575259"/>
    <n v="10.217459677419358"/>
    <n v="0"/>
    <n v="11"/>
    <n v="10"/>
    <m/>
    <n v="0"/>
  </r>
  <r>
    <x v="93"/>
    <n v="202410"/>
    <x v="2"/>
    <x v="8"/>
    <s v="Hernán P"/>
    <s v="Daniel R"/>
    <n v="56291"/>
    <n v="2211877"/>
    <n v="39.293756720430125"/>
    <n v="0"/>
    <n v="45.5"/>
    <n v="42.5"/>
    <m/>
    <n v="0"/>
  </r>
  <r>
    <x v="94"/>
    <n v="202408"/>
    <x v="2"/>
    <x v="5"/>
    <s v="Hernán P"/>
    <s v="Daniel R"/>
    <n v="56285"/>
    <n v="2425269"/>
    <n v="43.08871639784946"/>
    <n v="0"/>
    <n v="33"/>
    <n v="31.5"/>
    <m/>
    <n v="0"/>
  </r>
  <r>
    <x v="103"/>
    <n v="202505"/>
    <x v="1"/>
    <x v="3"/>
    <s v="María R"/>
    <s v="María R"/>
    <n v="56243"/>
    <n v="3486990"/>
    <n v="61.998689516129048"/>
    <n v="58345.721622917255"/>
    <n v="66"/>
    <n v="65.5"/>
    <n v="59.764285246758625"/>
    <n v="3708002"/>
  </r>
  <r>
    <x v="96"/>
    <n v="202506"/>
    <x v="1"/>
    <x v="11"/>
    <s v="Fátima L"/>
    <s v="Fátima L"/>
    <n v="56207"/>
    <n v="580203"/>
    <n v="10.322569444444444"/>
    <n v="57488.604841056673"/>
    <n v="11.5"/>
    <n v="10"/>
    <n v="10.092479050485437"/>
    <n v="671559"/>
  </r>
  <r>
    <x v="36"/>
    <n v="202503"/>
    <x v="1"/>
    <x v="0"/>
    <s v="Sebastián S"/>
    <s v="Rodolfo O"/>
    <n v="56192"/>
    <n v="3832333"/>
    <n v="68.200463709677422"/>
    <n v="108413.73374939286"/>
    <n v="81"/>
    <n v="77"/>
    <n v="35.349148004244078"/>
    <n v="7890806"/>
  </r>
  <r>
    <x v="95"/>
    <n v="202506"/>
    <x v="1"/>
    <x v="11"/>
    <s v="Fátima L"/>
    <s v="Fátima L"/>
    <n v="56187"/>
    <n v="330401"/>
    <n v="5.8803402777777789"/>
    <n v="40866.219376944224"/>
    <n v="8.5"/>
    <n v="6.5"/>
    <n v="8.0849365328470899"/>
    <n v="351802"/>
  </r>
  <r>
    <x v="80"/>
    <n v="202503"/>
    <x v="1"/>
    <x v="0"/>
    <s v="Fátima L"/>
    <s v="Fátima L"/>
    <n v="56164"/>
    <n v="462706"/>
    <n v="8.2385483870967757"/>
    <n v="72722.227275524987"/>
    <n v="10"/>
    <n v="9"/>
    <n v="6.3626475334278698"/>
    <n v="579791"/>
  </r>
  <r>
    <x v="100"/>
    <n v="202505"/>
    <x v="1"/>
    <x v="3"/>
    <s v="Hernán P"/>
    <s v="Daniel R"/>
    <n v="56071"/>
    <n v="2246607"/>
    <n v="40.067426075268799"/>
    <n v="61737.566329171008"/>
    <n v="41.5"/>
    <n v="43"/>
    <n v="36.38962180694962"/>
    <n v="2461996"/>
  </r>
  <r>
    <x v="99"/>
    <n v="202411"/>
    <x v="2"/>
    <x v="7"/>
    <s v="Hernán P"/>
    <s v="Daniel R"/>
    <n v="56068"/>
    <n v="2902020"/>
    <n v="51.759361111111112"/>
    <n v="0"/>
    <n v="53.5"/>
    <n v="51"/>
    <m/>
    <n v="0"/>
  </r>
  <r>
    <x v="104"/>
    <n v="202503"/>
    <x v="1"/>
    <x v="0"/>
    <s v="Fátima L"/>
    <s v="Fátima L"/>
    <n v="56015"/>
    <n v="559020"/>
    <n v="9.9797983870967748"/>
    <n v="59116.670979861301"/>
    <n v="11"/>
    <n v="10"/>
    <n v="9.4562112638317508"/>
    <n v="569805"/>
  </r>
  <r>
    <x v="99"/>
    <n v="202405"/>
    <x v="2"/>
    <x v="3"/>
    <s v="Hernán P"/>
    <s v="Daniel R"/>
    <n v="55982"/>
    <n v="2975186"/>
    <n v="53.144959677419365"/>
    <n v="0"/>
    <n v="53.5"/>
    <n v="51"/>
    <m/>
    <n v="0"/>
  </r>
  <r>
    <x v="89"/>
    <n v="202507"/>
    <x v="1"/>
    <x v="6"/>
    <s v="Sebastián S"/>
    <s v="Rodolfo O"/>
    <n v="55949"/>
    <n v="1784607"/>
    <n v="31.896760752688181"/>
    <n v="64146.550653054837"/>
    <n v="34"/>
    <n v="34"/>
    <n v="27.820783687220946"/>
    <n v="1980355"/>
  </r>
  <r>
    <x v="103"/>
    <n v="202404"/>
    <x v="2"/>
    <x v="9"/>
    <s v="María R"/>
    <s v="María R"/>
    <n v="55854"/>
    <n v="3434298"/>
    <n v="61.487222222222243"/>
    <n v="0"/>
    <n v="66"/>
    <n v="65.5"/>
    <m/>
    <n v="0"/>
  </r>
  <r>
    <x v="94"/>
    <n v="202602"/>
    <x v="0"/>
    <x v="2"/>
    <s v="Hernán P"/>
    <s v="Daniel R"/>
    <n v="55835"/>
    <n v="1759321"/>
    <n v="31.509010416666662"/>
    <n v="0"/>
    <n v="33"/>
    <n v="31.5"/>
    <n v="35.22317754154448"/>
    <n v="0"/>
  </r>
  <r>
    <x v="109"/>
    <n v="202408"/>
    <x v="2"/>
    <x v="5"/>
    <s v="María R"/>
    <s v="María R"/>
    <n v="55829"/>
    <n v="2654467"/>
    <n v="47.54608870967742"/>
    <n v="0"/>
    <n v="59"/>
    <n v="50"/>
    <m/>
    <n v="0"/>
  </r>
  <r>
    <x v="93"/>
    <n v="202504"/>
    <x v="1"/>
    <x v="9"/>
    <s v="Hernán P"/>
    <s v="Daniel R"/>
    <n v="55825"/>
    <n v="2270465"/>
    <n v="40.671312499999999"/>
    <n v="59517.507816022735"/>
    <n v="45.5"/>
    <n v="42.5"/>
    <n v="38.147845286437999"/>
    <n v="2359859"/>
  </r>
  <r>
    <x v="92"/>
    <n v="202402"/>
    <x v="2"/>
    <x v="2"/>
    <s v="Fátima L"/>
    <s v="Fátima L"/>
    <n v="55782"/>
    <n v="591880"/>
    <n v="10.610682471264372"/>
    <n v="0"/>
    <n v="11.5"/>
    <n v="10"/>
    <m/>
    <n v="0"/>
  </r>
  <r>
    <x v="104"/>
    <n v="202507"/>
    <x v="1"/>
    <x v="6"/>
    <s v="Fátima L"/>
    <s v="Fátima L"/>
    <n v="55749"/>
    <n v="530101"/>
    <n v="9.5086626344086014"/>
    <n v="62830.530498924185"/>
    <n v="11"/>
    <n v="10"/>
    <n v="8.4369965650548941"/>
    <n v="582630"/>
  </r>
  <r>
    <x v="109"/>
    <n v="202412"/>
    <x v="2"/>
    <x v="1"/>
    <s v="María R"/>
    <s v="María R"/>
    <n v="55741"/>
    <n v="3150704"/>
    <n v="56.524341397849476"/>
    <n v="0"/>
    <n v="59"/>
    <n v="50"/>
    <m/>
    <n v="0"/>
  </r>
  <r>
    <x v="109"/>
    <n v="202604"/>
    <x v="0"/>
    <x v="9"/>
    <s v="María R"/>
    <s v="María R"/>
    <n v="55694"/>
    <n v="2791217"/>
    <n v="50.116840277777619"/>
    <n v="56175.846823394902"/>
    <n v="59"/>
    <n v="50"/>
    <n v="50.48039166574727"/>
    <n v="2835779"/>
  </r>
  <r>
    <x v="101"/>
    <n v="202501"/>
    <x v="1"/>
    <x v="10"/>
    <s v="Fátima L"/>
    <s v="Fátima L"/>
    <n v="55690"/>
    <n v="721674"/>
    <n v="12.958797043010756"/>
    <n v="77679.527704463311"/>
    <n v="13.5"/>
    <n v="14.5"/>
    <n v="9.290395054223973"/>
    <n v="1010802"/>
  </r>
  <r>
    <x v="92"/>
    <n v="202411"/>
    <x v="2"/>
    <x v="7"/>
    <s v="Fátima L"/>
    <s v="Fátima L"/>
    <n v="55652"/>
    <n v="577213"/>
    <n v="10.371812499999999"/>
    <n v="0"/>
    <n v="11.5"/>
    <n v="10"/>
    <m/>
    <n v="0"/>
  </r>
  <r>
    <x v="106"/>
    <n v="202411"/>
    <x v="2"/>
    <x v="7"/>
    <s v="María R"/>
    <s v="María R"/>
    <n v="55642"/>
    <n v="3136557"/>
    <n v="56.370125000000002"/>
    <n v="0"/>
    <n v="64.5"/>
    <n v="61"/>
    <m/>
    <n v="0"/>
  </r>
  <r>
    <x v="103"/>
    <n v="202405"/>
    <x v="2"/>
    <x v="3"/>
    <s v="María R"/>
    <s v="María R"/>
    <n v="55567"/>
    <n v="3517220"/>
    <n v="63.296512096774173"/>
    <n v="0"/>
    <n v="66"/>
    <n v="65.5"/>
    <m/>
    <n v="0"/>
  </r>
  <r>
    <x v="105"/>
    <n v="202410"/>
    <x v="2"/>
    <x v="8"/>
    <s v="María R"/>
    <s v="María R"/>
    <n v="55551"/>
    <n v="3261201"/>
    <n v="58.706290322580656"/>
    <n v="0"/>
    <n v="61.5"/>
    <n v="56"/>
    <m/>
    <n v="0"/>
  </r>
  <r>
    <x v="92"/>
    <n v="202410"/>
    <x v="2"/>
    <x v="8"/>
    <s v="Fátima L"/>
    <s v="Fátima L"/>
    <n v="55547"/>
    <n v="593648"/>
    <n v="10.687372311827961"/>
    <n v="0"/>
    <n v="11.5"/>
    <n v="10"/>
    <m/>
    <n v="0"/>
  </r>
  <r>
    <x v="99"/>
    <n v="202506"/>
    <x v="1"/>
    <x v="11"/>
    <s v="Hernán P"/>
    <s v="Daniel R"/>
    <n v="55536"/>
    <n v="2831452"/>
    <n v="50.984305555555572"/>
    <n v="61792.922311830793"/>
    <n v="53.5"/>
    <n v="51"/>
    <n v="45.821615066389157"/>
    <n v="3122899"/>
  </r>
  <r>
    <x v="74"/>
    <n v="202507"/>
    <x v="1"/>
    <x v="6"/>
    <s v="Sebastián S"/>
    <s v="Rodolfo O"/>
    <n v="55505"/>
    <n v="1362206"/>
    <n v="24.542197580645162"/>
    <n v="63500.178687711879"/>
    <n v="27"/>
    <n v="27"/>
    <n v="21.451996642390629"/>
    <n v="1636044"/>
  </r>
  <r>
    <x v="99"/>
    <n v="202502"/>
    <x v="1"/>
    <x v="2"/>
    <s v="Hernán P"/>
    <s v="Daniel R"/>
    <n v="55474"/>
    <n v="2759308"/>
    <n v="49.740937500000015"/>
    <n v="56581.515085422114"/>
    <n v="53.5"/>
    <n v="51"/>
    <n v="48.766948460715902"/>
    <n v="2867029"/>
  </r>
  <r>
    <x v="74"/>
    <n v="202405"/>
    <x v="2"/>
    <x v="3"/>
    <s v="Sebastián S"/>
    <s v="Rodolfo O"/>
    <n v="55416"/>
    <n v="1447339"/>
    <n v="26.117950268817204"/>
    <n v="0"/>
    <n v="27"/>
    <n v="27"/>
    <m/>
    <n v="0"/>
  </r>
  <r>
    <x v="88"/>
    <n v="202601"/>
    <x v="0"/>
    <x v="10"/>
    <s v="Sofía V"/>
    <s v="José A"/>
    <n v="55382"/>
    <n v="5190041"/>
    <n v="93.712735215053755"/>
    <n v="63106.890682142861"/>
    <n v="84"/>
    <n v="76.5"/>
    <n v="84"/>
    <n v="5300979"/>
  </r>
  <r>
    <x v="89"/>
    <n v="202510"/>
    <x v="1"/>
    <x v="8"/>
    <s v="Sebastián S"/>
    <s v="Rodolfo O"/>
    <n v="55337"/>
    <n v="1548136"/>
    <n v="27.9764314516129"/>
    <n v="62802.03825678015"/>
    <n v="34"/>
    <n v="34"/>
    <n v="24.651048484606509"/>
    <n v="1843702"/>
  </r>
  <r>
    <x v="93"/>
    <n v="202409"/>
    <x v="2"/>
    <x v="4"/>
    <s v="Hernán P"/>
    <s v="Daniel R"/>
    <n v="55292"/>
    <n v="2159285"/>
    <n v="39.052270833333331"/>
    <n v="0"/>
    <n v="45.5"/>
    <n v="42.5"/>
    <m/>
    <n v="0"/>
  </r>
  <r>
    <x v="91"/>
    <n v="202606"/>
    <x v="0"/>
    <x v="11"/>
    <s v="Hernán P"/>
    <s v="Daniel R"/>
    <n v="55283"/>
    <n v="1010006"/>
    <n v="18.269611111111111"/>
    <n v="56402.980724945439"/>
    <n v="19"/>
    <n v="21.5"/>
    <n v="17.464859694273773"/>
    <n v="985070"/>
  </r>
  <r>
    <x v="106"/>
    <n v="202408"/>
    <x v="2"/>
    <x v="5"/>
    <s v="María R"/>
    <s v="María R"/>
    <n v="55271"/>
    <n v="3115724"/>
    <n v="56.371969086021494"/>
    <n v="0"/>
    <n v="64.5"/>
    <n v="61"/>
    <m/>
    <n v="0"/>
  </r>
  <r>
    <x v="84"/>
    <n v="202606"/>
    <x v="0"/>
    <x v="11"/>
    <s v="Sofía V"/>
    <s v="Melany A"/>
    <n v="55258"/>
    <n v="2298744"/>
    <n v="41.599930555555247"/>
    <n v="67502.263150044862"/>
    <n v="52.5"/>
    <n v="52.5"/>
    <n v="46.965208254619732"/>
    <n v="3170258"/>
  </r>
  <r>
    <x v="88"/>
    <n v="202602"/>
    <x v="0"/>
    <x v="2"/>
    <s v="Sofía V"/>
    <s v="José A"/>
    <n v="55258"/>
    <n v="4870628"/>
    <n v="88.143854166666642"/>
    <n v="59438.87782500001"/>
    <n v="84"/>
    <n v="76.5"/>
    <n v="84"/>
    <n v="4992866"/>
  </r>
  <r>
    <x v="95"/>
    <n v="202505"/>
    <x v="1"/>
    <x v="3"/>
    <s v="Fátima L"/>
    <s v="Fátima L"/>
    <n v="55241"/>
    <n v="342288"/>
    <n v="6.1962231182795708"/>
    <n v="45616.301672195514"/>
    <n v="8.5"/>
    <n v="6.5"/>
    <n v="7.5036232103979259"/>
    <n v="352859"/>
  </r>
  <r>
    <x v="75"/>
    <n v="202602"/>
    <x v="0"/>
    <x v="2"/>
    <s v="Hernán P"/>
    <s v="Daniel R"/>
    <n v="55233"/>
    <n v="1400399"/>
    <n v="25.354583333333334"/>
    <n v="56925.586794897972"/>
    <n v="31"/>
    <n v="27"/>
    <n v="27.070532526124346"/>
    <n v="1541006"/>
  </r>
  <r>
    <x v="90"/>
    <n v="202406"/>
    <x v="2"/>
    <x v="11"/>
    <s v="Sebastián S"/>
    <s v="Vik E"/>
    <n v="55151"/>
    <n v="2544770"/>
    <n v="46.141472222222212"/>
    <n v="0"/>
    <n v="47.5"/>
    <n v="43"/>
    <m/>
    <n v="0"/>
  </r>
  <r>
    <x v="90"/>
    <n v="202410"/>
    <x v="2"/>
    <x v="8"/>
    <s v="Sebastián S"/>
    <s v="Vik E"/>
    <n v="55149"/>
    <n v="2375489"/>
    <n v="43.073662634408599"/>
    <n v="0"/>
    <n v="47.5"/>
    <n v="43"/>
    <m/>
    <n v="0"/>
  </r>
  <r>
    <x v="107"/>
    <n v="202604"/>
    <x v="0"/>
    <x v="9"/>
    <s v="María R"/>
    <s v="María R"/>
    <n v="55130"/>
    <n v="2733988"/>
    <n v="49.591888888888555"/>
    <n v="53372.187087369792"/>
    <n v="57.5"/>
    <n v="57"/>
    <n v="50.0561866937662"/>
    <n v="2671608"/>
  </r>
  <r>
    <x v="91"/>
    <n v="202509"/>
    <x v="1"/>
    <x v="4"/>
    <s v="Hernán P"/>
    <s v="Daniel R"/>
    <n v="55080"/>
    <n v="945510"/>
    <n v="17.166236111111107"/>
    <n v="61616.363699577174"/>
    <n v="19"/>
    <n v="21.5"/>
    <n v="15.345104177358136"/>
    <n v="1176892"/>
  </r>
  <r>
    <x v="106"/>
    <n v="202505"/>
    <x v="1"/>
    <x v="3"/>
    <s v="María R"/>
    <s v="María R"/>
    <n v="55072"/>
    <n v="3181146"/>
    <n v="57.762889784946239"/>
    <n v="53285.707219435528"/>
    <n v="64.5"/>
    <n v="61"/>
    <n v="59.699798989243831"/>
    <n v="3165167"/>
  </r>
  <r>
    <x v="107"/>
    <n v="202412"/>
    <x v="2"/>
    <x v="1"/>
    <s v="María R"/>
    <s v="María R"/>
    <n v="55028"/>
    <n v="3151150"/>
    <n v="57.264845430107535"/>
    <n v="0"/>
    <n v="57.5"/>
    <n v="57"/>
    <m/>
    <n v="0"/>
  </r>
  <r>
    <x v="106"/>
    <n v="202410"/>
    <x v="2"/>
    <x v="8"/>
    <s v="María R"/>
    <s v="María R"/>
    <n v="55027"/>
    <n v="3140591"/>
    <n v="57.073944892473115"/>
    <n v="0"/>
    <n v="64.5"/>
    <n v="61"/>
    <m/>
    <n v="0"/>
  </r>
  <r>
    <x v="93"/>
    <n v="202402"/>
    <x v="2"/>
    <x v="2"/>
    <s v="Hernán P"/>
    <s v="Daniel R"/>
    <n v="55017"/>
    <n v="2302839"/>
    <n v="41.856479885057482"/>
    <n v="0"/>
    <n v="45.5"/>
    <n v="42.5"/>
    <m/>
    <n v="0"/>
  </r>
  <r>
    <x v="109"/>
    <n v="202603"/>
    <x v="0"/>
    <x v="0"/>
    <s v="María R"/>
    <s v="María R"/>
    <n v="55004"/>
    <n v="2824445"/>
    <n v="51.349422043010733"/>
    <n v="54536.795588454879"/>
    <n v="59"/>
    <n v="50"/>
    <n v="50.48039166574727"/>
    <n v="2753039"/>
  </r>
  <r>
    <x v="106"/>
    <n v="202504"/>
    <x v="1"/>
    <x v="9"/>
    <s v="María R"/>
    <s v="María R"/>
    <n v="54943"/>
    <n v="3165034"/>
    <n v="57.606256944444439"/>
    <n v="50339.24238998512"/>
    <n v="64.5"/>
    <n v="61"/>
    <n v="62.874095233298064"/>
    <n v="3203237"/>
  </r>
  <r>
    <x v="106"/>
    <n v="202509"/>
    <x v="1"/>
    <x v="4"/>
    <s v="María R"/>
    <s v="María R"/>
    <n v="54941"/>
    <n v="3015727"/>
    <n v="54.890451388888884"/>
    <n v="53403.904909693978"/>
    <n v="64.5"/>
    <n v="61"/>
    <n v="56.470155789161758"/>
    <n v="3161416"/>
  </r>
  <r>
    <x v="94"/>
    <n v="202404"/>
    <x v="2"/>
    <x v="9"/>
    <s v="Hernán P"/>
    <s v="Daniel R"/>
    <n v="54861"/>
    <n v="2440753"/>
    <n v="44.489569444444442"/>
    <n v="0"/>
    <n v="33"/>
    <n v="31.5"/>
    <m/>
    <n v="0"/>
  </r>
  <r>
    <x v="107"/>
    <n v="202603"/>
    <x v="0"/>
    <x v="0"/>
    <s v="María R"/>
    <s v="María R"/>
    <n v="54817"/>
    <n v="2853791"/>
    <n v="52.059912634408605"/>
    <n v="56039.920217281389"/>
    <n v="57.5"/>
    <n v="57"/>
    <n v="50.0561866937662"/>
    <n v="2805145"/>
  </r>
  <r>
    <x v="86"/>
    <n v="202509"/>
    <x v="1"/>
    <x v="4"/>
    <s v="Sebastián S"/>
    <s v="Vik E"/>
    <n v="54760"/>
    <n v="1695303"/>
    <n v="30.959055555555565"/>
    <n v="53979.9669529038"/>
    <n v="36"/>
    <n v="35"/>
    <n v="31.406143161945799"/>
    <n v="2029304"/>
  </r>
  <r>
    <x v="99"/>
    <n v="202409"/>
    <x v="2"/>
    <x v="4"/>
    <s v="Hernán P"/>
    <s v="Daniel R"/>
    <n v="54757"/>
    <n v="2890424"/>
    <n v="52.785930555555538"/>
    <n v="0"/>
    <n v="53.5"/>
    <n v="51"/>
    <m/>
    <n v="0"/>
  </r>
  <r>
    <x v="86"/>
    <n v="202602"/>
    <x v="0"/>
    <x v="2"/>
    <s v="Sebastián S"/>
    <s v="Vik E"/>
    <n v="54754"/>
    <n v="1815700"/>
    <n v="33.161145833333336"/>
    <n v="59108.477291901916"/>
    <n v="36"/>
    <n v="35"/>
    <n v="31.443465596679005"/>
    <n v="1858575"/>
  </r>
  <r>
    <x v="96"/>
    <n v="202406"/>
    <x v="2"/>
    <x v="11"/>
    <s v="Fátima L"/>
    <s v="Fátima L"/>
    <n v="54751"/>
    <n v="640162"/>
    <n v="11.692236111111113"/>
    <n v="0"/>
    <n v="11.5"/>
    <n v="10"/>
    <m/>
    <n v="0"/>
  </r>
  <r>
    <x v="96"/>
    <n v="202405"/>
    <x v="2"/>
    <x v="3"/>
    <s v="Fátima L"/>
    <s v="Fátima L"/>
    <n v="54750"/>
    <n v="635133"/>
    <n v="11.600571236559141"/>
    <n v="0"/>
    <n v="11.5"/>
    <n v="10"/>
    <m/>
    <n v="0"/>
  </r>
  <r>
    <x v="93"/>
    <n v="202406"/>
    <x v="2"/>
    <x v="11"/>
    <s v="Hernán P"/>
    <s v="Daniel R"/>
    <n v="54747"/>
    <n v="2220043"/>
    <n v="40.551048611111128"/>
    <n v="0"/>
    <n v="45.5"/>
    <n v="42.5"/>
    <m/>
    <n v="0"/>
  </r>
  <r>
    <x v="91"/>
    <n v="202505"/>
    <x v="1"/>
    <x v="3"/>
    <s v="Hernán P"/>
    <s v="Daniel R"/>
    <n v="54738"/>
    <n v="1067583"/>
    <n v="19.503326612903223"/>
    <n v="62085.559159461867"/>
    <n v="19"/>
    <n v="21.5"/>
    <n v="17.195345656113009"/>
    <n v="1171700"/>
  </r>
  <r>
    <x v="93"/>
    <n v="202506"/>
    <x v="1"/>
    <x v="11"/>
    <s v="Hernán P"/>
    <s v="Daniel R"/>
    <n v="54738"/>
    <n v="2169032"/>
    <n v="39.625736111111124"/>
    <n v="57484.22109511825"/>
    <n v="45.5"/>
    <n v="42.5"/>
    <n v="37.732646605943167"/>
    <n v="2307512"/>
  </r>
  <r>
    <x v="96"/>
    <n v="202510"/>
    <x v="1"/>
    <x v="8"/>
    <s v="Fátima L"/>
    <s v="Fátima L"/>
    <n v="54715"/>
    <n v="568557"/>
    <n v="10.39133064516129"/>
    <n v="56102.540840978269"/>
    <n v="11.5"/>
    <n v="10"/>
    <n v="10.134250275964613"/>
    <n v="695088"/>
  </r>
  <r>
    <x v="95"/>
    <n v="202603"/>
    <x v="0"/>
    <x v="0"/>
    <s v="Fátima L"/>
    <s v="Fátima L"/>
    <n v="54713"/>
    <n v="375877"/>
    <n v="6.8700201612903236"/>
    <n v="50698.007931001353"/>
    <n v="8.5"/>
    <n v="6.5"/>
    <n v="7.4225653700663532"/>
    <n v="376309"/>
  </r>
  <r>
    <x v="109"/>
    <n v="202403"/>
    <x v="2"/>
    <x v="0"/>
    <s v="María R"/>
    <s v="María R"/>
    <n v="54675"/>
    <n v="2570339"/>
    <n v="47.011491935483868"/>
    <n v="0"/>
    <n v="59"/>
    <n v="50"/>
    <m/>
    <n v="0"/>
  </r>
  <r>
    <x v="80"/>
    <n v="202509"/>
    <x v="1"/>
    <x v="4"/>
    <s v="Fátima L"/>
    <s v="Fátima L"/>
    <n v="54656"/>
    <n v="453369"/>
    <n v="8.2949513888888884"/>
    <n v="71412.670009578025"/>
    <n v="10"/>
    <n v="9"/>
    <n v="6.3485742787546418"/>
    <n v="574601"/>
  </r>
  <r>
    <x v="95"/>
    <n v="202601"/>
    <x v="0"/>
    <x v="10"/>
    <s v="Fátima L"/>
    <s v="Fátima L"/>
    <n v="54648"/>
    <n v="321626"/>
    <n v="5.8854099462365586"/>
    <n v="46630.070271365752"/>
    <n v="8.5"/>
    <n v="6.5"/>
    <n v="7.4225653700663532"/>
    <n v="346115"/>
  </r>
  <r>
    <x v="91"/>
    <n v="202402"/>
    <x v="2"/>
    <x v="2"/>
    <s v="Hernán P"/>
    <s v="Daniel R"/>
    <n v="54634"/>
    <n v="1172583"/>
    <n v="21.462392241379312"/>
    <n v="0"/>
    <n v="19"/>
    <n v="21.5"/>
    <m/>
    <n v="0"/>
  </r>
  <r>
    <x v="104"/>
    <n v="202401"/>
    <x v="2"/>
    <x v="10"/>
    <s v="Fátima L"/>
    <s v="Fátima L"/>
    <n v="54625"/>
    <n v="486420"/>
    <n v="8.9046774193548401"/>
    <n v="0"/>
    <n v="11"/>
    <n v="10"/>
    <m/>
    <n v="0"/>
  </r>
  <r>
    <x v="99"/>
    <n v="202404"/>
    <x v="2"/>
    <x v="9"/>
    <s v="Hernán P"/>
    <s v="Daniel R"/>
    <n v="54620"/>
    <n v="2996906"/>
    <n v="54.867993055555537"/>
    <n v="0"/>
    <n v="53.5"/>
    <n v="51"/>
    <m/>
    <n v="0"/>
  </r>
  <r>
    <x v="86"/>
    <n v="202410"/>
    <x v="2"/>
    <x v="8"/>
    <s v="Sebastián S"/>
    <s v="Vik E"/>
    <n v="54603"/>
    <n v="1898947"/>
    <n v="34.777204301075272"/>
    <n v="0"/>
    <n v="36"/>
    <n v="35"/>
    <m/>
    <n v="0"/>
  </r>
  <r>
    <x v="74"/>
    <n v="202505"/>
    <x v="1"/>
    <x v="3"/>
    <s v="Sebastián S"/>
    <s v="Rodolfo O"/>
    <n v="54591"/>
    <n v="1403201"/>
    <n v="25.703689516129039"/>
    <n v="58186.27809068199"/>
    <n v="27"/>
    <n v="27"/>
    <n v="24.115662249665533"/>
    <n v="1547223"/>
  </r>
  <r>
    <x v="107"/>
    <n v="202510"/>
    <x v="1"/>
    <x v="8"/>
    <s v="María R"/>
    <s v="María R"/>
    <n v="54563"/>
    <n v="2662103"/>
    <n v="48.789388440860229"/>
    <n v="51810.929622653406"/>
    <n v="57.5"/>
    <n v="57"/>
    <n v="51.381115710304549"/>
    <n v="2570315"/>
  </r>
  <r>
    <x v="90"/>
    <n v="202404"/>
    <x v="2"/>
    <x v="9"/>
    <s v="Sebastián S"/>
    <s v="Vik E"/>
    <n v="54562"/>
    <n v="2718814"/>
    <n v="49.829743055555547"/>
    <n v="0"/>
    <n v="47.5"/>
    <n v="43"/>
    <m/>
    <n v="0"/>
  </r>
  <r>
    <x v="74"/>
    <n v="202409"/>
    <x v="2"/>
    <x v="4"/>
    <s v="Sebastián S"/>
    <s v="Rodolfo O"/>
    <n v="54553"/>
    <n v="1445590"/>
    <n v="26.498888888888899"/>
    <n v="0"/>
    <n v="27"/>
    <n v="27"/>
    <m/>
    <n v="0"/>
  </r>
  <r>
    <x v="109"/>
    <n v="202401"/>
    <x v="2"/>
    <x v="10"/>
    <s v="María R"/>
    <s v="María R"/>
    <n v="54535"/>
    <n v="2430254"/>
    <n v="44.56342069892473"/>
    <n v="0"/>
    <n v="59"/>
    <n v="50"/>
    <m/>
    <n v="0"/>
  </r>
  <r>
    <x v="91"/>
    <n v="202504"/>
    <x v="1"/>
    <x v="9"/>
    <s v="Hernán P"/>
    <s v="Daniel R"/>
    <n v="54531"/>
    <n v="1072879"/>
    <n v="19.674715277777775"/>
    <n v="53486.495884827869"/>
    <n v="19"/>
    <n v="21.5"/>
    <n v="20.058872473347723"/>
    <n v="1107928"/>
  </r>
  <r>
    <x v="80"/>
    <n v="202510"/>
    <x v="1"/>
    <x v="8"/>
    <s v="Fátima L"/>
    <s v="Fátima L"/>
    <n v="54457"/>
    <n v="450664"/>
    <n v="8.2755712365591414"/>
    <n v="61084.352079602824"/>
    <n v="10"/>
    <n v="9"/>
    <n v="7.3777357810509532"/>
    <n v="585311"/>
  </r>
  <r>
    <x v="103"/>
    <n v="202411"/>
    <x v="2"/>
    <x v="7"/>
    <s v="María R"/>
    <s v="María R"/>
    <n v="54426"/>
    <n v="3198692"/>
    <n v="58.771659722222232"/>
    <n v="0"/>
    <n v="66"/>
    <n v="65.5"/>
    <m/>
    <n v="0"/>
  </r>
  <r>
    <x v="107"/>
    <n v="202605"/>
    <x v="0"/>
    <x v="3"/>
    <s v="María R"/>
    <s v="María R"/>
    <n v="54416"/>
    <n v="2772388"/>
    <n v="50.947862903226302"/>
    <n v="54864.194755810524"/>
    <n v="57.5"/>
    <n v="57"/>
    <n v="50.0561866937662"/>
    <n v="2746292"/>
  </r>
  <r>
    <x v="94"/>
    <n v="202501"/>
    <x v="1"/>
    <x v="10"/>
    <s v="Hernán P"/>
    <s v="Daniel R"/>
    <n v="54377"/>
    <n v="2323976"/>
    <n v="42.738481182795688"/>
    <n v="60267.34859072676"/>
    <n v="33"/>
    <n v="31.5"/>
    <n v="38.561109528511537"/>
    <n v="2556852"/>
  </r>
  <r>
    <x v="103"/>
    <n v="202506"/>
    <x v="1"/>
    <x v="11"/>
    <s v="María R"/>
    <s v="María R"/>
    <n v="54325"/>
    <n v="3346172"/>
    <n v="61.595722222222236"/>
    <n v="60214.846840032507"/>
    <n v="66"/>
    <n v="65.5"/>
    <n v="55.570547889783413"/>
    <n v="3664909"/>
  </r>
  <r>
    <x v="107"/>
    <n v="202509"/>
    <x v="1"/>
    <x v="4"/>
    <s v="María R"/>
    <s v="María R"/>
    <n v="54276"/>
    <n v="2492819"/>
    <n v="45.928215277777817"/>
    <n v="52875.23445373532"/>
    <n v="57.5"/>
    <n v="57"/>
    <n v="47.145309250234398"/>
    <n v="2630822"/>
  </r>
  <r>
    <x v="107"/>
    <n v="202401"/>
    <x v="2"/>
    <x v="10"/>
    <s v="María R"/>
    <s v="María R"/>
    <n v="54253"/>
    <n v="2344371"/>
    <n v="43.212063172043024"/>
    <n v="0"/>
    <n v="57.5"/>
    <n v="57"/>
    <m/>
    <n v="0"/>
  </r>
  <r>
    <x v="105"/>
    <n v="202402"/>
    <x v="2"/>
    <x v="2"/>
    <s v="María R"/>
    <s v="María R"/>
    <n v="54238"/>
    <n v="3077062"/>
    <n v="56.732385057471255"/>
    <n v="0"/>
    <n v="61.5"/>
    <n v="56"/>
    <m/>
    <n v="0"/>
  </r>
  <r>
    <x v="101"/>
    <n v="202411"/>
    <x v="2"/>
    <x v="7"/>
    <s v="Fátima L"/>
    <s v="Fátima L"/>
    <n v="54237"/>
    <n v="757352"/>
    <n v="13.963881944444443"/>
    <n v="0"/>
    <n v="13.5"/>
    <n v="14.5"/>
    <m/>
    <n v="0"/>
  </r>
  <r>
    <x v="95"/>
    <n v="202504"/>
    <x v="1"/>
    <x v="9"/>
    <s v="Fátima L"/>
    <s v="Fátima L"/>
    <n v="54128"/>
    <n v="346279"/>
    <n v="6.3973680555555568"/>
    <n v="64222.911977981268"/>
    <n v="8.5"/>
    <n v="6.5"/>
    <n v="5.391831035607999"/>
    <n v="359515"/>
  </r>
  <r>
    <x v="86"/>
    <n v="202506"/>
    <x v="1"/>
    <x v="11"/>
    <s v="Sebastián S"/>
    <s v="Vik E"/>
    <n v="54122"/>
    <n v="1763184"/>
    <n v="32.57814583333333"/>
    <n v="66342.482761722946"/>
    <n v="36"/>
    <n v="35"/>
    <n v="26.576990438128263"/>
    <n v="2106136"/>
  </r>
  <r>
    <x v="99"/>
    <n v="202410"/>
    <x v="2"/>
    <x v="8"/>
    <s v="Hernán P"/>
    <s v="Daniel R"/>
    <n v="54118"/>
    <n v="2957039"/>
    <n v="54.641021505376337"/>
    <n v="0"/>
    <n v="53.5"/>
    <n v="51"/>
    <m/>
    <n v="0"/>
  </r>
  <r>
    <x v="105"/>
    <n v="202406"/>
    <x v="2"/>
    <x v="11"/>
    <s v="María R"/>
    <s v="María R"/>
    <n v="54045"/>
    <n v="3246931"/>
    <n v="60.077791666666684"/>
    <n v="0"/>
    <n v="61.5"/>
    <n v="56"/>
    <m/>
    <n v="0"/>
  </r>
  <r>
    <x v="99"/>
    <n v="202402"/>
    <x v="2"/>
    <x v="2"/>
    <s v="Hernán P"/>
    <s v="Daniel R"/>
    <n v="53887"/>
    <n v="2932153"/>
    <n v="54.412830459770142"/>
    <n v="0"/>
    <n v="53.5"/>
    <n v="51"/>
    <m/>
    <n v="0"/>
  </r>
  <r>
    <x v="89"/>
    <n v="202505"/>
    <x v="1"/>
    <x v="3"/>
    <s v="Sebastián S"/>
    <s v="Rodolfo O"/>
    <n v="53885"/>
    <n v="1738341"/>
    <n v="32.260168010752693"/>
    <n v="54247.377692088216"/>
    <n v="34"/>
    <n v="34"/>
    <n v="32.044700480582506"/>
    <n v="1739433"/>
  </r>
  <r>
    <x v="99"/>
    <n v="202501"/>
    <x v="1"/>
    <x v="10"/>
    <s v="Hernán P"/>
    <s v="Daniel R"/>
    <n v="53855"/>
    <n v="2882393"/>
    <n v="53.520880376344081"/>
    <n v="61155.528804919173"/>
    <n v="53.5"/>
    <n v="51"/>
    <n v="47.132171633975773"/>
    <n v="3149800"/>
  </r>
  <r>
    <x v="105"/>
    <n v="202405"/>
    <x v="2"/>
    <x v="3"/>
    <s v="María R"/>
    <s v="María R"/>
    <n v="53815"/>
    <n v="3280617"/>
    <n v="60.961344086021519"/>
    <n v="0"/>
    <n v="61.5"/>
    <n v="56"/>
    <m/>
    <n v="0"/>
  </r>
  <r>
    <x v="109"/>
    <n v="202406"/>
    <x v="2"/>
    <x v="11"/>
    <s v="María R"/>
    <s v="María R"/>
    <n v="53781"/>
    <n v="2516142"/>
    <n v="46.78464583333335"/>
    <n v="0"/>
    <n v="59"/>
    <n v="50"/>
    <m/>
    <n v="0"/>
  </r>
  <r>
    <x v="107"/>
    <n v="202507"/>
    <x v="1"/>
    <x v="6"/>
    <s v="María R"/>
    <s v="María R"/>
    <n v="53781"/>
    <n v="2573263"/>
    <n v="47.846740591397847"/>
    <n v="53596.349625762043"/>
    <n v="57.5"/>
    <n v="57"/>
    <n v="48.011899466435203"/>
    <n v="2579991"/>
  </r>
  <r>
    <x v="89"/>
    <n v="202404"/>
    <x v="2"/>
    <x v="9"/>
    <s v="Sebastián S"/>
    <s v="Rodolfo O"/>
    <n v="53774"/>
    <n v="1657576"/>
    <n v="30.82459722222222"/>
    <n v="0"/>
    <n v="34"/>
    <n v="34"/>
    <m/>
    <n v="0"/>
  </r>
  <r>
    <x v="89"/>
    <n v="202402"/>
    <x v="2"/>
    <x v="2"/>
    <s v="Sebastián S"/>
    <s v="Rodolfo O"/>
    <n v="53716"/>
    <n v="1790619"/>
    <n v="33.334985632183908"/>
    <n v="0"/>
    <n v="34"/>
    <n v="34"/>
    <m/>
    <n v="0"/>
  </r>
  <r>
    <x v="93"/>
    <n v="202411"/>
    <x v="2"/>
    <x v="7"/>
    <s v="Hernán P"/>
    <s v="Daniel R"/>
    <n v="53700"/>
    <n v="2250447"/>
    <n v="41.90763888888889"/>
    <n v="0"/>
    <n v="45.5"/>
    <n v="42.5"/>
    <m/>
    <n v="0"/>
  </r>
  <r>
    <x v="89"/>
    <n v="202401"/>
    <x v="2"/>
    <x v="10"/>
    <s v="Sebastián S"/>
    <s v="Rodolfo O"/>
    <n v="53650"/>
    <n v="1779408"/>
    <n v="33.167063172043008"/>
    <n v="0"/>
    <n v="34"/>
    <n v="34"/>
    <m/>
    <n v="0"/>
  </r>
  <r>
    <x v="106"/>
    <n v="202506"/>
    <x v="1"/>
    <x v="11"/>
    <s v="María R"/>
    <s v="María R"/>
    <n v="53643"/>
    <n v="3113046"/>
    <n v="58.03243055555555"/>
    <n v="54262.754302781417"/>
    <n v="64.5"/>
    <n v="61"/>
    <n v="57.369853226201428"/>
    <n v="3071716"/>
  </r>
  <r>
    <x v="74"/>
    <n v="202502"/>
    <x v="1"/>
    <x v="2"/>
    <s v="Sebastián S"/>
    <s v="Rodolfo O"/>
    <n v="53609"/>
    <n v="1411073"/>
    <n v="26.321406249999995"/>
    <n v="56236.871779005509"/>
    <n v="27"/>
    <n v="27"/>
    <n v="25.09160227732982"/>
    <n v="1396558"/>
  </r>
  <r>
    <x v="80"/>
    <n v="202504"/>
    <x v="1"/>
    <x v="9"/>
    <s v="Fátima L"/>
    <s v="Fátima L"/>
    <n v="53572"/>
    <n v="430969"/>
    <n v="8.0446527777777774"/>
    <n v="59737.554641880131"/>
    <n v="10"/>
    <n v="9"/>
    <n v="7.2143679563652778"/>
    <n v="551154"/>
  </r>
  <r>
    <x v="74"/>
    <n v="202402"/>
    <x v="2"/>
    <x v="2"/>
    <s v="Sebastián S"/>
    <s v="Rodolfo O"/>
    <n v="53559"/>
    <n v="1425920"/>
    <n v="26.623383620689665"/>
    <n v="0"/>
    <n v="27"/>
    <n v="27"/>
    <m/>
    <n v="0"/>
  </r>
  <r>
    <x v="84"/>
    <n v="202404"/>
    <x v="2"/>
    <x v="9"/>
    <s v="Sofía V"/>
    <s v="Melany A"/>
    <n v="53553"/>
    <n v="3078507"/>
    <n v="57.484729166666675"/>
    <n v="0"/>
    <n v="52.5"/>
    <n v="52.5"/>
    <m/>
    <n v="0"/>
  </r>
  <r>
    <x v="105"/>
    <n v="202404"/>
    <x v="2"/>
    <x v="9"/>
    <s v="María R"/>
    <s v="María R"/>
    <n v="53534"/>
    <n v="3131815"/>
    <n v="58.501090277777777"/>
    <n v="0"/>
    <n v="61.5"/>
    <n v="56"/>
    <m/>
    <n v="0"/>
  </r>
  <r>
    <x v="107"/>
    <n v="202601"/>
    <x v="0"/>
    <x v="10"/>
    <s v="María R"/>
    <s v="María R"/>
    <n v="53519"/>
    <n v="2681978"/>
    <n v="50.112426075268793"/>
    <n v="51215.621253451733"/>
    <n v="57.5"/>
    <n v="57"/>
    <n v="50.0561866937662"/>
    <n v="2563659"/>
  </r>
  <r>
    <x v="94"/>
    <n v="202409"/>
    <x v="2"/>
    <x v="4"/>
    <s v="Hernán P"/>
    <s v="Daniel R"/>
    <n v="53519"/>
    <n v="2328091"/>
    <n v="43.500381944444456"/>
    <n v="0"/>
    <n v="33"/>
    <n v="31.5"/>
    <m/>
    <n v="0"/>
  </r>
  <r>
    <x v="104"/>
    <n v="202409"/>
    <x v="2"/>
    <x v="4"/>
    <s v="Fátima L"/>
    <s v="Fátima L"/>
    <n v="53489"/>
    <n v="529924"/>
    <n v="9.9070902777777778"/>
    <n v="0"/>
    <n v="11"/>
    <n v="10"/>
    <m/>
    <n v="0"/>
  </r>
  <r>
    <x v="96"/>
    <n v="202408"/>
    <x v="2"/>
    <x v="5"/>
    <s v="Fátima L"/>
    <s v="Fátima L"/>
    <n v="53448"/>
    <n v="633471"/>
    <n v="11.852016129032259"/>
    <n v="0"/>
    <n v="11.5"/>
    <n v="10"/>
    <m/>
    <n v="0"/>
  </r>
  <r>
    <x v="96"/>
    <n v="202410"/>
    <x v="2"/>
    <x v="8"/>
    <s v="Fátima L"/>
    <s v="Fátima L"/>
    <n v="53431"/>
    <n v="598666"/>
    <n v="11.204469086021508"/>
    <n v="0"/>
    <n v="11.5"/>
    <n v="10"/>
    <m/>
    <n v="0"/>
  </r>
  <r>
    <x v="105"/>
    <n v="202605"/>
    <x v="0"/>
    <x v="3"/>
    <s v="María R"/>
    <s v="María R"/>
    <n v="53403"/>
    <n v="2960325"/>
    <n v="55.434072580645747"/>
    <m/>
    <n v="61.5"/>
    <n v="56"/>
    <m/>
    <n v="3412716"/>
  </r>
  <r>
    <x v="104"/>
    <n v="202404"/>
    <x v="2"/>
    <x v="9"/>
    <s v="Fátima L"/>
    <s v="Fátima L"/>
    <n v="53335"/>
    <n v="525366"/>
    <n v="9.8502638888888896"/>
    <n v="0"/>
    <n v="11"/>
    <n v="10"/>
    <m/>
    <n v="0"/>
  </r>
  <r>
    <x v="75"/>
    <n v="202502"/>
    <x v="1"/>
    <x v="2"/>
    <s v="Hernán P"/>
    <s v="Daniel R"/>
    <n v="53309"/>
    <n v="1474871"/>
    <n v="27.666249999999998"/>
    <n v="59365.626336662026"/>
    <n v="31"/>
    <n v="27"/>
    <n v="24.843858660498526"/>
    <n v="1345655"/>
  </r>
  <r>
    <x v="95"/>
    <n v="202411"/>
    <x v="2"/>
    <x v="7"/>
    <s v="Fátima L"/>
    <s v="Fátima L"/>
    <n v="53237"/>
    <n v="359070"/>
    <n v="6.7447430555555572"/>
    <n v="0"/>
    <n v="8.5"/>
    <n v="6.5"/>
    <m/>
    <n v="0"/>
  </r>
  <r>
    <x v="109"/>
    <n v="202511"/>
    <x v="1"/>
    <x v="7"/>
    <s v="María R"/>
    <s v="María R"/>
    <n v="53230"/>
    <n v="2621750"/>
    <n v="49.253604166666669"/>
    <n v="50430.615561054263"/>
    <n v="59"/>
    <n v="50"/>
    <n v="51.987275206386393"/>
    <n v="2853496"/>
  </r>
  <r>
    <x v="95"/>
    <n v="202412"/>
    <x v="2"/>
    <x v="1"/>
    <s v="Fátima L"/>
    <s v="Fátima L"/>
    <n v="53140"/>
    <n v="399382"/>
    <n v="7.5156854838709695"/>
    <n v="0"/>
    <n v="8.5"/>
    <n v="6.5"/>
    <m/>
    <n v="0"/>
  </r>
  <r>
    <x v="86"/>
    <n v="202402"/>
    <x v="2"/>
    <x v="2"/>
    <s v="Sebastián S"/>
    <s v="Vik E"/>
    <n v="53122"/>
    <n v="1960581"/>
    <n v="36.907399425287373"/>
    <n v="0"/>
    <n v="36"/>
    <n v="35"/>
    <m/>
    <n v="0"/>
  </r>
  <r>
    <x v="108"/>
    <n v="202601"/>
    <x v="0"/>
    <x v="10"/>
    <s v="María R"/>
    <s v="María R"/>
    <n v="53103"/>
    <n v="5276274"/>
    <n v="99.358319892473077"/>
    <n v="51233.575784599387"/>
    <n v="22"/>
    <n v="20"/>
    <n v="96.1"/>
    <n v="4923547"/>
  </r>
  <r>
    <x v="74"/>
    <n v="202406"/>
    <x v="2"/>
    <x v="11"/>
    <s v="Sebastián S"/>
    <s v="Rodolfo O"/>
    <n v="53053"/>
    <n v="1402574"/>
    <n v="26.437250000000006"/>
    <n v="0"/>
    <n v="27"/>
    <n v="27"/>
    <m/>
    <n v="0"/>
  </r>
  <r>
    <x v="94"/>
    <n v="202402"/>
    <x v="2"/>
    <x v="2"/>
    <s v="Hernán P"/>
    <s v="Daniel R"/>
    <n v="53038"/>
    <n v="2344665"/>
    <n v="44.207212643678176"/>
    <n v="0"/>
    <n v="33"/>
    <n v="31.5"/>
    <m/>
    <n v="0"/>
  </r>
  <r>
    <x v="99"/>
    <n v="202602"/>
    <x v="0"/>
    <x v="2"/>
    <s v="Hernán P"/>
    <s v="Daniel R"/>
    <n v="52977"/>
    <n v="2741153"/>
    <n v="51.742447916666656"/>
    <n v="63745.587844146408"/>
    <n v="53.5"/>
    <n v="51"/>
    <n v="45.515809558361951"/>
    <n v="2901432"/>
  </r>
  <r>
    <x v="89"/>
    <n v="202502"/>
    <x v="1"/>
    <x v="2"/>
    <s v="Sebastián S"/>
    <s v="Rodolfo O"/>
    <n v="52929"/>
    <n v="1785735"/>
    <n v="33.738593749999993"/>
    <n v="56401.699261114212"/>
    <n v="34"/>
    <n v="34"/>
    <n v="31.661009036852963"/>
    <n v="1691534"/>
  </r>
  <r>
    <x v="109"/>
    <n v="202509"/>
    <x v="1"/>
    <x v="4"/>
    <s v="María R"/>
    <s v="María R"/>
    <n v="52904"/>
    <n v="2612982"/>
    <n v="49.390736111111117"/>
    <n v="52429.70740386242"/>
    <n v="59"/>
    <n v="50"/>
    <n v="49.837808551407377"/>
    <n v="2630808"/>
  </r>
  <r>
    <x v="104"/>
    <n v="202605"/>
    <x v="0"/>
    <x v="3"/>
    <s v="Fátima L"/>
    <s v="Fátima L"/>
    <n v="52881"/>
    <n v="539280"/>
    <n v="10.197936827956996"/>
    <n v="52188.079587348715"/>
    <n v="11"/>
    <n v="10"/>
    <n v="10.023956063077975"/>
    <n v="523131"/>
  </r>
  <r>
    <x v="90"/>
    <n v="202405"/>
    <x v="2"/>
    <x v="3"/>
    <s v="Sebastián S"/>
    <s v="Vik E"/>
    <n v="52881"/>
    <n v="2649087"/>
    <n v="50.095490591397841"/>
    <n v="0"/>
    <n v="47.5"/>
    <n v="43"/>
    <m/>
    <n v="0"/>
  </r>
  <r>
    <x v="106"/>
    <n v="202407"/>
    <x v="2"/>
    <x v="6"/>
    <s v="María R"/>
    <s v="María R"/>
    <n v="52847"/>
    <n v="3087122"/>
    <n v="58.415799731182794"/>
    <n v="0"/>
    <n v="64.5"/>
    <n v="61"/>
    <m/>
    <n v="0"/>
  </r>
  <r>
    <x v="100"/>
    <n v="202502"/>
    <x v="1"/>
    <x v="2"/>
    <s v="Hernán P"/>
    <s v="Daniel R"/>
    <n v="52766"/>
    <n v="1998079"/>
    <n v="37.866927083333337"/>
    <n v="61455.796357597523"/>
    <n v="41.5"/>
    <n v="43"/>
    <n v="32.512464216940963"/>
    <n v="2186118"/>
  </r>
  <r>
    <x v="105"/>
    <n v="202409"/>
    <x v="2"/>
    <x v="4"/>
    <s v="María R"/>
    <s v="María R"/>
    <n v="52747"/>
    <n v="3137886"/>
    <n v="59.4895"/>
    <n v="0"/>
    <n v="61.5"/>
    <n v="56"/>
    <m/>
    <n v="0"/>
  </r>
  <r>
    <x v="104"/>
    <n v="202501"/>
    <x v="1"/>
    <x v="10"/>
    <s v="Fátima L"/>
    <s v="Fátima L"/>
    <n v="52727"/>
    <n v="508066"/>
    <n v="9.6358198924731191"/>
    <n v="57356.487713959672"/>
    <n v="11"/>
    <n v="10"/>
    <n v="8.8580315889242431"/>
    <n v="499820"/>
  </r>
  <r>
    <x v="74"/>
    <n v="202401"/>
    <x v="2"/>
    <x v="10"/>
    <s v="Sebastián S"/>
    <s v="Rodolfo O"/>
    <n v="52682"/>
    <n v="1441504"/>
    <n v="27.362237903225807"/>
    <n v="0"/>
    <n v="27"/>
    <n v="27"/>
    <m/>
    <n v="0"/>
  </r>
  <r>
    <x v="109"/>
    <n v="202506"/>
    <x v="1"/>
    <x v="11"/>
    <s v="María R"/>
    <s v="María R"/>
    <n v="52605"/>
    <n v="2630192"/>
    <n v="49.998763888888881"/>
    <n v="56470.440791873014"/>
    <n v="59"/>
    <n v="50"/>
    <n v="46.576442526698443"/>
    <n v="2664799"/>
  </r>
  <r>
    <x v="96"/>
    <n v="202502"/>
    <x v="1"/>
    <x v="2"/>
    <s v="Fátima L"/>
    <s v="Fátima L"/>
    <n v="52597"/>
    <n v="612858"/>
    <n v="11.65203125"/>
    <n v="61682.201320515516"/>
    <n v="11.5"/>
    <n v="10"/>
    <n v="9.9357274364357568"/>
    <n v="656556"/>
  </r>
  <r>
    <x v="104"/>
    <n v="202510"/>
    <x v="1"/>
    <x v="8"/>
    <s v="Fátima L"/>
    <s v="Fátima L"/>
    <n v="52574"/>
    <n v="515069"/>
    <n v="9.7971303763440876"/>
    <n v="59891.098225540569"/>
    <n v="11"/>
    <n v="10"/>
    <n v="8.6001007705740911"/>
    <n v="570134"/>
  </r>
  <r>
    <x v="74"/>
    <n v="202410"/>
    <x v="2"/>
    <x v="8"/>
    <s v="Sebastián S"/>
    <s v="Rodolfo O"/>
    <n v="52566"/>
    <n v="1389080"/>
    <n v="26.425329301075269"/>
    <n v="0"/>
    <n v="27"/>
    <n v="27"/>
    <m/>
    <n v="0"/>
  </r>
  <r>
    <x v="109"/>
    <n v="202405"/>
    <x v="2"/>
    <x v="3"/>
    <s v="María R"/>
    <s v="María R"/>
    <n v="52505"/>
    <n v="2592295"/>
    <n v="49.372345430107522"/>
    <n v="0"/>
    <n v="59"/>
    <n v="50"/>
    <m/>
    <n v="0"/>
  </r>
  <r>
    <x v="102"/>
    <n v="202501"/>
    <x v="1"/>
    <x v="10"/>
    <s v="Fátima L"/>
    <s v="Fátima L"/>
    <n v="52483"/>
    <n v="548450"/>
    <n v="10.449946236559143"/>
    <n v="74799.0883853165"/>
    <n v="11"/>
    <n v="12"/>
    <n v="7.3323029977951437"/>
    <n v="734740"/>
  </r>
  <r>
    <x v="109"/>
    <n v="202404"/>
    <x v="2"/>
    <x v="9"/>
    <s v="María R"/>
    <s v="María R"/>
    <n v="52435"/>
    <n v="2473562"/>
    <n v="47.17421527777779"/>
    <n v="0"/>
    <n v="59"/>
    <n v="50"/>
    <m/>
    <n v="0"/>
  </r>
  <r>
    <x v="106"/>
    <n v="202511"/>
    <x v="1"/>
    <x v="7"/>
    <s v="María R"/>
    <s v="María R"/>
    <n v="52428"/>
    <n v="3117185"/>
    <n v="59.456104166666677"/>
    <n v="58424.288965121152"/>
    <n v="64.5"/>
    <n v="61"/>
    <n v="53.354272259281331"/>
    <n v="2911116"/>
  </r>
  <r>
    <x v="86"/>
    <n v="202405"/>
    <x v="2"/>
    <x v="3"/>
    <s v="Sebastián S"/>
    <s v="Vik E"/>
    <n v="52428"/>
    <n v="1946892"/>
    <n v="37.134670698924729"/>
    <n v="0"/>
    <n v="36"/>
    <n v="35"/>
    <m/>
    <n v="0"/>
  </r>
  <r>
    <x v="74"/>
    <n v="202506"/>
    <x v="1"/>
    <x v="11"/>
    <s v="Sebastián S"/>
    <s v="Rodolfo O"/>
    <n v="52369"/>
    <n v="1342678"/>
    <n v="25.6388125"/>
    <n v="55705.595022175126"/>
    <n v="27"/>
    <n v="27"/>
    <n v="24.103102739778841"/>
    <n v="1455251"/>
  </r>
  <r>
    <x v="89"/>
    <n v="202501"/>
    <x v="1"/>
    <x v="10"/>
    <s v="Sebastián S"/>
    <s v="Rodolfo O"/>
    <n v="52324"/>
    <n v="1721569"/>
    <n v="32.902305107526885"/>
    <n v="56332.356932189366"/>
    <n v="34"/>
    <n v="34"/>
    <n v="30.560925083826262"/>
    <n v="1757393"/>
  </r>
  <r>
    <x v="104"/>
    <n v="202504"/>
    <x v="1"/>
    <x v="9"/>
    <s v="Fátima L"/>
    <s v="Fátima L"/>
    <n v="52319"/>
    <n v="505348"/>
    <n v="9.6589305555555569"/>
    <n v="56001.942457830388"/>
    <n v="11"/>
    <n v="10"/>
    <n v="9.0237628878771226"/>
    <n v="557384"/>
  </r>
  <r>
    <x v="86"/>
    <n v="202502"/>
    <x v="1"/>
    <x v="2"/>
    <s v="Sebastián S"/>
    <s v="Vik E"/>
    <n v="52294"/>
    <n v="1822181"/>
    <n v="34.844947916666669"/>
    <n v="55777.710460670605"/>
    <n v="36"/>
    <n v="35"/>
    <n v="32.66861663826873"/>
    <n v="1889604"/>
  </r>
  <r>
    <x v="109"/>
    <n v="202510"/>
    <x v="1"/>
    <x v="8"/>
    <s v="María R"/>
    <s v="María R"/>
    <n v="52289"/>
    <n v="2690444"/>
    <n v="51.453010752688165"/>
    <n v="53969.594142716662"/>
    <n v="59"/>
    <n v="50"/>
    <n v="49.851113441494775"/>
    <n v="2591051"/>
  </r>
  <r>
    <x v="95"/>
    <n v="202501"/>
    <x v="1"/>
    <x v="10"/>
    <s v="Fátima L"/>
    <s v="Fátima L"/>
    <n v="52250"/>
    <n v="334725"/>
    <n v="6.4062231182795717"/>
    <n v="45144.947732618435"/>
    <n v="8.5"/>
    <n v="6.5"/>
    <n v="7.414459796974179"/>
    <n v="330888"/>
  </r>
  <r>
    <x v="80"/>
    <n v="202505"/>
    <x v="1"/>
    <x v="3"/>
    <s v="Fátima L"/>
    <s v="Fátima L"/>
    <n v="52242"/>
    <n v="451697"/>
    <n v="8.6461760752688193"/>
    <n v="61383.33250430593"/>
    <n v="10"/>
    <n v="9"/>
    <n v="7.3586223095384105"/>
    <n v="576186"/>
  </r>
  <r>
    <x v="74"/>
    <n v="202501"/>
    <x v="1"/>
    <x v="10"/>
    <s v="Sebastián S"/>
    <s v="Rodolfo O"/>
    <n v="52238"/>
    <n v="1401792"/>
    <n v="26.83488575268818"/>
    <n v="55316.356061707957"/>
    <n v="27"/>
    <n v="27"/>
    <n v="25.341357236840341"/>
    <n v="1489176"/>
  </r>
  <r>
    <x v="106"/>
    <n v="202403"/>
    <x v="2"/>
    <x v="0"/>
    <s v="María R"/>
    <s v="María R"/>
    <n v="52083"/>
    <n v="3110147"/>
    <n v="59.714892473118269"/>
    <n v="0"/>
    <n v="64.5"/>
    <n v="61"/>
    <m/>
    <n v="0"/>
  </r>
  <r>
    <x v="108"/>
    <n v="202402"/>
    <x v="2"/>
    <x v="2"/>
    <s v="María R"/>
    <s v="María R"/>
    <n v="52000"/>
    <n v="4655588"/>
    <n v="89.530000000000072"/>
    <n v="0"/>
    <n v="22"/>
    <n v="20"/>
    <m/>
    <n v="0"/>
  </r>
  <r>
    <x v="109"/>
    <n v="202407"/>
    <x v="2"/>
    <x v="6"/>
    <s v="María R"/>
    <s v="María R"/>
    <n v="51986"/>
    <n v="2520235"/>
    <n v="48.479186827956987"/>
    <n v="0"/>
    <n v="59"/>
    <n v="50"/>
    <m/>
    <n v="0"/>
  </r>
  <r>
    <x v="109"/>
    <n v="202504"/>
    <x v="1"/>
    <x v="9"/>
    <s v="María R"/>
    <s v="María R"/>
    <n v="51892"/>
    <n v="2724024"/>
    <n v="52.493874999999996"/>
    <n v="55056.33982900557"/>
    <n v="59"/>
    <n v="50"/>
    <n v="49.477025506241361"/>
    <n v="2640198"/>
  </r>
  <r>
    <x v="94"/>
    <n v="202502"/>
    <x v="1"/>
    <x v="2"/>
    <s v="Hernán P"/>
    <s v="Daniel R"/>
    <n v="51814"/>
    <n v="2187190"/>
    <n v="42.212187499999999"/>
    <n v="55689.97495597729"/>
    <n v="33"/>
    <n v="31.5"/>
    <n v="39.274389541905258"/>
    <n v="2295554"/>
  </r>
  <r>
    <x v="109"/>
    <n v="202505"/>
    <x v="1"/>
    <x v="3"/>
    <s v="María R"/>
    <s v="María R"/>
    <n v="51812"/>
    <n v="2785143"/>
    <n v="53.754778225806469"/>
    <n v="55130.252407254789"/>
    <n v="59"/>
    <n v="50"/>
    <n v="50.519327018961611"/>
    <n v="2743378"/>
  </r>
  <r>
    <x v="109"/>
    <n v="202402"/>
    <x v="2"/>
    <x v="2"/>
    <s v="María R"/>
    <s v="María R"/>
    <n v="51722"/>
    <n v="2385344"/>
    <n v="46.11873563218392"/>
    <n v="0"/>
    <n v="59"/>
    <n v="50"/>
    <m/>
    <n v="0"/>
  </r>
  <r>
    <x v="109"/>
    <n v="202602"/>
    <x v="0"/>
    <x v="2"/>
    <s v="María R"/>
    <s v="María R"/>
    <n v="51681"/>
    <n v="2534449"/>
    <n v="49.039791666666666"/>
    <n v="48630.034641068596"/>
    <n v="59"/>
    <n v="50"/>
    <n v="50.48039166574727"/>
    <n v="2454863"/>
  </r>
  <r>
    <x v="106"/>
    <n v="202406"/>
    <x v="2"/>
    <x v="11"/>
    <s v="María R"/>
    <s v="María R"/>
    <n v="51679"/>
    <n v="2960686"/>
    <n v="57.290138888888897"/>
    <n v="0"/>
    <n v="64.5"/>
    <n v="61"/>
    <m/>
    <n v="0"/>
  </r>
  <r>
    <x v="106"/>
    <n v="202510"/>
    <x v="1"/>
    <x v="8"/>
    <s v="María R"/>
    <s v="María R"/>
    <n v="51664"/>
    <n v="3131366"/>
    <n v="60.609932795698924"/>
    <n v="57778.033649377001"/>
    <n v="64.5"/>
    <n v="61"/>
    <n v="54.196476969128639"/>
    <n v="3087451"/>
  </r>
  <r>
    <x v="89"/>
    <n v="202405"/>
    <x v="2"/>
    <x v="3"/>
    <s v="Sebastián S"/>
    <s v="Rodolfo O"/>
    <n v="51664"/>
    <n v="1686671"/>
    <n v="32.646814516129034"/>
    <n v="0"/>
    <n v="34"/>
    <n v="34"/>
    <m/>
    <n v="0"/>
  </r>
  <r>
    <x v="74"/>
    <n v="202411"/>
    <x v="2"/>
    <x v="7"/>
    <s v="Sebastián S"/>
    <s v="Rodolfo O"/>
    <n v="51596"/>
    <n v="1493207"/>
    <n v="28.940576388888896"/>
    <n v="0"/>
    <n v="27"/>
    <n v="27"/>
    <m/>
    <n v="0"/>
  </r>
  <r>
    <x v="74"/>
    <n v="202404"/>
    <x v="2"/>
    <x v="9"/>
    <s v="Sebastián S"/>
    <s v="Rodolfo O"/>
    <n v="51501"/>
    <n v="1352943"/>
    <n v="26.270173611111115"/>
    <n v="0"/>
    <n v="27"/>
    <n v="27"/>
    <m/>
    <n v="0"/>
  </r>
  <r>
    <x v="109"/>
    <n v="202507"/>
    <x v="1"/>
    <x v="6"/>
    <s v="María R"/>
    <s v="María R"/>
    <n v="51476"/>
    <n v="2602056"/>
    <n v="50.549126344086012"/>
    <n v="54585.21864013531"/>
    <n v="59"/>
    <n v="50"/>
    <n v="47.669610653290754"/>
    <n v="3096765"/>
  </r>
  <r>
    <x v="107"/>
    <n v="202511"/>
    <x v="1"/>
    <x v="7"/>
    <s v="María R"/>
    <s v="María R"/>
    <n v="51460"/>
    <n v="2609914"/>
    <n v="50.716944444444444"/>
    <n v="49860.834530312073"/>
    <n v="57.5"/>
    <n v="57"/>
    <n v="52.343971066375659"/>
    <n v="2458458"/>
  </r>
  <r>
    <x v="107"/>
    <n v="202506"/>
    <x v="1"/>
    <x v="11"/>
    <s v="María R"/>
    <s v="María R"/>
    <n v="51448"/>
    <n v="2482002"/>
    <n v="48.242590277777779"/>
    <n v="53028.421315840475"/>
    <n v="57.5"/>
    <n v="57"/>
    <n v="46.805120318725841"/>
    <n v="2615883"/>
  </r>
  <r>
    <x v="86"/>
    <n v="202409"/>
    <x v="2"/>
    <x v="4"/>
    <s v="Sebastián S"/>
    <s v="Vik E"/>
    <n v="51409"/>
    <n v="1889631"/>
    <n v="36.756465277777771"/>
    <n v="0"/>
    <n v="36"/>
    <n v="35"/>
    <m/>
    <n v="0"/>
  </r>
  <r>
    <x v="109"/>
    <n v="202410"/>
    <x v="2"/>
    <x v="8"/>
    <s v="María R"/>
    <s v="María R"/>
    <n v="51400"/>
    <n v="2699500"/>
    <n v="52.519852150537631"/>
    <n v="0"/>
    <n v="59"/>
    <n v="50"/>
    <m/>
    <n v="0"/>
  </r>
  <r>
    <x v="104"/>
    <n v="202602"/>
    <x v="0"/>
    <x v="2"/>
    <s v="Fátima L"/>
    <s v="Fátima L"/>
    <n v="51398"/>
    <n v="486083"/>
    <n v="9.4572395833333331"/>
    <n v="50066.15874430495"/>
    <n v="11"/>
    <n v="10"/>
    <n v="10.023956063077975"/>
    <n v="501861"/>
  </r>
  <r>
    <x v="104"/>
    <n v="202606"/>
    <x v="0"/>
    <x v="11"/>
    <s v="Fátima L"/>
    <s v="Fátima L"/>
    <n v="51190"/>
    <n v="496952"/>
    <n v="9.7079305555555635"/>
    <n v="51008.839871450517"/>
    <n v="11"/>
    <n v="10"/>
    <n v="10.023956063077975"/>
    <n v="511310"/>
  </r>
  <r>
    <x v="107"/>
    <n v="202408"/>
    <x v="2"/>
    <x v="5"/>
    <s v="María R"/>
    <s v="María R"/>
    <n v="51122"/>
    <n v="2482164"/>
    <n v="48.55365591397851"/>
    <n v="0"/>
    <n v="57.5"/>
    <n v="57"/>
    <m/>
    <n v="0"/>
  </r>
  <r>
    <x v="86"/>
    <n v="202404"/>
    <x v="2"/>
    <x v="9"/>
    <s v="Sebastián S"/>
    <s v="Vik E"/>
    <n v="51077"/>
    <n v="1954585"/>
    <n v="38.267347222222227"/>
    <n v="0"/>
    <n v="36"/>
    <n v="35"/>
    <m/>
    <n v="0"/>
  </r>
  <r>
    <x v="95"/>
    <n v="202503"/>
    <x v="1"/>
    <x v="0"/>
    <s v="Fátima L"/>
    <s v="Fátima L"/>
    <n v="51045"/>
    <n v="357973"/>
    <n v="7.0129368279569899"/>
    <n v="50850.588520463476"/>
    <n v="8.5"/>
    <n v="6.5"/>
    <n v="7.0396923696555325"/>
    <n v="344829"/>
  </r>
  <r>
    <x v="107"/>
    <n v="202407"/>
    <x v="2"/>
    <x v="6"/>
    <s v="María R"/>
    <s v="María R"/>
    <n v="51044"/>
    <n v="2428296"/>
    <n v="47.572479838709675"/>
    <n v="0"/>
    <n v="57.5"/>
    <n v="57"/>
    <m/>
    <n v="0"/>
  </r>
  <r>
    <x v="42"/>
    <n v="202510"/>
    <x v="1"/>
    <x v="8"/>
    <s v="Hernán P"/>
    <s v="Daniel R"/>
    <n v="51017"/>
    <n v="757672"/>
    <n v="14.851337365591393"/>
    <n v="48929.796208572559"/>
    <n v="22.5"/>
    <n v="21"/>
    <n v="15.484880557652003"/>
    <n v="646148"/>
  </r>
  <r>
    <x v="106"/>
    <n v="202401"/>
    <x v="2"/>
    <x v="10"/>
    <s v="María R"/>
    <s v="María R"/>
    <n v="50946"/>
    <n v="2884543"/>
    <n v="56.619885752688184"/>
    <n v="0"/>
    <n v="64.5"/>
    <n v="61"/>
    <m/>
    <n v="0"/>
  </r>
  <r>
    <x v="91"/>
    <n v="202404"/>
    <x v="2"/>
    <x v="9"/>
    <s v="Hernán P"/>
    <s v="Daniel R"/>
    <n v="50940"/>
    <n v="1034075"/>
    <n v="20.300048611111112"/>
    <n v="0"/>
    <n v="19"/>
    <n v="21.5"/>
    <m/>
    <n v="0"/>
  </r>
  <r>
    <x v="106"/>
    <n v="202603"/>
    <x v="0"/>
    <x v="0"/>
    <s v="María R"/>
    <s v="María R"/>
    <n v="50926"/>
    <n v="3225829"/>
    <n v="63.343319892473112"/>
    <n v="60844.93826179429"/>
    <n v="64.5"/>
    <n v="61"/>
    <n v="55.57085132952011"/>
    <n v="3381205"/>
  </r>
  <r>
    <x v="0"/>
    <n v="202510"/>
    <x v="1"/>
    <x v="8"/>
    <s v="Fátima L"/>
    <s v="Fátima L"/>
    <n v="50913"/>
    <n v="898074"/>
    <n v="17.639529569892471"/>
    <n v="64949.849021566639"/>
    <n v="13.5"/>
    <n v="12.5"/>
    <n v="13.827184258762392"/>
    <n v="981742"/>
  </r>
  <r>
    <x v="101"/>
    <n v="202502"/>
    <x v="1"/>
    <x v="2"/>
    <s v="Fátima L"/>
    <s v="Fátima L"/>
    <n v="50909"/>
    <n v="638112"/>
    <n v="12.534322916666667"/>
    <n v="63990.907193673724"/>
    <n v="13.5"/>
    <n v="14.5"/>
    <n v="9.9719201990479842"/>
    <n v="863362"/>
  </r>
  <r>
    <x v="95"/>
    <n v="202408"/>
    <x v="2"/>
    <x v="5"/>
    <s v="Fátima L"/>
    <s v="Fátima L"/>
    <n v="50870"/>
    <n v="363185"/>
    <n v="7.1395295698924741"/>
    <n v="0"/>
    <n v="8.5"/>
    <n v="6.5"/>
    <m/>
    <n v="0"/>
  </r>
  <r>
    <x v="106"/>
    <n v="202409"/>
    <x v="2"/>
    <x v="4"/>
    <s v="María R"/>
    <s v="María R"/>
    <n v="50861"/>
    <n v="2992147"/>
    <n v="58.830041666666645"/>
    <n v="0"/>
    <n v="64.5"/>
    <n v="61"/>
    <m/>
    <n v="0"/>
  </r>
  <r>
    <x v="106"/>
    <n v="202405"/>
    <x v="2"/>
    <x v="3"/>
    <s v="María R"/>
    <s v="María R"/>
    <n v="50748"/>
    <n v="3046493"/>
    <n v="60.031444892473104"/>
    <n v="0"/>
    <n v="64.5"/>
    <n v="61"/>
    <m/>
    <n v="0"/>
  </r>
  <r>
    <x v="102"/>
    <n v="202502"/>
    <x v="1"/>
    <x v="2"/>
    <s v="Fátima L"/>
    <s v="Fátima L"/>
    <n v="50739"/>
    <n v="550399"/>
    <n v="10.847604166666667"/>
    <n v="68326.082308152225"/>
    <n v="11"/>
    <n v="12"/>
    <n v="8.0554731283682841"/>
    <n v="614462"/>
  </r>
  <r>
    <x v="109"/>
    <n v="202503"/>
    <x v="1"/>
    <x v="0"/>
    <s v="María R"/>
    <s v="María R"/>
    <n v="50692"/>
    <n v="2657199"/>
    <n v="52.41847446236558"/>
    <n v="57408.432808381622"/>
    <n v="59"/>
    <n v="50"/>
    <n v="46.285867424202713"/>
    <n v="2553906"/>
  </r>
  <r>
    <x v="89"/>
    <n v="202508"/>
    <x v="1"/>
    <x v="5"/>
    <s v="Sebastián S"/>
    <s v="Rodolfo O"/>
    <n v="50640"/>
    <n v="1586805"/>
    <n v="31.334831989247316"/>
    <n v="66864.875351462237"/>
    <n v="34"/>
    <n v="34"/>
    <n v="23.731512272463977"/>
    <n v="1777950"/>
  </r>
  <r>
    <x v="104"/>
    <n v="202604"/>
    <x v="0"/>
    <x v="9"/>
    <s v="Fátima L"/>
    <s v="Fátima L"/>
    <n v="50603"/>
    <n v="502669"/>
    <n v="9.9336319444444428"/>
    <n v="50615.535424065565"/>
    <n v="11"/>
    <n v="10"/>
    <n v="10.023956063077975"/>
    <n v="507368"/>
  </r>
  <r>
    <x v="107"/>
    <n v="202403"/>
    <x v="2"/>
    <x v="0"/>
    <s v="María R"/>
    <s v="María R"/>
    <n v="50556"/>
    <n v="2704508"/>
    <n v="53.494818548387101"/>
    <n v="0"/>
    <n v="57.5"/>
    <n v="57"/>
    <m/>
    <n v="0"/>
  </r>
  <r>
    <x v="107"/>
    <n v="202406"/>
    <x v="2"/>
    <x v="11"/>
    <s v="María R"/>
    <s v="María R"/>
    <n v="50503"/>
    <n v="2482035"/>
    <n v="49.146027777777789"/>
    <n v="0"/>
    <n v="57.5"/>
    <n v="57"/>
    <m/>
    <n v="0"/>
  </r>
  <r>
    <x v="107"/>
    <n v="202409"/>
    <x v="2"/>
    <x v="4"/>
    <s v="María R"/>
    <s v="María R"/>
    <n v="50357"/>
    <n v="2404663"/>
    <n v="47.751958333333334"/>
    <n v="0"/>
    <n v="57.5"/>
    <n v="57"/>
    <m/>
    <n v="0"/>
  </r>
  <r>
    <x v="108"/>
    <n v="202501"/>
    <x v="1"/>
    <x v="10"/>
    <s v="María R"/>
    <s v="María R"/>
    <n v="50043"/>
    <n v="4807860"/>
    <n v="96.074999999999989"/>
    <n v="46865.842178484279"/>
    <n v="22"/>
    <n v="20"/>
    <n v="102.58772202769141"/>
    <n v="4227083"/>
  </r>
  <r>
    <x v="108"/>
    <n v="202403"/>
    <x v="2"/>
    <x v="0"/>
    <s v="María R"/>
    <s v="María R"/>
    <n v="50026"/>
    <n v="3933950"/>
    <n v="78.637708333333393"/>
    <n v="0"/>
    <n v="22"/>
    <n v="20"/>
    <m/>
    <n v="0"/>
  </r>
  <r>
    <x v="109"/>
    <n v="202409"/>
    <x v="2"/>
    <x v="4"/>
    <s v="María R"/>
    <s v="María R"/>
    <n v="49933"/>
    <n v="2586678"/>
    <n v="51.802916666666647"/>
    <n v="0"/>
    <n v="59"/>
    <n v="50"/>
    <m/>
    <n v="0"/>
  </r>
  <r>
    <x v="104"/>
    <n v="202506"/>
    <x v="1"/>
    <x v="11"/>
    <s v="Fátima L"/>
    <s v="Fátima L"/>
    <n v="49866"/>
    <n v="506384"/>
    <n v="10.154958333333333"/>
    <n v="69954.876140666616"/>
    <n v="11"/>
    <n v="10"/>
    <n v="7.2387297060143796"/>
    <n v="560326"/>
  </r>
  <r>
    <x v="101"/>
    <n v="202511"/>
    <x v="1"/>
    <x v="7"/>
    <s v="Fátima L"/>
    <s v="Fátima L"/>
    <n v="49805"/>
    <n v="876116"/>
    <n v="17.590951388888886"/>
    <n v="56948.355597948881"/>
    <n v="13.5"/>
    <n v="14.5"/>
    <n v="15.384400494112864"/>
    <n v="933780"/>
  </r>
  <r>
    <x v="110"/>
    <n v="202512"/>
    <x v="1"/>
    <x v="1"/>
    <s v="Fátima L"/>
    <s v="Fátima L"/>
    <n v="49700"/>
    <n v="376988"/>
    <n v="7.5853091397849379"/>
    <n v="49447.197025072172"/>
    <n v="9"/>
    <n v="9"/>
    <n v="7.624061477313834"/>
    <n v="390708"/>
  </r>
  <r>
    <x v="94"/>
    <n v="202411"/>
    <x v="2"/>
    <x v="7"/>
    <s v="Hernán P"/>
    <s v="Daniel R"/>
    <n v="49617"/>
    <n v="2306991"/>
    <n v="46.496138888888879"/>
    <n v="0"/>
    <n v="33"/>
    <n v="31.5"/>
    <m/>
    <n v="0"/>
  </r>
  <r>
    <x v="107"/>
    <n v="202505"/>
    <x v="1"/>
    <x v="3"/>
    <s v="María R"/>
    <s v="María R"/>
    <n v="49601"/>
    <n v="2640971"/>
    <n v="53.244220430107532"/>
    <n v="50319.094849754481"/>
    <n v="57.5"/>
    <n v="57"/>
    <n v="52.484476477280793"/>
    <n v="2604645"/>
  </r>
  <r>
    <x v="103"/>
    <n v="202402"/>
    <x v="2"/>
    <x v="2"/>
    <s v="María R"/>
    <s v="María R"/>
    <n v="49582"/>
    <n v="3240097"/>
    <n v="65.348670977011508"/>
    <n v="0"/>
    <n v="66"/>
    <n v="65.5"/>
    <m/>
    <n v="0"/>
  </r>
  <r>
    <x v="100"/>
    <n v="202602"/>
    <x v="0"/>
    <x v="2"/>
    <s v="Hernán P"/>
    <s v="Daniel R"/>
    <n v="49538"/>
    <n v="1917534"/>
    <n v="38.708593749999984"/>
    <n v="65509.233362321895"/>
    <n v="41.5"/>
    <n v="43"/>
    <n v="33.730466012000377"/>
    <n v="2209657"/>
  </r>
  <r>
    <x v="95"/>
    <n v="202410"/>
    <x v="2"/>
    <x v="8"/>
    <s v="Fátima L"/>
    <s v="Fátima L"/>
    <n v="49395"/>
    <n v="370302"/>
    <n v="7.4967271505376356"/>
    <n v="0"/>
    <n v="8.5"/>
    <n v="6.5"/>
    <m/>
    <n v="0"/>
  </r>
  <r>
    <x v="80"/>
    <n v="202506"/>
    <x v="1"/>
    <x v="11"/>
    <s v="Fátima L"/>
    <s v="Fátima L"/>
    <n v="49390"/>
    <n v="433722"/>
    <n v="8.7815972222222243"/>
    <n v="59979.989760227647"/>
    <n v="10"/>
    <n v="9"/>
    <n v="7.2311161061184182"/>
    <n v="538378"/>
  </r>
  <r>
    <x v="109"/>
    <n v="202501"/>
    <x v="1"/>
    <x v="10"/>
    <s v="María R"/>
    <s v="María R"/>
    <n v="49367"/>
    <n v="2647542"/>
    <n v="53.629596774193558"/>
    <n v="57261.45340682011"/>
    <n v="59"/>
    <n v="50"/>
    <n v="46.236027597662492"/>
    <n v="2464383"/>
  </r>
  <r>
    <x v="107"/>
    <n v="202410"/>
    <x v="2"/>
    <x v="8"/>
    <s v="María R"/>
    <s v="María R"/>
    <n v="49344"/>
    <n v="2394503"/>
    <n v="48.526982526881717"/>
    <n v="0"/>
    <n v="57.5"/>
    <n v="57"/>
    <m/>
    <n v="0"/>
  </r>
  <r>
    <x v="89"/>
    <n v="202506"/>
    <x v="1"/>
    <x v="11"/>
    <s v="Sebastián S"/>
    <s v="Rodolfo O"/>
    <n v="49319"/>
    <n v="1554170"/>
    <n v="31.51254166666666"/>
    <n v="62140.637504356928"/>
    <n v="34"/>
    <n v="34"/>
    <n v="25.010518759017089"/>
    <n v="1737210"/>
  </r>
  <r>
    <x v="106"/>
    <n v="202604"/>
    <x v="0"/>
    <x v="9"/>
    <s v="María R"/>
    <s v="María R"/>
    <n v="49295"/>
    <n v="3209610"/>
    <n v="65.110743055556625"/>
    <n v="59054.118124634799"/>
    <n v="64.5"/>
    <n v="61"/>
    <n v="55.57085132952011"/>
    <n v="3281688"/>
  </r>
  <r>
    <x v="108"/>
    <n v="202502"/>
    <x v="1"/>
    <x v="2"/>
    <s v="María R"/>
    <s v="María R"/>
    <n v="49267"/>
    <n v="4390530"/>
    <n v="89.116979166666667"/>
    <n v="54600.323221266583"/>
    <n v="22"/>
    <n v="20"/>
    <n v="80.412165550879152"/>
    <n v="4671490"/>
  </r>
  <r>
    <x v="104"/>
    <n v="202505"/>
    <x v="1"/>
    <x v="3"/>
    <s v="Fátima L"/>
    <s v="Fátima L"/>
    <n v="49199"/>
    <n v="529454"/>
    <n v="10.761512096774196"/>
    <n v="59830.736351828898"/>
    <n v="11"/>
    <n v="10"/>
    <n v="8.8491941146536739"/>
    <n v="562658"/>
  </r>
  <r>
    <x v="80"/>
    <n v="202501"/>
    <x v="1"/>
    <x v="10"/>
    <s v="Fátima L"/>
    <s v="Fátima L"/>
    <n v="49112"/>
    <n v="430620"/>
    <n v="8.768111559139788"/>
    <n v="63955.308752467783"/>
    <n v="10"/>
    <n v="9"/>
    <n v="6.7331428524044776"/>
    <n v="563061"/>
  </r>
  <r>
    <x v="44"/>
    <n v="202602"/>
    <x v="0"/>
    <x v="2"/>
    <s v="Sebastián S"/>
    <s v="Johanna V"/>
    <n v="49085"/>
    <n v="4191044"/>
    <n v="85.384010416666669"/>
    <n v="93405.144642720858"/>
    <n v="117.5"/>
    <n v="99"/>
    <n v="98.005014700369543"/>
    <n v="9154173"/>
  </r>
  <r>
    <x v="107"/>
    <n v="202602"/>
    <x v="0"/>
    <x v="2"/>
    <s v="María R"/>
    <s v="María R"/>
    <n v="49026"/>
    <n v="2571073"/>
    <n v="52.442708333333329"/>
    <n v="51684.680707453736"/>
    <n v="57.5"/>
    <n v="57"/>
    <n v="50.0561866937662"/>
    <n v="2587138"/>
  </r>
  <r>
    <x v="104"/>
    <n v="202402"/>
    <x v="2"/>
    <x v="2"/>
    <s v="Fátima L"/>
    <s v="Fátima L"/>
    <n v="48988"/>
    <n v="491226"/>
    <n v="10.0275"/>
    <n v="0"/>
    <n v="11"/>
    <n v="10"/>
    <m/>
    <n v="0"/>
  </r>
  <r>
    <x v="89"/>
    <n v="202509"/>
    <x v="1"/>
    <x v="4"/>
    <s v="Sebastián S"/>
    <s v="Rodolfo O"/>
    <n v="48976"/>
    <n v="1465999"/>
    <n v="29.933166666666665"/>
    <n v="59261.166796523801"/>
    <n v="34"/>
    <n v="34"/>
    <n v="24.737932431090677"/>
    <n v="1824893"/>
  </r>
  <r>
    <x v="93"/>
    <n v="202405"/>
    <x v="2"/>
    <x v="3"/>
    <s v="Hernán P"/>
    <s v="Daniel R"/>
    <n v="48865"/>
    <n v="2005911"/>
    <n v="41.050201612903216"/>
    <n v="0"/>
    <n v="45.5"/>
    <n v="42.5"/>
    <m/>
    <n v="0"/>
  </r>
  <r>
    <x v="101"/>
    <n v="202601"/>
    <x v="0"/>
    <x v="10"/>
    <s v="Fátima L"/>
    <s v="Fátima L"/>
    <n v="48849"/>
    <n v="871338"/>
    <n v="17.837439516129031"/>
    <n v="72636.043724580741"/>
    <n v="13.5"/>
    <n v="14.5"/>
    <n v="13.189776457714554"/>
    <n v="958053"/>
  </r>
  <r>
    <x v="106"/>
    <n v="202402"/>
    <x v="2"/>
    <x v="2"/>
    <s v="María R"/>
    <s v="María R"/>
    <n v="48783"/>
    <n v="2908726"/>
    <n v="59.625869252873578"/>
    <n v="0"/>
    <n v="64.5"/>
    <n v="61"/>
    <m/>
    <n v="0"/>
  </r>
  <r>
    <x v="74"/>
    <n v="202504"/>
    <x v="1"/>
    <x v="9"/>
    <s v="Sebastián S"/>
    <s v="Rodolfo O"/>
    <n v="48687"/>
    <n v="1305270"/>
    <n v="26.809416666666671"/>
    <n v="54076.147878944874"/>
    <n v="27"/>
    <n v="27"/>
    <n v="24.13763759434168"/>
    <n v="1510779"/>
  </r>
  <r>
    <x v="0"/>
    <n v="202509"/>
    <x v="1"/>
    <x v="4"/>
    <s v="Fátima L"/>
    <s v="Fátima L"/>
    <n v="48535"/>
    <n v="921722"/>
    <n v="18.991048611111108"/>
    <n v="66641.3364940967"/>
    <n v="13.5"/>
    <n v="12.5"/>
    <n v="13.831088607919034"/>
    <n v="963011"/>
  </r>
  <r>
    <x v="95"/>
    <n v="202403"/>
    <x v="2"/>
    <x v="0"/>
    <s v="Fátima L"/>
    <s v="Fátima L"/>
    <n v="48429"/>
    <n v="346634"/>
    <n v="7.1575470430107542"/>
    <n v="0"/>
    <n v="8.5"/>
    <n v="6.5"/>
    <m/>
    <n v="0"/>
  </r>
  <r>
    <x v="95"/>
    <n v="202602"/>
    <x v="0"/>
    <x v="2"/>
    <s v="Fátima L"/>
    <s v="Fátima L"/>
    <n v="48295"/>
    <n v="312656"/>
    <n v="6.4739062500000006"/>
    <n v="42558.287094907202"/>
    <n v="8.5"/>
    <n v="6.5"/>
    <n v="7.4225653700663532"/>
    <n v="315892"/>
  </r>
  <r>
    <x v="109"/>
    <n v="202411"/>
    <x v="2"/>
    <x v="7"/>
    <s v="María R"/>
    <s v="María R"/>
    <n v="48029"/>
    <n v="2648562"/>
    <n v="55.144881944444442"/>
    <n v="0"/>
    <n v="59"/>
    <n v="50"/>
    <m/>
    <n v="0"/>
  </r>
  <r>
    <x v="104"/>
    <n v="202502"/>
    <x v="1"/>
    <x v="2"/>
    <s v="Fátima L"/>
    <s v="Fátima L"/>
    <n v="48026"/>
    <n v="482613"/>
    <n v="10.049010416666665"/>
    <n v="51437.277486911014"/>
    <n v="11"/>
    <n v="10"/>
    <n v="9.3825599561098123"/>
    <n v="476973"/>
  </r>
  <r>
    <x v="106"/>
    <n v="202404"/>
    <x v="2"/>
    <x v="9"/>
    <s v="María R"/>
    <s v="María R"/>
    <n v="47942"/>
    <n v="3024235"/>
    <n v="63.080937499999976"/>
    <n v="0"/>
    <n v="64.5"/>
    <n v="61"/>
    <m/>
    <n v="0"/>
  </r>
  <r>
    <x v="107"/>
    <n v="202504"/>
    <x v="1"/>
    <x v="9"/>
    <s v="María R"/>
    <s v="María R"/>
    <n v="47941"/>
    <n v="2565007"/>
    <n v="53.50299305555555"/>
    <n v="47409.495672419514"/>
    <n v="57.5"/>
    <n v="57"/>
    <n v="54.103238678663985"/>
    <n v="2566701"/>
  </r>
  <r>
    <x v="107"/>
    <n v="202405"/>
    <x v="2"/>
    <x v="3"/>
    <s v="María R"/>
    <s v="María R"/>
    <n v="47923"/>
    <n v="2470354"/>
    <n v="51.548461021505361"/>
    <n v="0"/>
    <n v="57.5"/>
    <n v="57"/>
    <m/>
    <n v="0"/>
  </r>
  <r>
    <x v="104"/>
    <n v="202508"/>
    <x v="1"/>
    <x v="5"/>
    <s v="Fátima L"/>
    <s v="Fátima L"/>
    <n v="47891"/>
    <n v="527407"/>
    <n v="11.012674731182795"/>
    <n v="61725.147096947199"/>
    <n v="11"/>
    <n v="10"/>
    <n v="8.5444413631228837"/>
    <n v="580064"/>
  </r>
  <r>
    <x v="108"/>
    <n v="202602"/>
    <x v="0"/>
    <x v="2"/>
    <s v="María R"/>
    <s v="María R"/>
    <n v="47691"/>
    <n v="4562919"/>
    <n v="95.677552083333339"/>
    <n v="46169.14721436004"/>
    <n v="22"/>
    <n v="20"/>
    <n v="96.1"/>
    <n v="4436855"/>
  </r>
  <r>
    <x v="107"/>
    <n v="202411"/>
    <x v="2"/>
    <x v="7"/>
    <s v="María R"/>
    <s v="María R"/>
    <n v="47487"/>
    <n v="2255058"/>
    <n v="47.488388888888906"/>
    <n v="0"/>
    <n v="57.5"/>
    <n v="57"/>
    <m/>
    <n v="0"/>
  </r>
  <r>
    <x v="104"/>
    <n v="202509"/>
    <x v="1"/>
    <x v="4"/>
    <s v="Fátima L"/>
    <s v="Fátima L"/>
    <n v="47474"/>
    <n v="495011"/>
    <n v="10.427083333333334"/>
    <n v="56163.829227243965"/>
    <n v="11"/>
    <n v="10"/>
    <n v="8.8136953411267775"/>
    <n v="567335"/>
  </r>
  <r>
    <x v="0"/>
    <n v="202507"/>
    <x v="1"/>
    <x v="6"/>
    <s v="Fátima L"/>
    <s v="Fátima L"/>
    <n v="47422"/>
    <n v="924674"/>
    <n v="19.498904569892474"/>
    <n v="68566.333629860601"/>
    <n v="13.5"/>
    <n v="12.5"/>
    <n v="13.485833368189676"/>
    <n v="830418"/>
  </r>
  <r>
    <x v="110"/>
    <n v="202412"/>
    <x v="2"/>
    <x v="1"/>
    <s v="Fátima L"/>
    <s v="Fátima L"/>
    <n v="47093"/>
    <n v="346724"/>
    <n v="7.3626075268817228"/>
    <n v="0"/>
    <n v="9"/>
    <n v="9"/>
    <m/>
    <n v="0"/>
  </r>
  <r>
    <x v="107"/>
    <n v="202503"/>
    <x v="1"/>
    <x v="0"/>
    <s v="María R"/>
    <s v="María R"/>
    <n v="47088"/>
    <n v="2762190"/>
    <n v="58.660141129032262"/>
    <n v="53084.268786357439"/>
    <n v="57.5"/>
    <n v="57"/>
    <n v="52.034063257359541"/>
    <n v="2797664"/>
  </r>
  <r>
    <x v="42"/>
    <n v="202410"/>
    <x v="2"/>
    <x v="8"/>
    <s v="Hernán P"/>
    <s v="Daniel R"/>
    <n v="46600"/>
    <n v="845672"/>
    <n v="18.147547043010761"/>
    <n v="0"/>
    <n v="22.5"/>
    <n v="21"/>
    <m/>
    <n v="0"/>
  </r>
  <r>
    <x v="0"/>
    <n v="202508"/>
    <x v="1"/>
    <x v="5"/>
    <s v="Fátima L"/>
    <s v="Fátima L"/>
    <n v="46543"/>
    <n v="952675"/>
    <n v="20.468743279569889"/>
    <n v="69240.58275041201"/>
    <n v="13.5"/>
    <n v="12.5"/>
    <n v="13.75890932972154"/>
    <n v="837714"/>
  </r>
  <r>
    <x v="91"/>
    <n v="202506"/>
    <x v="1"/>
    <x v="11"/>
    <s v="Hernán P"/>
    <s v="Daniel R"/>
    <n v="46408"/>
    <n v="943608"/>
    <n v="20.332666666666668"/>
    <n v="67333.875277470623"/>
    <n v="19"/>
    <n v="21.5"/>
    <n v="14.013867256437617"/>
    <n v="1178864"/>
  </r>
  <r>
    <x v="110"/>
    <n v="202601"/>
    <x v="0"/>
    <x v="10"/>
    <s v="Fátima L"/>
    <s v="Fátima L"/>
    <n v="46198"/>
    <n v="281217"/>
    <n v="6.0871774193548385"/>
    <n v="37544.722076886937"/>
    <n v="9"/>
    <n v="9"/>
    <n v="7.859186862423198"/>
    <n v="295071"/>
  </r>
  <r>
    <x v="103"/>
    <n v="202502"/>
    <x v="1"/>
    <x v="2"/>
    <s v="María R"/>
    <s v="María R"/>
    <n v="45953"/>
    <n v="2760968"/>
    <n v="60.082500000000003"/>
    <n v="52060.758009857585"/>
    <n v="66"/>
    <n v="65.5"/>
    <n v="53.033565117842052"/>
    <n v="3291848"/>
  </r>
  <r>
    <x v="80"/>
    <n v="202502"/>
    <x v="1"/>
    <x v="2"/>
    <s v="Fátima L"/>
    <s v="Fátima L"/>
    <n v="45806"/>
    <n v="405482"/>
    <n v="8.8522395833333327"/>
    <n v="63489.565208838452"/>
    <n v="10"/>
    <n v="9"/>
    <n v="6.3865898067853273"/>
    <n v="517753"/>
  </r>
  <r>
    <x v="109"/>
    <n v="202502"/>
    <x v="1"/>
    <x v="2"/>
    <s v="María R"/>
    <s v="María R"/>
    <n v="45780"/>
    <n v="2424543"/>
    <n v="52.960885416666656"/>
    <n v="54307.899092796462"/>
    <n v="59"/>
    <n v="50"/>
    <n v="44.644384712013249"/>
    <n v="2322722"/>
  </r>
  <r>
    <x v="107"/>
    <n v="202502"/>
    <x v="1"/>
    <x v="2"/>
    <s v="María R"/>
    <s v="María R"/>
    <n v="45778"/>
    <n v="2559403"/>
    <n v="55.90911458333332"/>
    <n v="47314.350306399465"/>
    <n v="57.5"/>
    <n v="57"/>
    <n v="54.093584154189045"/>
    <n v="2344554"/>
  </r>
  <r>
    <x v="42"/>
    <n v="202408"/>
    <x v="2"/>
    <x v="5"/>
    <s v="Hernán P"/>
    <s v="Daniel R"/>
    <n v="45771"/>
    <n v="753886"/>
    <n v="16.470651881720435"/>
    <n v="0"/>
    <n v="22.5"/>
    <n v="21"/>
    <m/>
    <n v="0"/>
  </r>
  <r>
    <x v="95"/>
    <n v="202510"/>
    <x v="1"/>
    <x v="8"/>
    <s v="Fátima L"/>
    <s v="Fátima L"/>
    <n v="45769"/>
    <n v="321191"/>
    <n v="7.0175940860215054"/>
    <n v="51864.968831380706"/>
    <n v="8.5"/>
    <n v="6.5"/>
    <n v="6.1928285553247004"/>
    <n v="355347"/>
  </r>
  <r>
    <x v="42"/>
    <n v="202404"/>
    <x v="2"/>
    <x v="9"/>
    <s v="Hernán P"/>
    <s v="Daniel R"/>
    <n v="45623"/>
    <n v="961204"/>
    <n v="21.068201388888891"/>
    <n v="0"/>
    <n v="22.5"/>
    <n v="21"/>
    <m/>
    <n v="0"/>
  </r>
  <r>
    <x v="108"/>
    <n v="202504"/>
    <x v="1"/>
    <x v="9"/>
    <s v="María R"/>
    <s v="María R"/>
    <n v="45611"/>
    <n v="2351099"/>
    <n v="51.54731944444444"/>
    <n v="40155.143069123842"/>
    <n v="22"/>
    <n v="20"/>
    <n v="58.550392061927688"/>
    <n v="2285727"/>
  </r>
  <r>
    <x v="105"/>
    <n v="202604"/>
    <x v="0"/>
    <x v="9"/>
    <s v="María R"/>
    <s v="María R"/>
    <n v="45473"/>
    <n v="2948369"/>
    <n v="64.8383749999999"/>
    <m/>
    <n v="61.5"/>
    <n v="56"/>
    <m/>
    <n v="3443208"/>
  </r>
  <r>
    <x v="102"/>
    <n v="202511"/>
    <x v="1"/>
    <x v="7"/>
    <s v="Fátima L"/>
    <s v="Fátima L"/>
    <n v="45456"/>
    <n v="683558"/>
    <n v="15.037749999999997"/>
    <n v="60839.248689092186"/>
    <n v="11"/>
    <n v="12"/>
    <n v="11.235477668259806"/>
    <n v="692706"/>
  </r>
  <r>
    <x v="101"/>
    <n v="202602"/>
    <x v="0"/>
    <x v="2"/>
    <s v="Fátima L"/>
    <s v="Fátima L"/>
    <n v="45356"/>
    <n v="833861"/>
    <n v="18.384635416666669"/>
    <n v="65440.151390523257"/>
    <n v="13.5"/>
    <n v="14.5"/>
    <n v="13.189776457714554"/>
    <n v="863141"/>
  </r>
  <r>
    <x v="107"/>
    <n v="202404"/>
    <x v="2"/>
    <x v="9"/>
    <s v="María R"/>
    <s v="María R"/>
    <n v="45152"/>
    <n v="2375655"/>
    <n v="52.614722222222234"/>
    <n v="0"/>
    <n v="57.5"/>
    <n v="57"/>
    <m/>
    <n v="0"/>
  </r>
  <r>
    <x v="107"/>
    <n v="202402"/>
    <x v="2"/>
    <x v="2"/>
    <s v="María R"/>
    <s v="María R"/>
    <n v="45061"/>
    <n v="2306323"/>
    <n v="51.181918103448268"/>
    <n v="0"/>
    <n v="57.5"/>
    <n v="57"/>
    <m/>
    <n v="0"/>
  </r>
  <r>
    <x v="108"/>
    <n v="202401"/>
    <x v="2"/>
    <x v="10"/>
    <s v="María R"/>
    <s v="María R"/>
    <n v="44634"/>
    <n v="4061494"/>
    <n v="90.995248655914011"/>
    <n v="0"/>
    <n v="22"/>
    <n v="20"/>
    <m/>
    <n v="0"/>
  </r>
  <r>
    <x v="95"/>
    <n v="202502"/>
    <x v="1"/>
    <x v="2"/>
    <s v="Fátima L"/>
    <s v="Fátima L"/>
    <n v="44608"/>
    <n v="317773"/>
    <n v="7.1236979166666661"/>
    <n v="43394.994511972043"/>
    <n v="8.5"/>
    <n v="6.5"/>
    <n v="7.3228000965026308"/>
    <n v="299565"/>
  </r>
  <r>
    <x v="42"/>
    <n v="202407"/>
    <x v="2"/>
    <x v="6"/>
    <s v="Hernán P"/>
    <s v="Daniel R"/>
    <n v="44560"/>
    <n v="764834"/>
    <n v="17.164206989247319"/>
    <n v="0"/>
    <n v="22.5"/>
    <n v="21"/>
    <m/>
    <n v="0"/>
  </r>
  <r>
    <x v="42"/>
    <n v="202605"/>
    <x v="0"/>
    <x v="3"/>
    <s v="Hernán P"/>
    <s v="Daniel R"/>
    <n v="44414"/>
    <n v="817446"/>
    <n v="18.405342741935453"/>
    <n v="36815.08808288975"/>
    <n v="22.5"/>
    <n v="21"/>
    <n v="19.647967156057994"/>
    <n v="723342"/>
  </r>
  <r>
    <x v="42"/>
    <n v="202411"/>
    <x v="2"/>
    <x v="7"/>
    <s v="Hernán P"/>
    <s v="Daniel R"/>
    <n v="44280"/>
    <n v="1043830"/>
    <n v="23.573277777777768"/>
    <n v="0"/>
    <n v="22.5"/>
    <n v="21"/>
    <m/>
    <n v="0"/>
  </r>
  <r>
    <x v="107"/>
    <n v="202501"/>
    <x v="1"/>
    <x v="10"/>
    <s v="María R"/>
    <s v="María R"/>
    <n v="44207"/>
    <n v="2511906"/>
    <n v="56.821041666666694"/>
    <n v="56965.321887073856"/>
    <n v="57.5"/>
    <n v="57"/>
    <n v="44.095345673276761"/>
    <n v="2478795"/>
  </r>
  <r>
    <x v="0"/>
    <n v="202505"/>
    <x v="1"/>
    <x v="3"/>
    <s v="Fátima L"/>
    <s v="Fátima L"/>
    <n v="44103"/>
    <n v="1099360"/>
    <n v="24.927244623655916"/>
    <n v="70968.2857379044"/>
    <n v="13.5"/>
    <n v="12.5"/>
    <n v="15.490861566814321"/>
    <n v="853248"/>
  </r>
  <r>
    <x v="101"/>
    <n v="202507"/>
    <x v="1"/>
    <x v="6"/>
    <s v="Fátima L"/>
    <s v="Fátima L"/>
    <n v="43978"/>
    <n v="851176"/>
    <n v="19.354623655913983"/>
    <n v="67190.096987823112"/>
    <n v="13.5"/>
    <n v="14.5"/>
    <n v="12.668176087828227"/>
    <n v="900543"/>
  </r>
  <r>
    <x v="102"/>
    <n v="202602"/>
    <x v="0"/>
    <x v="2"/>
    <s v="Fátima L"/>
    <s v="Fátima L"/>
    <n v="43798"/>
    <n v="641092"/>
    <n v="14.637499999999999"/>
    <n v="61057.269027522707"/>
    <n v="11"/>
    <n v="12"/>
    <n v="10.653753026634384"/>
    <n v="650489"/>
  </r>
  <r>
    <x v="102"/>
    <n v="202601"/>
    <x v="0"/>
    <x v="10"/>
    <s v="Fátima L"/>
    <s v="Fátima L"/>
    <n v="43713"/>
    <n v="663685"/>
    <n v="15.182802419354841"/>
    <n v="73720.966201909076"/>
    <n v="11"/>
    <n v="12"/>
    <n v="10.653753026634384"/>
    <n v="785405"/>
  </r>
  <r>
    <x v="95"/>
    <n v="202405"/>
    <x v="2"/>
    <x v="3"/>
    <s v="Fátima L"/>
    <s v="Fátima L"/>
    <n v="43444"/>
    <n v="332069"/>
    <n v="7.6435954301075277"/>
    <n v="0"/>
    <n v="8.5"/>
    <n v="6.5"/>
    <m/>
    <n v="0"/>
  </r>
  <r>
    <x v="95"/>
    <n v="202401"/>
    <x v="2"/>
    <x v="10"/>
    <s v="Fátima L"/>
    <s v="Fátima L"/>
    <n v="42995"/>
    <n v="319890"/>
    <n v="7.4401344086021508"/>
    <n v="0"/>
    <n v="8.5"/>
    <n v="6.5"/>
    <m/>
    <n v="0"/>
  </r>
  <r>
    <x v="110"/>
    <n v="202605"/>
    <x v="0"/>
    <x v="3"/>
    <s v="Fátima L"/>
    <s v="Fátima L"/>
    <n v="42337"/>
    <n v="289312"/>
    <n v="6.833608870967752"/>
    <n v="34889.186349674928"/>
    <n v="9"/>
    <n v="9"/>
    <n v="7.859186862423198"/>
    <n v="274201"/>
  </r>
  <r>
    <x v="0"/>
    <n v="202506"/>
    <x v="1"/>
    <x v="11"/>
    <s v="Fátima L"/>
    <s v="Fátima L"/>
    <n v="41985"/>
    <n v="965427"/>
    <n v="22.994368055555551"/>
    <n v="68171.324947721936"/>
    <n v="13.5"/>
    <n v="12.5"/>
    <n v="14.161779762097193"/>
    <n v="817009"/>
  </r>
  <r>
    <x v="42"/>
    <n v="202511"/>
    <x v="1"/>
    <x v="7"/>
    <s v="Hernán P"/>
    <s v="Daniel R"/>
    <n v="41632"/>
    <n v="885652"/>
    <n v="21.273145833333338"/>
    <n v="46494.234736130151"/>
    <n v="22.5"/>
    <n v="21"/>
    <n v="19.048646461789584"/>
    <n v="677970"/>
  </r>
  <r>
    <x v="42"/>
    <n v="202508"/>
    <x v="1"/>
    <x v="5"/>
    <s v="Hernán P"/>
    <s v="Daniel R"/>
    <n v="41598"/>
    <n v="598409"/>
    <n v="14.385470430107528"/>
    <n v="48060.041046615566"/>
    <n v="22.5"/>
    <n v="21"/>
    <n v="12.451279003685753"/>
    <n v="685848"/>
  </r>
  <r>
    <x v="95"/>
    <n v="202407"/>
    <x v="2"/>
    <x v="6"/>
    <s v="Fátima L"/>
    <s v="Fátima L"/>
    <n v="41377"/>
    <n v="345582"/>
    <n v="8.3520631720430121"/>
    <n v="0"/>
    <n v="8.5"/>
    <n v="6.5"/>
    <m/>
    <n v="0"/>
  </r>
  <r>
    <x v="95"/>
    <n v="202402"/>
    <x v="2"/>
    <x v="2"/>
    <s v="Fátima L"/>
    <s v="Fátima L"/>
    <n v="41329"/>
    <n v="306745"/>
    <n v="7.4221120689655153"/>
    <n v="0"/>
    <n v="8.5"/>
    <n v="6.5"/>
    <m/>
    <n v="0"/>
  </r>
  <r>
    <x v="42"/>
    <n v="202507"/>
    <x v="1"/>
    <x v="6"/>
    <s v="Hernán P"/>
    <s v="Daniel R"/>
    <n v="41179"/>
    <n v="703969"/>
    <n v="17.095288978494626"/>
    <n v="46787.832173260002"/>
    <n v="22.5"/>
    <n v="21"/>
    <n v="15.045990106853671"/>
    <n v="694618"/>
  </r>
  <r>
    <x v="101"/>
    <n v="202510"/>
    <x v="1"/>
    <x v="8"/>
    <s v="Fátima L"/>
    <s v="Fátima L"/>
    <n v="41178"/>
    <n v="808510"/>
    <n v="19.634341397849457"/>
    <n v="60518.752525175922"/>
    <n v="13.5"/>
    <n v="14.5"/>
    <n v="13.359656243139815"/>
    <n v="1015926"/>
  </r>
  <r>
    <x v="101"/>
    <n v="202509"/>
    <x v="1"/>
    <x v="4"/>
    <s v="Fátima L"/>
    <s v="Fátima L"/>
    <n v="40963"/>
    <n v="825004"/>
    <n v="20.140263888888889"/>
    <n v="64615.778321986225"/>
    <n v="13.5"/>
    <n v="14.5"/>
    <n v="12.767841252161833"/>
    <n v="1059306"/>
  </r>
  <r>
    <x v="108"/>
    <n v="202512"/>
    <x v="1"/>
    <x v="1"/>
    <s v="María R"/>
    <s v="María R"/>
    <n v="40683"/>
    <n v="3933314"/>
    <n v="96.68147849462359"/>
    <n v="38652.85501954444"/>
    <n v="22"/>
    <n v="20"/>
    <n v="101.75998869970041"/>
    <n v="3635486"/>
  </r>
  <r>
    <x v="102"/>
    <n v="202509"/>
    <x v="1"/>
    <x v="4"/>
    <s v="Fátima L"/>
    <s v="Fátima L"/>
    <n v="40641"/>
    <n v="650869"/>
    <n v="16.014930555555555"/>
    <n v="62484.985629531977"/>
    <n v="11"/>
    <n v="12"/>
    <n v="10.416399610923222"/>
    <n v="716014"/>
  </r>
  <r>
    <x v="42"/>
    <n v="202405"/>
    <x v="2"/>
    <x v="3"/>
    <s v="Hernán P"/>
    <s v="Daniel R"/>
    <n v="40507"/>
    <n v="725446"/>
    <n v="17.909038978494625"/>
    <n v="0"/>
    <n v="22.5"/>
    <n v="21"/>
    <m/>
    <n v="0"/>
  </r>
  <r>
    <x v="110"/>
    <n v="202511"/>
    <x v="1"/>
    <x v="7"/>
    <s v="Fátima L"/>
    <s v="Fátima L"/>
    <n v="40370"/>
    <n v="287909"/>
    <n v="7.1317847222222213"/>
    <n v="35047.837816936415"/>
    <n v="9"/>
    <n v="9"/>
    <n v="8.2147429893912509"/>
    <n v="313237"/>
  </r>
  <r>
    <x v="42"/>
    <n v="202509"/>
    <x v="1"/>
    <x v="4"/>
    <s v="Hernán P"/>
    <s v="Daniel R"/>
    <n v="39996"/>
    <n v="528307"/>
    <n v="13.209097222222219"/>
    <n v="33843.672314217547"/>
    <n v="22.5"/>
    <n v="21"/>
    <n v="15.610219100781832"/>
    <n v="582289"/>
  </r>
  <r>
    <x v="110"/>
    <n v="202604"/>
    <x v="0"/>
    <x v="9"/>
    <s v="Fátima L"/>
    <s v="Fátima L"/>
    <n v="39798"/>
    <n v="292776"/>
    <n v="7.3565138888888866"/>
    <n v="33837.896738595184"/>
    <n v="9"/>
    <n v="9"/>
    <n v="7.859186862423198"/>
    <n v="265938"/>
  </r>
  <r>
    <x v="110"/>
    <n v="202509"/>
    <x v="1"/>
    <x v="4"/>
    <s v="Fátima L"/>
    <s v="Fátima L"/>
    <n v="39661"/>
    <n v="268516"/>
    <n v="6.7703124999999993"/>
    <n v="35255.761681337455"/>
    <n v="9"/>
    <n v="9"/>
    <n v="7.6162266022503253"/>
    <n v="303310"/>
  </r>
  <r>
    <x v="102"/>
    <n v="202506"/>
    <x v="1"/>
    <x v="11"/>
    <s v="Fátima L"/>
    <s v="Fátima L"/>
    <n v="39633"/>
    <n v="679674"/>
    <n v="17.149270833333336"/>
    <n v="67682.544751052337"/>
    <n v="11"/>
    <n v="12"/>
    <n v="10.042093607738238"/>
    <n v="604946"/>
  </r>
  <r>
    <x v="101"/>
    <n v="202508"/>
    <x v="1"/>
    <x v="5"/>
    <s v="Fátima L"/>
    <s v="Fátima L"/>
    <n v="39198"/>
    <n v="820811"/>
    <n v="20.939879032258062"/>
    <n v="65266.95842396107"/>
    <n v="13.5"/>
    <n v="14.5"/>
    <n v="12.576206549540398"/>
    <n v="797909"/>
  </r>
  <r>
    <x v="102"/>
    <n v="202503"/>
    <x v="1"/>
    <x v="0"/>
    <s v="Fátima L"/>
    <s v="Fátima L"/>
    <n v="39166"/>
    <n v="770043"/>
    <n v="19.660826612903225"/>
    <n v="68386.784874178149"/>
    <n v="11"/>
    <n v="12"/>
    <n v="11.260117307996989"/>
    <n v="661780"/>
  </r>
  <r>
    <x v="95"/>
    <n v="202406"/>
    <x v="2"/>
    <x v="11"/>
    <s v="Fátima L"/>
    <s v="Fátima L"/>
    <n v="38920"/>
    <n v="335724"/>
    <n v="8.6259444444444462"/>
    <n v="0"/>
    <n v="8.5"/>
    <n v="6.5"/>
    <m/>
    <n v="0"/>
  </r>
  <r>
    <x v="110"/>
    <n v="202603"/>
    <x v="0"/>
    <x v="0"/>
    <s v="Fátima L"/>
    <s v="Fátima L"/>
    <n v="38864"/>
    <n v="311549"/>
    <n v="8.0164583333333344"/>
    <n v="37009.736820320119"/>
    <n v="9"/>
    <n v="9"/>
    <n v="7.859186862423198"/>
    <n v="290866"/>
  </r>
  <r>
    <x v="110"/>
    <n v="202602"/>
    <x v="0"/>
    <x v="2"/>
    <s v="Fátima L"/>
    <s v="Fátima L"/>
    <n v="38726"/>
    <n v="277172"/>
    <n v="7.1571875000000009"/>
    <n v="34306.549827582101"/>
    <n v="9"/>
    <n v="9"/>
    <n v="7.859186862423198"/>
    <n v="269622"/>
  </r>
  <r>
    <x v="110"/>
    <n v="202507"/>
    <x v="1"/>
    <x v="6"/>
    <s v="Fátima L"/>
    <s v="Fátima L"/>
    <n v="38578"/>
    <n v="294790"/>
    <n v="7.6414784946236551"/>
    <n v="37929.609203395026"/>
    <n v="9"/>
    <n v="9"/>
    <n v="7.7720204924656535"/>
    <n v="314067"/>
  </r>
  <r>
    <x v="108"/>
    <n v="202404"/>
    <x v="2"/>
    <x v="9"/>
    <s v="María R"/>
    <s v="María R"/>
    <n v="38243"/>
    <n v="839397"/>
    <n v="21.949034722222219"/>
    <n v="0"/>
    <n v="22"/>
    <n v="20"/>
    <m/>
    <n v="0"/>
  </r>
  <r>
    <x v="102"/>
    <n v="202508"/>
    <x v="1"/>
    <x v="5"/>
    <s v="Fátima L"/>
    <s v="Fátima L"/>
    <n v="38041"/>
    <n v="642319"/>
    <n v="16.885053763440858"/>
    <n v="65965.254121996273"/>
    <n v="11"/>
    <n v="12"/>
    <n v="9.7372255826089109"/>
    <n v="626139"/>
  </r>
  <r>
    <x v="110"/>
    <n v="202508"/>
    <x v="1"/>
    <x v="5"/>
    <s v="Fátima L"/>
    <s v="Fátima L"/>
    <n v="38011"/>
    <n v="277060"/>
    <n v="7.28889112903226"/>
    <n v="36712.959695945749"/>
    <n v="9"/>
    <n v="9"/>
    <n v="7.5466525252824015"/>
    <n v="306223"/>
  </r>
  <r>
    <x v="110"/>
    <n v="202510"/>
    <x v="1"/>
    <x v="8"/>
    <s v="Fátima L"/>
    <s v="Fátima L"/>
    <n v="37930"/>
    <n v="278959"/>
    <n v="7.3546102150537633"/>
    <n v="33075.421205611012"/>
    <n v="9"/>
    <n v="9"/>
    <n v="8.4340153452883815"/>
    <n v="319154"/>
  </r>
  <r>
    <x v="102"/>
    <n v="202507"/>
    <x v="1"/>
    <x v="6"/>
    <s v="Fátima L"/>
    <s v="Fátima L"/>
    <n v="37692"/>
    <n v="676740"/>
    <n v="17.954482526881723"/>
    <n v="61458.140211898935"/>
    <n v="11"/>
    <n v="12"/>
    <n v="11.011395686018107"/>
    <n v="629477"/>
  </r>
  <r>
    <x v="110"/>
    <n v="202401"/>
    <x v="2"/>
    <x v="10"/>
    <s v="Fátima L"/>
    <s v="Fátima L"/>
    <n v="37558"/>
    <n v="272772"/>
    <n v="7.2625940860215064"/>
    <n v="0"/>
    <n v="9"/>
    <n v="9"/>
    <m/>
    <n v="0"/>
  </r>
  <r>
    <x v="111"/>
    <n v="202512"/>
    <x v="1"/>
    <x v="1"/>
    <s v="Fátima L"/>
    <s v="Fátima L"/>
    <n v="37511"/>
    <n v="243011"/>
    <n v="6.4783870967741848"/>
    <n v="35203.869914417366"/>
    <n v="7"/>
    <n v="6.5"/>
    <n v="6.9029578449975331"/>
    <n v="268460"/>
  </r>
  <r>
    <x v="110"/>
    <n v="202403"/>
    <x v="2"/>
    <x v="0"/>
    <s v="Fátima L"/>
    <s v="Fátima L"/>
    <n v="37386"/>
    <n v="296270"/>
    <n v="7.9246303763440871"/>
    <n v="0"/>
    <n v="9"/>
    <n v="9"/>
    <m/>
    <n v="0"/>
  </r>
  <r>
    <x v="102"/>
    <n v="202510"/>
    <x v="1"/>
    <x v="8"/>
    <s v="Fátima L"/>
    <s v="Fátima L"/>
    <n v="37292"/>
    <n v="641585"/>
    <n v="17.20438172043011"/>
    <n v="65784.786933958821"/>
    <n v="11"/>
    <n v="12"/>
    <n v="9.7527937674113918"/>
    <n v="719118"/>
  </r>
  <r>
    <x v="101"/>
    <n v="202506"/>
    <x v="1"/>
    <x v="11"/>
    <s v="Fátima L"/>
    <s v="Fátima L"/>
    <n v="37078"/>
    <n v="815028"/>
    <n v="21.98150694444444"/>
    <n v="65542.988269888243"/>
    <n v="13.5"/>
    <n v="14.5"/>
    <n v="12.435012676625854"/>
    <n v="875990"/>
  </r>
  <r>
    <x v="108"/>
    <n v="202412"/>
    <x v="2"/>
    <x v="1"/>
    <s v="María R"/>
    <s v="María R"/>
    <n v="36812"/>
    <n v="3640387"/>
    <n v="98.890665322580617"/>
    <n v="0"/>
    <n v="22"/>
    <n v="20"/>
    <m/>
    <n v="0"/>
  </r>
  <r>
    <x v="110"/>
    <n v="202501"/>
    <x v="1"/>
    <x v="10"/>
    <s v="Fátima L"/>
    <s v="Fátima L"/>
    <n v="36709"/>
    <n v="249564"/>
    <n v="6.7983736559139807"/>
    <n v="39436.339702815087"/>
    <n v="9"/>
    <n v="9"/>
    <n v="6.3282723975061357"/>
    <n v="280986"/>
  </r>
  <r>
    <x v="42"/>
    <n v="202406"/>
    <x v="2"/>
    <x v="11"/>
    <s v="Hernán P"/>
    <s v="Daniel R"/>
    <n v="36688"/>
    <n v="652417"/>
    <n v="17.782722222222233"/>
    <n v="0"/>
    <n v="22.5"/>
    <n v="21"/>
    <m/>
    <n v="0"/>
  </r>
  <r>
    <x v="110"/>
    <n v="202407"/>
    <x v="2"/>
    <x v="6"/>
    <s v="Fátima L"/>
    <s v="Fátima L"/>
    <n v="36123"/>
    <n v="299124"/>
    <n v="8.280604838709678"/>
    <n v="0"/>
    <n v="9"/>
    <n v="9"/>
    <m/>
    <n v="0"/>
  </r>
  <r>
    <x v="102"/>
    <n v="202505"/>
    <x v="1"/>
    <x v="3"/>
    <s v="Fátima L"/>
    <s v="Fátima L"/>
    <n v="35993"/>
    <n v="728782"/>
    <n v="20.247735215053766"/>
    <n v="67186.560470096301"/>
    <n v="11"/>
    <n v="12"/>
    <n v="10.847133934239263"/>
    <n v="614259"/>
  </r>
  <r>
    <x v="110"/>
    <n v="202504"/>
    <x v="1"/>
    <x v="9"/>
    <s v="Fátima L"/>
    <s v="Fátima L"/>
    <n v="35962"/>
    <n v="267989"/>
    <n v="7.4520833333333343"/>
    <n v="32939.056605696242"/>
    <n v="9"/>
    <n v="9"/>
    <n v="8.1358933016210315"/>
    <n v="287140"/>
  </r>
  <r>
    <x v="110"/>
    <n v="202606"/>
    <x v="0"/>
    <x v="11"/>
    <s v="Fátima L"/>
    <s v="Fátima L"/>
    <n v="35678"/>
    <n v="260068"/>
    <n v="7.289381944444453"/>
    <n v="32432.333937586267"/>
    <n v="9"/>
    <n v="9"/>
    <n v="7.859186862423198"/>
    <n v="254892"/>
  </r>
  <r>
    <x v="102"/>
    <n v="202504"/>
    <x v="1"/>
    <x v="9"/>
    <s v="Fátima L"/>
    <s v="Fátima L"/>
    <n v="35625"/>
    <n v="729144"/>
    <n v="20.467076388888888"/>
    <n v="64560.471198681778"/>
    <n v="11"/>
    <n v="12"/>
    <n v="11.293966671279312"/>
    <n v="620149"/>
  </r>
  <r>
    <x v="108"/>
    <n v="202510"/>
    <x v="1"/>
    <x v="8"/>
    <s v="María R"/>
    <s v="María R"/>
    <n v="35612"/>
    <n v="635882"/>
    <n v="17.855927419354842"/>
    <n v="35933.954139991096"/>
    <n v="22"/>
    <n v="20"/>
    <n v="17.695846038060246"/>
    <n v="814711"/>
  </r>
  <r>
    <x v="42"/>
    <n v="202505"/>
    <x v="1"/>
    <x v="3"/>
    <s v="Hernán P"/>
    <s v="Daniel R"/>
    <n v="35604"/>
    <n v="695614"/>
    <n v="19.537385752688177"/>
    <n v="42532.630724333125"/>
    <n v="22.5"/>
    <n v="21"/>
    <n v="16.354833645454146"/>
    <n v="659692"/>
  </r>
  <r>
    <x v="108"/>
    <n v="202503"/>
    <x v="1"/>
    <x v="0"/>
    <s v="María R"/>
    <s v="María R"/>
    <n v="35477"/>
    <n v="2802145"/>
    <n v="78.984368279569907"/>
    <n v="52527.565083545036"/>
    <n v="22"/>
    <n v="20"/>
    <n v="53.346177108023028"/>
    <n v="2675277"/>
  </r>
  <r>
    <x v="108"/>
    <n v="202605"/>
    <x v="0"/>
    <x v="3"/>
    <s v="María R"/>
    <s v="María R"/>
    <n v="34968"/>
    <n v="768135"/>
    <n v="21.966969086021496"/>
    <n v="6648.4577346514016"/>
    <n v="22"/>
    <n v="20"/>
    <n v="96.1"/>
    <n v="638917"/>
  </r>
  <r>
    <x v="110"/>
    <n v="202408"/>
    <x v="2"/>
    <x v="5"/>
    <s v="Fátima L"/>
    <s v="Fátima L"/>
    <n v="34965"/>
    <n v="292557"/>
    <n v="8.3672110215053781"/>
    <n v="0"/>
    <n v="9"/>
    <n v="9"/>
    <m/>
    <n v="0"/>
  </r>
  <r>
    <x v="110"/>
    <n v="202505"/>
    <x v="1"/>
    <x v="3"/>
    <s v="Fátima L"/>
    <s v="Fátima L"/>
    <n v="34728"/>
    <n v="282492"/>
    <n v="8.134348118279572"/>
    <n v="33100.682157747877"/>
    <n v="9"/>
    <n v="9"/>
    <n v="8.5343144486790337"/>
    <n v="291480"/>
  </r>
  <r>
    <x v="108"/>
    <n v="202407"/>
    <x v="2"/>
    <x v="6"/>
    <s v="María R"/>
    <s v="María R"/>
    <n v="34679"/>
    <n v="703295"/>
    <n v="20.280006720430112"/>
    <n v="0"/>
    <n v="22"/>
    <n v="20"/>
    <m/>
    <n v="0"/>
  </r>
  <r>
    <x v="110"/>
    <n v="202503"/>
    <x v="1"/>
    <x v="0"/>
    <s v="Fátima L"/>
    <s v="Fátima L"/>
    <n v="34374"/>
    <n v="275302"/>
    <n v="8.0089784946236584"/>
    <n v="39255.330308984587"/>
    <n v="9"/>
    <n v="9"/>
    <n v="7.0131176539097932"/>
    <n v="295107"/>
  </r>
  <r>
    <x v="108"/>
    <n v="202410"/>
    <x v="2"/>
    <x v="8"/>
    <s v="María R"/>
    <s v="María R"/>
    <n v="34223"/>
    <n v="631943"/>
    <n v="18.465557795698924"/>
    <n v="0"/>
    <n v="22"/>
    <n v="20"/>
    <m/>
    <n v="0"/>
  </r>
  <r>
    <x v="110"/>
    <n v="202409"/>
    <x v="2"/>
    <x v="4"/>
    <s v="Fátima L"/>
    <s v="Fátima L"/>
    <n v="33577"/>
    <n v="277954"/>
    <n v="8.2781319444444446"/>
    <n v="0"/>
    <n v="9"/>
    <n v="9"/>
    <m/>
    <n v="0"/>
  </r>
  <r>
    <x v="111"/>
    <n v="202412"/>
    <x v="2"/>
    <x v="1"/>
    <s v="Fátima L"/>
    <s v="Fátima L"/>
    <n v="33527"/>
    <n v="222811"/>
    <n v="6.6456250000000017"/>
    <n v="0"/>
    <n v="7"/>
    <n v="6.5"/>
    <m/>
    <n v="0"/>
  </r>
  <r>
    <x v="110"/>
    <n v="202411"/>
    <x v="2"/>
    <x v="7"/>
    <s v="Fátima L"/>
    <s v="Fátima L"/>
    <n v="33379"/>
    <n v="264363"/>
    <n v="7.9200625000000002"/>
    <n v="0"/>
    <n v="9"/>
    <n v="9"/>
    <m/>
    <n v="0"/>
  </r>
  <r>
    <x v="110"/>
    <n v="202506"/>
    <x v="1"/>
    <x v="11"/>
    <s v="Fátima L"/>
    <s v="Fátima L"/>
    <n v="33333"/>
    <n v="266533"/>
    <n v="7.9959444444444454"/>
    <n v="33053.781368228432"/>
    <n v="9"/>
    <n v="9"/>
    <n v="8.0636057046167018"/>
    <n v="271816"/>
  </r>
  <r>
    <x v="108"/>
    <n v="202507"/>
    <x v="1"/>
    <x v="6"/>
    <s v="María R"/>
    <s v="María R"/>
    <n v="33302"/>
    <n v="690848"/>
    <n v="20.745215053763442"/>
    <n v="36413.16470847492"/>
    <n v="22"/>
    <n v="20"/>
    <n v="18.972490458628265"/>
    <n v="747190"/>
  </r>
  <r>
    <x v="101"/>
    <n v="202505"/>
    <x v="1"/>
    <x v="3"/>
    <s v="Fátima L"/>
    <s v="Fátima L"/>
    <n v="32884"/>
    <n v="824494"/>
    <n v="25.072842741935485"/>
    <n v="64581.675273977351"/>
    <n v="13.5"/>
    <n v="14.5"/>
    <n v="12.766682135485308"/>
    <n v="947438"/>
  </r>
  <r>
    <x v="101"/>
    <n v="202503"/>
    <x v="1"/>
    <x v="0"/>
    <s v="Fátima L"/>
    <s v="Fátima L"/>
    <n v="32585"/>
    <n v="799458"/>
    <n v="24.534482526881721"/>
    <n v="71815.736946010657"/>
    <n v="13.5"/>
    <n v="14.5"/>
    <n v="11.13207653360173"/>
    <n v="1019891"/>
  </r>
  <r>
    <x v="42"/>
    <n v="202409"/>
    <x v="2"/>
    <x v="4"/>
    <s v="Hernán P"/>
    <s v="Daniel R"/>
    <n v="32232"/>
    <n v="612857"/>
    <n v="19.013895833333343"/>
    <n v="0"/>
    <n v="22.5"/>
    <n v="21"/>
    <m/>
    <n v="0"/>
  </r>
  <r>
    <x v="42"/>
    <n v="202606"/>
    <x v="0"/>
    <x v="11"/>
    <s v="Hernán P"/>
    <s v="Daniel R"/>
    <n v="32109"/>
    <n v="562501"/>
    <n v="17.518229166666668"/>
    <n v="26192.663251746377"/>
    <n v="22.5"/>
    <n v="21"/>
    <n v="19.647967156057994"/>
    <n v="514633"/>
  </r>
  <r>
    <x v="110"/>
    <n v="202405"/>
    <x v="2"/>
    <x v="3"/>
    <s v="Fátima L"/>
    <s v="Fátima L"/>
    <n v="31524"/>
    <n v="275302"/>
    <n v="8.7329704301075264"/>
    <n v="0"/>
    <n v="9"/>
    <n v="9"/>
    <m/>
    <n v="0"/>
  </r>
  <r>
    <x v="110"/>
    <n v="202410"/>
    <x v="2"/>
    <x v="8"/>
    <s v="Fátima L"/>
    <s v="Fátima L"/>
    <n v="31500"/>
    <n v="281426"/>
    <n v="8.9340322580645193"/>
    <n v="0"/>
    <n v="9"/>
    <n v="9"/>
    <m/>
    <n v="0"/>
  </r>
  <r>
    <x v="110"/>
    <n v="202406"/>
    <x v="2"/>
    <x v="11"/>
    <s v="Fátima L"/>
    <s v="Fátima L"/>
    <n v="31480"/>
    <n v="260080"/>
    <n v="8.2617986111111126"/>
    <n v="0"/>
    <n v="9"/>
    <n v="9"/>
    <m/>
    <n v="0"/>
  </r>
  <r>
    <x v="110"/>
    <n v="202404"/>
    <x v="2"/>
    <x v="9"/>
    <s v="Fátima L"/>
    <s v="Fátima L"/>
    <n v="31371"/>
    <n v="269373"/>
    <n v="8.5868125000000006"/>
    <n v="0"/>
    <n v="9"/>
    <n v="9"/>
    <m/>
    <n v="0"/>
  </r>
  <r>
    <x v="101"/>
    <n v="202504"/>
    <x v="1"/>
    <x v="9"/>
    <s v="Fátima L"/>
    <s v="Fátima L"/>
    <n v="31366"/>
    <n v="804636"/>
    <n v="25.653395833333342"/>
    <n v="66808.852648065178"/>
    <n v="13.5"/>
    <n v="14.5"/>
    <n v="12.043854341260007"/>
    <n v="968583"/>
  </r>
  <r>
    <x v="110"/>
    <n v="202402"/>
    <x v="2"/>
    <x v="2"/>
    <s v="Fátima L"/>
    <s v="Fátima L"/>
    <n v="31312"/>
    <n v="264406"/>
    <n v="8.4442528735632205"/>
    <n v="0"/>
    <n v="9"/>
    <n v="9"/>
    <m/>
    <n v="0"/>
  </r>
  <r>
    <x v="108"/>
    <n v="202603"/>
    <x v="0"/>
    <x v="0"/>
    <s v="María R"/>
    <s v="María R"/>
    <n v="30476"/>
    <n v="2760774"/>
    <n v="90.588279569892464"/>
    <n v="29810.388814776277"/>
    <n v="22"/>
    <n v="20"/>
    <n v="96.1"/>
    <n v="2864778"/>
  </r>
  <r>
    <x v="111"/>
    <n v="202408"/>
    <x v="2"/>
    <x v="5"/>
    <s v="Fátima L"/>
    <s v="Fátima L"/>
    <n v="30103"/>
    <n v="156628"/>
    <n v="5.2031451612903226"/>
    <n v="0"/>
    <n v="7"/>
    <n v="6.5"/>
    <m/>
    <n v="0"/>
  </r>
  <r>
    <x v="111"/>
    <n v="202407"/>
    <x v="2"/>
    <x v="6"/>
    <s v="Fátima L"/>
    <s v="Fátima L"/>
    <n v="29420"/>
    <n v="166336"/>
    <n v="5.6539112903225819"/>
    <n v="0"/>
    <n v="7"/>
    <n v="6.5"/>
    <m/>
    <n v="0"/>
  </r>
  <r>
    <x v="108"/>
    <n v="202505"/>
    <x v="1"/>
    <x v="3"/>
    <s v="María R"/>
    <s v="María R"/>
    <n v="29391"/>
    <n v="615986"/>
    <n v="20.958555107526884"/>
    <n v="29992.246632154558"/>
    <n v="22"/>
    <n v="20"/>
    <n v="20.538169999562626"/>
    <n v="574346"/>
  </r>
  <r>
    <x v="42"/>
    <n v="202506"/>
    <x v="1"/>
    <x v="11"/>
    <s v="Hernán P"/>
    <s v="Daniel R"/>
    <n v="29267"/>
    <n v="494849"/>
    <n v="16.908111111111111"/>
    <n v="38522.678526909687"/>
    <n v="22.5"/>
    <n v="21"/>
    <n v="12.845666472914836"/>
    <n v="593289"/>
  </r>
  <r>
    <x v="108"/>
    <n v="202408"/>
    <x v="2"/>
    <x v="5"/>
    <s v="María R"/>
    <s v="María R"/>
    <n v="29201"/>
    <n v="581869"/>
    <n v="19.926243279569889"/>
    <n v="0"/>
    <n v="22"/>
    <n v="20"/>
    <m/>
    <n v="0"/>
  </r>
  <r>
    <x v="110"/>
    <n v="202502"/>
    <x v="1"/>
    <x v="2"/>
    <s v="Fátima L"/>
    <s v="Fátima L"/>
    <n v="28980"/>
    <n v="235334"/>
    <n v="8.1205208333333321"/>
    <n v="32877.535840876604"/>
    <n v="9"/>
    <n v="9"/>
    <n v="7.1578950180143854"/>
    <n v="257058"/>
  </r>
  <r>
    <x v="108"/>
    <n v="202405"/>
    <x v="2"/>
    <x v="3"/>
    <s v="María R"/>
    <s v="María R"/>
    <n v="28564"/>
    <n v="553400"/>
    <n v="19.374005376344083"/>
    <n v="0"/>
    <n v="22"/>
    <n v="20"/>
    <m/>
    <n v="0"/>
  </r>
  <r>
    <x v="108"/>
    <n v="202508"/>
    <x v="1"/>
    <x v="5"/>
    <s v="María R"/>
    <s v="María R"/>
    <n v="28531"/>
    <n v="472424"/>
    <n v="16.558010752688169"/>
    <n v="30661.214932892653"/>
    <n v="22"/>
    <n v="20"/>
    <n v="15.407861398642575"/>
    <n v="603680"/>
  </r>
  <r>
    <x v="111"/>
    <n v="202402"/>
    <x v="2"/>
    <x v="2"/>
    <s v="Fátima L"/>
    <s v="Fátima L"/>
    <n v="28344"/>
    <n v="132840"/>
    <n v="4.6867816091954033"/>
    <n v="0"/>
    <n v="7"/>
    <n v="6.5"/>
    <m/>
    <n v="0"/>
  </r>
  <r>
    <x v="111"/>
    <n v="202401"/>
    <x v="2"/>
    <x v="10"/>
    <s v="Fátima L"/>
    <s v="Fátima L"/>
    <n v="27989"/>
    <n v="151226"/>
    <n v="5.4030779569892466"/>
    <n v="0"/>
    <n v="7"/>
    <n v="6.5"/>
    <m/>
    <n v="0"/>
  </r>
  <r>
    <x v="106"/>
    <n v="202602"/>
    <x v="0"/>
    <x v="2"/>
    <s v="María R"/>
    <s v="María R"/>
    <n v="27306"/>
    <n v="1387612"/>
    <n v="50.817395833333336"/>
    <n v="55556.282297945872"/>
    <n v="64.5"/>
    <n v="61"/>
    <n v="55.57085132952011"/>
    <n v="3087310"/>
  </r>
  <r>
    <x v="111"/>
    <n v="202603"/>
    <x v="0"/>
    <x v="0"/>
    <s v="Fátima L"/>
    <s v="Fátima L"/>
    <n v="26983"/>
    <n v="154463"/>
    <n v="5.7243817204301077"/>
    <n v="22703.842946305413"/>
    <n v="7"/>
    <n v="6.5"/>
    <n v="6.4427386872759902"/>
    <n v="146275"/>
  </r>
  <r>
    <x v="108"/>
    <n v="202406"/>
    <x v="2"/>
    <x v="11"/>
    <s v="María R"/>
    <s v="María R"/>
    <n v="26299"/>
    <n v="504101"/>
    <n v="19.167993055555556"/>
    <n v="0"/>
    <n v="22"/>
    <n v="20"/>
    <m/>
    <n v="0"/>
  </r>
  <r>
    <x v="111"/>
    <n v="202507"/>
    <x v="1"/>
    <x v="6"/>
    <s v="Fátima L"/>
    <s v="Fátima L"/>
    <n v="26212"/>
    <n v="160065"/>
    <n v="6.1066061827956988"/>
    <n v="30890.535689680994"/>
    <n v="7"/>
    <n v="6.5"/>
    <n v="5.1816796447939177"/>
    <n v="174335"/>
  </r>
  <r>
    <x v="108"/>
    <n v="202411"/>
    <x v="2"/>
    <x v="7"/>
    <s v="María R"/>
    <s v="María R"/>
    <n v="26172"/>
    <n v="917157"/>
    <n v="35.043895833333302"/>
    <n v="0"/>
    <n v="22"/>
    <n v="20"/>
    <m/>
    <n v="0"/>
  </r>
  <r>
    <x v="111"/>
    <n v="202510"/>
    <x v="1"/>
    <x v="8"/>
    <s v="Fátima L"/>
    <s v="Fátima L"/>
    <n v="25231"/>
    <n v="137752"/>
    <n v="5.4595766129032262"/>
    <n v="24457.127410796402"/>
    <n v="7"/>
    <n v="6.5"/>
    <n v="5.6323732418056034"/>
    <n v="166838"/>
  </r>
  <r>
    <x v="111"/>
    <n v="202403"/>
    <x v="2"/>
    <x v="0"/>
    <s v="Fátima L"/>
    <s v="Fátima L"/>
    <n v="25202"/>
    <n v="157353"/>
    <n v="6.24364247311828"/>
    <n v="0"/>
    <n v="7"/>
    <n v="6.5"/>
    <m/>
    <n v="0"/>
  </r>
  <r>
    <x v="111"/>
    <n v="202406"/>
    <x v="2"/>
    <x v="11"/>
    <s v="Fátima L"/>
    <s v="Fátima L"/>
    <n v="25199"/>
    <n v="148245"/>
    <n v="5.8829166666666657"/>
    <n v="0"/>
    <n v="7"/>
    <n v="6.5"/>
    <m/>
    <n v="0"/>
  </r>
  <r>
    <x v="111"/>
    <n v="202504"/>
    <x v="1"/>
    <x v="9"/>
    <s v="Fátima L"/>
    <s v="Fátima L"/>
    <n v="24854"/>
    <n v="138856"/>
    <n v="5.5867777777777796"/>
    <n v="21636.563398790418"/>
    <n v="7"/>
    <n v="6.5"/>
    <n v="6.4176476384305419"/>
    <n v="143253"/>
  </r>
  <r>
    <x v="111"/>
    <n v="202511"/>
    <x v="1"/>
    <x v="7"/>
    <s v="Fátima L"/>
    <s v="Fátima L"/>
    <n v="24789"/>
    <n v="151921"/>
    <n v="6.1284513888888883"/>
    <n v="23297.806572574351"/>
    <n v="7"/>
    <n v="6.5"/>
    <n v="6.5208069921413729"/>
    <n v="160193"/>
  </r>
  <r>
    <x v="111"/>
    <n v="202606"/>
    <x v="0"/>
    <x v="11"/>
    <s v="Fátima L"/>
    <s v="Fátima L"/>
    <n v="24533"/>
    <n v="131548"/>
    <n v="5.3620972222222179"/>
    <n v="20376.016050327267"/>
    <n v="7"/>
    <n v="6.5"/>
    <n v="6.4427386872759902"/>
    <n v="131277"/>
  </r>
  <r>
    <x v="111"/>
    <n v="202604"/>
    <x v="0"/>
    <x v="9"/>
    <s v="Fátima L"/>
    <s v="Fátima L"/>
    <n v="24250"/>
    <n v="152157"/>
    <n v="6.27438194444444"/>
    <n v="21285.951729012795"/>
    <n v="7"/>
    <n v="6.5"/>
    <n v="6.4427386872759902"/>
    <n v="137140"/>
  </r>
  <r>
    <x v="108"/>
    <n v="202606"/>
    <x v="0"/>
    <x v="11"/>
    <s v="María R"/>
    <s v="María R"/>
    <n v="24195"/>
    <n v="458564"/>
    <n v="18.952986111111098"/>
    <n v="4568.0532851196676"/>
    <n v="22"/>
    <n v="20"/>
    <n v="96.1"/>
    <n v="438990"/>
  </r>
  <r>
    <x v="105"/>
    <n v="202507"/>
    <x v="1"/>
    <x v="6"/>
    <s v="María R"/>
    <s v="María R"/>
    <n v="24090"/>
    <n v="1048428"/>
    <n v="43.520571236559121"/>
    <n v="59276.347496433373"/>
    <n v="61.5"/>
    <n v="56"/>
    <n v="17.687120652349293"/>
    <n v="3463797"/>
  </r>
  <r>
    <x v="108"/>
    <n v="202509"/>
    <x v="1"/>
    <x v="4"/>
    <s v="María R"/>
    <s v="María R"/>
    <n v="23888"/>
    <n v="419456"/>
    <n v="17.55896527777778"/>
    <n v="24587.693443984259"/>
    <n v="22"/>
    <n v="20"/>
    <n v="17.05960630083527"/>
    <n v="544475"/>
  </r>
  <r>
    <x v="111"/>
    <n v="202605"/>
    <x v="0"/>
    <x v="3"/>
    <s v="Fátima L"/>
    <s v="Fátima L"/>
    <n v="23509"/>
    <n v="155417"/>
    <n v="6.6110954301075369"/>
    <n v="21966.780459295285"/>
    <n v="7"/>
    <n v="6.5"/>
    <n v="6.4427386872759902"/>
    <n v="141526"/>
  </r>
  <r>
    <x v="111"/>
    <n v="202509"/>
    <x v="1"/>
    <x v="4"/>
    <s v="Fátima L"/>
    <s v="Fátima L"/>
    <n v="23451"/>
    <n v="133939"/>
    <n v="5.7114166666666666"/>
    <n v="23429.179367228855"/>
    <n v="7"/>
    <n v="6.5"/>
    <n v="5.716759767836546"/>
    <n v="159327"/>
  </r>
  <r>
    <x v="108"/>
    <n v="202409"/>
    <x v="2"/>
    <x v="4"/>
    <s v="María R"/>
    <s v="María R"/>
    <n v="23417"/>
    <n v="441401"/>
    <n v="18.84973611111111"/>
    <n v="0"/>
    <n v="22"/>
    <n v="20"/>
    <m/>
    <n v="0"/>
  </r>
  <r>
    <x v="111"/>
    <n v="202410"/>
    <x v="2"/>
    <x v="8"/>
    <s v="Fátima L"/>
    <s v="Fátima L"/>
    <n v="23293"/>
    <n v="139389"/>
    <n v="5.9842943548387115"/>
    <n v="0"/>
    <n v="7"/>
    <n v="6.5"/>
    <m/>
    <n v="0"/>
  </r>
  <r>
    <x v="111"/>
    <n v="202503"/>
    <x v="1"/>
    <x v="0"/>
    <s v="Fátima L"/>
    <s v="Fátima L"/>
    <n v="22963"/>
    <n v="142976"/>
    <n v="6.2264717741935494"/>
    <n v="26462.199623272707"/>
    <n v="7"/>
    <n v="6.5"/>
    <n v="5.4030130539207812"/>
    <n v="155591"/>
  </r>
  <r>
    <x v="111"/>
    <n v="202508"/>
    <x v="1"/>
    <x v="5"/>
    <s v="Fátima L"/>
    <s v="Fátima L"/>
    <n v="22841"/>
    <n v="153313"/>
    <n v="6.7122849462365597"/>
    <n v="31607.770858196818"/>
    <n v="7"/>
    <n v="6.5"/>
    <n v="4.8504945409727123"/>
    <n v="164173"/>
  </r>
  <r>
    <x v="111"/>
    <n v="202602"/>
    <x v="0"/>
    <x v="2"/>
    <s v="Fátima L"/>
    <s v="Fátima L"/>
    <n v="22783"/>
    <n v="146358"/>
    <n v="6.4238541666666666"/>
    <n v="20405.459848874405"/>
    <n v="7"/>
    <n v="6.5"/>
    <n v="6.4427386872759902"/>
    <n v="131467"/>
  </r>
  <r>
    <x v="111"/>
    <n v="202405"/>
    <x v="2"/>
    <x v="3"/>
    <s v="Fátima L"/>
    <s v="Fátima L"/>
    <n v="22682"/>
    <n v="139881"/>
    <n v="6.1670094086021514"/>
    <n v="0"/>
    <n v="7"/>
    <n v="6.5"/>
    <m/>
    <n v="0"/>
  </r>
  <r>
    <x v="111"/>
    <n v="202601"/>
    <x v="0"/>
    <x v="10"/>
    <s v="Fátima L"/>
    <s v="Fátima L"/>
    <n v="22571"/>
    <n v="151114"/>
    <n v="6.6951142473118281"/>
    <n v="24633.241964854733"/>
    <n v="7"/>
    <n v="6.5"/>
    <n v="6.4427386872759902"/>
    <n v="158706"/>
  </r>
  <r>
    <x v="111"/>
    <n v="202506"/>
    <x v="1"/>
    <x v="11"/>
    <s v="Fátima L"/>
    <s v="Fátima L"/>
    <n v="22360"/>
    <n v="132268"/>
    <n v="5.9153888888888888"/>
    <n v="26459.230738720882"/>
    <n v="7"/>
    <n v="6.5"/>
    <n v="4.9989355815411818"/>
    <n v="154731"/>
  </r>
  <r>
    <x v="111"/>
    <n v="202409"/>
    <x v="2"/>
    <x v="4"/>
    <s v="Fátima L"/>
    <s v="Fátima L"/>
    <n v="22314"/>
    <n v="140974"/>
    <n v="6.3178888888888904"/>
    <n v="0"/>
    <n v="7"/>
    <n v="6.5"/>
    <m/>
    <n v="0"/>
  </r>
  <r>
    <x v="108"/>
    <n v="202506"/>
    <x v="1"/>
    <x v="11"/>
    <s v="María R"/>
    <s v="María R"/>
    <n v="22277"/>
    <n v="416162"/>
    <n v="18.68149305555556"/>
    <n v="27614.082599356341"/>
    <n v="22"/>
    <n v="20"/>
    <n v="15.070657462641918"/>
    <n v="523236"/>
  </r>
  <r>
    <x v="111"/>
    <n v="202411"/>
    <x v="2"/>
    <x v="7"/>
    <s v="Fátima L"/>
    <s v="Fátima L"/>
    <n v="22188"/>
    <n v="144972"/>
    <n v="6.5336736111111104"/>
    <n v="0"/>
    <n v="7"/>
    <n v="6.5"/>
    <m/>
    <n v="0"/>
  </r>
  <r>
    <x v="111"/>
    <n v="202505"/>
    <x v="1"/>
    <x v="3"/>
    <s v="Fátima L"/>
    <s v="Fátima L"/>
    <n v="21976"/>
    <n v="140259"/>
    <n v="6.3822311827957003"/>
    <n v="23816.314970288258"/>
    <n v="7"/>
    <n v="6.5"/>
    <n v="5.8891965518166129"/>
    <n v="147720"/>
  </r>
  <r>
    <x v="111"/>
    <n v="202501"/>
    <x v="1"/>
    <x v="10"/>
    <s v="Fátima L"/>
    <s v="Fátima L"/>
    <n v="21588"/>
    <n v="140000"/>
    <n v="6.4851142473118299"/>
    <n v="29388.351096174276"/>
    <n v="7"/>
    <n v="6.5"/>
    <n v="4.7637881942354001"/>
    <n v="155540"/>
  </r>
  <r>
    <x v="108"/>
    <n v="202511"/>
    <x v="1"/>
    <x v="7"/>
    <s v="María R"/>
    <s v="María R"/>
    <n v="20848"/>
    <n v="648074"/>
    <n v="31.085250000000006"/>
    <n v="27480.241896621344"/>
    <n v="22"/>
    <n v="20"/>
    <n v="23.583256378819563"/>
    <n v="912748"/>
  </r>
  <r>
    <x v="111"/>
    <n v="202404"/>
    <x v="2"/>
    <x v="9"/>
    <s v="Fátima L"/>
    <s v="Fátima L"/>
    <n v="20606"/>
    <n v="134157"/>
    <n v="6.5104861111111108"/>
    <n v="0"/>
    <n v="7"/>
    <n v="6.5"/>
    <m/>
    <n v="0"/>
  </r>
  <r>
    <x v="111"/>
    <n v="202502"/>
    <x v="1"/>
    <x v="2"/>
    <s v="Fátima L"/>
    <s v="Fátima L"/>
    <n v="20334"/>
    <n v="127168"/>
    <n v="6.2539583333333333"/>
    <n v="29760.817364806866"/>
    <n v="7"/>
    <n v="6.5"/>
    <n v="4.2729995766305882"/>
    <n v="128885"/>
  </r>
  <r>
    <x v="105"/>
    <n v="202603"/>
    <x v="0"/>
    <x v="0"/>
    <s v="María R"/>
    <s v="María R"/>
    <n v="13301"/>
    <n v="772435"/>
    <n v="58.071915322580651"/>
    <m/>
    <n v="61.5"/>
    <n v="56"/>
    <m/>
    <n v="3260483"/>
  </r>
  <r>
    <x v="88"/>
    <n v="202510"/>
    <x v="1"/>
    <x v="8"/>
    <s v="Sofía V"/>
    <s v="José A"/>
    <m/>
    <n v="295"/>
    <m/>
    <n v="0"/>
    <n v="84"/>
    <n v="76.5"/>
    <m/>
    <m/>
  </r>
  <r>
    <x v="88"/>
    <n v="202511"/>
    <x v="1"/>
    <x v="7"/>
    <s v="Sofía V"/>
    <s v="José A"/>
    <m/>
    <n v="5285248"/>
    <m/>
    <n v="0"/>
    <n v="84"/>
    <n v="76.5"/>
    <m/>
    <m/>
  </r>
  <r>
    <x v="31"/>
    <n v="202506"/>
    <x v="1"/>
    <x v="11"/>
    <s v="Sofía V"/>
    <s v="Melany A"/>
    <m/>
    <n v="76"/>
    <m/>
    <n v="115748.48877235636"/>
    <n v="99"/>
    <n v="32.5"/>
    <n v="6.5823753560915674E-4"/>
    <n v="11493576"/>
  </r>
  <r>
    <x v="31"/>
    <n v="202510"/>
    <x v="1"/>
    <x v="8"/>
    <s v="Sofía V"/>
    <s v="Melany A"/>
    <m/>
    <n v="1368"/>
    <m/>
    <n v="95627.042118029654"/>
    <n v="99"/>
    <n v="32.5"/>
    <n v="1.4304321975280443E-2"/>
    <n v="12285584"/>
  </r>
  <r>
    <x v="31"/>
    <n v="202511"/>
    <x v="1"/>
    <x v="7"/>
    <s v="Sofía V"/>
    <s v="Melany A"/>
    <m/>
    <n v="1524"/>
    <m/>
    <n v="99836.397512044452"/>
    <n v="99"/>
    <n v="32.5"/>
    <n v="1.526226945254284E-2"/>
    <n v="11754443"/>
  </r>
  <r>
    <x v="31"/>
    <n v="202602"/>
    <x v="0"/>
    <x v="2"/>
    <s v="Sofía V"/>
    <s v="Melany A"/>
    <m/>
    <n v="482"/>
    <m/>
    <n v="0"/>
    <n v="99"/>
    <n v="32.5"/>
    <n v="87.909090308325176"/>
    <n v="0"/>
  </r>
  <r>
    <x v="31"/>
    <n v="202604"/>
    <x v="0"/>
    <x v="9"/>
    <s v="Sofía V"/>
    <s v="Melany A"/>
    <m/>
    <n v="109"/>
    <m/>
    <n v="0"/>
    <n v="99"/>
    <n v="32.5"/>
    <n v="87.909090308325176"/>
    <m/>
  </r>
  <r>
    <x v="31"/>
    <n v="202606"/>
    <x v="0"/>
    <x v="11"/>
    <s v="Sofía V"/>
    <s v="Melany A"/>
    <m/>
    <n v="631"/>
    <m/>
    <n v="0"/>
    <n v="99"/>
    <n v="32.5"/>
    <n v="87.909090308325176"/>
    <m/>
  </r>
  <r>
    <x v="69"/>
    <n v="202510"/>
    <x v="1"/>
    <x v="8"/>
    <s v="Sofía V"/>
    <s v="José A"/>
    <m/>
    <n v="238502"/>
    <m/>
    <n v="0"/>
    <n v="84"/>
    <n v="76"/>
    <m/>
    <m/>
  </r>
  <r>
    <x v="69"/>
    <n v="202511"/>
    <x v="1"/>
    <x v="7"/>
    <s v="Sofía V"/>
    <s v="José A"/>
    <m/>
    <n v="7542015"/>
    <m/>
    <n v="0"/>
    <n v="84"/>
    <n v="7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n v="5450.8198677195296"/>
    <n v="5349.1833096073633"/>
    <n v="100894"/>
    <n v="101097.07580239847"/>
    <n v="549955374"/>
    <n v="540786791"/>
    <s v="Daniel Rodríguez"/>
    <n v="5193.3547396953318"/>
    <n v="92967"/>
    <n v="482811337"/>
  </r>
  <r>
    <n v="1615.6433060035827"/>
    <n v="1651.8700631748877"/>
    <n v="92558"/>
    <n v="87470.298362567031"/>
    <n v="149540197"/>
    <n v="144489567"/>
    <s v="Joe Huamancondor"/>
    <n v="1669.0197200940822"/>
    <n v="78111"/>
    <n v="130368763"/>
  </r>
  <r>
    <n v="5818.1903073476115"/>
    <n v="6459.1281249987333"/>
    <n v="92353"/>
    <n v="84091.569053277824"/>
    <n v="537325330"/>
    <n v="543158219"/>
    <s v="Johanna Vilca"/>
    <n v="6456.2685566756363"/>
    <n v="82919"/>
    <n v="535349133"/>
  </r>
  <r>
    <n v="5571.6567184138921"/>
    <n v="5665.7565752644596"/>
    <n v="93783"/>
    <n v="89641.236310685155"/>
    <n v="522526650"/>
    <n v="507885424"/>
    <s v="José Aramburu"/>
    <n v="5074.3191565860125"/>
    <n v="89552"/>
    <n v="454416209"/>
  </r>
  <r>
    <n v="3445.4188515905003"/>
    <n v="3296.7288659558535"/>
    <n v="65012"/>
    <n v="73507.187861516213"/>
    <n v="223992371"/>
    <n v="242333268"/>
    <s v="María Rojas"/>
    <n v="3453.5685197132639"/>
    <n v="65743"/>
    <n v="227049127"/>
  </r>
  <r>
    <n v="4619.5781108870815"/>
    <n v="4680.075768606097"/>
    <n v="90081"/>
    <n v="85190.680617601844"/>
    <n v="416137460"/>
    <n v="398698840"/>
    <s v="Melany Alvarado"/>
    <n v="5008.0806171594777"/>
    <n v="78563"/>
    <n v="396375804"/>
  </r>
  <r>
    <n v="5041.3477309587379"/>
    <n v="4986.9860015159638"/>
    <n v="93706"/>
    <n v="92064.649201147331"/>
    <n v="472406968"/>
    <n v="459125117"/>
    <s v="Rodolfo Olivry"/>
    <n v="5160.9290704525174"/>
    <n v="85514"/>
    <n v="441332096"/>
  </r>
  <r>
    <n v="4889.3344288754361"/>
    <n v="4828.8941909538835"/>
    <n v="99164"/>
    <n v="98692.604883574706"/>
    <n v="484844153"/>
    <n v="476576146"/>
    <s v="Vik Enciso"/>
    <n v="4999.3900425627189"/>
    <n v="90401"/>
    <n v="4519506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3" cacheId="50" applyNumberFormats="0" applyBorderFormats="0" applyFontFormats="0" applyPatternFormats="0" applyAlignmentFormats="0" applyWidthHeightFormats="1" dataCaption="Valores" showError="1" updatedVersion="6" minRefreshableVersion="3" colGrandTotals="0" itemPrintTitles="1" createdVersion="6" indent="0" outline="1" outlineData="1" multipleFieldFilters="0" chartFormat="1">
  <location ref="A3:D117" firstHeaderRow="1" firstDataRow="2" firstDataCol="1" rowPageCount="1" colPageCount="1"/>
  <pivotFields count="16">
    <pivotField axis="axisRow" showAll="0">
      <items count="113">
        <item x="61"/>
        <item x="79"/>
        <item x="7"/>
        <item x="88"/>
        <item x="49"/>
        <item x="35"/>
        <item x="64"/>
        <item x="40"/>
        <item x="82"/>
        <item x="70"/>
        <item x="65"/>
        <item x="44"/>
        <item x="41"/>
        <item x="58"/>
        <item x="31"/>
        <item x="54"/>
        <item x="59"/>
        <item x="50"/>
        <item x="47"/>
        <item x="99"/>
        <item x="12"/>
        <item x="9"/>
        <item x="85"/>
        <item x="76"/>
        <item x="94"/>
        <item x="83"/>
        <item x="98"/>
        <item x="100"/>
        <item x="71"/>
        <item x="8"/>
        <item x="4"/>
        <item x="29"/>
        <item x="90"/>
        <item x="6"/>
        <item x="55"/>
        <item x="24"/>
        <item x="60"/>
        <item x="28"/>
        <item x="3"/>
        <item x="32"/>
        <item x="57"/>
        <item x="36"/>
        <item x="72"/>
        <item x="78"/>
        <item x="111"/>
        <item x="48"/>
        <item x="66"/>
        <item x="18"/>
        <item x="26"/>
        <item x="46"/>
        <item x="10"/>
        <item x="20"/>
        <item x="17"/>
        <item x="75"/>
        <item x="93"/>
        <item x="86"/>
        <item x="56"/>
        <item x="84"/>
        <item x="102"/>
        <item x="81"/>
        <item x="87"/>
        <item x="51"/>
        <item x="0"/>
        <item x="63"/>
        <item x="96"/>
        <item x="42"/>
        <item x="68"/>
        <item x="13"/>
        <item x="62"/>
        <item x="77"/>
        <item x="92"/>
        <item x="80"/>
        <item x="67"/>
        <item x="34"/>
        <item x="73"/>
        <item x="101"/>
        <item x="43"/>
        <item x="15"/>
        <item x="52"/>
        <item x="16"/>
        <item x="38"/>
        <item x="53"/>
        <item x="22"/>
        <item x="25"/>
        <item x="19"/>
        <item x="74"/>
        <item x="91"/>
        <item x="45"/>
        <item x="89"/>
        <item x="39"/>
        <item x="21"/>
        <item x="5"/>
        <item x="110"/>
        <item x="30"/>
        <item x="27"/>
        <item x="23"/>
        <item x="37"/>
        <item x="14"/>
        <item x="33"/>
        <item x="2"/>
        <item x="1"/>
        <item x="11"/>
        <item x="69"/>
        <item x="103"/>
        <item x="107"/>
        <item x="106"/>
        <item x="97"/>
        <item x="105"/>
        <item x="109"/>
        <item x="108"/>
        <item x="104"/>
        <item x="95"/>
        <item t="default"/>
      </items>
    </pivotField>
    <pivotField showAll="0"/>
    <pivotField axis="axisCol" showAll="0" defaultSubtotal="0">
      <items count="3">
        <item x="2"/>
        <item x="1"/>
        <item x="0"/>
      </items>
    </pivotField>
    <pivotField axis="axisPage" multipleItemSelectionAllowed="1" showAll="0" defaultSubtotal="0">
      <items count="12">
        <item x="10"/>
        <item x="2"/>
        <item x="0"/>
        <item x="9"/>
        <item x="3"/>
        <item h="1" x="11"/>
        <item h="1" x="6"/>
        <item h="1" x="5"/>
        <item h="1" x="4"/>
        <item h="1" x="8"/>
        <item h="1" x="7"/>
        <item h="1"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2"/>
  </colFields>
  <colItems count="3">
    <i>
      <x/>
    </i>
    <i>
      <x v="1"/>
    </i>
    <i>
      <x v="2"/>
    </i>
  </colItems>
  <pageFields count="1">
    <pageField fld="3" hier="-1"/>
  </pageFields>
  <dataFields count="1">
    <dataField name="Suma de prodcreal" fld="14" baseField="0" baseItem="0"/>
  </dataFields>
  <formats count="1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3" count="0"/>
        </references>
      </pivotArea>
    </format>
    <format dxfId="39">
      <pivotArea field="2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Col="1" outline="0" fieldPosition="0"/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3" count="0"/>
        </references>
      </pivotArea>
    </format>
    <format dxfId="33">
      <pivotArea field="2" type="button" dataOnly="0" labelOnly="1" outline="0" axis="axisCol" fieldPosition="0"/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50" applyNumberFormats="0" applyBorderFormats="0" applyFontFormats="0" applyPatternFormats="0" applyAlignmentFormats="0" applyWidthHeightFormats="1" dataCaption="Valores" showError="1" updatedVersion="6" minRefreshableVersion="3" colGrandTotals="0" itemPrintTitles="1" createdVersion="6" indent="0" outline="1" outlineData="1" multipleFieldFilters="0" chartFormat="1">
  <location ref="A4:E117" firstHeaderRow="0" firstDataRow="1" firstDataCol="1" rowPageCount="2" colPageCount="1"/>
  <pivotFields count="16">
    <pivotField axis="axisRow" showAll="0">
      <items count="113">
        <item x="61"/>
        <item x="79"/>
        <item x="7"/>
        <item x="88"/>
        <item x="49"/>
        <item x="35"/>
        <item x="64"/>
        <item x="40"/>
        <item x="82"/>
        <item x="70"/>
        <item x="65"/>
        <item x="44"/>
        <item x="41"/>
        <item x="58"/>
        <item x="31"/>
        <item x="54"/>
        <item x="59"/>
        <item x="50"/>
        <item x="47"/>
        <item x="99"/>
        <item x="12"/>
        <item x="9"/>
        <item x="85"/>
        <item x="76"/>
        <item x="94"/>
        <item x="83"/>
        <item x="98"/>
        <item x="100"/>
        <item x="71"/>
        <item x="8"/>
        <item x="4"/>
        <item x="29"/>
        <item x="90"/>
        <item x="6"/>
        <item x="55"/>
        <item x="24"/>
        <item x="60"/>
        <item x="28"/>
        <item x="3"/>
        <item x="32"/>
        <item x="57"/>
        <item x="36"/>
        <item x="72"/>
        <item x="78"/>
        <item x="111"/>
        <item x="48"/>
        <item x="66"/>
        <item x="18"/>
        <item x="26"/>
        <item x="46"/>
        <item x="10"/>
        <item x="20"/>
        <item x="17"/>
        <item x="75"/>
        <item x="93"/>
        <item x="86"/>
        <item x="56"/>
        <item x="84"/>
        <item x="102"/>
        <item x="81"/>
        <item x="87"/>
        <item x="51"/>
        <item x="0"/>
        <item x="63"/>
        <item x="96"/>
        <item x="42"/>
        <item x="68"/>
        <item x="13"/>
        <item x="62"/>
        <item x="77"/>
        <item x="92"/>
        <item x="80"/>
        <item x="67"/>
        <item x="34"/>
        <item x="73"/>
        <item x="101"/>
        <item x="43"/>
        <item x="15"/>
        <item x="52"/>
        <item x="16"/>
        <item x="38"/>
        <item x="53"/>
        <item x="22"/>
        <item x="25"/>
        <item x="19"/>
        <item x="74"/>
        <item x="91"/>
        <item x="45"/>
        <item x="89"/>
        <item x="39"/>
        <item x="21"/>
        <item x="5"/>
        <item x="110"/>
        <item x="30"/>
        <item x="27"/>
        <item x="23"/>
        <item x="37"/>
        <item x="14"/>
        <item x="33"/>
        <item x="2"/>
        <item x="1"/>
        <item x="11"/>
        <item x="69"/>
        <item x="103"/>
        <item x="107"/>
        <item x="106"/>
        <item x="97"/>
        <item x="105"/>
        <item x="109"/>
        <item x="108"/>
        <item x="104"/>
        <item x="95"/>
        <item t="default"/>
      </items>
    </pivotField>
    <pivotField showAll="0"/>
    <pivotField axis="axisPage" showAll="0" defaultSubtotal="0">
      <items count="3">
        <item x="2"/>
        <item x="1"/>
        <item x="0"/>
      </items>
    </pivotField>
    <pivotField axis="axisPage" multipleItemSelectionAllowed="1" showAll="0" defaultSubtotal="0">
      <items count="12">
        <item x="10"/>
        <item x="2"/>
        <item x="0"/>
        <item x="9"/>
        <item x="3"/>
        <item h="1" x="11"/>
        <item h="1" x="6"/>
        <item h="1" x="5"/>
        <item h="1" x="4"/>
        <item h="1" x="8"/>
        <item h="1" x="7"/>
        <item h="1" x="1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hier="-1"/>
    <pageField fld="2" item="2" hier="-1"/>
  </pageFields>
  <dataFields count="4">
    <dataField name="Suma de prodcreal" fld="14" baseField="0" baseItem="0"/>
    <dataField name="Suma de prodmeta2" fld="15" baseField="0" baseItem="0"/>
    <dataField name="Suma de JEq" fld="8" baseField="0" baseItem="105"/>
    <dataField name="Suma de VtaNeta" fld="7" baseField="0" baseItem="0"/>
  </dataFields>
  <formats count="12">
    <format dxfId="18">
      <pivotArea outline="0" collapsedLevelsAreSubtotals="1" fieldPosition="0"/>
    </format>
    <format dxfId="19">
      <pivotArea dataOnly="0" labelOnly="1" outline="0" fieldPosition="0">
        <references count="1">
          <reference field="3" count="0"/>
        </references>
      </pivotArea>
    </format>
    <format dxfId="20">
      <pivotArea field="2" type="button" dataOnly="0" labelOnly="1" outline="0" axis="axisPage" fieldPosition="1"/>
    </format>
    <format dxfId="21">
      <pivotArea type="topRight" dataOnly="0" labelOnly="1" outline="0" fieldPosition="0"/>
    </format>
    <format dxfId="22">
      <pivotArea dataOnly="0" labelOnly="1" fieldPosition="0">
        <references count="1">
          <reference field="2" count="0"/>
        </references>
      </pivotArea>
    </format>
    <format dxfId="23">
      <pivotArea dataOnly="0" labelOnly="1" grandCol="1" outline="0" fieldPosition="0"/>
    </format>
    <format dxfId="24">
      <pivotArea outline="0" collapsedLevelsAreSubtotals="1" fieldPosition="0"/>
    </format>
    <format dxfId="25">
      <pivotArea dataOnly="0" labelOnly="1" outline="0" fieldPosition="0">
        <references count="1">
          <reference field="3" count="0"/>
        </references>
      </pivotArea>
    </format>
    <format dxfId="26">
      <pivotArea field="2" type="button" dataOnly="0" labelOnly="1" outline="0" axis="axisPage" fieldPosition="1"/>
    </format>
    <format dxfId="27">
      <pivotArea type="topRight" dataOnly="0" labelOnly="1" outline="0" fieldPosition="0"/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4" cacheId="54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:C12" firstHeaderRow="1" firstDataRow="1" firstDataCol="1"/>
  <pivotFields count="10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Suma de JEq" fld="0" baseField="0" baseItem="0"/>
    <dataField name="Suma de JEqMeta" fld="1" baseField="0" baseItem="0"/>
    <dataField name="Suma de Prod" fld="2" baseField="0" baseItem="0"/>
    <dataField name="Suma de ProdMeta" fld="3" baseField="0" baseItem="0"/>
    <dataField name="Suma de VtaNeta" fld="4" baseField="0" baseItem="0"/>
    <dataField name="Suma de VtaNetaMeta" fld="5" baseField="0" baseItem="0"/>
    <dataField name="Suma de JEqAA" fld="7" baseField="0" baseItem="0"/>
    <dataField name="Suma de ProdAA" fld="8" baseField="0" baseItem="0"/>
    <dataField name="Suma de VtaNetaAA" fld="9" baseField="0" baseItem="0"/>
  </dataFields>
  <formats count="4">
    <format dxfId="17">
      <pivotArea outline="0" collapsedLevelsAreSubtotals="1" fieldPosition="0"/>
    </format>
    <format dxfId="16">
      <pivotArea dataOnly="0" labelOnly="1" grandCol="1" outline="0" axis="axisCol" fieldPosition="0"/>
    </format>
    <format dxfId="15">
      <pivotArea outline="0" collapsedLevelsAreSubtotals="1" fieldPosition="0"/>
    </format>
    <format dxfId="14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Tienda" tableColumnId="38"/>
      <queryTableField id="2" name="Periodo" tableColumnId="39"/>
      <queryTableField id="14" dataBound="0" tableColumnId="51"/>
      <queryTableField id="15" dataBound="0" tableColumnId="52"/>
      <queryTableField id="3" name="GOS" tableColumnId="40"/>
      <queryTableField id="4" name="GOR" tableColumnId="41"/>
      <queryTableField id="5" name="Prod" tableColumnId="42"/>
      <queryTableField id="6" name="VtaNeta" tableColumnId="43"/>
      <queryTableField id="7" name="JEq" tableColumnId="44"/>
      <queryTableField id="8" name="ProdMeta" tableColumnId="45"/>
      <queryTableField id="9" name="CAPO *" tableColumnId="46"/>
      <queryTableField id="10" name="CAPE *" tableColumnId="47"/>
      <queryTableField id="11" name="JEqMeta" tableColumnId="48"/>
      <queryTableField id="12" name="VtaNetaMeta" tableColumnId="49"/>
    </queryTableFields>
  </queryTableRefresh>
</queryTable>
</file>

<file path=xl/queryTables/queryTable2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JEq" tableColumnId="31"/>
      <queryTableField id="2" name="JEqMeta" tableColumnId="32"/>
      <queryTableField id="3" name="Prod" tableColumnId="33"/>
      <queryTableField id="4" name="ProdMeta" tableColumnId="34"/>
      <queryTableField id="5" name="VtaNeta" tableColumnId="35"/>
      <queryTableField id="6" name="VtaNetaMeta" tableColumnId="36"/>
      <queryTableField id="7" name="supervisor" tableColumnId="37"/>
      <queryTableField id="8" name="JEqAA" tableColumnId="38"/>
      <queryTableField id="9" name="ProdAA" tableColumnId="39"/>
      <queryTableField id="10" name="VtaNetaA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4" name="analisis_productividad__4" displayName="analisis_productividad__4" ref="A1:N3302" tableType="queryTable" totalsRowShown="0">
  <autoFilter ref="A1:N3302"/>
  <tableColumns count="14">
    <tableColumn id="38" uniqueName="38" name="Tienda" queryTableFieldId="1" dataDxfId="55"/>
    <tableColumn id="39" uniqueName="39" name="Periodo" queryTableFieldId="2" dataDxfId="54"/>
    <tableColumn id="51" uniqueName="51" name="año" queryTableFieldId="14" dataDxfId="43">
      <calculatedColumnFormula>MID(analisis_productividad__4[[#This Row],[Periodo]],1,4)</calculatedColumnFormula>
    </tableColumn>
    <tableColumn id="52" uniqueName="52" name="mes" queryTableFieldId="15" dataDxfId="42">
      <calculatedColumnFormula>MID(analisis_productividad__4[[#This Row],[Periodo]],5,2)</calculatedColumnFormula>
    </tableColumn>
    <tableColumn id="40" uniqueName="40" name="GOS" queryTableFieldId="3" dataDxfId="53"/>
    <tableColumn id="41" uniqueName="41" name="GOR" queryTableFieldId="4" dataDxfId="52"/>
    <tableColumn id="42" uniqueName="42" name="Prod" queryTableFieldId="5" dataDxfId="51"/>
    <tableColumn id="43" uniqueName="43" name="VtaNeta" queryTableFieldId="6" dataDxfId="50"/>
    <tableColumn id="44" uniqueName="44" name="JEq" queryTableFieldId="7" dataDxfId="49"/>
    <tableColumn id="45" uniqueName="45" name="ProdMeta" queryTableFieldId="8" dataDxfId="48"/>
    <tableColumn id="46" uniqueName="46" name="CAPO *" queryTableFieldId="9" dataDxfId="47"/>
    <tableColumn id="47" uniqueName="47" name="CAPE *" queryTableFieldId="10" dataDxfId="46"/>
    <tableColumn id="48" uniqueName="48" name="JEqMeta" queryTableFieldId="11" dataDxfId="45"/>
    <tableColumn id="49" uniqueName="49" name="VtaNetaMeta" queryTableFieldId="12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analisis_productividad3" displayName="analisis_productividad3" ref="A1:J9" tableType="queryTable" totalsRowShown="0">
  <autoFilter ref="A1:J9"/>
  <tableColumns count="10">
    <tableColumn id="31" uniqueName="31" name="JEq" queryTableFieldId="1" dataDxfId="13"/>
    <tableColumn id="32" uniqueName="32" name="JEqMeta" queryTableFieldId="2" dataDxfId="12"/>
    <tableColumn id="33" uniqueName="33" name="Prod" queryTableFieldId="3" dataDxfId="11"/>
    <tableColumn id="34" uniqueName="34" name="ProdMeta" queryTableFieldId="4" dataDxfId="10"/>
    <tableColumn id="35" uniqueName="35" name="VtaNeta" queryTableFieldId="5" dataDxfId="9"/>
    <tableColumn id="36" uniqueName="36" name="VtaNetaMeta" queryTableFieldId="6" dataDxfId="8"/>
    <tableColumn id="37" uniqueName="37" name="supervisor" queryTableFieldId="7" dataDxfId="7"/>
    <tableColumn id="38" uniqueName="38" name="JEqAA" queryTableFieldId="8" dataDxfId="6"/>
    <tableColumn id="39" uniqueName="39" name="ProdAA" queryTableFieldId="9" dataDxfId="5"/>
    <tableColumn id="40" uniqueName="40" name="VtaNetaAA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91"/>
  <sheetViews>
    <sheetView topLeftCell="G1" workbookViewId="0">
      <selection activeCell="L13" sqref="L13"/>
    </sheetView>
  </sheetViews>
  <sheetFormatPr baseColWidth="10" defaultRowHeight="14.5" x14ac:dyDescent="0.35"/>
  <cols>
    <col min="1" max="1" width="27.90625" customWidth="1"/>
    <col min="2" max="4" width="10.1796875" style="2" customWidth="1"/>
    <col min="5" max="5" width="13" style="2" customWidth="1"/>
    <col min="6" max="6" width="17.90625" customWidth="1"/>
    <col min="7" max="7" width="16.54296875" customWidth="1"/>
    <col min="8" max="8" width="24" customWidth="1"/>
    <col min="9" max="9" width="22.6328125" customWidth="1"/>
    <col min="10" max="10" width="17.90625" customWidth="1"/>
    <col min="11" max="11" width="21.81640625" customWidth="1"/>
    <col min="12" max="12" width="22.6328125" customWidth="1"/>
    <col min="13" max="13" width="24" customWidth="1"/>
    <col min="14" max="14" width="17.26953125" customWidth="1"/>
    <col min="15" max="15" width="21.81640625" customWidth="1"/>
    <col min="16" max="16" width="22.6328125" customWidth="1"/>
    <col min="17" max="17" width="24" customWidth="1"/>
    <col min="18" max="18" width="17.26953125" customWidth="1"/>
    <col min="19" max="19" width="21.81640625" customWidth="1"/>
    <col min="20" max="20" width="22.6328125" customWidth="1"/>
    <col min="21" max="21" width="24" customWidth="1"/>
    <col min="22" max="22" width="26.08984375" bestFit="1" customWidth="1"/>
    <col min="23" max="23" width="21.81640625" bestFit="1" customWidth="1"/>
    <col min="24" max="24" width="22.6328125" bestFit="1" customWidth="1"/>
    <col min="25" max="25" width="24" bestFit="1" customWidth="1"/>
  </cols>
  <sheetData>
    <row r="1" spans="1:8" x14ac:dyDescent="0.35">
      <c r="A1" s="3" t="s">
        <v>137</v>
      </c>
      <c r="B1" s="8" t="s">
        <v>150</v>
      </c>
      <c r="F1" s="9" t="s">
        <v>139</v>
      </c>
      <c r="G1" s="9" t="s">
        <v>140</v>
      </c>
      <c r="H1" s="9" t="s">
        <v>141</v>
      </c>
    </row>
    <row r="2" spans="1:8" x14ac:dyDescent="0.35">
      <c r="F2" s="8">
        <v>62604.837168197213</v>
      </c>
      <c r="G2" s="8">
        <v>71761.183173200159</v>
      </c>
      <c r="H2" s="8">
        <v>83252.352138750866</v>
      </c>
    </row>
    <row r="3" spans="1:8" x14ac:dyDescent="0.35">
      <c r="A3" s="3" t="s">
        <v>153</v>
      </c>
      <c r="B3" s="12" t="s">
        <v>138</v>
      </c>
      <c r="C3" s="8"/>
      <c r="D3" s="8"/>
      <c r="E3"/>
      <c r="F3" s="8">
        <v>66057.431526864122</v>
      </c>
      <c r="G3" s="8">
        <v>76234.179042688062</v>
      </c>
      <c r="H3" s="8">
        <v>80211.714013971534</v>
      </c>
    </row>
    <row r="4" spans="1:8" x14ac:dyDescent="0.35">
      <c r="A4" s="3" t="s">
        <v>134</v>
      </c>
      <c r="B4" s="8" t="s">
        <v>139</v>
      </c>
      <c r="C4" s="8" t="s">
        <v>140</v>
      </c>
      <c r="D4" s="8" t="s">
        <v>141</v>
      </c>
      <c r="E4"/>
      <c r="F4" s="8">
        <v>71067.065397392129</v>
      </c>
      <c r="G4" s="8">
        <v>108114.14927146753</v>
      </c>
      <c r="H4" s="8">
        <v>117827.9302072752</v>
      </c>
    </row>
    <row r="5" spans="1:8" x14ac:dyDescent="0.35">
      <c r="A5" s="4" t="s">
        <v>71</v>
      </c>
      <c r="B5" s="8">
        <v>62604.837168197213</v>
      </c>
      <c r="C5" s="8">
        <v>71761.183173200159</v>
      </c>
      <c r="D5" s="8">
        <v>83252.352138750866</v>
      </c>
      <c r="E5"/>
      <c r="F5" s="8"/>
      <c r="G5" s="8"/>
      <c r="H5" s="8">
        <v>67482.291520674626</v>
      </c>
    </row>
    <row r="6" spans="1:8" x14ac:dyDescent="0.35">
      <c r="A6" s="4" t="s">
        <v>90</v>
      </c>
      <c r="B6" s="8">
        <v>66057.431526864122</v>
      </c>
      <c r="C6" s="8">
        <v>76234.179042688062</v>
      </c>
      <c r="D6" s="8">
        <v>80211.714013971534</v>
      </c>
      <c r="E6"/>
      <c r="F6" s="8">
        <v>83682.388760350732</v>
      </c>
      <c r="G6" s="8">
        <v>90200.844647446094</v>
      </c>
      <c r="H6" s="8">
        <v>89224.829495988437</v>
      </c>
    </row>
    <row r="7" spans="1:8" x14ac:dyDescent="0.35">
      <c r="A7" s="4" t="s">
        <v>26</v>
      </c>
      <c r="B7" s="8">
        <v>71067.065397392129</v>
      </c>
      <c r="C7" s="8">
        <v>108114.14927146753</v>
      </c>
      <c r="D7" s="8">
        <v>117827.9302072752</v>
      </c>
      <c r="E7"/>
      <c r="F7" s="8">
        <v>95508.881782818818</v>
      </c>
      <c r="G7" s="8">
        <v>101696.11225809679</v>
      </c>
      <c r="H7" s="8">
        <v>108719.10521099063</v>
      </c>
    </row>
    <row r="8" spans="1:8" x14ac:dyDescent="0.35">
      <c r="A8" s="4" t="s">
        <v>96</v>
      </c>
      <c r="B8" s="8"/>
      <c r="C8" s="8"/>
      <c r="D8" s="8">
        <v>67482.291520674626</v>
      </c>
      <c r="E8"/>
      <c r="F8" s="8">
        <v>69537.64679701053</v>
      </c>
      <c r="G8" s="8">
        <v>79087.246795392173</v>
      </c>
      <c r="H8" s="8">
        <v>78570.648916122926</v>
      </c>
    </row>
    <row r="9" spans="1:8" x14ac:dyDescent="0.35">
      <c r="A9" s="4" t="s">
        <v>72</v>
      </c>
      <c r="B9" s="8">
        <v>83682.388760350732</v>
      </c>
      <c r="C9" s="8">
        <v>90200.844647446094</v>
      </c>
      <c r="D9" s="8">
        <v>89224.829495988437</v>
      </c>
      <c r="E9"/>
      <c r="F9" s="8">
        <v>84460.021525929609</v>
      </c>
      <c r="G9" s="8">
        <v>95965.534085101055</v>
      </c>
      <c r="H9" s="8">
        <v>97485.632805647096</v>
      </c>
    </row>
    <row r="10" spans="1:8" x14ac:dyDescent="0.35">
      <c r="A10" s="4" t="s">
        <v>38</v>
      </c>
      <c r="B10" s="8">
        <v>95508.881782818818</v>
      </c>
      <c r="C10" s="8">
        <v>101696.11225809679</v>
      </c>
      <c r="D10" s="8">
        <v>108719.10521099063</v>
      </c>
      <c r="E10"/>
      <c r="F10" s="8">
        <v>66271.324276531261</v>
      </c>
      <c r="G10" s="8">
        <v>73312.891316400783</v>
      </c>
      <c r="H10" s="8">
        <v>75046.598896165757</v>
      </c>
    </row>
    <row r="11" spans="1:8" x14ac:dyDescent="0.35">
      <c r="A11" s="4" t="s">
        <v>94</v>
      </c>
      <c r="B11" s="8">
        <v>69537.64679701053</v>
      </c>
      <c r="C11" s="8">
        <v>79087.246795392173</v>
      </c>
      <c r="D11" s="8">
        <v>78570.648916122926</v>
      </c>
      <c r="E11"/>
      <c r="F11" s="8">
        <v>68168.703616410945</v>
      </c>
      <c r="G11" s="8">
        <v>69693.126694132254</v>
      </c>
      <c r="H11" s="8">
        <v>78638.513976535061</v>
      </c>
    </row>
    <row r="12" spans="1:8" x14ac:dyDescent="0.35">
      <c r="A12" s="4" t="s">
        <v>54</v>
      </c>
      <c r="B12" s="8">
        <v>84460.021525929609</v>
      </c>
      <c r="C12" s="8">
        <v>95965.534085101055</v>
      </c>
      <c r="D12" s="8">
        <v>97485.632805647096</v>
      </c>
      <c r="E12"/>
      <c r="F12" s="8">
        <v>91262.821930473612</v>
      </c>
      <c r="G12" s="8">
        <v>89287.849520218937</v>
      </c>
      <c r="H12" s="8">
        <v>95531.048889393482</v>
      </c>
    </row>
    <row r="13" spans="1:8" x14ac:dyDescent="0.35">
      <c r="A13" s="4" t="s">
        <v>98</v>
      </c>
      <c r="B13" s="8">
        <v>66271.324276531261</v>
      </c>
      <c r="C13" s="8">
        <v>73312.891316400783</v>
      </c>
      <c r="D13" s="8">
        <v>75046.598896165757</v>
      </c>
      <c r="E13"/>
      <c r="F13" s="8">
        <v>99498.726716069505</v>
      </c>
      <c r="G13" s="8">
        <v>94798.744097548202</v>
      </c>
      <c r="H13" s="8">
        <v>95081.421625804782</v>
      </c>
    </row>
    <row r="14" spans="1:8" x14ac:dyDescent="0.35">
      <c r="A14" s="4" t="s">
        <v>85</v>
      </c>
      <c r="B14" s="8">
        <v>68168.703616410945</v>
      </c>
      <c r="C14" s="8">
        <v>69693.126694132254</v>
      </c>
      <c r="D14" s="8">
        <v>78638.513976535061</v>
      </c>
      <c r="E14"/>
      <c r="F14" s="8">
        <v>75017.757908178275</v>
      </c>
      <c r="G14" s="8">
        <v>84959.82303692546</v>
      </c>
      <c r="H14" s="8">
        <v>90838.011194164981</v>
      </c>
    </row>
    <row r="15" spans="1:8" x14ac:dyDescent="0.35">
      <c r="A15" s="4" t="s">
        <v>68</v>
      </c>
      <c r="B15" s="8">
        <v>91262.821930473612</v>
      </c>
      <c r="C15" s="8">
        <v>89287.849520218937</v>
      </c>
      <c r="D15" s="8">
        <v>95531.048889393482</v>
      </c>
      <c r="E15"/>
      <c r="F15" s="8">
        <v>76101.284615063094</v>
      </c>
      <c r="G15" s="8">
        <v>83397.432538314519</v>
      </c>
      <c r="H15" s="8">
        <v>80330.267443015575</v>
      </c>
    </row>
    <row r="16" spans="1:8" x14ac:dyDescent="0.35">
      <c r="A16" s="4" t="s">
        <v>51</v>
      </c>
      <c r="B16" s="8">
        <v>99498.726716069505</v>
      </c>
      <c r="C16" s="8">
        <v>94798.744097548202</v>
      </c>
      <c r="D16" s="8">
        <v>95081.421625804782</v>
      </c>
      <c r="E16"/>
      <c r="F16" s="8">
        <v>105061.20461258307</v>
      </c>
      <c r="G16" s="8">
        <v>93265.453525279998</v>
      </c>
      <c r="H16" s="8"/>
    </row>
    <row r="17" spans="1:11" x14ac:dyDescent="0.35">
      <c r="A17" s="4" t="s">
        <v>79</v>
      </c>
      <c r="B17" s="8">
        <v>75017.757908178275</v>
      </c>
      <c r="C17" s="8">
        <v>84959.82303692546</v>
      </c>
      <c r="D17" s="8">
        <v>90838.011194164981</v>
      </c>
      <c r="E17"/>
      <c r="F17" s="8">
        <v>79328.743868172474</v>
      </c>
      <c r="G17" s="8">
        <v>86464.411966857428</v>
      </c>
      <c r="H17" s="8">
        <v>86919.642654412528</v>
      </c>
    </row>
    <row r="18" spans="1:11" x14ac:dyDescent="0.35">
      <c r="A18" s="4" t="s">
        <v>97</v>
      </c>
      <c r="B18" s="8">
        <v>76101.284615063094</v>
      </c>
      <c r="C18" s="8">
        <v>83397.432538314519</v>
      </c>
      <c r="D18" s="8">
        <v>80330.267443015575</v>
      </c>
      <c r="E18"/>
      <c r="F18" s="8">
        <v>84595.204106218007</v>
      </c>
      <c r="G18" s="8">
        <v>88380.618855761961</v>
      </c>
      <c r="H18" s="8">
        <v>89187.104554425838</v>
      </c>
    </row>
    <row r="19" spans="1:11" x14ac:dyDescent="0.35">
      <c r="A19" s="4" t="s">
        <v>131</v>
      </c>
      <c r="B19" s="8">
        <v>105061.20461258307</v>
      </c>
      <c r="C19" s="8">
        <v>93265.453525279998</v>
      </c>
      <c r="D19" s="8"/>
      <c r="E19"/>
      <c r="F19" s="8">
        <v>86527.827556427219</v>
      </c>
      <c r="G19" s="8">
        <v>88386.910027264676</v>
      </c>
      <c r="H19" s="8">
        <v>94032.031426565401</v>
      </c>
    </row>
    <row r="20" spans="1:11" x14ac:dyDescent="0.35">
      <c r="A20" s="4" t="s">
        <v>66</v>
      </c>
      <c r="B20" s="8">
        <v>79328.743868172474</v>
      </c>
      <c r="C20" s="8">
        <v>86464.411966857428</v>
      </c>
      <c r="D20" s="8">
        <v>86919.642654412528</v>
      </c>
      <c r="E20"/>
      <c r="F20" s="8">
        <v>75562.680483202974</v>
      </c>
      <c r="G20" s="8">
        <v>83544.619835380596</v>
      </c>
      <c r="H20" s="8">
        <v>98984.043689668484</v>
      </c>
      <c r="I20" s="7">
        <v>82.3</v>
      </c>
      <c r="J20" s="7">
        <v>85.9</v>
      </c>
      <c r="K20" s="7">
        <v>92.6</v>
      </c>
    </row>
    <row r="21" spans="1:11" x14ac:dyDescent="0.35">
      <c r="A21" s="4" t="s">
        <v>75</v>
      </c>
      <c r="B21" s="8">
        <v>84595.204106218007</v>
      </c>
      <c r="C21" s="8">
        <v>88380.618855761961</v>
      </c>
      <c r="D21" s="8">
        <v>89187.104554425838</v>
      </c>
      <c r="E21"/>
      <c r="F21" s="8">
        <v>56787.79708793063</v>
      </c>
      <c r="G21" s="8">
        <v>58046.022091930754</v>
      </c>
      <c r="H21" s="8">
        <v>61671.847747524283</v>
      </c>
      <c r="J21" s="11">
        <f>+J20/I20-1</f>
        <v>4.3742405832320808E-2</v>
      </c>
      <c r="K21" s="11">
        <f>+K20/J20-1</f>
        <v>7.7997671711292016E-2</v>
      </c>
    </row>
    <row r="22" spans="1:11" x14ac:dyDescent="0.35">
      <c r="A22" s="4" t="s">
        <v>60</v>
      </c>
      <c r="B22" s="8">
        <v>86527.827556427219</v>
      </c>
      <c r="C22" s="8">
        <v>88386.910027264676</v>
      </c>
      <c r="D22" s="8">
        <v>94032.031426565401</v>
      </c>
      <c r="E22"/>
      <c r="F22" s="8">
        <v>95759.494821320637</v>
      </c>
      <c r="G22" s="8">
        <v>95023.97388036114</v>
      </c>
      <c r="H22" s="8">
        <v>115773.51150913812</v>
      </c>
    </row>
    <row r="23" spans="1:11" x14ac:dyDescent="0.35">
      <c r="A23" s="4" t="s">
        <v>47</v>
      </c>
      <c r="B23" s="8">
        <v>75562.680483202974</v>
      </c>
      <c r="C23" s="8">
        <v>83544.619835380596</v>
      </c>
      <c r="D23" s="8">
        <v>98984.043689668484</v>
      </c>
      <c r="E23"/>
      <c r="F23" s="8">
        <v>87447.057150554087</v>
      </c>
      <c r="G23" s="8">
        <v>90024.752474935929</v>
      </c>
      <c r="H23" s="8">
        <v>108523.8473822065</v>
      </c>
      <c r="I23" t="s">
        <v>155</v>
      </c>
    </row>
    <row r="24" spans="1:11" x14ac:dyDescent="0.35">
      <c r="A24" s="4" t="s">
        <v>115</v>
      </c>
      <c r="B24" s="8">
        <v>56787.79708793063</v>
      </c>
      <c r="C24" s="8">
        <v>58046.022091930754</v>
      </c>
      <c r="D24" s="8">
        <v>61671.847747524283</v>
      </c>
      <c r="E24"/>
      <c r="F24" s="8">
        <v>72135.104448468395</v>
      </c>
      <c r="G24" s="8">
        <v>69811.60493041786</v>
      </c>
      <c r="H24" s="8">
        <v>73429.311626957613</v>
      </c>
    </row>
    <row r="25" spans="1:11" x14ac:dyDescent="0.35">
      <c r="A25" s="4" t="s">
        <v>20</v>
      </c>
      <c r="B25" s="8">
        <v>95759.494821320637</v>
      </c>
      <c r="C25" s="8">
        <v>95023.97388036114</v>
      </c>
      <c r="D25" s="8">
        <v>115773.51150913812</v>
      </c>
      <c r="E25"/>
      <c r="F25" s="8">
        <v>83235.64198645181</v>
      </c>
      <c r="G25" s="8">
        <v>78997.194465096996</v>
      </c>
      <c r="H25" s="8">
        <v>88105.428470081664</v>
      </c>
    </row>
    <row r="26" spans="1:11" x14ac:dyDescent="0.35">
      <c r="A26" s="4" t="s">
        <v>18</v>
      </c>
      <c r="B26" s="8">
        <v>87447.057150554087</v>
      </c>
      <c r="C26" s="8">
        <v>90024.752474935929</v>
      </c>
      <c r="D26" s="8">
        <v>108523.8473822065</v>
      </c>
      <c r="E26"/>
      <c r="F26" s="8">
        <v>56626.448376666718</v>
      </c>
      <c r="G26" s="8">
        <v>61194.396039677435</v>
      </c>
      <c r="H26" s="8">
        <v>67953.593125049156</v>
      </c>
    </row>
    <row r="27" spans="1:11" x14ac:dyDescent="0.35">
      <c r="A27" s="4" t="s">
        <v>100</v>
      </c>
      <c r="B27" s="8">
        <v>72135.104448468395</v>
      </c>
      <c r="C27" s="8">
        <v>69811.60493041786</v>
      </c>
      <c r="D27" s="8">
        <v>73429.311626957613</v>
      </c>
      <c r="E27"/>
      <c r="F27" s="8">
        <v>74111.783100444431</v>
      </c>
      <c r="G27" s="8">
        <v>80229.310423647403</v>
      </c>
      <c r="H27" s="8">
        <v>72146.740719288777</v>
      </c>
    </row>
    <row r="28" spans="1:11" x14ac:dyDescent="0.35">
      <c r="A28" s="4" t="s">
        <v>81</v>
      </c>
      <c r="B28" s="8">
        <v>83235.64198645181</v>
      </c>
      <c r="C28" s="8">
        <v>78997.194465096996</v>
      </c>
      <c r="D28" s="8">
        <v>88105.428470081664</v>
      </c>
      <c r="E28"/>
      <c r="F28" s="8">
        <v>67460.261853440796</v>
      </c>
      <c r="G28" s="8">
        <v>65165.406990175077</v>
      </c>
      <c r="H28" s="8">
        <v>71421.801482209004</v>
      </c>
    </row>
    <row r="29" spans="1:11" x14ac:dyDescent="0.35">
      <c r="A29" s="4" t="s">
        <v>105</v>
      </c>
      <c r="B29" s="8">
        <v>56626.448376666718</v>
      </c>
      <c r="C29" s="8">
        <v>61194.396039677435</v>
      </c>
      <c r="D29" s="8">
        <v>67953.593125049156</v>
      </c>
      <c r="E29"/>
      <c r="F29" s="8">
        <v>59527.596215543366</v>
      </c>
      <c r="G29" s="8">
        <v>57757.864079373248</v>
      </c>
      <c r="H29" s="8">
        <v>60926.986981877126</v>
      </c>
    </row>
    <row r="30" spans="1:11" x14ac:dyDescent="0.35">
      <c r="A30" s="4" t="s">
        <v>106</v>
      </c>
      <c r="B30" s="8">
        <v>74111.783100444431</v>
      </c>
      <c r="C30" s="8">
        <v>80229.310423647403</v>
      </c>
      <c r="D30" s="8">
        <v>72146.740719288777</v>
      </c>
      <c r="E30"/>
      <c r="F30" s="8">
        <v>68532.594613904235</v>
      </c>
      <c r="G30" s="8">
        <v>82707.100218091131</v>
      </c>
      <c r="H30" s="8">
        <v>80285.766359189118</v>
      </c>
    </row>
    <row r="31" spans="1:11" x14ac:dyDescent="0.35">
      <c r="A31" s="4" t="s">
        <v>107</v>
      </c>
      <c r="B31" s="8">
        <v>67460.261853440796</v>
      </c>
      <c r="C31" s="8">
        <v>65165.406990175077</v>
      </c>
      <c r="D31" s="8">
        <v>71421.801482209004</v>
      </c>
      <c r="E31"/>
      <c r="F31" s="8">
        <v>96882.557527602927</v>
      </c>
      <c r="G31" s="8">
        <v>103185.7441840284</v>
      </c>
      <c r="H31" s="8">
        <v>120484.02214609459</v>
      </c>
    </row>
    <row r="32" spans="1:11" x14ac:dyDescent="0.35">
      <c r="A32" s="4" t="s">
        <v>110</v>
      </c>
      <c r="B32" s="8">
        <v>59527.596215543366</v>
      </c>
      <c r="C32" s="8">
        <v>57757.864079373248</v>
      </c>
      <c r="D32" s="8">
        <v>60926.986981877126</v>
      </c>
      <c r="E32"/>
      <c r="F32" s="8">
        <v>91533.213640400107</v>
      </c>
      <c r="G32" s="8">
        <v>88437.649303957471</v>
      </c>
      <c r="H32" s="8">
        <v>111938.42280636491</v>
      </c>
    </row>
    <row r="33" spans="1:8" x14ac:dyDescent="0.35">
      <c r="A33" s="4" t="s">
        <v>82</v>
      </c>
      <c r="B33" s="8">
        <v>68532.594613904235</v>
      </c>
      <c r="C33" s="8">
        <v>82707.100218091131</v>
      </c>
      <c r="D33" s="8">
        <v>80285.766359189118</v>
      </c>
      <c r="E33"/>
      <c r="F33" s="8">
        <v>96987.53380905409</v>
      </c>
      <c r="G33" s="8">
        <v>91820.183632278742</v>
      </c>
      <c r="H33" s="8">
        <v>101448.49005600375</v>
      </c>
    </row>
    <row r="34" spans="1:8" x14ac:dyDescent="0.35">
      <c r="A34" s="4" t="s">
        <v>27</v>
      </c>
      <c r="B34" s="8">
        <v>96882.557527602927</v>
      </c>
      <c r="C34" s="8">
        <v>103185.7441840284</v>
      </c>
      <c r="D34" s="8">
        <v>120484.02214609459</v>
      </c>
      <c r="E34"/>
      <c r="F34" s="8">
        <v>60314.879243085001</v>
      </c>
      <c r="G34" s="8">
        <v>61809.807843822433</v>
      </c>
      <c r="H34" s="8">
        <v>66573.138705997801</v>
      </c>
    </row>
    <row r="35" spans="1:8" x14ac:dyDescent="0.35">
      <c r="A35" s="4" t="s">
        <v>37</v>
      </c>
      <c r="B35" s="8">
        <v>91533.213640400107</v>
      </c>
      <c r="C35" s="8">
        <v>88437.649303957471</v>
      </c>
      <c r="D35" s="8">
        <v>111938.42280636491</v>
      </c>
      <c r="E35"/>
      <c r="F35" s="8">
        <v>105599.57129882398</v>
      </c>
      <c r="G35" s="8">
        <v>113271.74018136799</v>
      </c>
      <c r="H35" s="8">
        <v>126852.57878287336</v>
      </c>
    </row>
    <row r="36" spans="1:8" x14ac:dyDescent="0.35">
      <c r="A36" s="4" t="s">
        <v>40</v>
      </c>
      <c r="B36" s="8">
        <v>96987.53380905409</v>
      </c>
      <c r="C36" s="8">
        <v>91820.183632278742</v>
      </c>
      <c r="D36" s="8">
        <v>101448.49005600375</v>
      </c>
      <c r="E36"/>
      <c r="F36" s="8">
        <v>80606.73959307831</v>
      </c>
      <c r="G36" s="8">
        <v>74838.18958501413</v>
      </c>
      <c r="H36" s="8">
        <v>78763.499267688007</v>
      </c>
    </row>
    <row r="37" spans="1:8" x14ac:dyDescent="0.35">
      <c r="A37" s="4" t="s">
        <v>108</v>
      </c>
      <c r="B37" s="8">
        <v>60314.879243085001</v>
      </c>
      <c r="C37" s="8">
        <v>61809.807843822433</v>
      </c>
      <c r="D37" s="8">
        <v>66573.138705997801</v>
      </c>
      <c r="E37"/>
      <c r="F37" s="8">
        <v>95849.774281893158</v>
      </c>
      <c r="G37" s="8">
        <v>97319.4810279011</v>
      </c>
      <c r="H37" s="8">
        <v>93671.751760447922</v>
      </c>
    </row>
    <row r="38" spans="1:8" x14ac:dyDescent="0.35">
      <c r="A38" s="4" t="s">
        <v>13</v>
      </c>
      <c r="B38" s="8">
        <v>105599.57129882398</v>
      </c>
      <c r="C38" s="8">
        <v>113271.74018136799</v>
      </c>
      <c r="D38" s="8">
        <v>126852.57878287336</v>
      </c>
      <c r="E38"/>
      <c r="F38" s="8">
        <v>80348.938599944056</v>
      </c>
      <c r="G38" s="8">
        <v>75890.334390952776</v>
      </c>
      <c r="H38" s="8">
        <v>94399.560856597498</v>
      </c>
    </row>
    <row r="39" spans="1:8" x14ac:dyDescent="0.35">
      <c r="A39" s="4" t="s">
        <v>86</v>
      </c>
      <c r="B39" s="8">
        <v>80606.73959307831</v>
      </c>
      <c r="C39" s="8">
        <v>74838.18958501413</v>
      </c>
      <c r="D39" s="8">
        <v>78763.499267688007</v>
      </c>
      <c r="E39"/>
      <c r="F39" s="8">
        <v>90371.50701621137</v>
      </c>
      <c r="G39" s="8">
        <v>98157.891762242623</v>
      </c>
      <c r="H39" s="8">
        <v>102981.74591949876</v>
      </c>
    </row>
    <row r="40" spans="1:8" x14ac:dyDescent="0.35">
      <c r="A40" s="4" t="s">
        <v>57</v>
      </c>
      <c r="B40" s="8">
        <v>95849.774281893158</v>
      </c>
      <c r="C40" s="8">
        <v>97319.4810279011</v>
      </c>
      <c r="D40" s="8">
        <v>93671.751760447922</v>
      </c>
      <c r="E40"/>
      <c r="F40" s="8">
        <v>95138.723427333374</v>
      </c>
      <c r="G40" s="8">
        <v>109030.30872426886</v>
      </c>
      <c r="H40" s="8">
        <v>130235.89457526708</v>
      </c>
    </row>
    <row r="41" spans="1:8" x14ac:dyDescent="0.35">
      <c r="A41" s="4" t="s">
        <v>64</v>
      </c>
      <c r="B41" s="8">
        <v>80348.938599944056</v>
      </c>
      <c r="C41" s="8">
        <v>75890.334390952776</v>
      </c>
      <c r="D41" s="8">
        <v>94399.560856597498</v>
      </c>
      <c r="E41"/>
      <c r="F41" s="8">
        <v>84185.94118521316</v>
      </c>
      <c r="G41" s="8">
        <v>93067.716089100111</v>
      </c>
      <c r="H41" s="8">
        <v>97754.000249453791</v>
      </c>
    </row>
    <row r="42" spans="1:8" x14ac:dyDescent="0.35">
      <c r="A42" s="4" t="s">
        <v>32</v>
      </c>
      <c r="B42" s="8">
        <v>90371.50701621137</v>
      </c>
      <c r="C42" s="8">
        <v>98157.891762242623</v>
      </c>
      <c r="D42" s="8">
        <v>102981.74591949876</v>
      </c>
      <c r="E42"/>
      <c r="F42" s="8">
        <v>73104.22441612446</v>
      </c>
      <c r="G42" s="8">
        <v>74054.382624617836</v>
      </c>
      <c r="H42" s="8">
        <v>79599.806650006503</v>
      </c>
    </row>
    <row r="43" spans="1:8" x14ac:dyDescent="0.35">
      <c r="A43" s="4" t="s">
        <v>10</v>
      </c>
      <c r="B43" s="8">
        <v>95138.723427333374</v>
      </c>
      <c r="C43" s="8">
        <v>109030.30872426886</v>
      </c>
      <c r="D43" s="8">
        <v>130235.89457526708</v>
      </c>
      <c r="E43"/>
      <c r="F43" s="8">
        <v>92133.45388545336</v>
      </c>
      <c r="G43" s="8">
        <v>78851.718289600176</v>
      </c>
      <c r="H43" s="8">
        <v>100943.50032630075</v>
      </c>
    </row>
    <row r="44" spans="1:8" x14ac:dyDescent="0.35">
      <c r="A44" s="4" t="s">
        <v>49</v>
      </c>
      <c r="B44" s="8">
        <v>84185.94118521316</v>
      </c>
      <c r="C44" s="8">
        <v>93067.716089100111</v>
      </c>
      <c r="D44" s="8">
        <v>97754.000249453791</v>
      </c>
      <c r="E44"/>
      <c r="F44" s="8">
        <v>71510.906163710155</v>
      </c>
      <c r="G44" s="8">
        <v>75109.531462818806</v>
      </c>
      <c r="H44" s="8">
        <v>90221.833657005292</v>
      </c>
    </row>
    <row r="45" spans="1:8" x14ac:dyDescent="0.35">
      <c r="A45" s="4" t="s">
        <v>58</v>
      </c>
      <c r="B45" s="8">
        <v>73104.22441612446</v>
      </c>
      <c r="C45" s="8">
        <v>74054.382624617836</v>
      </c>
      <c r="D45" s="8">
        <v>79599.806650006503</v>
      </c>
      <c r="E45"/>
      <c r="F45" s="8">
        <v>67225.579204158028</v>
      </c>
      <c r="G45" s="8">
        <v>68100.253960141737</v>
      </c>
      <c r="H45" s="8">
        <v>75867.22907104154</v>
      </c>
    </row>
    <row r="46" spans="1:8" x14ac:dyDescent="0.35">
      <c r="A46" s="4" t="s">
        <v>53</v>
      </c>
      <c r="B46" s="8">
        <v>92133.45388545336</v>
      </c>
      <c r="C46" s="8">
        <v>78851.718289600176</v>
      </c>
      <c r="D46" s="8">
        <v>100943.50032630075</v>
      </c>
      <c r="E46"/>
      <c r="F46" s="8">
        <v>24661.578718365945</v>
      </c>
      <c r="G46" s="8">
        <v>22281.200991403934</v>
      </c>
      <c r="H46" s="8">
        <v>23937.506035654991</v>
      </c>
    </row>
    <row r="47" spans="1:8" x14ac:dyDescent="0.35">
      <c r="A47" s="4" t="s">
        <v>78</v>
      </c>
      <c r="B47" s="8">
        <v>71510.906163710155</v>
      </c>
      <c r="C47" s="8">
        <v>75109.531462818806</v>
      </c>
      <c r="D47" s="8">
        <v>90221.833657005292</v>
      </c>
      <c r="E47"/>
      <c r="F47" s="8">
        <v>90012.949791223538</v>
      </c>
      <c r="G47" s="8">
        <v>96413.565993970624</v>
      </c>
      <c r="H47" s="8">
        <v>101657.25667163699</v>
      </c>
    </row>
    <row r="48" spans="1:8" x14ac:dyDescent="0.35">
      <c r="A48" s="4" t="s">
        <v>92</v>
      </c>
      <c r="B48" s="8">
        <v>67225.579204158028</v>
      </c>
      <c r="C48" s="8">
        <v>68100.253960141737</v>
      </c>
      <c r="D48" s="8">
        <v>75867.22907104154</v>
      </c>
      <c r="E48"/>
      <c r="F48" s="8">
        <v>67037.79393126833</v>
      </c>
      <c r="G48" s="8">
        <v>74082.524609175554</v>
      </c>
      <c r="H48" s="8">
        <v>83302.677156375808</v>
      </c>
    </row>
    <row r="49" spans="1:8" x14ac:dyDescent="0.35">
      <c r="A49" s="4" t="s">
        <v>130</v>
      </c>
      <c r="B49" s="8">
        <v>24661.578718365945</v>
      </c>
      <c r="C49" s="8">
        <v>22281.200991403934</v>
      </c>
      <c r="D49" s="8">
        <v>23937.506035654991</v>
      </c>
      <c r="E49"/>
      <c r="F49" s="8">
        <v>76099.171805406484</v>
      </c>
      <c r="G49" s="8">
        <v>83537.292974435739</v>
      </c>
      <c r="H49" s="8">
        <v>92818.014281948432</v>
      </c>
    </row>
    <row r="50" spans="1:8" x14ac:dyDescent="0.35">
      <c r="A50" s="4" t="s">
        <v>50</v>
      </c>
      <c r="B50" s="8">
        <v>90012.949791223538</v>
      </c>
      <c r="C50" s="8">
        <v>96413.565993970624</v>
      </c>
      <c r="D50" s="8">
        <v>101657.25667163699</v>
      </c>
      <c r="E50"/>
      <c r="F50" s="8">
        <v>92408.189927086321</v>
      </c>
      <c r="G50" s="8">
        <v>94514.764636822423</v>
      </c>
      <c r="H50" s="8">
        <v>104161.89825312924</v>
      </c>
    </row>
    <row r="51" spans="1:8" x14ac:dyDescent="0.35">
      <c r="A51" s="4" t="s">
        <v>91</v>
      </c>
      <c r="B51" s="8">
        <v>67037.79393126833</v>
      </c>
      <c r="C51" s="8">
        <v>74082.524609175554</v>
      </c>
      <c r="D51" s="8">
        <v>83302.677156375808</v>
      </c>
      <c r="E51"/>
      <c r="F51" s="8">
        <v>77408.636586952998</v>
      </c>
      <c r="G51" s="8">
        <v>80592.161843020047</v>
      </c>
      <c r="H51" s="8">
        <v>90094.807135129275</v>
      </c>
    </row>
    <row r="52" spans="1:8" x14ac:dyDescent="0.35">
      <c r="A52" s="4" t="s">
        <v>74</v>
      </c>
      <c r="B52" s="8">
        <v>76099.171805406484</v>
      </c>
      <c r="C52" s="8">
        <v>83537.292974435739</v>
      </c>
      <c r="D52" s="8">
        <v>92818.014281948432</v>
      </c>
      <c r="E52"/>
      <c r="F52" s="8">
        <v>90934.865890882444</v>
      </c>
      <c r="G52" s="8">
        <v>95659.91852668245</v>
      </c>
      <c r="H52" s="8">
        <v>116174.43653925569</v>
      </c>
    </row>
    <row r="53" spans="1:8" x14ac:dyDescent="0.35">
      <c r="A53" s="4" t="s">
        <v>55</v>
      </c>
      <c r="B53" s="8">
        <v>92408.189927086321</v>
      </c>
      <c r="C53" s="8">
        <v>94514.764636822423</v>
      </c>
      <c r="D53" s="8">
        <v>104161.89825312924</v>
      </c>
      <c r="E53"/>
      <c r="F53" s="8">
        <v>101810.23369908567</v>
      </c>
      <c r="G53" s="8">
        <v>107247.08062939149</v>
      </c>
      <c r="H53" s="8">
        <v>121033.79857226416</v>
      </c>
    </row>
    <row r="54" spans="1:8" x14ac:dyDescent="0.35">
      <c r="A54" s="4" t="s">
        <v>80</v>
      </c>
      <c r="B54" s="8">
        <v>77408.636586952998</v>
      </c>
      <c r="C54" s="8">
        <v>80592.161843020047</v>
      </c>
      <c r="D54" s="8">
        <v>90094.807135129275</v>
      </c>
      <c r="E54"/>
      <c r="F54" s="8">
        <v>91463.987526318262</v>
      </c>
      <c r="G54" s="8">
        <v>94897.641984284724</v>
      </c>
      <c r="H54" s="8">
        <v>121106.63074315281</v>
      </c>
    </row>
    <row r="55" spans="1:8" x14ac:dyDescent="0.35">
      <c r="A55" s="4" t="s">
        <v>24</v>
      </c>
      <c r="B55" s="8">
        <v>90934.865890882444</v>
      </c>
      <c r="C55" s="8">
        <v>95659.91852668245</v>
      </c>
      <c r="D55" s="8">
        <v>116174.43653925569</v>
      </c>
      <c r="E55"/>
      <c r="F55" s="8">
        <v>61908.352156006673</v>
      </c>
      <c r="G55" s="8">
        <v>65007.299958748816</v>
      </c>
      <c r="H55" s="8">
        <v>65338.50617325159</v>
      </c>
    </row>
    <row r="56" spans="1:8" x14ac:dyDescent="0.35">
      <c r="A56" s="4" t="s">
        <v>29</v>
      </c>
      <c r="B56" s="8">
        <v>101810.23369908567</v>
      </c>
      <c r="C56" s="8">
        <v>107247.08062939149</v>
      </c>
      <c r="D56" s="8">
        <v>121033.79857226416</v>
      </c>
      <c r="E56"/>
      <c r="F56" s="8">
        <v>55560.571478521888</v>
      </c>
      <c r="G56" s="8">
        <v>59603.867861352941</v>
      </c>
      <c r="H56" s="8">
        <v>66627.47654136215</v>
      </c>
    </row>
    <row r="57" spans="1:8" x14ac:dyDescent="0.35">
      <c r="A57" s="4" t="s">
        <v>25</v>
      </c>
      <c r="B57" s="8">
        <v>91463.987526318262</v>
      </c>
      <c r="C57" s="8">
        <v>94897.641984284724</v>
      </c>
      <c r="D57" s="8">
        <v>121106.63074315281</v>
      </c>
      <c r="E57"/>
      <c r="F57" s="8">
        <v>55712.426959335076</v>
      </c>
      <c r="G57" s="8">
        <v>58034.308533546515</v>
      </c>
      <c r="H57" s="8">
        <v>59618.609211586423</v>
      </c>
    </row>
    <row r="58" spans="1:8" x14ac:dyDescent="0.35">
      <c r="A58" s="4" t="s">
        <v>112</v>
      </c>
      <c r="B58" s="8">
        <v>61908.352156006673</v>
      </c>
      <c r="C58" s="8">
        <v>65007.299958748816</v>
      </c>
      <c r="D58" s="8">
        <v>65338.50617325159</v>
      </c>
      <c r="E58"/>
      <c r="F58" s="8">
        <v>83918.546302483242</v>
      </c>
      <c r="G58" s="8">
        <v>86566.351209632077</v>
      </c>
      <c r="H58" s="8">
        <v>94465.857083882394</v>
      </c>
    </row>
    <row r="59" spans="1:8" x14ac:dyDescent="0.35">
      <c r="A59" s="4" t="s">
        <v>111</v>
      </c>
      <c r="B59" s="8">
        <v>55560.571478521888</v>
      </c>
      <c r="C59" s="8">
        <v>59603.867861352941</v>
      </c>
      <c r="D59" s="8">
        <v>66627.47654136215</v>
      </c>
      <c r="E59"/>
      <c r="F59" s="8">
        <v>59285.019108112327</v>
      </c>
      <c r="G59" s="8">
        <v>68571.823479891769</v>
      </c>
      <c r="H59" s="8">
        <v>63458.430881673827</v>
      </c>
    </row>
    <row r="60" spans="1:8" x14ac:dyDescent="0.35">
      <c r="A60" s="4" t="s">
        <v>121</v>
      </c>
      <c r="B60" s="8">
        <v>55712.426959335076</v>
      </c>
      <c r="C60" s="8">
        <v>58034.308533546515</v>
      </c>
      <c r="D60" s="8">
        <v>59618.609211586423</v>
      </c>
      <c r="E60"/>
      <c r="F60" s="8">
        <v>65440.636532589</v>
      </c>
      <c r="G60" s="8">
        <v>40733.293951283471</v>
      </c>
      <c r="H60" s="8">
        <v>52383.10585662628</v>
      </c>
    </row>
    <row r="61" spans="1:8" x14ac:dyDescent="0.35">
      <c r="A61" s="4" t="s">
        <v>67</v>
      </c>
      <c r="B61" s="8">
        <v>83918.546302483242</v>
      </c>
      <c r="C61" s="8">
        <v>86566.351209632077</v>
      </c>
      <c r="D61" s="8">
        <v>94465.857083882394</v>
      </c>
      <c r="E61"/>
      <c r="F61" s="8">
        <v>71178.617772066078</v>
      </c>
      <c r="G61" s="8">
        <v>68469.843124783583</v>
      </c>
      <c r="H61" s="8">
        <v>63819.031846726037</v>
      </c>
    </row>
    <row r="62" spans="1:8" x14ac:dyDescent="0.35">
      <c r="A62" s="4" t="s">
        <v>119</v>
      </c>
      <c r="B62" s="8">
        <v>59285.019108112327</v>
      </c>
      <c r="C62" s="8">
        <v>68571.823479891769</v>
      </c>
      <c r="D62" s="8">
        <v>63458.430881673827</v>
      </c>
      <c r="E62"/>
      <c r="F62" s="8">
        <v>72678.156340465997</v>
      </c>
      <c r="G62" s="8">
        <v>65036.503428553224</v>
      </c>
      <c r="H62" s="8">
        <v>70398.796786947336</v>
      </c>
    </row>
    <row r="63" spans="1:8" x14ac:dyDescent="0.35">
      <c r="A63" s="4" t="s">
        <v>124</v>
      </c>
      <c r="B63" s="8">
        <v>65440.636532589</v>
      </c>
      <c r="C63" s="8">
        <v>40733.293951283471</v>
      </c>
      <c r="D63" s="8">
        <v>52383.10585662628</v>
      </c>
      <c r="E63"/>
      <c r="F63" s="8">
        <v>68999.123392911119</v>
      </c>
      <c r="G63" s="8">
        <v>78949.069318406138</v>
      </c>
      <c r="H63" s="8">
        <v>84583.000598844563</v>
      </c>
    </row>
    <row r="64" spans="1:8" x14ac:dyDescent="0.35">
      <c r="A64" s="4" t="s">
        <v>120</v>
      </c>
      <c r="B64" s="8">
        <v>71178.617772066078</v>
      </c>
      <c r="C64" s="8">
        <v>68469.843124783583</v>
      </c>
      <c r="D64" s="8">
        <v>63819.031846726037</v>
      </c>
      <c r="E64"/>
      <c r="F64" s="8">
        <v>71965.570606337496</v>
      </c>
      <c r="G64" s="8">
        <v>72735.738163568778</v>
      </c>
      <c r="H64" s="8">
        <v>129096.35894283504</v>
      </c>
    </row>
    <row r="65" spans="1:8" x14ac:dyDescent="0.35">
      <c r="A65" s="4" t="s">
        <v>95</v>
      </c>
      <c r="B65" s="8">
        <v>72678.156340465997</v>
      </c>
      <c r="C65" s="8">
        <v>65036.503428553224</v>
      </c>
      <c r="D65" s="8">
        <v>70398.796786947336</v>
      </c>
      <c r="E65"/>
      <c r="F65" s="8">
        <v>78280.604966103638</v>
      </c>
      <c r="G65" s="8">
        <v>83062.201084089407</v>
      </c>
      <c r="H65" s="8">
        <v>84477.595183967467</v>
      </c>
    </row>
    <row r="66" spans="1:8" x14ac:dyDescent="0.35">
      <c r="A66" s="4" t="s">
        <v>73</v>
      </c>
      <c r="B66" s="8">
        <v>68999.123392911119</v>
      </c>
      <c r="C66" s="8">
        <v>78949.069318406138</v>
      </c>
      <c r="D66" s="8">
        <v>84583.000598844563</v>
      </c>
      <c r="E66"/>
      <c r="F66" s="8">
        <v>61387.859995991799</v>
      </c>
      <c r="G66" s="8">
        <v>58683.921673241632</v>
      </c>
      <c r="H66" s="8">
        <v>63591.255519932332</v>
      </c>
    </row>
    <row r="67" spans="1:8" x14ac:dyDescent="0.35">
      <c r="A67" s="4" t="s">
        <v>8</v>
      </c>
      <c r="B67" s="8">
        <v>71965.570606337496</v>
      </c>
      <c r="C67" s="8">
        <v>72735.738163568778</v>
      </c>
      <c r="D67" s="8">
        <v>129096.35894283504</v>
      </c>
      <c r="E67"/>
      <c r="F67" s="8">
        <v>74880.296781469762</v>
      </c>
      <c r="G67" s="8">
        <v>75254.91203149478</v>
      </c>
      <c r="H67" s="8">
        <v>84244.676275620484</v>
      </c>
    </row>
    <row r="68" spans="1:8" x14ac:dyDescent="0.35">
      <c r="A68" s="4" t="s">
        <v>84</v>
      </c>
      <c r="B68" s="8">
        <v>78280.604966103638</v>
      </c>
      <c r="C68" s="8">
        <v>83062.201084089407</v>
      </c>
      <c r="D68" s="8">
        <v>84477.595183967467</v>
      </c>
      <c r="E68"/>
      <c r="F68" s="8">
        <v>72966.339450979372</v>
      </c>
      <c r="G68" s="8">
        <v>72519.067749739857</v>
      </c>
      <c r="H68" s="8">
        <v>88088.128968160891</v>
      </c>
    </row>
    <row r="69" spans="1:8" x14ac:dyDescent="0.35">
      <c r="A69" s="4" t="s">
        <v>116</v>
      </c>
      <c r="B69" s="8">
        <v>61387.859995991799</v>
      </c>
      <c r="C69" s="8">
        <v>58683.921673241632</v>
      </c>
      <c r="D69" s="8">
        <v>63591.255519932332</v>
      </c>
      <c r="E69"/>
      <c r="F69" s="8">
        <v>92854.384505792841</v>
      </c>
      <c r="G69" s="8">
        <v>86317.832622771137</v>
      </c>
      <c r="H69" s="8">
        <v>101609.99857451759</v>
      </c>
    </row>
    <row r="70" spans="1:8" x14ac:dyDescent="0.35">
      <c r="A70" s="4" t="s">
        <v>45</v>
      </c>
      <c r="B70" s="8">
        <v>74880.296781469762</v>
      </c>
      <c r="C70" s="8">
        <v>75254.91203149478</v>
      </c>
      <c r="D70" s="8">
        <v>84244.676275620484</v>
      </c>
      <c r="E70"/>
      <c r="F70" s="8">
        <v>84665.77145415204</v>
      </c>
      <c r="G70" s="8">
        <v>90245.815460805592</v>
      </c>
      <c r="H70" s="8">
        <v>93320.623240631074</v>
      </c>
    </row>
    <row r="71" spans="1:8" x14ac:dyDescent="0.35">
      <c r="A71" s="4" t="s">
        <v>83</v>
      </c>
      <c r="B71" s="8">
        <v>72966.339450979372</v>
      </c>
      <c r="C71" s="8">
        <v>72519.067749739857</v>
      </c>
      <c r="D71" s="8">
        <v>88088.128968160891</v>
      </c>
      <c r="E71"/>
      <c r="F71" s="8">
        <v>65790.570819543806</v>
      </c>
      <c r="G71" s="8">
        <v>75202.098843208514</v>
      </c>
      <c r="H71" s="8">
        <v>80492.60434130569</v>
      </c>
    </row>
    <row r="72" spans="1:8" x14ac:dyDescent="0.35">
      <c r="A72" s="4" t="s">
        <v>44</v>
      </c>
      <c r="B72" s="8">
        <v>92854.384505792841</v>
      </c>
      <c r="C72" s="8">
        <v>86317.832622771137</v>
      </c>
      <c r="D72" s="8">
        <v>101609.99857451759</v>
      </c>
      <c r="E72"/>
      <c r="F72" s="8">
        <v>63111.831405518707</v>
      </c>
      <c r="G72" s="8">
        <v>64562.243223882564</v>
      </c>
      <c r="H72" s="8">
        <v>63001.269826719436</v>
      </c>
    </row>
    <row r="73" spans="1:8" x14ac:dyDescent="0.35">
      <c r="A73" s="4" t="s">
        <v>70</v>
      </c>
      <c r="B73" s="8">
        <v>84665.77145415204</v>
      </c>
      <c r="C73" s="8">
        <v>90245.815460805592</v>
      </c>
      <c r="D73" s="8">
        <v>93320.623240631074</v>
      </c>
      <c r="E73"/>
      <c r="F73" s="8">
        <v>61063.615891326284</v>
      </c>
      <c r="G73" s="8">
        <v>51268.811410115413</v>
      </c>
      <c r="H73" s="8">
        <v>63290.016670450932</v>
      </c>
    </row>
    <row r="74" spans="1:8" x14ac:dyDescent="0.35">
      <c r="A74" s="4" t="s">
        <v>89</v>
      </c>
      <c r="B74" s="8">
        <v>65790.570819543806</v>
      </c>
      <c r="C74" s="8">
        <v>75202.098843208514</v>
      </c>
      <c r="D74" s="8">
        <v>80492.60434130569</v>
      </c>
      <c r="E74"/>
      <c r="F74" s="8">
        <v>78431.553118931537</v>
      </c>
      <c r="G74" s="8">
        <v>79515.189535590878</v>
      </c>
      <c r="H74" s="8">
        <v>83348.695485116361</v>
      </c>
    </row>
    <row r="75" spans="1:8" x14ac:dyDescent="0.35">
      <c r="A75" s="4" t="s">
        <v>113</v>
      </c>
      <c r="B75" s="8">
        <v>63111.831405518707</v>
      </c>
      <c r="C75" s="8">
        <v>64562.243223882564</v>
      </c>
      <c r="D75" s="8">
        <v>63001.269826719436</v>
      </c>
      <c r="E75"/>
      <c r="F75" s="8">
        <v>80319.816935287585</v>
      </c>
      <c r="G75" s="8">
        <v>75902.953312550017</v>
      </c>
      <c r="H75" s="8">
        <v>92332.64121437422</v>
      </c>
    </row>
    <row r="76" spans="1:8" x14ac:dyDescent="0.35">
      <c r="A76" s="4" t="s">
        <v>109</v>
      </c>
      <c r="B76" s="8">
        <v>61063.615891326284</v>
      </c>
      <c r="C76" s="8">
        <v>51268.811410115413</v>
      </c>
      <c r="D76" s="8">
        <v>63290.016670450932</v>
      </c>
      <c r="E76"/>
      <c r="F76" s="8">
        <v>88617.534483792115</v>
      </c>
      <c r="G76" s="8">
        <v>84035.310208374372</v>
      </c>
      <c r="H76" s="8">
        <v>84496.554526068474</v>
      </c>
    </row>
    <row r="77" spans="1:8" x14ac:dyDescent="0.35">
      <c r="A77" s="4" t="s">
        <v>88</v>
      </c>
      <c r="B77" s="8">
        <v>78431.553118931537</v>
      </c>
      <c r="C77" s="8">
        <v>79515.189535590878</v>
      </c>
      <c r="D77" s="8">
        <v>83348.695485116361</v>
      </c>
      <c r="E77"/>
      <c r="F77" s="8">
        <v>65554.945426078499</v>
      </c>
      <c r="G77" s="8">
        <v>37600.293547868314</v>
      </c>
      <c r="H77" s="8">
        <v>57238.768015564121</v>
      </c>
    </row>
    <row r="78" spans="1:8" x14ac:dyDescent="0.35">
      <c r="A78" s="4" t="s">
        <v>33</v>
      </c>
      <c r="B78" s="8">
        <v>80319.816935287585</v>
      </c>
      <c r="C78" s="8">
        <v>75902.953312550017</v>
      </c>
      <c r="D78" s="8">
        <v>92332.64121437422</v>
      </c>
      <c r="E78"/>
      <c r="F78" s="8">
        <v>81421.57372851207</v>
      </c>
      <c r="G78" s="8">
        <v>88266.501388737539</v>
      </c>
      <c r="H78" s="8">
        <v>95684.870424838256</v>
      </c>
    </row>
    <row r="79" spans="1:8" x14ac:dyDescent="0.35">
      <c r="A79" s="4" t="s">
        <v>87</v>
      </c>
      <c r="B79" s="8">
        <v>88617.534483792115</v>
      </c>
      <c r="C79" s="8">
        <v>84035.310208374372</v>
      </c>
      <c r="D79" s="8">
        <v>84496.554526068474</v>
      </c>
      <c r="E79"/>
      <c r="F79" s="8">
        <v>105469.6550023544</v>
      </c>
      <c r="G79" s="8">
        <v>107013.92470802291</v>
      </c>
      <c r="H79" s="8">
        <v>111282.84524859808</v>
      </c>
    </row>
    <row r="80" spans="1:8" x14ac:dyDescent="0.35">
      <c r="A80" s="4" t="s">
        <v>114</v>
      </c>
      <c r="B80" s="8">
        <v>65554.945426078499</v>
      </c>
      <c r="C80" s="8">
        <v>37600.293547868314</v>
      </c>
      <c r="D80" s="8">
        <v>57238.768015564121</v>
      </c>
      <c r="E80"/>
      <c r="F80" s="8">
        <v>80491.663127004183</v>
      </c>
      <c r="G80" s="8">
        <v>93180.131391852745</v>
      </c>
      <c r="H80" s="8">
        <v>95209.393837712269</v>
      </c>
    </row>
    <row r="81" spans="1:8" x14ac:dyDescent="0.35">
      <c r="A81" s="4" t="s">
        <v>62</v>
      </c>
      <c r="B81" s="8">
        <v>81421.57372851207</v>
      </c>
      <c r="C81" s="8">
        <v>88266.501388737539</v>
      </c>
      <c r="D81" s="8">
        <v>95684.870424838256</v>
      </c>
      <c r="E81"/>
      <c r="F81" s="8">
        <v>104299.00459899935</v>
      </c>
      <c r="G81" s="8">
        <v>104263.61677553617</v>
      </c>
      <c r="H81" s="8">
        <v>109556.19345754675</v>
      </c>
    </row>
    <row r="82" spans="1:8" x14ac:dyDescent="0.35">
      <c r="A82" s="4" t="s">
        <v>30</v>
      </c>
      <c r="B82" s="8">
        <v>105469.6550023544</v>
      </c>
      <c r="C82" s="8">
        <v>107013.92470802291</v>
      </c>
      <c r="D82" s="8">
        <v>111282.84524859808</v>
      </c>
      <c r="E82"/>
      <c r="F82" s="8">
        <v>71408.130811406561</v>
      </c>
      <c r="G82" s="8">
        <v>87394.70668384165</v>
      </c>
      <c r="H82" s="8">
        <v>98181.504117383403</v>
      </c>
    </row>
    <row r="83" spans="1:8" x14ac:dyDescent="0.35">
      <c r="A83" s="4" t="s">
        <v>76</v>
      </c>
      <c r="B83" s="8">
        <v>80491.663127004183</v>
      </c>
      <c r="C83" s="8">
        <v>93180.131391852745</v>
      </c>
      <c r="D83" s="8">
        <v>95209.393837712269</v>
      </c>
      <c r="E83"/>
      <c r="F83" s="8">
        <v>76324.278513970959</v>
      </c>
      <c r="G83" s="8">
        <v>76501.074496365603</v>
      </c>
      <c r="H83" s="8">
        <v>97292.158546562743</v>
      </c>
    </row>
    <row r="84" spans="1:8" x14ac:dyDescent="0.35">
      <c r="A84" s="4" t="s">
        <v>28</v>
      </c>
      <c r="B84" s="8">
        <v>104299.00459899935</v>
      </c>
      <c r="C84" s="8">
        <v>104263.61677553617</v>
      </c>
      <c r="D84" s="8">
        <v>109556.19345754675</v>
      </c>
      <c r="E84"/>
      <c r="F84" s="8">
        <v>89262.681351455452</v>
      </c>
      <c r="G84" s="8">
        <v>98518.336655667648</v>
      </c>
      <c r="H84" s="8">
        <v>101884.45897044711</v>
      </c>
    </row>
    <row r="85" spans="1:8" x14ac:dyDescent="0.35">
      <c r="A85" s="4" t="s">
        <v>48</v>
      </c>
      <c r="B85" s="8">
        <v>71408.130811406561</v>
      </c>
      <c r="C85" s="8">
        <v>87394.70668384165</v>
      </c>
      <c r="D85" s="8">
        <v>98181.504117383403</v>
      </c>
      <c r="E85"/>
      <c r="F85" s="8">
        <v>94820.912331964006</v>
      </c>
      <c r="G85" s="8">
        <v>97463.67066807214</v>
      </c>
      <c r="H85" s="8">
        <v>106997.32969215015</v>
      </c>
    </row>
    <row r="86" spans="1:8" x14ac:dyDescent="0.35">
      <c r="A86" s="4" t="s">
        <v>69</v>
      </c>
      <c r="B86" s="8">
        <v>76324.278513970959</v>
      </c>
      <c r="C86" s="8">
        <v>76501.074496365603</v>
      </c>
      <c r="D86" s="8">
        <v>97292.158546562743</v>
      </c>
      <c r="E86"/>
      <c r="F86" s="8">
        <v>88101.526670275663</v>
      </c>
      <c r="G86" s="8">
        <v>93390.908855043352</v>
      </c>
      <c r="H86" s="8">
        <v>103302.01044616129</v>
      </c>
    </row>
    <row r="87" spans="1:8" x14ac:dyDescent="0.35">
      <c r="A87" s="4" t="s">
        <v>61</v>
      </c>
      <c r="B87" s="8">
        <v>89262.681351455452</v>
      </c>
      <c r="C87" s="8">
        <v>98518.336655667648</v>
      </c>
      <c r="D87" s="8">
        <v>101884.45897044711</v>
      </c>
      <c r="E87"/>
      <c r="F87" s="8">
        <v>55733.287791822811</v>
      </c>
      <c r="G87" s="8">
        <v>55670.304375567779</v>
      </c>
      <c r="H87" s="8">
        <v>69335.717775350888</v>
      </c>
    </row>
    <row r="88" spans="1:8" x14ac:dyDescent="0.35">
      <c r="A88" s="4" t="s">
        <v>46</v>
      </c>
      <c r="B88" s="8">
        <v>94820.912331964006</v>
      </c>
      <c r="C88" s="8">
        <v>97463.67066807214</v>
      </c>
      <c r="D88" s="8">
        <v>106997.32969215015</v>
      </c>
      <c r="E88"/>
      <c r="F88" s="8">
        <v>58340.206904257131</v>
      </c>
      <c r="G88" s="8">
        <v>60914.521449423701</v>
      </c>
      <c r="H88" s="8">
        <v>64048.676841330758</v>
      </c>
    </row>
    <row r="89" spans="1:8" x14ac:dyDescent="0.35">
      <c r="A89" s="4" t="s">
        <v>41</v>
      </c>
      <c r="B89" s="8">
        <v>88101.526670275663</v>
      </c>
      <c r="C89" s="8">
        <v>93390.908855043352</v>
      </c>
      <c r="D89" s="8">
        <v>103302.01044616129</v>
      </c>
      <c r="E89"/>
      <c r="F89" s="8">
        <v>80925.928008524541</v>
      </c>
      <c r="G89" s="8">
        <v>82686.599999578291</v>
      </c>
      <c r="H89" s="8">
        <v>94587.934598431602</v>
      </c>
    </row>
    <row r="90" spans="1:8" x14ac:dyDescent="0.35">
      <c r="A90" s="4" t="s">
        <v>99</v>
      </c>
      <c r="B90" s="8">
        <v>55733.287791822811</v>
      </c>
      <c r="C90" s="8">
        <v>55670.304375567779</v>
      </c>
      <c r="D90" s="8">
        <v>69335.717775350888</v>
      </c>
      <c r="E90"/>
      <c r="F90" s="8">
        <v>56450.574094853437</v>
      </c>
      <c r="G90" s="8">
        <v>58136.967397785083</v>
      </c>
      <c r="H90" s="8">
        <v>65247.179663565519</v>
      </c>
    </row>
    <row r="91" spans="1:8" x14ac:dyDescent="0.35">
      <c r="A91" s="4" t="s">
        <v>118</v>
      </c>
      <c r="B91" s="8">
        <v>58340.206904257131</v>
      </c>
      <c r="C91" s="8">
        <v>60914.521449423701</v>
      </c>
      <c r="D91" s="8">
        <v>64048.676841330758</v>
      </c>
      <c r="E91"/>
      <c r="F91" s="8">
        <v>74572.320114356859</v>
      </c>
      <c r="G91" s="8">
        <v>78985.841663934989</v>
      </c>
      <c r="H91" s="8">
        <v>92535.333870276212</v>
      </c>
    </row>
    <row r="92" spans="1:8" x14ac:dyDescent="0.35">
      <c r="A92" s="4" t="s">
        <v>65</v>
      </c>
      <c r="B92" s="8">
        <v>80925.928008524541</v>
      </c>
      <c r="C92" s="8">
        <v>82686.599999578291</v>
      </c>
      <c r="D92" s="8">
        <v>94587.934598431602</v>
      </c>
      <c r="E92"/>
      <c r="F92" s="8">
        <v>88110.749396221072</v>
      </c>
      <c r="G92" s="8">
        <v>92757.713194386364</v>
      </c>
      <c r="H92" s="8">
        <v>106890.02412821361</v>
      </c>
    </row>
    <row r="93" spans="1:8" x14ac:dyDescent="0.35">
      <c r="A93" s="4" t="s">
        <v>102</v>
      </c>
      <c r="B93" s="8">
        <v>56450.574094853437</v>
      </c>
      <c r="C93" s="8">
        <v>58136.967397785083</v>
      </c>
      <c r="D93" s="8">
        <v>65247.179663565519</v>
      </c>
      <c r="E93"/>
      <c r="F93" s="8">
        <v>93747.996113463989</v>
      </c>
      <c r="G93" s="8">
        <v>109669.79752772138</v>
      </c>
      <c r="H93" s="8">
        <v>118676.96768282347</v>
      </c>
    </row>
    <row r="94" spans="1:8" x14ac:dyDescent="0.35">
      <c r="A94" s="4" t="s">
        <v>77</v>
      </c>
      <c r="B94" s="8">
        <v>74572.320114356859</v>
      </c>
      <c r="C94" s="8">
        <v>78985.841663934989</v>
      </c>
      <c r="D94" s="8">
        <v>92535.333870276212</v>
      </c>
      <c r="E94"/>
      <c r="F94" s="8">
        <v>33652.761625579835</v>
      </c>
      <c r="G94" s="8">
        <v>34031.018324517565</v>
      </c>
      <c r="H94" s="8">
        <v>40958.737729768349</v>
      </c>
    </row>
    <row r="95" spans="1:8" x14ac:dyDescent="0.35">
      <c r="A95" s="4" t="s">
        <v>43</v>
      </c>
      <c r="B95" s="8">
        <v>88110.749396221072</v>
      </c>
      <c r="C95" s="8">
        <v>92757.713194386364</v>
      </c>
      <c r="D95" s="8">
        <v>106890.02412821361</v>
      </c>
      <c r="E95"/>
      <c r="F95" s="8">
        <v>102380.17658608418</v>
      </c>
      <c r="G95" s="8">
        <v>114603.76404018288</v>
      </c>
      <c r="H95" s="8">
        <v>109550.42643488859</v>
      </c>
    </row>
    <row r="96" spans="1:8" x14ac:dyDescent="0.35">
      <c r="A96" s="4" t="s">
        <v>23</v>
      </c>
      <c r="B96" s="8">
        <v>93747.996113463989</v>
      </c>
      <c r="C96" s="8">
        <v>109669.79752772138</v>
      </c>
      <c r="D96" s="8">
        <v>118676.96768282347</v>
      </c>
      <c r="E96"/>
      <c r="F96" s="8">
        <v>81118.99672348726</v>
      </c>
      <c r="G96" s="8">
        <v>90778.94169311873</v>
      </c>
      <c r="H96" s="8">
        <v>109938.82608814504</v>
      </c>
    </row>
    <row r="97" spans="1:8" x14ac:dyDescent="0.35">
      <c r="A97" s="4" t="s">
        <v>129</v>
      </c>
      <c r="B97" s="8">
        <v>33652.761625579835</v>
      </c>
      <c r="C97" s="8">
        <v>34031.018324517565</v>
      </c>
      <c r="D97" s="8">
        <v>40958.737729768349</v>
      </c>
      <c r="E97"/>
      <c r="F97" s="8">
        <v>81439.077958168084</v>
      </c>
      <c r="G97" s="8">
        <v>81254.700845081257</v>
      </c>
      <c r="H97" s="8">
        <v>99600.621625454733</v>
      </c>
    </row>
    <row r="98" spans="1:8" x14ac:dyDescent="0.35">
      <c r="A98" s="4" t="s">
        <v>31</v>
      </c>
      <c r="B98" s="8">
        <v>102380.17658608418</v>
      </c>
      <c r="C98" s="8">
        <v>114603.76404018288</v>
      </c>
      <c r="D98" s="8">
        <v>109550.42643488859</v>
      </c>
      <c r="E98"/>
      <c r="F98" s="8">
        <v>87926.830765934428</v>
      </c>
      <c r="G98" s="8">
        <v>102933.00411636471</v>
      </c>
      <c r="H98" s="8">
        <v>97231.056283298632</v>
      </c>
    </row>
    <row r="99" spans="1:8" x14ac:dyDescent="0.35">
      <c r="A99" s="4" t="s">
        <v>42</v>
      </c>
      <c r="B99" s="8">
        <v>81118.99672348726</v>
      </c>
      <c r="C99" s="8">
        <v>90778.94169311873</v>
      </c>
      <c r="D99" s="8">
        <v>109938.82608814504</v>
      </c>
      <c r="E99"/>
      <c r="F99" s="8">
        <v>88563.651044193539</v>
      </c>
      <c r="G99" s="8">
        <v>90969.146810565318</v>
      </c>
      <c r="H99" s="8">
        <v>117840.74386366793</v>
      </c>
    </row>
    <row r="100" spans="1:8" x14ac:dyDescent="0.35">
      <c r="A100" s="4" t="s">
        <v>59</v>
      </c>
      <c r="B100" s="8">
        <v>81439.077958168084</v>
      </c>
      <c r="C100" s="8">
        <v>81254.700845081257</v>
      </c>
      <c r="D100" s="8">
        <v>99600.621625454733</v>
      </c>
      <c r="E100"/>
      <c r="F100" s="8">
        <v>93315.026644208978</v>
      </c>
      <c r="G100" s="8">
        <v>93476.163852658108</v>
      </c>
      <c r="H100" s="8">
        <v>106232.43182756676</v>
      </c>
    </row>
    <row r="101" spans="1:8" x14ac:dyDescent="0.35">
      <c r="A101" s="4" t="s">
        <v>56</v>
      </c>
      <c r="B101" s="8">
        <v>87926.830765934428</v>
      </c>
      <c r="C101" s="8">
        <v>102933.00411636471</v>
      </c>
      <c r="D101" s="8">
        <v>97231.056283298632</v>
      </c>
      <c r="E101"/>
      <c r="F101" s="8">
        <v>106508.73595211063</v>
      </c>
      <c r="G101" s="8">
        <v>107415.72795229318</v>
      </c>
      <c r="H101" s="8">
        <v>115367.75203510442</v>
      </c>
    </row>
    <row r="102" spans="1:8" x14ac:dyDescent="0.35">
      <c r="A102" s="4" t="s">
        <v>22</v>
      </c>
      <c r="B102" s="8">
        <v>88563.651044193539</v>
      </c>
      <c r="C102" s="8">
        <v>90969.146810565318</v>
      </c>
      <c r="D102" s="8">
        <v>117840.74386366793</v>
      </c>
      <c r="E102"/>
      <c r="F102" s="8">
        <v>118416.02014533799</v>
      </c>
      <c r="G102" s="8">
        <v>120882.20498635567</v>
      </c>
      <c r="H102" s="8">
        <v>133568.33509138747</v>
      </c>
    </row>
    <row r="103" spans="1:8" x14ac:dyDescent="0.35">
      <c r="A103" s="4" t="s">
        <v>39</v>
      </c>
      <c r="B103" s="8">
        <v>93315.026644208978</v>
      </c>
      <c r="C103" s="8">
        <v>93476.163852658108</v>
      </c>
      <c r="D103" s="8">
        <v>106232.43182756676</v>
      </c>
      <c r="E103"/>
      <c r="F103" s="8">
        <v>103502.78265520566</v>
      </c>
      <c r="G103" s="8">
        <v>117017.79581045923</v>
      </c>
      <c r="H103" s="8">
        <v>93732.628876248287</v>
      </c>
    </row>
    <row r="104" spans="1:8" x14ac:dyDescent="0.35">
      <c r="A104" s="4" t="s">
        <v>36</v>
      </c>
      <c r="B104" s="8">
        <v>106508.73595211063</v>
      </c>
      <c r="C104" s="8">
        <v>107415.72795229318</v>
      </c>
      <c r="D104" s="8">
        <v>115367.75203510442</v>
      </c>
      <c r="E104"/>
      <c r="F104" s="8"/>
      <c r="G104" s="8"/>
      <c r="H104" s="8">
        <v>77140.134794389058</v>
      </c>
    </row>
    <row r="105" spans="1:8" x14ac:dyDescent="0.35">
      <c r="A105" s="4" t="s">
        <v>15</v>
      </c>
      <c r="B105" s="8">
        <v>118416.02014533799</v>
      </c>
      <c r="C105" s="8">
        <v>120882.20498635567</v>
      </c>
      <c r="D105" s="8">
        <v>133568.33509138747</v>
      </c>
      <c r="E105"/>
      <c r="F105" s="8">
        <v>55163.276427969817</v>
      </c>
      <c r="G105" s="8">
        <v>56451.666845017149</v>
      </c>
      <c r="H105" s="8">
        <v>62821.5829358474</v>
      </c>
    </row>
    <row r="106" spans="1:8" x14ac:dyDescent="0.35">
      <c r="A106" s="4" t="s">
        <v>63</v>
      </c>
      <c r="B106" s="8">
        <v>103502.78265520566</v>
      </c>
      <c r="C106" s="8">
        <v>117017.79581045923</v>
      </c>
      <c r="D106" s="8">
        <v>93732.628876248287</v>
      </c>
      <c r="E106"/>
      <c r="F106" s="8">
        <v>48407.518367857323</v>
      </c>
      <c r="G106" s="8">
        <v>46881.403948219231</v>
      </c>
      <c r="H106" s="8">
        <v>53352.780594953692</v>
      </c>
    </row>
    <row r="107" spans="1:8" x14ac:dyDescent="0.35">
      <c r="A107" s="4" t="s">
        <v>93</v>
      </c>
      <c r="B107" s="8"/>
      <c r="C107" s="8"/>
      <c r="D107" s="8">
        <v>77140.134794389058</v>
      </c>
      <c r="E107"/>
      <c r="F107" s="8">
        <v>50068.520075017041</v>
      </c>
      <c r="G107" s="8">
        <v>58082.232905122182</v>
      </c>
      <c r="H107" s="8">
        <v>49169.24626614451</v>
      </c>
    </row>
    <row r="108" spans="1:8" x14ac:dyDescent="0.35">
      <c r="A108" s="4" t="s">
        <v>117</v>
      </c>
      <c r="B108" s="8">
        <v>55163.276427969817</v>
      </c>
      <c r="C108" s="8">
        <v>56451.666845017149</v>
      </c>
      <c r="D108" s="8">
        <v>62821.5829358474</v>
      </c>
      <c r="E108"/>
      <c r="F108" s="8">
        <v>65631.462978179508</v>
      </c>
      <c r="G108" s="8">
        <v>70240.184013574093</v>
      </c>
      <c r="H108" s="8">
        <v>69568.089703697653</v>
      </c>
    </row>
    <row r="109" spans="1:8" x14ac:dyDescent="0.35">
      <c r="A109" s="4" t="s">
        <v>128</v>
      </c>
      <c r="B109" s="8">
        <v>48407.518367857323</v>
      </c>
      <c r="C109" s="8">
        <v>46881.403948219231</v>
      </c>
      <c r="D109" s="8">
        <v>53352.780594953692</v>
      </c>
      <c r="E109"/>
      <c r="F109" s="8">
        <v>55533.107283698802</v>
      </c>
      <c r="G109" s="8">
        <v>63312.443007105416</v>
      </c>
      <c r="H109" s="8">
        <v>37461.957817109884</v>
      </c>
    </row>
    <row r="110" spans="1:8" x14ac:dyDescent="0.35">
      <c r="A110" s="4" t="s">
        <v>126</v>
      </c>
      <c r="B110" s="8">
        <v>50068.520075017041</v>
      </c>
      <c r="C110" s="8">
        <v>58082.232905122182</v>
      </c>
      <c r="D110" s="8">
        <v>49169.24626614451</v>
      </c>
      <c r="E110"/>
      <c r="F110" s="8">
        <v>53158.226141083716</v>
      </c>
      <c r="G110" s="8">
        <v>49907.902759273318</v>
      </c>
      <c r="H110" s="8">
        <v>55265.545451394704</v>
      </c>
    </row>
    <row r="111" spans="1:8" x14ac:dyDescent="0.35">
      <c r="A111" s="4" t="s">
        <v>103</v>
      </c>
      <c r="B111" s="8">
        <v>65631.462978179508</v>
      </c>
      <c r="C111" s="8">
        <v>70240.184013574093</v>
      </c>
      <c r="D111" s="8">
        <v>69568.089703697653</v>
      </c>
      <c r="E111"/>
      <c r="F111" s="8">
        <v>46737.049766401738</v>
      </c>
      <c r="G111" s="8">
        <v>44456.223174384511</v>
      </c>
      <c r="H111" s="8">
        <v>45317.042694391981</v>
      </c>
    </row>
    <row r="112" spans="1:8" x14ac:dyDescent="0.35">
      <c r="A112" s="4" t="s">
        <v>127</v>
      </c>
      <c r="B112" s="8">
        <v>55533.107283698802</v>
      </c>
      <c r="C112" s="8">
        <v>63312.443007105416</v>
      </c>
      <c r="D112" s="8">
        <v>37461.957817109884</v>
      </c>
      <c r="E112"/>
      <c r="F112" s="8">
        <v>54002.866683269509</v>
      </c>
      <c r="G112" s="8">
        <v>51602.222586710588</v>
      </c>
      <c r="H112" s="8">
        <v>54340.133101089486</v>
      </c>
    </row>
    <row r="113" spans="1:8" x14ac:dyDescent="0.35">
      <c r="A113" s="4" t="s">
        <v>125</v>
      </c>
      <c r="B113" s="8">
        <v>53158.226141083716</v>
      </c>
      <c r="C113" s="8">
        <v>49907.902759273318</v>
      </c>
      <c r="D113" s="8">
        <v>55265.545451394704</v>
      </c>
      <c r="E113"/>
      <c r="F113" s="8">
        <v>46693.299903709776</v>
      </c>
      <c r="G113" s="8">
        <v>51273.991311388796</v>
      </c>
      <c r="H113" s="8">
        <v>60434.753180617932</v>
      </c>
    </row>
    <row r="114" spans="1:8" x14ac:dyDescent="0.35">
      <c r="A114" s="4" t="s">
        <v>122</v>
      </c>
      <c r="B114" s="8">
        <v>46737.049766401738</v>
      </c>
      <c r="C114" s="8">
        <v>44456.223174384511</v>
      </c>
      <c r="D114" s="8">
        <v>45317.042694391981</v>
      </c>
      <c r="E114"/>
    </row>
    <row r="115" spans="1:8" x14ac:dyDescent="0.35">
      <c r="A115" s="4" t="s">
        <v>123</v>
      </c>
      <c r="B115" s="8">
        <v>54002.866683269509</v>
      </c>
      <c r="C115" s="8">
        <v>51602.222586710588</v>
      </c>
      <c r="D115" s="8">
        <v>54340.133101089486</v>
      </c>
      <c r="E115"/>
    </row>
    <row r="116" spans="1:8" x14ac:dyDescent="0.35">
      <c r="A116" s="4" t="s">
        <v>101</v>
      </c>
      <c r="B116" s="8">
        <v>46693.299903709776</v>
      </c>
      <c r="C116" s="8">
        <v>51273.991311388796</v>
      </c>
      <c r="D116" s="8">
        <v>60434.753180617932</v>
      </c>
      <c r="E116"/>
    </row>
    <row r="117" spans="1:8" x14ac:dyDescent="0.35">
      <c r="A117" s="4" t="s">
        <v>135</v>
      </c>
      <c r="B117" s="8">
        <v>81752.446100889967</v>
      </c>
      <c r="C117" s="8">
        <v>85320.903143794567</v>
      </c>
      <c r="D117" s="8">
        <v>92803.938002964176</v>
      </c>
      <c r="E117"/>
    </row>
    <row r="118" spans="1:8" x14ac:dyDescent="0.35">
      <c r="B118"/>
      <c r="C118"/>
      <c r="D118"/>
      <c r="E118"/>
    </row>
    <row r="119" spans="1:8" x14ac:dyDescent="0.35">
      <c r="B119"/>
      <c r="C119"/>
      <c r="D119"/>
      <c r="E119"/>
    </row>
    <row r="120" spans="1:8" x14ac:dyDescent="0.35">
      <c r="B120"/>
      <c r="C120"/>
      <c r="D120"/>
      <c r="E120"/>
    </row>
    <row r="121" spans="1:8" x14ac:dyDescent="0.35">
      <c r="B121"/>
      <c r="C121"/>
      <c r="D121"/>
      <c r="E121"/>
    </row>
    <row r="122" spans="1:8" x14ac:dyDescent="0.35">
      <c r="B122"/>
      <c r="C122"/>
      <c r="D122"/>
      <c r="E122"/>
    </row>
    <row r="123" spans="1:8" x14ac:dyDescent="0.35">
      <c r="B123"/>
      <c r="C123"/>
      <c r="D123"/>
      <c r="E123"/>
    </row>
    <row r="124" spans="1:8" x14ac:dyDescent="0.35">
      <c r="B124"/>
      <c r="C124"/>
      <c r="D124"/>
      <c r="E124"/>
    </row>
    <row r="125" spans="1:8" x14ac:dyDescent="0.35">
      <c r="B125"/>
      <c r="C125"/>
      <c r="D125"/>
      <c r="E125"/>
    </row>
    <row r="126" spans="1:8" x14ac:dyDescent="0.35">
      <c r="B126"/>
      <c r="C126"/>
      <c r="D126"/>
      <c r="E126"/>
    </row>
    <row r="127" spans="1:8" x14ac:dyDescent="0.35">
      <c r="B127"/>
      <c r="C127"/>
      <c r="D127"/>
      <c r="E127"/>
    </row>
    <row r="128" spans="1:8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  <c r="D135"/>
      <c r="E135"/>
    </row>
    <row r="136" spans="2:5" x14ac:dyDescent="0.35">
      <c r="B136"/>
      <c r="C136"/>
      <c r="D136"/>
      <c r="E136"/>
    </row>
    <row r="137" spans="2:5" x14ac:dyDescent="0.35">
      <c r="B137"/>
      <c r="C137"/>
      <c r="D137"/>
      <c r="E137"/>
    </row>
    <row r="138" spans="2:5" x14ac:dyDescent="0.35">
      <c r="B138"/>
      <c r="C138"/>
      <c r="D138"/>
      <c r="E138"/>
    </row>
    <row r="139" spans="2:5" x14ac:dyDescent="0.35">
      <c r="B139"/>
      <c r="C139"/>
      <c r="D139"/>
      <c r="E139"/>
    </row>
    <row r="140" spans="2:5" x14ac:dyDescent="0.35">
      <c r="B140"/>
      <c r="C140"/>
      <c r="D140"/>
      <c r="E140"/>
    </row>
    <row r="141" spans="2:5" x14ac:dyDescent="0.35">
      <c r="B141"/>
      <c r="C141"/>
      <c r="D141"/>
      <c r="E141"/>
    </row>
    <row r="142" spans="2:5" x14ac:dyDescent="0.35">
      <c r="B142"/>
      <c r="C142"/>
      <c r="D142"/>
      <c r="E142"/>
    </row>
    <row r="143" spans="2:5" x14ac:dyDescent="0.35">
      <c r="B143"/>
      <c r="C143"/>
      <c r="D143"/>
      <c r="E143"/>
    </row>
    <row r="144" spans="2:5" x14ac:dyDescent="0.35">
      <c r="B144"/>
      <c r="C144"/>
      <c r="D144"/>
      <c r="E144"/>
    </row>
    <row r="145" spans="2:5" x14ac:dyDescent="0.35">
      <c r="B145"/>
      <c r="C145"/>
      <c r="D145"/>
      <c r="E145"/>
    </row>
    <row r="146" spans="2:5" x14ac:dyDescent="0.35">
      <c r="B146"/>
      <c r="C146"/>
      <c r="D146"/>
      <c r="E146"/>
    </row>
    <row r="147" spans="2:5" x14ac:dyDescent="0.35">
      <c r="B147"/>
      <c r="C147"/>
      <c r="D147"/>
      <c r="E147"/>
    </row>
    <row r="148" spans="2:5" x14ac:dyDescent="0.35">
      <c r="B148"/>
      <c r="C148"/>
      <c r="D148"/>
      <c r="E148"/>
    </row>
    <row r="149" spans="2:5" x14ac:dyDescent="0.35">
      <c r="B149"/>
      <c r="C149"/>
      <c r="D149"/>
      <c r="E149"/>
    </row>
    <row r="150" spans="2:5" x14ac:dyDescent="0.35">
      <c r="B150"/>
      <c r="C150"/>
      <c r="D150"/>
      <c r="E150"/>
    </row>
    <row r="151" spans="2:5" x14ac:dyDescent="0.35">
      <c r="B151"/>
      <c r="C151"/>
      <c r="D151"/>
      <c r="E151"/>
    </row>
    <row r="152" spans="2:5" x14ac:dyDescent="0.35">
      <c r="B152"/>
      <c r="C152"/>
      <c r="D152"/>
      <c r="E152"/>
    </row>
    <row r="153" spans="2:5" x14ac:dyDescent="0.35">
      <c r="B153"/>
      <c r="C153"/>
      <c r="D153"/>
      <c r="E153"/>
    </row>
    <row r="154" spans="2:5" x14ac:dyDescent="0.35">
      <c r="B154"/>
      <c r="C154"/>
      <c r="D154"/>
      <c r="E154"/>
    </row>
    <row r="155" spans="2:5" x14ac:dyDescent="0.35">
      <c r="B155"/>
      <c r="C155"/>
      <c r="D155"/>
      <c r="E155"/>
    </row>
    <row r="156" spans="2:5" x14ac:dyDescent="0.35">
      <c r="B156"/>
      <c r="C156"/>
      <c r="D156"/>
      <c r="E156"/>
    </row>
    <row r="157" spans="2:5" x14ac:dyDescent="0.35">
      <c r="B157"/>
      <c r="C157"/>
      <c r="D157"/>
      <c r="E157"/>
    </row>
    <row r="158" spans="2:5" x14ac:dyDescent="0.35">
      <c r="B158"/>
      <c r="C158"/>
      <c r="D158"/>
      <c r="E158"/>
    </row>
    <row r="159" spans="2:5" x14ac:dyDescent="0.35">
      <c r="B159"/>
      <c r="C159"/>
      <c r="D159"/>
      <c r="E159"/>
    </row>
    <row r="160" spans="2:5" x14ac:dyDescent="0.35">
      <c r="B160"/>
      <c r="C160"/>
      <c r="D160"/>
      <c r="E160"/>
    </row>
    <row r="161" spans="2:5" x14ac:dyDescent="0.35">
      <c r="B161"/>
      <c r="C161"/>
      <c r="D161"/>
      <c r="E161"/>
    </row>
    <row r="162" spans="2:5" x14ac:dyDescent="0.35">
      <c r="B162"/>
      <c r="C162"/>
      <c r="D162"/>
      <c r="E162"/>
    </row>
    <row r="163" spans="2:5" x14ac:dyDescent="0.35">
      <c r="B163"/>
      <c r="C163"/>
      <c r="D163"/>
      <c r="E163"/>
    </row>
    <row r="164" spans="2:5" x14ac:dyDescent="0.35">
      <c r="B164"/>
      <c r="C164"/>
      <c r="D164"/>
      <c r="E164"/>
    </row>
    <row r="165" spans="2:5" x14ac:dyDescent="0.35">
      <c r="B165"/>
      <c r="C165"/>
      <c r="D165"/>
      <c r="E165"/>
    </row>
    <row r="166" spans="2:5" x14ac:dyDescent="0.35">
      <c r="B166"/>
      <c r="C166"/>
      <c r="D166"/>
      <c r="E166"/>
    </row>
    <row r="167" spans="2:5" x14ac:dyDescent="0.35">
      <c r="B167"/>
      <c r="C167"/>
      <c r="D167"/>
      <c r="E167"/>
    </row>
    <row r="168" spans="2:5" x14ac:dyDescent="0.35">
      <c r="B168"/>
      <c r="C168"/>
      <c r="D168"/>
      <c r="E168"/>
    </row>
    <row r="169" spans="2:5" x14ac:dyDescent="0.35">
      <c r="B169"/>
      <c r="C169"/>
      <c r="D169"/>
      <c r="E169"/>
    </row>
    <row r="170" spans="2:5" x14ac:dyDescent="0.35">
      <c r="B170"/>
      <c r="C170"/>
      <c r="D170"/>
      <c r="E170"/>
    </row>
    <row r="171" spans="2:5" x14ac:dyDescent="0.35">
      <c r="B171"/>
      <c r="C171"/>
      <c r="D171"/>
      <c r="E171"/>
    </row>
    <row r="172" spans="2:5" x14ac:dyDescent="0.35">
      <c r="B172"/>
      <c r="C172"/>
      <c r="D172"/>
      <c r="E172"/>
    </row>
    <row r="173" spans="2:5" x14ac:dyDescent="0.35">
      <c r="B173"/>
      <c r="C173"/>
      <c r="D173"/>
      <c r="E173"/>
    </row>
    <row r="174" spans="2:5" x14ac:dyDescent="0.35">
      <c r="B174"/>
      <c r="C174"/>
      <c r="D174"/>
      <c r="E174"/>
    </row>
    <row r="175" spans="2:5" x14ac:dyDescent="0.35">
      <c r="B175"/>
      <c r="C175"/>
      <c r="D175"/>
      <c r="E175"/>
    </row>
    <row r="176" spans="2:5" x14ac:dyDescent="0.35">
      <c r="B176"/>
      <c r="C176"/>
      <c r="D176"/>
      <c r="E176"/>
    </row>
    <row r="177" spans="2:5" x14ac:dyDescent="0.35">
      <c r="B177"/>
      <c r="C177"/>
      <c r="D177"/>
      <c r="E177"/>
    </row>
    <row r="178" spans="2:5" x14ac:dyDescent="0.35">
      <c r="B178"/>
      <c r="C178"/>
      <c r="D178"/>
      <c r="E178"/>
    </row>
    <row r="179" spans="2:5" x14ac:dyDescent="0.35">
      <c r="B179"/>
      <c r="C179"/>
      <c r="D179"/>
      <c r="E179"/>
    </row>
    <row r="180" spans="2:5" x14ac:dyDescent="0.35">
      <c r="B180"/>
      <c r="C180"/>
      <c r="D180"/>
      <c r="E180"/>
    </row>
    <row r="181" spans="2:5" x14ac:dyDescent="0.35">
      <c r="B181"/>
      <c r="C181"/>
      <c r="D181"/>
      <c r="E181"/>
    </row>
    <row r="182" spans="2:5" x14ac:dyDescent="0.35">
      <c r="B182"/>
      <c r="C182"/>
      <c r="D182"/>
      <c r="E182"/>
    </row>
    <row r="183" spans="2:5" x14ac:dyDescent="0.35">
      <c r="B183"/>
      <c r="C183"/>
      <c r="D183"/>
      <c r="E183"/>
    </row>
    <row r="184" spans="2:5" x14ac:dyDescent="0.35">
      <c r="B184"/>
      <c r="C184"/>
      <c r="D184"/>
      <c r="E184"/>
    </row>
    <row r="185" spans="2:5" x14ac:dyDescent="0.35">
      <c r="B185"/>
      <c r="C185"/>
      <c r="D185"/>
      <c r="E185"/>
    </row>
    <row r="186" spans="2:5" x14ac:dyDescent="0.35">
      <c r="B186"/>
      <c r="C186"/>
      <c r="D186"/>
      <c r="E186"/>
    </row>
    <row r="187" spans="2:5" x14ac:dyDescent="0.35">
      <c r="B187"/>
      <c r="C187"/>
      <c r="D187"/>
      <c r="E187"/>
    </row>
    <row r="188" spans="2:5" x14ac:dyDescent="0.35">
      <c r="B188"/>
      <c r="C188"/>
      <c r="D188"/>
      <c r="E188"/>
    </row>
    <row r="189" spans="2:5" x14ac:dyDescent="0.35">
      <c r="B189"/>
      <c r="C189"/>
      <c r="D189"/>
      <c r="E189"/>
    </row>
    <row r="190" spans="2:5" x14ac:dyDescent="0.35">
      <c r="B190"/>
      <c r="C190"/>
      <c r="D190"/>
      <c r="E190"/>
    </row>
    <row r="191" spans="2:5" x14ac:dyDescent="0.35">
      <c r="B191"/>
      <c r="C191"/>
      <c r="D191"/>
      <c r="E191"/>
    </row>
    <row r="192" spans="2:5" x14ac:dyDescent="0.35">
      <c r="B192"/>
      <c r="C192"/>
      <c r="D192"/>
      <c r="E192"/>
    </row>
    <row r="193" spans="2:5" x14ac:dyDescent="0.35">
      <c r="B193"/>
      <c r="C193"/>
      <c r="D193"/>
      <c r="E193"/>
    </row>
    <row r="194" spans="2:5" x14ac:dyDescent="0.35">
      <c r="B194"/>
      <c r="C194"/>
      <c r="D194"/>
      <c r="E194"/>
    </row>
    <row r="195" spans="2:5" x14ac:dyDescent="0.35">
      <c r="B195"/>
      <c r="C195"/>
      <c r="D195"/>
      <c r="E195"/>
    </row>
    <row r="196" spans="2:5" x14ac:dyDescent="0.35">
      <c r="B196"/>
      <c r="C196"/>
      <c r="D196"/>
      <c r="E196"/>
    </row>
    <row r="197" spans="2:5" x14ac:dyDescent="0.35">
      <c r="B197"/>
      <c r="C197"/>
      <c r="D197"/>
      <c r="E197"/>
    </row>
    <row r="198" spans="2:5" x14ac:dyDescent="0.35">
      <c r="B198"/>
      <c r="C198"/>
      <c r="D198"/>
      <c r="E198"/>
    </row>
    <row r="199" spans="2:5" x14ac:dyDescent="0.35">
      <c r="B199"/>
      <c r="C199"/>
      <c r="D199"/>
      <c r="E199"/>
    </row>
    <row r="200" spans="2:5" x14ac:dyDescent="0.35">
      <c r="B200"/>
      <c r="C200"/>
      <c r="D200"/>
      <c r="E200"/>
    </row>
    <row r="201" spans="2:5" x14ac:dyDescent="0.35">
      <c r="B201"/>
      <c r="C201"/>
      <c r="D201"/>
      <c r="E201"/>
    </row>
    <row r="202" spans="2:5" x14ac:dyDescent="0.35">
      <c r="B202"/>
      <c r="C202"/>
      <c r="D202"/>
      <c r="E202"/>
    </row>
    <row r="203" spans="2:5" x14ac:dyDescent="0.35">
      <c r="B203"/>
      <c r="C203"/>
      <c r="D203"/>
      <c r="E203"/>
    </row>
    <row r="204" spans="2:5" x14ac:dyDescent="0.35">
      <c r="B204"/>
      <c r="C204"/>
      <c r="D204"/>
      <c r="E204"/>
    </row>
    <row r="205" spans="2:5" x14ac:dyDescent="0.35">
      <c r="B205"/>
      <c r="C205"/>
      <c r="D205"/>
      <c r="E205"/>
    </row>
    <row r="206" spans="2:5" x14ac:dyDescent="0.35">
      <c r="B206"/>
      <c r="C206"/>
      <c r="D206"/>
      <c r="E206"/>
    </row>
    <row r="207" spans="2:5" x14ac:dyDescent="0.35">
      <c r="B207"/>
      <c r="C207"/>
      <c r="D207"/>
      <c r="E207"/>
    </row>
    <row r="208" spans="2:5" x14ac:dyDescent="0.35">
      <c r="B208"/>
      <c r="C208"/>
      <c r="D208"/>
      <c r="E208"/>
    </row>
    <row r="209" spans="2:5" x14ac:dyDescent="0.35">
      <c r="B209"/>
      <c r="C209"/>
      <c r="D209"/>
      <c r="E209"/>
    </row>
    <row r="210" spans="2:5" x14ac:dyDescent="0.35">
      <c r="B210"/>
      <c r="C210"/>
      <c r="D210"/>
      <c r="E210"/>
    </row>
    <row r="211" spans="2:5" x14ac:dyDescent="0.35">
      <c r="B211"/>
      <c r="C211"/>
      <c r="D211"/>
      <c r="E211"/>
    </row>
    <row r="212" spans="2:5" x14ac:dyDescent="0.35">
      <c r="B212"/>
      <c r="C212"/>
      <c r="D212"/>
      <c r="E212"/>
    </row>
    <row r="213" spans="2:5" x14ac:dyDescent="0.35">
      <c r="B213"/>
      <c r="C213"/>
      <c r="D213"/>
      <c r="E213"/>
    </row>
    <row r="214" spans="2:5" x14ac:dyDescent="0.35">
      <c r="B214"/>
      <c r="C214"/>
      <c r="D214"/>
      <c r="E214"/>
    </row>
    <row r="215" spans="2:5" x14ac:dyDescent="0.35">
      <c r="B215"/>
      <c r="C215"/>
      <c r="D215"/>
      <c r="E215"/>
    </row>
    <row r="216" spans="2:5" x14ac:dyDescent="0.35">
      <c r="B216"/>
      <c r="C216"/>
      <c r="D216"/>
      <c r="E216"/>
    </row>
    <row r="217" spans="2:5" x14ac:dyDescent="0.35">
      <c r="B217"/>
      <c r="C217"/>
      <c r="D217"/>
      <c r="E217"/>
    </row>
    <row r="218" spans="2:5" x14ac:dyDescent="0.35">
      <c r="B218"/>
      <c r="C218"/>
      <c r="D218"/>
      <c r="E218"/>
    </row>
    <row r="219" spans="2:5" x14ac:dyDescent="0.35">
      <c r="B219"/>
      <c r="C219"/>
      <c r="D219"/>
      <c r="E219"/>
    </row>
    <row r="220" spans="2:5" x14ac:dyDescent="0.35">
      <c r="B220"/>
      <c r="C220"/>
      <c r="D220"/>
      <c r="E220"/>
    </row>
    <row r="221" spans="2:5" x14ac:dyDescent="0.35">
      <c r="B221"/>
      <c r="C221"/>
      <c r="D221"/>
      <c r="E221"/>
    </row>
    <row r="222" spans="2:5" x14ac:dyDescent="0.35">
      <c r="B222"/>
      <c r="C222"/>
      <c r="D222"/>
      <c r="E222"/>
    </row>
    <row r="223" spans="2:5" x14ac:dyDescent="0.35">
      <c r="B223"/>
      <c r="C223"/>
      <c r="D223"/>
      <c r="E223"/>
    </row>
    <row r="224" spans="2:5" x14ac:dyDescent="0.35">
      <c r="B224"/>
      <c r="C224"/>
      <c r="D224"/>
      <c r="E224"/>
    </row>
    <row r="225" spans="2:5" x14ac:dyDescent="0.35">
      <c r="B225"/>
      <c r="C225"/>
      <c r="D225"/>
      <c r="E225"/>
    </row>
    <row r="226" spans="2:5" x14ac:dyDescent="0.35">
      <c r="B226"/>
      <c r="C226"/>
      <c r="D226"/>
      <c r="E226"/>
    </row>
    <row r="227" spans="2:5" x14ac:dyDescent="0.35">
      <c r="B227"/>
      <c r="C227"/>
      <c r="D227"/>
      <c r="E227"/>
    </row>
    <row r="228" spans="2:5" x14ac:dyDescent="0.35">
      <c r="B228"/>
      <c r="C228"/>
      <c r="D228"/>
      <c r="E228"/>
    </row>
    <row r="229" spans="2:5" x14ac:dyDescent="0.35">
      <c r="B229"/>
      <c r="C229"/>
      <c r="D229"/>
      <c r="E229"/>
    </row>
    <row r="230" spans="2:5" x14ac:dyDescent="0.35">
      <c r="B230"/>
      <c r="C230"/>
      <c r="D230"/>
      <c r="E230"/>
    </row>
    <row r="231" spans="2:5" x14ac:dyDescent="0.35">
      <c r="B231"/>
      <c r="C231"/>
      <c r="D231"/>
      <c r="E231"/>
    </row>
    <row r="232" spans="2:5" x14ac:dyDescent="0.35">
      <c r="B232"/>
      <c r="C232"/>
      <c r="D232"/>
      <c r="E232"/>
    </row>
    <row r="233" spans="2:5" x14ac:dyDescent="0.35">
      <c r="B233"/>
      <c r="C233"/>
      <c r="D233"/>
      <c r="E233"/>
    </row>
    <row r="234" spans="2:5" x14ac:dyDescent="0.35">
      <c r="B234"/>
      <c r="C234"/>
      <c r="D234"/>
      <c r="E234"/>
    </row>
    <row r="235" spans="2:5" x14ac:dyDescent="0.35">
      <c r="B235"/>
      <c r="C235"/>
      <c r="D235"/>
      <c r="E235"/>
    </row>
    <row r="236" spans="2:5" x14ac:dyDescent="0.35">
      <c r="B236"/>
      <c r="C236"/>
      <c r="D236"/>
      <c r="E236"/>
    </row>
    <row r="237" spans="2:5" x14ac:dyDescent="0.35">
      <c r="B237"/>
      <c r="C237"/>
      <c r="D237"/>
      <c r="E237"/>
    </row>
    <row r="238" spans="2:5" x14ac:dyDescent="0.35">
      <c r="B238"/>
      <c r="C238"/>
      <c r="D238"/>
      <c r="E238"/>
    </row>
    <row r="239" spans="2:5" x14ac:dyDescent="0.35">
      <c r="B239"/>
      <c r="C239"/>
      <c r="D239"/>
      <c r="E239"/>
    </row>
    <row r="240" spans="2:5" x14ac:dyDescent="0.35">
      <c r="B240"/>
      <c r="C240"/>
      <c r="D240"/>
      <c r="E240"/>
    </row>
    <row r="241" spans="2:5" x14ac:dyDescent="0.35">
      <c r="B241"/>
      <c r="C241"/>
      <c r="D241"/>
      <c r="E241"/>
    </row>
    <row r="242" spans="2:5" x14ac:dyDescent="0.35">
      <c r="B242"/>
      <c r="C242"/>
      <c r="D242"/>
      <c r="E242"/>
    </row>
    <row r="243" spans="2:5" x14ac:dyDescent="0.35">
      <c r="B243"/>
      <c r="C243"/>
      <c r="D243"/>
      <c r="E243"/>
    </row>
    <row r="244" spans="2:5" x14ac:dyDescent="0.35">
      <c r="B244"/>
      <c r="C244"/>
      <c r="D244"/>
      <c r="E244"/>
    </row>
    <row r="245" spans="2:5" x14ac:dyDescent="0.35">
      <c r="B245"/>
      <c r="C245"/>
      <c r="D245"/>
      <c r="E245"/>
    </row>
    <row r="246" spans="2:5" x14ac:dyDescent="0.35">
      <c r="B246"/>
      <c r="C246"/>
      <c r="D246"/>
      <c r="E246"/>
    </row>
    <row r="247" spans="2:5" x14ac:dyDescent="0.35">
      <c r="B247"/>
      <c r="C247"/>
      <c r="D247"/>
      <c r="E247"/>
    </row>
    <row r="248" spans="2:5" x14ac:dyDescent="0.35">
      <c r="B248"/>
      <c r="C248"/>
      <c r="D248"/>
      <c r="E248"/>
    </row>
    <row r="249" spans="2:5" x14ac:dyDescent="0.35">
      <c r="B249"/>
      <c r="C249"/>
      <c r="D249"/>
      <c r="E249"/>
    </row>
    <row r="250" spans="2:5" x14ac:dyDescent="0.35">
      <c r="B250"/>
      <c r="C250"/>
      <c r="D250"/>
      <c r="E250"/>
    </row>
    <row r="251" spans="2:5" x14ac:dyDescent="0.35">
      <c r="B251"/>
      <c r="C251"/>
      <c r="D251"/>
      <c r="E251"/>
    </row>
    <row r="252" spans="2:5" x14ac:dyDescent="0.35">
      <c r="B252"/>
      <c r="C252"/>
      <c r="D252"/>
      <c r="E252"/>
    </row>
    <row r="253" spans="2:5" x14ac:dyDescent="0.35">
      <c r="B253"/>
      <c r="C253"/>
      <c r="D253"/>
      <c r="E253"/>
    </row>
    <row r="254" spans="2:5" x14ac:dyDescent="0.35">
      <c r="B254"/>
      <c r="C254"/>
      <c r="D254"/>
      <c r="E254"/>
    </row>
    <row r="255" spans="2:5" x14ac:dyDescent="0.35">
      <c r="B255"/>
      <c r="C255"/>
      <c r="D255"/>
      <c r="E255"/>
    </row>
    <row r="256" spans="2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  <row r="265" spans="2:5" x14ac:dyDescent="0.35">
      <c r="B265"/>
      <c r="C265"/>
      <c r="D265"/>
      <c r="E265"/>
    </row>
    <row r="266" spans="2:5" x14ac:dyDescent="0.35">
      <c r="B266"/>
      <c r="C266"/>
      <c r="D266"/>
      <c r="E266"/>
    </row>
    <row r="267" spans="2:5" x14ac:dyDescent="0.35">
      <c r="B267"/>
      <c r="C267"/>
      <c r="D267"/>
      <c r="E267"/>
    </row>
    <row r="268" spans="2:5" x14ac:dyDescent="0.35">
      <c r="B268"/>
      <c r="C268"/>
      <c r="D268"/>
      <c r="E268"/>
    </row>
    <row r="269" spans="2:5" x14ac:dyDescent="0.35">
      <c r="B269"/>
      <c r="C269"/>
      <c r="D269"/>
      <c r="E269"/>
    </row>
    <row r="270" spans="2:5" x14ac:dyDescent="0.35">
      <c r="B270"/>
      <c r="C270"/>
      <c r="D270"/>
      <c r="E270"/>
    </row>
    <row r="271" spans="2:5" x14ac:dyDescent="0.35">
      <c r="B271"/>
      <c r="C271"/>
      <c r="D271"/>
      <c r="E271"/>
    </row>
    <row r="272" spans="2:5" x14ac:dyDescent="0.35">
      <c r="B272"/>
      <c r="C272"/>
      <c r="D272"/>
      <c r="E272"/>
    </row>
    <row r="273" spans="2:5" x14ac:dyDescent="0.35">
      <c r="B273"/>
      <c r="C273"/>
      <c r="D273"/>
      <c r="E273"/>
    </row>
    <row r="274" spans="2:5" x14ac:dyDescent="0.35">
      <c r="B274"/>
      <c r="C274"/>
      <c r="D274"/>
      <c r="E274"/>
    </row>
    <row r="275" spans="2:5" x14ac:dyDescent="0.35">
      <c r="B275"/>
      <c r="C275"/>
      <c r="D275"/>
      <c r="E275"/>
    </row>
    <row r="276" spans="2:5" x14ac:dyDescent="0.35">
      <c r="B276"/>
      <c r="C276"/>
      <c r="D276"/>
      <c r="E276"/>
    </row>
    <row r="277" spans="2:5" x14ac:dyDescent="0.35">
      <c r="B277"/>
      <c r="C277"/>
      <c r="D277"/>
      <c r="E277"/>
    </row>
    <row r="278" spans="2:5" x14ac:dyDescent="0.35">
      <c r="B278"/>
      <c r="C278"/>
      <c r="D278"/>
      <c r="E278"/>
    </row>
    <row r="279" spans="2:5" x14ac:dyDescent="0.35">
      <c r="B279"/>
      <c r="C279"/>
      <c r="D279"/>
      <c r="E279"/>
    </row>
    <row r="280" spans="2:5" x14ac:dyDescent="0.35">
      <c r="B280"/>
      <c r="C280"/>
      <c r="D280"/>
      <c r="E280"/>
    </row>
    <row r="281" spans="2:5" x14ac:dyDescent="0.35">
      <c r="B281"/>
      <c r="C281"/>
      <c r="D281"/>
      <c r="E281"/>
    </row>
    <row r="282" spans="2:5" x14ac:dyDescent="0.35">
      <c r="B282"/>
      <c r="C282"/>
      <c r="D282"/>
      <c r="E282"/>
    </row>
    <row r="283" spans="2:5" x14ac:dyDescent="0.35">
      <c r="B283"/>
      <c r="C283"/>
      <c r="D283"/>
      <c r="E283"/>
    </row>
    <row r="284" spans="2:5" x14ac:dyDescent="0.35">
      <c r="B284"/>
      <c r="C284"/>
      <c r="D284"/>
      <c r="E284"/>
    </row>
    <row r="285" spans="2:5" x14ac:dyDescent="0.35">
      <c r="B285"/>
      <c r="C285"/>
      <c r="D285"/>
      <c r="E285"/>
    </row>
    <row r="286" spans="2:5" x14ac:dyDescent="0.35">
      <c r="B286"/>
      <c r="C286"/>
      <c r="D286"/>
      <c r="E286"/>
    </row>
    <row r="287" spans="2:5" x14ac:dyDescent="0.35">
      <c r="B287"/>
      <c r="C287"/>
      <c r="D287"/>
      <c r="E287"/>
    </row>
    <row r="288" spans="2:5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  <row r="531" spans="2:5" x14ac:dyDescent="0.35">
      <c r="B531"/>
      <c r="C531"/>
      <c r="D531"/>
      <c r="E531"/>
    </row>
    <row r="532" spans="2:5" x14ac:dyDescent="0.35">
      <c r="B532"/>
      <c r="C532"/>
      <c r="D532"/>
      <c r="E532"/>
    </row>
    <row r="533" spans="2:5" x14ac:dyDescent="0.35">
      <c r="B533"/>
      <c r="C533"/>
      <c r="D533"/>
      <c r="E533"/>
    </row>
    <row r="534" spans="2:5" x14ac:dyDescent="0.35">
      <c r="B534"/>
      <c r="C534"/>
      <c r="D534"/>
      <c r="E534"/>
    </row>
    <row r="535" spans="2:5" x14ac:dyDescent="0.35">
      <c r="B535"/>
      <c r="C535"/>
      <c r="D535"/>
      <c r="E535"/>
    </row>
    <row r="536" spans="2:5" x14ac:dyDescent="0.35">
      <c r="B536"/>
      <c r="C536"/>
      <c r="D536"/>
      <c r="E536"/>
    </row>
    <row r="537" spans="2:5" x14ac:dyDescent="0.35">
      <c r="B537"/>
      <c r="C537"/>
      <c r="D537"/>
      <c r="E537"/>
    </row>
    <row r="538" spans="2:5" x14ac:dyDescent="0.35">
      <c r="B538"/>
      <c r="C538"/>
      <c r="D538"/>
      <c r="E538"/>
    </row>
    <row r="539" spans="2:5" x14ac:dyDescent="0.35">
      <c r="B539"/>
      <c r="C539"/>
      <c r="D539"/>
      <c r="E539"/>
    </row>
    <row r="540" spans="2:5" x14ac:dyDescent="0.35">
      <c r="B540"/>
      <c r="C540"/>
      <c r="D540"/>
      <c r="E540"/>
    </row>
    <row r="541" spans="2:5" x14ac:dyDescent="0.35">
      <c r="B541"/>
      <c r="C541"/>
      <c r="D541"/>
      <c r="E541"/>
    </row>
    <row r="542" spans="2:5" x14ac:dyDescent="0.35">
      <c r="B542"/>
      <c r="C542"/>
      <c r="D542"/>
      <c r="E542"/>
    </row>
    <row r="543" spans="2:5" x14ac:dyDescent="0.35">
      <c r="B543"/>
      <c r="C543"/>
      <c r="D543"/>
      <c r="E543"/>
    </row>
    <row r="544" spans="2:5" x14ac:dyDescent="0.35">
      <c r="B544"/>
      <c r="C544"/>
      <c r="D544"/>
      <c r="E544"/>
    </row>
    <row r="545" spans="2:5" x14ac:dyDescent="0.35">
      <c r="B545"/>
      <c r="C545"/>
      <c r="D545"/>
      <c r="E545"/>
    </row>
    <row r="546" spans="2:5" x14ac:dyDescent="0.35">
      <c r="B546"/>
      <c r="C546"/>
      <c r="D546"/>
      <c r="E546"/>
    </row>
    <row r="547" spans="2:5" x14ac:dyDescent="0.35">
      <c r="B547"/>
      <c r="C547"/>
      <c r="D547"/>
      <c r="E547"/>
    </row>
    <row r="548" spans="2:5" x14ac:dyDescent="0.35">
      <c r="B548"/>
      <c r="C548"/>
      <c r="D548"/>
      <c r="E548"/>
    </row>
    <row r="549" spans="2:5" x14ac:dyDescent="0.35">
      <c r="B549"/>
      <c r="C549"/>
      <c r="D549"/>
      <c r="E549"/>
    </row>
    <row r="550" spans="2:5" x14ac:dyDescent="0.35">
      <c r="B550"/>
      <c r="C550"/>
      <c r="D550"/>
      <c r="E550"/>
    </row>
    <row r="551" spans="2:5" x14ac:dyDescent="0.35">
      <c r="B551"/>
      <c r="C551"/>
      <c r="D551"/>
      <c r="E551"/>
    </row>
    <row r="552" spans="2:5" x14ac:dyDescent="0.35">
      <c r="B552"/>
      <c r="C552"/>
      <c r="D552"/>
      <c r="E552"/>
    </row>
    <row r="553" spans="2:5" x14ac:dyDescent="0.35">
      <c r="B553"/>
      <c r="C553"/>
      <c r="D553"/>
      <c r="E553"/>
    </row>
    <row r="554" spans="2:5" x14ac:dyDescent="0.35">
      <c r="B554"/>
      <c r="C554"/>
      <c r="D554"/>
      <c r="E554"/>
    </row>
    <row r="555" spans="2:5" x14ac:dyDescent="0.35">
      <c r="B555"/>
      <c r="C555"/>
      <c r="D555"/>
      <c r="E555"/>
    </row>
    <row r="556" spans="2:5" x14ac:dyDescent="0.35">
      <c r="B556"/>
      <c r="C556"/>
      <c r="D556"/>
      <c r="E556"/>
    </row>
    <row r="557" spans="2:5" x14ac:dyDescent="0.35">
      <c r="B557"/>
      <c r="C557"/>
      <c r="D557"/>
      <c r="E557"/>
    </row>
    <row r="558" spans="2:5" x14ac:dyDescent="0.35">
      <c r="B558"/>
      <c r="C558"/>
      <c r="D558"/>
      <c r="E558"/>
    </row>
    <row r="559" spans="2:5" x14ac:dyDescent="0.35">
      <c r="B559"/>
      <c r="C559"/>
      <c r="D559"/>
      <c r="E559"/>
    </row>
    <row r="560" spans="2:5" x14ac:dyDescent="0.35">
      <c r="B560"/>
      <c r="C560"/>
      <c r="D560"/>
      <c r="E560"/>
    </row>
    <row r="561" spans="2:5" x14ac:dyDescent="0.35">
      <c r="B561"/>
      <c r="C561"/>
      <c r="D561"/>
      <c r="E561"/>
    </row>
    <row r="562" spans="2:5" x14ac:dyDescent="0.35">
      <c r="B562"/>
      <c r="C562"/>
      <c r="D562"/>
      <c r="E562"/>
    </row>
    <row r="563" spans="2:5" x14ac:dyDescent="0.35">
      <c r="B563"/>
      <c r="C563"/>
      <c r="D563"/>
      <c r="E563"/>
    </row>
    <row r="564" spans="2:5" x14ac:dyDescent="0.35">
      <c r="B564"/>
      <c r="C564"/>
      <c r="D564"/>
      <c r="E564"/>
    </row>
    <row r="565" spans="2:5" x14ac:dyDescent="0.35">
      <c r="B565"/>
      <c r="C565"/>
      <c r="D565"/>
      <c r="E565"/>
    </row>
    <row r="566" spans="2:5" x14ac:dyDescent="0.35">
      <c r="B566"/>
      <c r="C566"/>
      <c r="D566"/>
      <c r="E566"/>
    </row>
    <row r="567" spans="2:5" x14ac:dyDescent="0.35">
      <c r="B567"/>
      <c r="C567"/>
      <c r="D567"/>
      <c r="E567"/>
    </row>
    <row r="568" spans="2:5" x14ac:dyDescent="0.35">
      <c r="B568"/>
      <c r="C568"/>
      <c r="D568"/>
      <c r="E568"/>
    </row>
    <row r="569" spans="2:5" x14ac:dyDescent="0.35">
      <c r="B569"/>
      <c r="C569"/>
      <c r="D569"/>
      <c r="E569"/>
    </row>
    <row r="570" spans="2:5" x14ac:dyDescent="0.35">
      <c r="B570"/>
      <c r="C570"/>
      <c r="D570"/>
      <c r="E570"/>
    </row>
    <row r="571" spans="2:5" x14ac:dyDescent="0.35">
      <c r="B571"/>
      <c r="C571"/>
      <c r="D571"/>
      <c r="E571"/>
    </row>
    <row r="572" spans="2:5" x14ac:dyDescent="0.35">
      <c r="B572"/>
      <c r="C572"/>
      <c r="D572"/>
      <c r="E572"/>
    </row>
    <row r="573" spans="2:5" x14ac:dyDescent="0.35">
      <c r="B573"/>
      <c r="C573"/>
      <c r="D573"/>
      <c r="E573"/>
    </row>
    <row r="574" spans="2:5" x14ac:dyDescent="0.35">
      <c r="B574"/>
      <c r="C574"/>
      <c r="D574"/>
      <c r="E574"/>
    </row>
    <row r="575" spans="2:5" x14ac:dyDescent="0.35">
      <c r="B575"/>
      <c r="C575"/>
      <c r="D575"/>
      <c r="E575"/>
    </row>
    <row r="576" spans="2:5" x14ac:dyDescent="0.35">
      <c r="B576"/>
      <c r="C576"/>
      <c r="D576"/>
      <c r="E576"/>
    </row>
    <row r="577" spans="2:5" x14ac:dyDescent="0.35">
      <c r="B577"/>
      <c r="C577"/>
      <c r="D577"/>
      <c r="E577"/>
    </row>
    <row r="578" spans="2:5" x14ac:dyDescent="0.35">
      <c r="B578"/>
      <c r="C578"/>
      <c r="D578"/>
      <c r="E578"/>
    </row>
    <row r="579" spans="2:5" x14ac:dyDescent="0.35">
      <c r="B579"/>
      <c r="C579"/>
      <c r="D579"/>
      <c r="E579"/>
    </row>
    <row r="580" spans="2:5" x14ac:dyDescent="0.35">
      <c r="B580"/>
      <c r="C580"/>
      <c r="D580"/>
      <c r="E580"/>
    </row>
    <row r="581" spans="2:5" x14ac:dyDescent="0.35">
      <c r="B581"/>
      <c r="C581"/>
      <c r="D581"/>
      <c r="E581"/>
    </row>
    <row r="582" spans="2:5" x14ac:dyDescent="0.35">
      <c r="B582"/>
      <c r="C582"/>
      <c r="D582"/>
      <c r="E582"/>
    </row>
    <row r="583" spans="2:5" x14ac:dyDescent="0.35">
      <c r="B583"/>
      <c r="C583"/>
      <c r="D583"/>
      <c r="E583"/>
    </row>
    <row r="584" spans="2:5" x14ac:dyDescent="0.35">
      <c r="B584"/>
      <c r="C584"/>
      <c r="D584"/>
      <c r="E584"/>
    </row>
    <row r="585" spans="2:5" x14ac:dyDescent="0.35">
      <c r="B585"/>
      <c r="C585"/>
      <c r="D585"/>
      <c r="E585"/>
    </row>
    <row r="586" spans="2:5" x14ac:dyDescent="0.35">
      <c r="B586"/>
      <c r="C586"/>
      <c r="D586"/>
      <c r="E586"/>
    </row>
    <row r="587" spans="2:5" x14ac:dyDescent="0.35">
      <c r="B587"/>
      <c r="C587"/>
      <c r="D587"/>
      <c r="E587"/>
    </row>
    <row r="588" spans="2:5" x14ac:dyDescent="0.35">
      <c r="B588"/>
      <c r="C588"/>
      <c r="D588"/>
      <c r="E588"/>
    </row>
    <row r="589" spans="2:5" x14ac:dyDescent="0.35">
      <c r="B589"/>
      <c r="C589"/>
      <c r="D589"/>
      <c r="E589"/>
    </row>
    <row r="590" spans="2:5" x14ac:dyDescent="0.35">
      <c r="B590"/>
      <c r="C590"/>
      <c r="D590"/>
      <c r="E590"/>
    </row>
    <row r="591" spans="2:5" x14ac:dyDescent="0.35">
      <c r="B591"/>
      <c r="C591"/>
      <c r="D591"/>
      <c r="E591"/>
    </row>
    <row r="592" spans="2:5" x14ac:dyDescent="0.35">
      <c r="B592"/>
      <c r="C592"/>
      <c r="D592"/>
      <c r="E592"/>
    </row>
    <row r="593" spans="2:5" x14ac:dyDescent="0.35">
      <c r="B593"/>
      <c r="C593"/>
      <c r="D593"/>
      <c r="E593"/>
    </row>
    <row r="594" spans="2:5" x14ac:dyDescent="0.35">
      <c r="B594"/>
      <c r="C594"/>
      <c r="D594"/>
      <c r="E594"/>
    </row>
    <row r="595" spans="2:5" x14ac:dyDescent="0.35">
      <c r="B595"/>
      <c r="C595"/>
      <c r="D595"/>
      <c r="E595"/>
    </row>
    <row r="596" spans="2:5" x14ac:dyDescent="0.35">
      <c r="B596"/>
      <c r="C596"/>
      <c r="D596"/>
      <c r="E596"/>
    </row>
    <row r="597" spans="2:5" x14ac:dyDescent="0.35">
      <c r="B597"/>
      <c r="C597"/>
      <c r="D597"/>
      <c r="E597"/>
    </row>
    <row r="598" spans="2:5" x14ac:dyDescent="0.35">
      <c r="B598"/>
      <c r="C598"/>
      <c r="D598"/>
      <c r="E598"/>
    </row>
    <row r="599" spans="2:5" x14ac:dyDescent="0.35">
      <c r="B599"/>
      <c r="C599"/>
      <c r="D599"/>
      <c r="E599"/>
    </row>
    <row r="600" spans="2:5" x14ac:dyDescent="0.35">
      <c r="B600"/>
      <c r="C600"/>
      <c r="D600"/>
      <c r="E600"/>
    </row>
    <row r="601" spans="2:5" x14ac:dyDescent="0.35">
      <c r="B601"/>
      <c r="C601"/>
      <c r="D601"/>
      <c r="E601"/>
    </row>
    <row r="602" spans="2:5" x14ac:dyDescent="0.35">
      <c r="B602"/>
      <c r="C602"/>
      <c r="D602"/>
      <c r="E602"/>
    </row>
    <row r="603" spans="2:5" x14ac:dyDescent="0.35">
      <c r="B603"/>
      <c r="C603"/>
      <c r="D603"/>
      <c r="E603"/>
    </row>
    <row r="604" spans="2:5" x14ac:dyDescent="0.35">
      <c r="B604"/>
      <c r="C604"/>
      <c r="D604"/>
      <c r="E604"/>
    </row>
    <row r="605" spans="2:5" x14ac:dyDescent="0.35">
      <c r="B605"/>
      <c r="C605"/>
      <c r="D605"/>
      <c r="E605"/>
    </row>
    <row r="606" spans="2:5" x14ac:dyDescent="0.35">
      <c r="B606"/>
      <c r="C606"/>
      <c r="D606"/>
      <c r="E606"/>
    </row>
    <row r="607" spans="2:5" x14ac:dyDescent="0.35">
      <c r="B607"/>
      <c r="C607"/>
      <c r="D607"/>
      <c r="E607"/>
    </row>
    <row r="608" spans="2:5" x14ac:dyDescent="0.35">
      <c r="B608"/>
      <c r="C608"/>
      <c r="D608"/>
      <c r="E608"/>
    </row>
    <row r="609" spans="2:5" x14ac:dyDescent="0.35">
      <c r="B609"/>
      <c r="C609"/>
      <c r="D609"/>
      <c r="E609"/>
    </row>
    <row r="610" spans="2:5" x14ac:dyDescent="0.35">
      <c r="B610"/>
      <c r="C610"/>
      <c r="D610"/>
      <c r="E610"/>
    </row>
    <row r="611" spans="2:5" x14ac:dyDescent="0.35">
      <c r="B611"/>
      <c r="C611"/>
      <c r="D611"/>
      <c r="E611"/>
    </row>
    <row r="612" spans="2:5" x14ac:dyDescent="0.35">
      <c r="B612"/>
      <c r="C612"/>
      <c r="D612"/>
      <c r="E612"/>
    </row>
    <row r="613" spans="2:5" x14ac:dyDescent="0.35">
      <c r="B613"/>
      <c r="C613"/>
      <c r="D613"/>
      <c r="E613"/>
    </row>
    <row r="614" spans="2:5" x14ac:dyDescent="0.35">
      <c r="B614"/>
      <c r="C614"/>
      <c r="D614"/>
      <c r="E614"/>
    </row>
    <row r="615" spans="2:5" x14ac:dyDescent="0.35">
      <c r="B615"/>
      <c r="C615"/>
      <c r="D615"/>
      <c r="E615"/>
    </row>
    <row r="616" spans="2:5" x14ac:dyDescent="0.35">
      <c r="B616"/>
      <c r="C616"/>
      <c r="D616"/>
      <c r="E616"/>
    </row>
    <row r="617" spans="2:5" x14ac:dyDescent="0.35">
      <c r="B617"/>
      <c r="C617"/>
      <c r="D617"/>
      <c r="E617"/>
    </row>
    <row r="618" spans="2:5" x14ac:dyDescent="0.35">
      <c r="B618"/>
      <c r="C618"/>
      <c r="D618"/>
      <c r="E618"/>
    </row>
    <row r="619" spans="2:5" x14ac:dyDescent="0.35">
      <c r="B619"/>
      <c r="C619"/>
      <c r="D619"/>
      <c r="E619"/>
    </row>
    <row r="620" spans="2:5" x14ac:dyDescent="0.35">
      <c r="B620"/>
      <c r="C620"/>
      <c r="D620"/>
      <c r="E620"/>
    </row>
    <row r="621" spans="2:5" x14ac:dyDescent="0.35">
      <c r="B621"/>
      <c r="C621"/>
      <c r="D621"/>
      <c r="E621"/>
    </row>
    <row r="622" spans="2:5" x14ac:dyDescent="0.35">
      <c r="B622"/>
      <c r="C622"/>
      <c r="D622"/>
      <c r="E622"/>
    </row>
    <row r="623" spans="2:5" x14ac:dyDescent="0.35">
      <c r="B623"/>
      <c r="C623"/>
      <c r="D623"/>
      <c r="E623"/>
    </row>
    <row r="624" spans="2:5" x14ac:dyDescent="0.35">
      <c r="B624"/>
      <c r="C624"/>
      <c r="D624"/>
      <c r="E624"/>
    </row>
    <row r="625" spans="2:5" x14ac:dyDescent="0.35">
      <c r="B625"/>
      <c r="C625"/>
      <c r="D625"/>
      <c r="E625"/>
    </row>
    <row r="626" spans="2:5" x14ac:dyDescent="0.35">
      <c r="B626"/>
      <c r="C626"/>
      <c r="D626"/>
      <c r="E626"/>
    </row>
    <row r="627" spans="2:5" x14ac:dyDescent="0.35">
      <c r="B627"/>
      <c r="C627"/>
      <c r="D627"/>
      <c r="E627"/>
    </row>
    <row r="628" spans="2:5" x14ac:dyDescent="0.35">
      <c r="B628"/>
      <c r="C628"/>
      <c r="D628"/>
      <c r="E628"/>
    </row>
    <row r="629" spans="2:5" x14ac:dyDescent="0.35">
      <c r="B629"/>
      <c r="C629"/>
      <c r="D629"/>
      <c r="E629"/>
    </row>
    <row r="630" spans="2:5" x14ac:dyDescent="0.35">
      <c r="B630"/>
      <c r="C630"/>
      <c r="D630"/>
      <c r="E630"/>
    </row>
    <row r="631" spans="2:5" x14ac:dyDescent="0.35">
      <c r="B631"/>
      <c r="C631"/>
      <c r="D631"/>
      <c r="E631"/>
    </row>
    <row r="632" spans="2:5" x14ac:dyDescent="0.35">
      <c r="B632"/>
      <c r="C632"/>
      <c r="D632"/>
      <c r="E632"/>
    </row>
    <row r="633" spans="2:5" x14ac:dyDescent="0.35">
      <c r="B633"/>
      <c r="C633"/>
      <c r="D633"/>
      <c r="E633"/>
    </row>
    <row r="634" spans="2:5" x14ac:dyDescent="0.35">
      <c r="B634"/>
      <c r="C634"/>
      <c r="D634"/>
      <c r="E634"/>
    </row>
    <row r="635" spans="2:5" x14ac:dyDescent="0.35">
      <c r="B635"/>
      <c r="C635"/>
      <c r="D635"/>
      <c r="E635"/>
    </row>
    <row r="636" spans="2:5" x14ac:dyDescent="0.35">
      <c r="B636"/>
      <c r="C636"/>
      <c r="D636"/>
      <c r="E636"/>
    </row>
    <row r="637" spans="2:5" x14ac:dyDescent="0.35">
      <c r="B637"/>
      <c r="C637"/>
      <c r="D637"/>
      <c r="E637"/>
    </row>
    <row r="638" spans="2:5" x14ac:dyDescent="0.35">
      <c r="B638"/>
      <c r="C638"/>
      <c r="D638"/>
      <c r="E638"/>
    </row>
    <row r="639" spans="2:5" x14ac:dyDescent="0.35">
      <c r="B639"/>
      <c r="C639"/>
      <c r="D639"/>
      <c r="E639"/>
    </row>
    <row r="640" spans="2:5" x14ac:dyDescent="0.35">
      <c r="B640"/>
      <c r="C640"/>
      <c r="D640"/>
      <c r="E640"/>
    </row>
    <row r="641" spans="2:5" x14ac:dyDescent="0.35">
      <c r="B641"/>
      <c r="C641"/>
      <c r="D641"/>
      <c r="E641"/>
    </row>
    <row r="642" spans="2:5" x14ac:dyDescent="0.35">
      <c r="B642"/>
      <c r="C642"/>
      <c r="D642"/>
      <c r="E642"/>
    </row>
    <row r="643" spans="2:5" x14ac:dyDescent="0.35">
      <c r="B643"/>
      <c r="C643"/>
      <c r="D643"/>
      <c r="E643"/>
    </row>
    <row r="644" spans="2:5" x14ac:dyDescent="0.35">
      <c r="B644"/>
      <c r="C644"/>
      <c r="D644"/>
      <c r="E644"/>
    </row>
    <row r="645" spans="2:5" x14ac:dyDescent="0.35">
      <c r="B645"/>
      <c r="C645"/>
      <c r="D645"/>
      <c r="E645"/>
    </row>
    <row r="646" spans="2:5" x14ac:dyDescent="0.35">
      <c r="B646"/>
      <c r="C646"/>
      <c r="D646"/>
      <c r="E646"/>
    </row>
    <row r="647" spans="2:5" x14ac:dyDescent="0.35">
      <c r="B647"/>
      <c r="C647"/>
      <c r="D647"/>
      <c r="E647"/>
    </row>
    <row r="648" spans="2:5" x14ac:dyDescent="0.35">
      <c r="B648"/>
      <c r="C648"/>
      <c r="D648"/>
      <c r="E648"/>
    </row>
    <row r="649" spans="2:5" x14ac:dyDescent="0.35">
      <c r="B649"/>
      <c r="C649"/>
      <c r="D649"/>
      <c r="E649"/>
    </row>
    <row r="650" spans="2:5" x14ac:dyDescent="0.35">
      <c r="B650"/>
      <c r="C650"/>
      <c r="D650"/>
      <c r="E650"/>
    </row>
    <row r="651" spans="2:5" x14ac:dyDescent="0.35">
      <c r="B651"/>
      <c r="C651"/>
      <c r="D651"/>
      <c r="E651"/>
    </row>
    <row r="652" spans="2:5" x14ac:dyDescent="0.35">
      <c r="B652"/>
      <c r="C652"/>
      <c r="D652"/>
      <c r="E652"/>
    </row>
    <row r="653" spans="2:5" x14ac:dyDescent="0.35">
      <c r="B653"/>
      <c r="C653"/>
      <c r="D653"/>
      <c r="E653"/>
    </row>
    <row r="654" spans="2:5" x14ac:dyDescent="0.35">
      <c r="B654"/>
      <c r="C654"/>
      <c r="D654"/>
      <c r="E654"/>
    </row>
    <row r="655" spans="2:5" x14ac:dyDescent="0.35">
      <c r="B655"/>
      <c r="C655"/>
      <c r="D655"/>
      <c r="E655"/>
    </row>
    <row r="656" spans="2:5" x14ac:dyDescent="0.35">
      <c r="B656"/>
      <c r="C656"/>
      <c r="D656"/>
      <c r="E656"/>
    </row>
    <row r="657" spans="2:5" x14ac:dyDescent="0.35">
      <c r="B657"/>
      <c r="C657"/>
      <c r="D657"/>
      <c r="E657"/>
    </row>
    <row r="658" spans="2:5" x14ac:dyDescent="0.35">
      <c r="B658"/>
      <c r="C658"/>
      <c r="D658"/>
      <c r="E658"/>
    </row>
    <row r="659" spans="2:5" x14ac:dyDescent="0.35">
      <c r="B659"/>
      <c r="C659"/>
      <c r="D659"/>
      <c r="E659"/>
    </row>
    <row r="660" spans="2:5" x14ac:dyDescent="0.35">
      <c r="B660"/>
      <c r="C660"/>
      <c r="D660"/>
      <c r="E660"/>
    </row>
    <row r="661" spans="2:5" x14ac:dyDescent="0.35">
      <c r="B661"/>
      <c r="C661"/>
      <c r="D661"/>
      <c r="E661"/>
    </row>
    <row r="662" spans="2:5" x14ac:dyDescent="0.35">
      <c r="B662"/>
      <c r="C662"/>
      <c r="D662"/>
      <c r="E662"/>
    </row>
    <row r="663" spans="2:5" x14ac:dyDescent="0.35">
      <c r="B663"/>
      <c r="C663"/>
      <c r="D663"/>
      <c r="E663"/>
    </row>
    <row r="664" spans="2:5" x14ac:dyDescent="0.35">
      <c r="B664"/>
      <c r="C664"/>
      <c r="D664"/>
      <c r="E664"/>
    </row>
    <row r="665" spans="2:5" x14ac:dyDescent="0.35">
      <c r="B665"/>
      <c r="C665"/>
      <c r="D665"/>
      <c r="E665"/>
    </row>
    <row r="666" spans="2:5" x14ac:dyDescent="0.35">
      <c r="B666"/>
      <c r="C666"/>
      <c r="D666"/>
      <c r="E666"/>
    </row>
    <row r="667" spans="2:5" x14ac:dyDescent="0.35">
      <c r="B667"/>
      <c r="C667"/>
      <c r="D667"/>
      <c r="E667"/>
    </row>
    <row r="668" spans="2:5" x14ac:dyDescent="0.35">
      <c r="B668"/>
      <c r="C668"/>
      <c r="D668"/>
      <c r="E668"/>
    </row>
    <row r="669" spans="2:5" x14ac:dyDescent="0.35">
      <c r="B669"/>
      <c r="C669"/>
      <c r="D669"/>
      <c r="E669"/>
    </row>
    <row r="670" spans="2:5" x14ac:dyDescent="0.35">
      <c r="B670"/>
      <c r="C670"/>
      <c r="D670"/>
      <c r="E670"/>
    </row>
    <row r="671" spans="2:5" x14ac:dyDescent="0.35">
      <c r="B671"/>
      <c r="C671"/>
      <c r="D671"/>
      <c r="E671"/>
    </row>
    <row r="672" spans="2:5" x14ac:dyDescent="0.35">
      <c r="B672"/>
      <c r="C672"/>
      <c r="D672"/>
      <c r="E672"/>
    </row>
    <row r="673" spans="2:5" x14ac:dyDescent="0.35">
      <c r="B673"/>
      <c r="C673"/>
      <c r="D673"/>
      <c r="E673"/>
    </row>
    <row r="674" spans="2:5" x14ac:dyDescent="0.35">
      <c r="B674"/>
      <c r="C674"/>
      <c r="D674"/>
      <c r="E674"/>
    </row>
    <row r="675" spans="2:5" x14ac:dyDescent="0.35">
      <c r="B675"/>
      <c r="C675"/>
      <c r="D675"/>
      <c r="E675"/>
    </row>
    <row r="676" spans="2:5" x14ac:dyDescent="0.35">
      <c r="B676"/>
      <c r="C676"/>
      <c r="D676"/>
      <c r="E676"/>
    </row>
    <row r="677" spans="2:5" x14ac:dyDescent="0.35">
      <c r="B677"/>
      <c r="C677"/>
      <c r="D677"/>
      <c r="E677"/>
    </row>
    <row r="678" spans="2:5" x14ac:dyDescent="0.35">
      <c r="B678"/>
      <c r="C678"/>
      <c r="D678"/>
      <c r="E678"/>
    </row>
    <row r="679" spans="2:5" x14ac:dyDescent="0.35">
      <c r="B679"/>
      <c r="C679"/>
      <c r="D679"/>
      <c r="E679"/>
    </row>
    <row r="680" spans="2:5" x14ac:dyDescent="0.35">
      <c r="B680"/>
      <c r="C680"/>
      <c r="D680"/>
      <c r="E680"/>
    </row>
    <row r="681" spans="2:5" x14ac:dyDescent="0.35">
      <c r="B681"/>
      <c r="C681"/>
      <c r="D681"/>
      <c r="E681"/>
    </row>
    <row r="682" spans="2:5" x14ac:dyDescent="0.35">
      <c r="B682"/>
      <c r="C682"/>
      <c r="D682"/>
      <c r="E682"/>
    </row>
    <row r="683" spans="2:5" x14ac:dyDescent="0.35">
      <c r="B683"/>
      <c r="C683"/>
      <c r="D683"/>
      <c r="E683"/>
    </row>
    <row r="684" spans="2:5" x14ac:dyDescent="0.35">
      <c r="B684"/>
      <c r="C684"/>
      <c r="D684"/>
      <c r="E684"/>
    </row>
    <row r="685" spans="2:5" x14ac:dyDescent="0.35">
      <c r="B685"/>
      <c r="C685"/>
      <c r="D685"/>
      <c r="E685"/>
    </row>
    <row r="686" spans="2:5" x14ac:dyDescent="0.35">
      <c r="B686"/>
      <c r="C686"/>
      <c r="D686"/>
      <c r="E686"/>
    </row>
    <row r="687" spans="2:5" x14ac:dyDescent="0.35">
      <c r="B687"/>
      <c r="C687"/>
      <c r="D687"/>
      <c r="E687"/>
    </row>
    <row r="688" spans="2:5" x14ac:dyDescent="0.35">
      <c r="B688"/>
      <c r="C688"/>
      <c r="D688"/>
      <c r="E688"/>
    </row>
    <row r="689" spans="2:5" x14ac:dyDescent="0.35">
      <c r="B689"/>
      <c r="C689"/>
      <c r="D689"/>
      <c r="E689"/>
    </row>
    <row r="690" spans="2:5" x14ac:dyDescent="0.35">
      <c r="B690"/>
      <c r="C690"/>
      <c r="D690"/>
      <c r="E690"/>
    </row>
    <row r="691" spans="2:5" x14ac:dyDescent="0.35">
      <c r="B691"/>
      <c r="C691"/>
      <c r="D691"/>
      <c r="E691"/>
    </row>
    <row r="692" spans="2:5" x14ac:dyDescent="0.35">
      <c r="B692"/>
      <c r="C692"/>
      <c r="D692"/>
      <c r="E692"/>
    </row>
    <row r="693" spans="2:5" x14ac:dyDescent="0.35">
      <c r="B693"/>
      <c r="C693"/>
      <c r="D693"/>
      <c r="E693"/>
    </row>
    <row r="694" spans="2:5" x14ac:dyDescent="0.35">
      <c r="B694"/>
      <c r="C694"/>
      <c r="D694"/>
      <c r="E694"/>
    </row>
    <row r="695" spans="2:5" x14ac:dyDescent="0.35">
      <c r="B695"/>
      <c r="C695"/>
      <c r="D695"/>
      <c r="E695"/>
    </row>
    <row r="696" spans="2:5" x14ac:dyDescent="0.35">
      <c r="B696"/>
      <c r="C696"/>
      <c r="D696"/>
      <c r="E696"/>
    </row>
    <row r="697" spans="2:5" x14ac:dyDescent="0.35">
      <c r="B697"/>
      <c r="C697"/>
      <c r="D697"/>
      <c r="E697"/>
    </row>
    <row r="698" spans="2:5" x14ac:dyDescent="0.35">
      <c r="B698"/>
      <c r="C698"/>
      <c r="D698"/>
      <c r="E698"/>
    </row>
    <row r="699" spans="2:5" x14ac:dyDescent="0.35">
      <c r="B699"/>
      <c r="C699"/>
      <c r="D699"/>
      <c r="E699"/>
    </row>
    <row r="700" spans="2:5" x14ac:dyDescent="0.35">
      <c r="B700"/>
      <c r="C700"/>
      <c r="D700"/>
      <c r="E700"/>
    </row>
    <row r="701" spans="2:5" x14ac:dyDescent="0.35">
      <c r="B701"/>
      <c r="C701"/>
      <c r="D701"/>
      <c r="E701"/>
    </row>
    <row r="702" spans="2:5" x14ac:dyDescent="0.35">
      <c r="B702"/>
      <c r="C702"/>
      <c r="D702"/>
      <c r="E702"/>
    </row>
    <row r="703" spans="2:5" x14ac:dyDescent="0.35">
      <c r="B703"/>
      <c r="C703"/>
      <c r="D703"/>
      <c r="E703"/>
    </row>
    <row r="704" spans="2:5" x14ac:dyDescent="0.35">
      <c r="B704"/>
      <c r="C704"/>
      <c r="D704"/>
      <c r="E704"/>
    </row>
    <row r="705" spans="2:5" x14ac:dyDescent="0.35">
      <c r="B705"/>
      <c r="C705"/>
      <c r="D705"/>
      <c r="E705"/>
    </row>
    <row r="706" spans="2:5" x14ac:dyDescent="0.35">
      <c r="B706"/>
      <c r="C706"/>
      <c r="D706"/>
      <c r="E706"/>
    </row>
    <row r="707" spans="2:5" x14ac:dyDescent="0.35">
      <c r="B707"/>
      <c r="C707"/>
      <c r="D707"/>
      <c r="E707"/>
    </row>
    <row r="708" spans="2:5" x14ac:dyDescent="0.35">
      <c r="B708"/>
      <c r="C708"/>
      <c r="D708"/>
      <c r="E708"/>
    </row>
    <row r="709" spans="2:5" x14ac:dyDescent="0.35">
      <c r="B709"/>
      <c r="C709"/>
      <c r="D709"/>
      <c r="E709"/>
    </row>
    <row r="710" spans="2:5" x14ac:dyDescent="0.35">
      <c r="B710"/>
      <c r="C710"/>
      <c r="D710"/>
      <c r="E710"/>
    </row>
    <row r="711" spans="2:5" x14ac:dyDescent="0.35">
      <c r="B711"/>
      <c r="C711"/>
      <c r="D711"/>
      <c r="E711"/>
    </row>
    <row r="712" spans="2:5" x14ac:dyDescent="0.35">
      <c r="B712"/>
      <c r="C712"/>
      <c r="D712"/>
      <c r="E712"/>
    </row>
    <row r="713" spans="2:5" x14ac:dyDescent="0.35">
      <c r="B713"/>
      <c r="C713"/>
      <c r="D713"/>
      <c r="E713"/>
    </row>
    <row r="714" spans="2:5" x14ac:dyDescent="0.35">
      <c r="B714"/>
      <c r="C714"/>
      <c r="D714"/>
      <c r="E714"/>
    </row>
    <row r="715" spans="2:5" x14ac:dyDescent="0.35">
      <c r="B715"/>
      <c r="C715"/>
      <c r="D715"/>
      <c r="E715"/>
    </row>
    <row r="716" spans="2:5" x14ac:dyDescent="0.35">
      <c r="B716"/>
      <c r="C716"/>
      <c r="D716"/>
      <c r="E716"/>
    </row>
    <row r="717" spans="2:5" x14ac:dyDescent="0.35">
      <c r="B717"/>
      <c r="C717"/>
      <c r="D717"/>
      <c r="E717"/>
    </row>
    <row r="718" spans="2:5" x14ac:dyDescent="0.35">
      <c r="B718"/>
      <c r="C718"/>
      <c r="D718"/>
      <c r="E718"/>
    </row>
    <row r="719" spans="2:5" x14ac:dyDescent="0.35">
      <c r="B719"/>
      <c r="C719"/>
      <c r="D719"/>
      <c r="E719"/>
    </row>
    <row r="720" spans="2:5" x14ac:dyDescent="0.35">
      <c r="B720"/>
      <c r="C720"/>
      <c r="D720"/>
      <c r="E720"/>
    </row>
    <row r="721" spans="2:5" x14ac:dyDescent="0.35">
      <c r="B721"/>
      <c r="C721"/>
      <c r="D721"/>
      <c r="E721"/>
    </row>
    <row r="722" spans="2:5" x14ac:dyDescent="0.35">
      <c r="B722"/>
      <c r="C722"/>
      <c r="D722"/>
      <c r="E722"/>
    </row>
    <row r="723" spans="2:5" x14ac:dyDescent="0.35">
      <c r="B723"/>
      <c r="C723"/>
      <c r="D723"/>
      <c r="E723"/>
    </row>
    <row r="724" spans="2:5" x14ac:dyDescent="0.35">
      <c r="B724"/>
      <c r="C724"/>
      <c r="D724"/>
      <c r="E724"/>
    </row>
    <row r="725" spans="2:5" x14ac:dyDescent="0.35">
      <c r="B725"/>
      <c r="C725"/>
      <c r="D725"/>
      <c r="E725"/>
    </row>
    <row r="726" spans="2:5" x14ac:dyDescent="0.35">
      <c r="B726"/>
      <c r="C726"/>
      <c r="D726"/>
      <c r="E726"/>
    </row>
    <row r="727" spans="2:5" x14ac:dyDescent="0.35">
      <c r="B727"/>
      <c r="C727"/>
      <c r="D727"/>
      <c r="E727"/>
    </row>
    <row r="728" spans="2:5" x14ac:dyDescent="0.35">
      <c r="B728"/>
      <c r="C728"/>
      <c r="D728"/>
      <c r="E728"/>
    </row>
    <row r="729" spans="2:5" x14ac:dyDescent="0.35">
      <c r="B729"/>
      <c r="C729"/>
      <c r="D729"/>
      <c r="E729"/>
    </row>
    <row r="730" spans="2:5" x14ac:dyDescent="0.35">
      <c r="B730"/>
      <c r="C730"/>
      <c r="D730"/>
      <c r="E730"/>
    </row>
    <row r="731" spans="2:5" x14ac:dyDescent="0.35">
      <c r="B731"/>
      <c r="C731"/>
      <c r="D731"/>
      <c r="E731"/>
    </row>
    <row r="732" spans="2:5" x14ac:dyDescent="0.35">
      <c r="B732"/>
      <c r="C732"/>
      <c r="D732"/>
      <c r="E732"/>
    </row>
    <row r="733" spans="2:5" x14ac:dyDescent="0.35">
      <c r="B733"/>
      <c r="C733"/>
      <c r="D733"/>
      <c r="E733"/>
    </row>
    <row r="734" spans="2:5" x14ac:dyDescent="0.35">
      <c r="B734"/>
      <c r="C734"/>
      <c r="D734"/>
      <c r="E734"/>
    </row>
    <row r="735" spans="2:5" x14ac:dyDescent="0.35">
      <c r="B735"/>
      <c r="C735"/>
      <c r="D735"/>
      <c r="E735"/>
    </row>
    <row r="736" spans="2:5" x14ac:dyDescent="0.35">
      <c r="B736"/>
      <c r="C736"/>
      <c r="D736"/>
      <c r="E736"/>
    </row>
    <row r="737" spans="2:5" x14ac:dyDescent="0.35">
      <c r="B737"/>
      <c r="C737"/>
      <c r="D737"/>
      <c r="E737"/>
    </row>
    <row r="738" spans="2:5" x14ac:dyDescent="0.35">
      <c r="B738"/>
      <c r="C738"/>
      <c r="D738"/>
      <c r="E738"/>
    </row>
    <row r="739" spans="2:5" x14ac:dyDescent="0.35">
      <c r="B739"/>
      <c r="C739"/>
      <c r="D739"/>
      <c r="E739"/>
    </row>
    <row r="740" spans="2:5" x14ac:dyDescent="0.35">
      <c r="B740"/>
      <c r="C740"/>
      <c r="D740"/>
      <c r="E740"/>
    </row>
    <row r="741" spans="2:5" x14ac:dyDescent="0.35">
      <c r="B741"/>
      <c r="C741"/>
      <c r="D741"/>
      <c r="E741"/>
    </row>
    <row r="742" spans="2:5" x14ac:dyDescent="0.35">
      <c r="B742"/>
      <c r="C742"/>
      <c r="D742"/>
      <c r="E742"/>
    </row>
    <row r="743" spans="2:5" x14ac:dyDescent="0.35">
      <c r="B743"/>
      <c r="C743"/>
      <c r="D743"/>
      <c r="E743"/>
    </row>
    <row r="744" spans="2:5" x14ac:dyDescent="0.35">
      <c r="B744"/>
      <c r="C744"/>
      <c r="D744"/>
      <c r="E744"/>
    </row>
    <row r="745" spans="2:5" x14ac:dyDescent="0.35">
      <c r="B745"/>
      <c r="C745"/>
      <c r="D745"/>
      <c r="E745"/>
    </row>
    <row r="746" spans="2:5" x14ac:dyDescent="0.35">
      <c r="B746"/>
      <c r="C746"/>
      <c r="D746"/>
      <c r="E746"/>
    </row>
    <row r="747" spans="2:5" x14ac:dyDescent="0.35">
      <c r="B747"/>
      <c r="C747"/>
      <c r="D747"/>
      <c r="E747"/>
    </row>
    <row r="748" spans="2:5" x14ac:dyDescent="0.35">
      <c r="B748"/>
      <c r="C748"/>
      <c r="D748"/>
      <c r="E748"/>
    </row>
    <row r="749" spans="2:5" x14ac:dyDescent="0.35">
      <c r="B749"/>
      <c r="C749"/>
      <c r="D749"/>
      <c r="E749"/>
    </row>
    <row r="750" spans="2:5" x14ac:dyDescent="0.35">
      <c r="B750"/>
      <c r="C750"/>
      <c r="D750"/>
      <c r="E750"/>
    </row>
    <row r="751" spans="2:5" x14ac:dyDescent="0.35">
      <c r="B751"/>
      <c r="C751"/>
      <c r="D751"/>
      <c r="E751"/>
    </row>
    <row r="752" spans="2:5" x14ac:dyDescent="0.35">
      <c r="B752"/>
      <c r="C752"/>
      <c r="D752"/>
      <c r="E752"/>
    </row>
    <row r="753" spans="2:5" x14ac:dyDescent="0.35">
      <c r="B753"/>
      <c r="C753"/>
      <c r="D753"/>
      <c r="E753"/>
    </row>
    <row r="754" spans="2:5" x14ac:dyDescent="0.35">
      <c r="B754"/>
      <c r="C754"/>
      <c r="D754"/>
      <c r="E754"/>
    </row>
    <row r="755" spans="2:5" x14ac:dyDescent="0.35">
      <c r="B755"/>
      <c r="C755"/>
      <c r="D755"/>
      <c r="E755"/>
    </row>
    <row r="756" spans="2:5" x14ac:dyDescent="0.35">
      <c r="B756"/>
      <c r="C756"/>
      <c r="D756"/>
      <c r="E756"/>
    </row>
    <row r="757" spans="2:5" x14ac:dyDescent="0.35">
      <c r="B757"/>
      <c r="C757"/>
      <c r="D757"/>
      <c r="E757"/>
    </row>
    <row r="758" spans="2:5" x14ac:dyDescent="0.35">
      <c r="B758"/>
      <c r="C758"/>
      <c r="D758"/>
      <c r="E758"/>
    </row>
    <row r="759" spans="2:5" x14ac:dyDescent="0.35">
      <c r="B759"/>
      <c r="C759"/>
      <c r="D759"/>
      <c r="E759"/>
    </row>
    <row r="760" spans="2:5" x14ac:dyDescent="0.35">
      <c r="B760"/>
      <c r="C760"/>
      <c r="D760"/>
      <c r="E760"/>
    </row>
    <row r="761" spans="2:5" x14ac:dyDescent="0.35">
      <c r="B761"/>
      <c r="C761"/>
      <c r="D761"/>
      <c r="E761"/>
    </row>
    <row r="762" spans="2:5" x14ac:dyDescent="0.35">
      <c r="B762"/>
      <c r="C762"/>
      <c r="D762"/>
      <c r="E762"/>
    </row>
    <row r="763" spans="2:5" x14ac:dyDescent="0.35">
      <c r="B763"/>
      <c r="C763"/>
      <c r="D763"/>
      <c r="E763"/>
    </row>
    <row r="764" spans="2:5" x14ac:dyDescent="0.35">
      <c r="B764"/>
      <c r="C764"/>
      <c r="D764"/>
      <c r="E764"/>
    </row>
    <row r="765" spans="2:5" x14ac:dyDescent="0.35">
      <c r="B765"/>
      <c r="C765"/>
      <c r="D765"/>
      <c r="E765"/>
    </row>
    <row r="766" spans="2:5" x14ac:dyDescent="0.35">
      <c r="B766"/>
      <c r="C766"/>
      <c r="D766"/>
      <c r="E766"/>
    </row>
    <row r="767" spans="2:5" x14ac:dyDescent="0.35">
      <c r="B767"/>
      <c r="C767"/>
      <c r="D767"/>
      <c r="E767"/>
    </row>
    <row r="768" spans="2:5" x14ac:dyDescent="0.35">
      <c r="B768"/>
      <c r="C768"/>
      <c r="D768"/>
      <c r="E768"/>
    </row>
    <row r="769" spans="2:5" x14ac:dyDescent="0.35">
      <c r="B769"/>
      <c r="C769"/>
      <c r="D769"/>
      <c r="E769"/>
    </row>
    <row r="770" spans="2:5" x14ac:dyDescent="0.35">
      <c r="B770"/>
      <c r="C770"/>
      <c r="D770"/>
      <c r="E770"/>
    </row>
    <row r="771" spans="2:5" x14ac:dyDescent="0.35">
      <c r="B771"/>
      <c r="C771"/>
      <c r="D771"/>
      <c r="E771"/>
    </row>
    <row r="772" spans="2:5" x14ac:dyDescent="0.35">
      <c r="B772"/>
      <c r="C772"/>
      <c r="D772"/>
      <c r="E772"/>
    </row>
    <row r="773" spans="2:5" x14ac:dyDescent="0.35">
      <c r="B773"/>
      <c r="C773"/>
      <c r="D773"/>
      <c r="E773"/>
    </row>
    <row r="774" spans="2:5" x14ac:dyDescent="0.35">
      <c r="B774"/>
      <c r="C774"/>
      <c r="D774"/>
      <c r="E774"/>
    </row>
    <row r="775" spans="2:5" x14ac:dyDescent="0.35">
      <c r="B775"/>
      <c r="C775"/>
      <c r="D775"/>
      <c r="E775"/>
    </row>
    <row r="776" spans="2:5" x14ac:dyDescent="0.35">
      <c r="B776"/>
      <c r="C776"/>
      <c r="D776"/>
      <c r="E776"/>
    </row>
    <row r="777" spans="2:5" x14ac:dyDescent="0.35">
      <c r="B777"/>
      <c r="C777"/>
      <c r="D777"/>
      <c r="E777"/>
    </row>
    <row r="778" spans="2:5" x14ac:dyDescent="0.35">
      <c r="B778"/>
      <c r="C778"/>
      <c r="D778"/>
      <c r="E778"/>
    </row>
    <row r="779" spans="2:5" x14ac:dyDescent="0.35">
      <c r="B779"/>
      <c r="C779"/>
      <c r="D779"/>
      <c r="E779"/>
    </row>
    <row r="780" spans="2:5" x14ac:dyDescent="0.35">
      <c r="B780"/>
      <c r="C780"/>
      <c r="D780"/>
      <c r="E780"/>
    </row>
    <row r="781" spans="2:5" x14ac:dyDescent="0.35">
      <c r="B781"/>
      <c r="C781"/>
      <c r="D781"/>
      <c r="E781"/>
    </row>
    <row r="782" spans="2:5" x14ac:dyDescent="0.35">
      <c r="B782"/>
      <c r="C782"/>
      <c r="D782"/>
      <c r="E782"/>
    </row>
    <row r="783" spans="2:5" x14ac:dyDescent="0.35">
      <c r="B783"/>
      <c r="C783"/>
      <c r="D783"/>
      <c r="E783"/>
    </row>
    <row r="784" spans="2:5" x14ac:dyDescent="0.35">
      <c r="B784"/>
      <c r="C784"/>
      <c r="D784"/>
      <c r="E784"/>
    </row>
    <row r="785" spans="2:5" x14ac:dyDescent="0.35">
      <c r="B785"/>
      <c r="C785"/>
      <c r="D785"/>
      <c r="E785"/>
    </row>
    <row r="786" spans="2:5" x14ac:dyDescent="0.35">
      <c r="B786"/>
      <c r="C786"/>
      <c r="D786"/>
      <c r="E786"/>
    </row>
    <row r="787" spans="2:5" x14ac:dyDescent="0.35">
      <c r="B787"/>
      <c r="C787"/>
      <c r="D787"/>
      <c r="E787"/>
    </row>
    <row r="788" spans="2:5" x14ac:dyDescent="0.35">
      <c r="B788"/>
      <c r="C788"/>
      <c r="D788"/>
      <c r="E788"/>
    </row>
    <row r="789" spans="2:5" x14ac:dyDescent="0.35">
      <c r="B789"/>
      <c r="C789"/>
      <c r="D789"/>
      <c r="E789"/>
    </row>
    <row r="790" spans="2:5" x14ac:dyDescent="0.35">
      <c r="B790"/>
      <c r="C790"/>
      <c r="D790"/>
      <c r="E790"/>
    </row>
    <row r="791" spans="2:5" x14ac:dyDescent="0.35">
      <c r="B791"/>
      <c r="C791"/>
      <c r="D791"/>
      <c r="E791"/>
    </row>
    <row r="792" spans="2:5" x14ac:dyDescent="0.35">
      <c r="B792"/>
      <c r="C792"/>
      <c r="D792"/>
      <c r="E792"/>
    </row>
    <row r="793" spans="2:5" x14ac:dyDescent="0.35">
      <c r="B793"/>
      <c r="C793"/>
      <c r="D793"/>
      <c r="E793"/>
    </row>
    <row r="794" spans="2:5" x14ac:dyDescent="0.35">
      <c r="B794"/>
      <c r="C794"/>
      <c r="D794"/>
      <c r="E794"/>
    </row>
    <row r="795" spans="2:5" x14ac:dyDescent="0.35">
      <c r="B795"/>
      <c r="C795"/>
      <c r="D795"/>
      <c r="E795"/>
    </row>
    <row r="796" spans="2:5" x14ac:dyDescent="0.35">
      <c r="B796"/>
      <c r="C796"/>
      <c r="D796"/>
      <c r="E796"/>
    </row>
    <row r="797" spans="2:5" x14ac:dyDescent="0.35">
      <c r="B797"/>
      <c r="C797"/>
      <c r="D797"/>
      <c r="E797"/>
    </row>
    <row r="798" spans="2:5" x14ac:dyDescent="0.35">
      <c r="B798"/>
      <c r="C798"/>
      <c r="D798"/>
      <c r="E798"/>
    </row>
    <row r="799" spans="2:5" x14ac:dyDescent="0.35">
      <c r="B799"/>
      <c r="C799"/>
      <c r="D799"/>
      <c r="E799"/>
    </row>
    <row r="800" spans="2:5" x14ac:dyDescent="0.35">
      <c r="B800"/>
      <c r="C800"/>
      <c r="D800"/>
      <c r="E800"/>
    </row>
    <row r="801" spans="2:5" x14ac:dyDescent="0.35">
      <c r="B801"/>
      <c r="C801"/>
      <c r="D801"/>
      <c r="E801"/>
    </row>
    <row r="802" spans="2:5" x14ac:dyDescent="0.35">
      <c r="B802"/>
      <c r="C802"/>
      <c r="D802"/>
      <c r="E802"/>
    </row>
    <row r="803" spans="2:5" x14ac:dyDescent="0.35">
      <c r="B803"/>
      <c r="C803"/>
      <c r="D803"/>
      <c r="E803"/>
    </row>
    <row r="804" spans="2:5" x14ac:dyDescent="0.35">
      <c r="B804"/>
      <c r="C804"/>
      <c r="D804"/>
      <c r="E804"/>
    </row>
    <row r="805" spans="2:5" x14ac:dyDescent="0.35">
      <c r="B805"/>
      <c r="C805"/>
      <c r="D805"/>
      <c r="E805"/>
    </row>
    <row r="806" spans="2:5" x14ac:dyDescent="0.35">
      <c r="B806"/>
      <c r="C806"/>
      <c r="D806"/>
      <c r="E806"/>
    </row>
    <row r="807" spans="2:5" x14ac:dyDescent="0.35">
      <c r="B807"/>
      <c r="C807"/>
      <c r="D807"/>
      <c r="E807"/>
    </row>
    <row r="808" spans="2:5" x14ac:dyDescent="0.35">
      <c r="B808"/>
      <c r="C808"/>
      <c r="D808"/>
      <c r="E808"/>
    </row>
    <row r="809" spans="2:5" x14ac:dyDescent="0.35">
      <c r="B809"/>
      <c r="C809"/>
      <c r="D809"/>
      <c r="E809"/>
    </row>
    <row r="810" spans="2:5" x14ac:dyDescent="0.35">
      <c r="B810"/>
      <c r="C810"/>
      <c r="D810"/>
      <c r="E810"/>
    </row>
    <row r="811" spans="2:5" x14ac:dyDescent="0.35">
      <c r="B811"/>
      <c r="C811"/>
      <c r="D811"/>
      <c r="E811"/>
    </row>
    <row r="812" spans="2:5" x14ac:dyDescent="0.35">
      <c r="B812"/>
      <c r="C812"/>
      <c r="D812"/>
      <c r="E812"/>
    </row>
    <row r="813" spans="2:5" x14ac:dyDescent="0.35">
      <c r="B813"/>
      <c r="C813"/>
      <c r="D813"/>
      <c r="E813"/>
    </row>
    <row r="814" spans="2:5" x14ac:dyDescent="0.35">
      <c r="B814"/>
      <c r="C814"/>
      <c r="D814"/>
      <c r="E814"/>
    </row>
    <row r="815" spans="2:5" x14ac:dyDescent="0.35">
      <c r="B815"/>
      <c r="C815"/>
      <c r="D815"/>
      <c r="E815"/>
    </row>
    <row r="816" spans="2:5" x14ac:dyDescent="0.35">
      <c r="B816"/>
      <c r="C816"/>
      <c r="D816"/>
      <c r="E816"/>
    </row>
    <row r="817" spans="2:5" x14ac:dyDescent="0.35">
      <c r="B817"/>
      <c r="C817"/>
      <c r="D817"/>
      <c r="E817"/>
    </row>
    <row r="818" spans="2:5" x14ac:dyDescent="0.35">
      <c r="B818"/>
      <c r="C818"/>
      <c r="D818"/>
      <c r="E818"/>
    </row>
    <row r="819" spans="2:5" x14ac:dyDescent="0.35">
      <c r="B819"/>
      <c r="C819"/>
      <c r="D819"/>
      <c r="E819"/>
    </row>
    <row r="820" spans="2:5" x14ac:dyDescent="0.35">
      <c r="B820"/>
      <c r="C820"/>
      <c r="D820"/>
      <c r="E820"/>
    </row>
    <row r="821" spans="2:5" x14ac:dyDescent="0.35">
      <c r="B821"/>
      <c r="C821"/>
      <c r="D821"/>
      <c r="E821"/>
    </row>
    <row r="822" spans="2:5" x14ac:dyDescent="0.35">
      <c r="B822"/>
      <c r="C822"/>
      <c r="D822"/>
      <c r="E822"/>
    </row>
    <row r="823" spans="2:5" x14ac:dyDescent="0.35">
      <c r="B823"/>
      <c r="C823"/>
      <c r="D823"/>
      <c r="E823"/>
    </row>
    <row r="824" spans="2:5" x14ac:dyDescent="0.35">
      <c r="B824"/>
      <c r="C824"/>
      <c r="D824"/>
      <c r="E824"/>
    </row>
    <row r="825" spans="2:5" x14ac:dyDescent="0.35">
      <c r="B825"/>
      <c r="C825"/>
      <c r="D825"/>
      <c r="E825"/>
    </row>
    <row r="826" spans="2:5" x14ac:dyDescent="0.35">
      <c r="B826"/>
      <c r="C826"/>
      <c r="D826"/>
      <c r="E826"/>
    </row>
    <row r="827" spans="2:5" x14ac:dyDescent="0.35">
      <c r="B827"/>
      <c r="C827"/>
      <c r="D827"/>
      <c r="E827"/>
    </row>
    <row r="828" spans="2:5" x14ac:dyDescent="0.35">
      <c r="B828"/>
      <c r="C828"/>
      <c r="D828"/>
      <c r="E828"/>
    </row>
    <row r="829" spans="2:5" x14ac:dyDescent="0.35">
      <c r="B829"/>
      <c r="C829"/>
      <c r="D829"/>
      <c r="E829"/>
    </row>
    <row r="830" spans="2:5" x14ac:dyDescent="0.35">
      <c r="B830"/>
      <c r="C830"/>
      <c r="D830"/>
      <c r="E830"/>
    </row>
    <row r="831" spans="2:5" x14ac:dyDescent="0.35">
      <c r="B831"/>
      <c r="C831"/>
      <c r="D831"/>
      <c r="E831"/>
    </row>
    <row r="832" spans="2:5" x14ac:dyDescent="0.35">
      <c r="B832"/>
      <c r="C832"/>
      <c r="D832"/>
      <c r="E832"/>
    </row>
    <row r="833" spans="2:5" x14ac:dyDescent="0.35">
      <c r="B833"/>
      <c r="C833"/>
      <c r="D833"/>
      <c r="E833"/>
    </row>
    <row r="834" spans="2:5" x14ac:dyDescent="0.35">
      <c r="B834"/>
      <c r="C834"/>
      <c r="D834"/>
      <c r="E834"/>
    </row>
    <row r="835" spans="2:5" x14ac:dyDescent="0.35">
      <c r="B835"/>
      <c r="C835"/>
      <c r="D835"/>
      <c r="E835"/>
    </row>
    <row r="836" spans="2:5" x14ac:dyDescent="0.35">
      <c r="B836"/>
      <c r="C836"/>
      <c r="D836"/>
      <c r="E836"/>
    </row>
    <row r="837" spans="2:5" x14ac:dyDescent="0.35">
      <c r="B837"/>
      <c r="C837"/>
      <c r="D837"/>
      <c r="E837"/>
    </row>
    <row r="838" spans="2:5" x14ac:dyDescent="0.35">
      <c r="B838"/>
      <c r="C838"/>
      <c r="D838"/>
      <c r="E838"/>
    </row>
    <row r="839" spans="2:5" x14ac:dyDescent="0.35">
      <c r="B839"/>
      <c r="C839"/>
      <c r="D839"/>
      <c r="E839"/>
    </row>
    <row r="840" spans="2:5" x14ac:dyDescent="0.35">
      <c r="B840"/>
      <c r="C840"/>
      <c r="D840"/>
      <c r="E840"/>
    </row>
    <row r="841" spans="2:5" x14ac:dyDescent="0.35">
      <c r="B841"/>
      <c r="C841"/>
      <c r="D841"/>
      <c r="E841"/>
    </row>
    <row r="842" spans="2:5" x14ac:dyDescent="0.35">
      <c r="B842"/>
      <c r="C842"/>
      <c r="D842"/>
      <c r="E842"/>
    </row>
    <row r="843" spans="2:5" x14ac:dyDescent="0.35">
      <c r="B843"/>
      <c r="C843"/>
      <c r="D843"/>
      <c r="E843"/>
    </row>
    <row r="844" spans="2:5" x14ac:dyDescent="0.35">
      <c r="B844"/>
      <c r="C844"/>
      <c r="D844"/>
      <c r="E844"/>
    </row>
    <row r="845" spans="2:5" x14ac:dyDescent="0.35">
      <c r="B845"/>
      <c r="C845"/>
      <c r="D845"/>
      <c r="E845"/>
    </row>
    <row r="846" spans="2:5" x14ac:dyDescent="0.35">
      <c r="B846"/>
      <c r="C846"/>
      <c r="D846"/>
      <c r="E846"/>
    </row>
    <row r="847" spans="2:5" x14ac:dyDescent="0.35">
      <c r="B847"/>
      <c r="C847"/>
      <c r="D847"/>
      <c r="E847"/>
    </row>
    <row r="848" spans="2:5" x14ac:dyDescent="0.35">
      <c r="B848"/>
      <c r="C848"/>
      <c r="D848"/>
      <c r="E848"/>
    </row>
    <row r="849" spans="2:5" x14ac:dyDescent="0.35">
      <c r="B849"/>
      <c r="C849"/>
      <c r="D849"/>
      <c r="E849"/>
    </row>
    <row r="850" spans="2:5" x14ac:dyDescent="0.35">
      <c r="B850"/>
      <c r="C850"/>
      <c r="D850"/>
      <c r="E850"/>
    </row>
    <row r="851" spans="2:5" x14ac:dyDescent="0.35">
      <c r="B851"/>
      <c r="C851"/>
      <c r="D851"/>
      <c r="E851"/>
    </row>
    <row r="852" spans="2:5" x14ac:dyDescent="0.35">
      <c r="B852"/>
      <c r="C852"/>
      <c r="D852"/>
      <c r="E852"/>
    </row>
    <row r="853" spans="2:5" x14ac:dyDescent="0.35">
      <c r="B853"/>
      <c r="C853"/>
      <c r="D853"/>
      <c r="E853"/>
    </row>
    <row r="854" spans="2:5" x14ac:dyDescent="0.35">
      <c r="B854"/>
      <c r="C854"/>
      <c r="D854"/>
      <c r="E854"/>
    </row>
    <row r="855" spans="2:5" x14ac:dyDescent="0.35">
      <c r="B855"/>
      <c r="C855"/>
      <c r="D855"/>
      <c r="E855"/>
    </row>
    <row r="856" spans="2:5" x14ac:dyDescent="0.35">
      <c r="B856"/>
      <c r="C856"/>
      <c r="D856"/>
      <c r="E856"/>
    </row>
    <row r="857" spans="2:5" x14ac:dyDescent="0.35">
      <c r="B857"/>
      <c r="C857"/>
      <c r="D857"/>
      <c r="E857"/>
    </row>
    <row r="858" spans="2:5" x14ac:dyDescent="0.35">
      <c r="B858"/>
      <c r="C858"/>
      <c r="D858"/>
      <c r="E858"/>
    </row>
    <row r="859" spans="2:5" x14ac:dyDescent="0.35">
      <c r="B859"/>
      <c r="C859"/>
      <c r="D859"/>
      <c r="E859"/>
    </row>
    <row r="860" spans="2:5" x14ac:dyDescent="0.35">
      <c r="B860"/>
      <c r="C860"/>
      <c r="D860"/>
      <c r="E860"/>
    </row>
    <row r="861" spans="2:5" x14ac:dyDescent="0.35">
      <c r="B861"/>
      <c r="C861"/>
      <c r="D861"/>
      <c r="E861"/>
    </row>
    <row r="862" spans="2:5" x14ac:dyDescent="0.35">
      <c r="B862"/>
      <c r="C862"/>
      <c r="D862"/>
      <c r="E862"/>
    </row>
    <row r="863" spans="2:5" x14ac:dyDescent="0.35">
      <c r="B863"/>
      <c r="C863"/>
      <c r="D863"/>
      <c r="E863"/>
    </row>
    <row r="864" spans="2:5" x14ac:dyDescent="0.35">
      <c r="B864"/>
      <c r="C864"/>
      <c r="D864"/>
      <c r="E864"/>
    </row>
    <row r="865" spans="2:5" x14ac:dyDescent="0.35">
      <c r="B865"/>
      <c r="C865"/>
      <c r="D865"/>
      <c r="E865"/>
    </row>
    <row r="866" spans="2:5" x14ac:dyDescent="0.35">
      <c r="B866"/>
      <c r="C866"/>
      <c r="D866"/>
      <c r="E866"/>
    </row>
    <row r="867" spans="2:5" x14ac:dyDescent="0.35">
      <c r="B867"/>
      <c r="C867"/>
      <c r="D867"/>
      <c r="E867"/>
    </row>
    <row r="868" spans="2:5" x14ac:dyDescent="0.35">
      <c r="B868"/>
      <c r="C868"/>
      <c r="D868"/>
      <c r="E868"/>
    </row>
    <row r="869" spans="2:5" x14ac:dyDescent="0.35">
      <c r="B869"/>
      <c r="C869"/>
      <c r="D869"/>
      <c r="E869"/>
    </row>
    <row r="870" spans="2:5" x14ac:dyDescent="0.35">
      <c r="B870"/>
      <c r="C870"/>
      <c r="D870"/>
      <c r="E870"/>
    </row>
    <row r="871" spans="2:5" x14ac:dyDescent="0.35">
      <c r="B871"/>
      <c r="C871"/>
      <c r="D871"/>
      <c r="E871"/>
    </row>
    <row r="872" spans="2:5" x14ac:dyDescent="0.35">
      <c r="B872"/>
      <c r="C872"/>
      <c r="D872"/>
      <c r="E872"/>
    </row>
    <row r="873" spans="2:5" x14ac:dyDescent="0.35">
      <c r="B873"/>
      <c r="C873"/>
      <c r="D873"/>
      <c r="E873"/>
    </row>
    <row r="874" spans="2:5" x14ac:dyDescent="0.35">
      <c r="B874"/>
      <c r="C874"/>
      <c r="D874"/>
      <c r="E874"/>
    </row>
    <row r="875" spans="2:5" x14ac:dyDescent="0.35">
      <c r="B875"/>
      <c r="C875"/>
      <c r="D875"/>
      <c r="E875"/>
    </row>
    <row r="876" spans="2:5" x14ac:dyDescent="0.35">
      <c r="B876"/>
      <c r="C876"/>
      <c r="D876"/>
      <c r="E876"/>
    </row>
    <row r="877" spans="2:5" x14ac:dyDescent="0.35">
      <c r="B877"/>
      <c r="C877"/>
      <c r="D877"/>
      <c r="E877"/>
    </row>
    <row r="878" spans="2:5" x14ac:dyDescent="0.35">
      <c r="B878"/>
      <c r="C878"/>
      <c r="D878"/>
      <c r="E878"/>
    </row>
    <row r="879" spans="2:5" x14ac:dyDescent="0.35">
      <c r="B879"/>
      <c r="C879"/>
      <c r="D879"/>
      <c r="E879"/>
    </row>
    <row r="880" spans="2:5" x14ac:dyDescent="0.35">
      <c r="B880"/>
      <c r="C880"/>
      <c r="D880"/>
      <c r="E880"/>
    </row>
    <row r="881" spans="2:5" x14ac:dyDescent="0.35">
      <c r="B881"/>
      <c r="C881"/>
      <c r="D881"/>
      <c r="E881"/>
    </row>
    <row r="882" spans="2:5" x14ac:dyDescent="0.35">
      <c r="B882"/>
      <c r="C882"/>
      <c r="D882"/>
      <c r="E882"/>
    </row>
    <row r="883" spans="2:5" x14ac:dyDescent="0.35">
      <c r="B883"/>
      <c r="C883"/>
      <c r="D883"/>
      <c r="E883"/>
    </row>
    <row r="884" spans="2:5" x14ac:dyDescent="0.35">
      <c r="B884"/>
      <c r="C884"/>
      <c r="D884"/>
      <c r="E884"/>
    </row>
    <row r="885" spans="2:5" x14ac:dyDescent="0.35">
      <c r="B885"/>
      <c r="C885"/>
      <c r="D885"/>
      <c r="E885"/>
    </row>
    <row r="886" spans="2:5" x14ac:dyDescent="0.35">
      <c r="B886"/>
      <c r="C886"/>
      <c r="D886"/>
      <c r="E886"/>
    </row>
    <row r="887" spans="2:5" x14ac:dyDescent="0.35">
      <c r="B887"/>
      <c r="C887"/>
      <c r="D887"/>
      <c r="E887"/>
    </row>
    <row r="888" spans="2:5" x14ac:dyDescent="0.35">
      <c r="B888"/>
      <c r="C888"/>
      <c r="D888"/>
      <c r="E888"/>
    </row>
    <row r="889" spans="2:5" x14ac:dyDescent="0.35">
      <c r="B889"/>
      <c r="C889"/>
      <c r="D889"/>
      <c r="E889"/>
    </row>
    <row r="890" spans="2:5" x14ac:dyDescent="0.35">
      <c r="B890"/>
      <c r="C890"/>
      <c r="D890"/>
      <c r="E890"/>
    </row>
    <row r="891" spans="2:5" x14ac:dyDescent="0.35">
      <c r="B891"/>
      <c r="C891"/>
      <c r="D891"/>
      <c r="E891"/>
    </row>
    <row r="892" spans="2:5" x14ac:dyDescent="0.35">
      <c r="B892"/>
      <c r="C892"/>
      <c r="D892"/>
      <c r="E892"/>
    </row>
    <row r="893" spans="2:5" x14ac:dyDescent="0.35">
      <c r="B893"/>
      <c r="C893"/>
      <c r="D893"/>
      <c r="E893"/>
    </row>
    <row r="894" spans="2:5" x14ac:dyDescent="0.35">
      <c r="B894"/>
      <c r="C894"/>
      <c r="D894"/>
      <c r="E894"/>
    </row>
    <row r="895" spans="2:5" x14ac:dyDescent="0.35">
      <c r="B895"/>
      <c r="C895"/>
      <c r="D895"/>
      <c r="E895"/>
    </row>
    <row r="896" spans="2:5" x14ac:dyDescent="0.35">
      <c r="B896"/>
      <c r="C896"/>
      <c r="D896"/>
      <c r="E896"/>
    </row>
    <row r="897" spans="2:5" x14ac:dyDescent="0.35">
      <c r="B897"/>
      <c r="C897"/>
      <c r="D897"/>
      <c r="E897"/>
    </row>
    <row r="898" spans="2:5" x14ac:dyDescent="0.35">
      <c r="B898"/>
      <c r="C898"/>
      <c r="D898"/>
      <c r="E898"/>
    </row>
    <row r="899" spans="2:5" x14ac:dyDescent="0.35">
      <c r="B899"/>
      <c r="C899"/>
      <c r="D899"/>
      <c r="E899"/>
    </row>
    <row r="900" spans="2:5" x14ac:dyDescent="0.35">
      <c r="B900"/>
      <c r="C900"/>
      <c r="D900"/>
      <c r="E900"/>
    </row>
    <row r="901" spans="2:5" x14ac:dyDescent="0.35">
      <c r="B901"/>
      <c r="C901"/>
      <c r="D901"/>
      <c r="E901"/>
    </row>
    <row r="902" spans="2:5" x14ac:dyDescent="0.35">
      <c r="B902"/>
      <c r="C902"/>
      <c r="D902"/>
      <c r="E902"/>
    </row>
    <row r="903" spans="2:5" x14ac:dyDescent="0.35">
      <c r="B903"/>
      <c r="C903"/>
      <c r="D903"/>
      <c r="E903"/>
    </row>
    <row r="904" spans="2:5" x14ac:dyDescent="0.35">
      <c r="B904"/>
      <c r="C904"/>
      <c r="D904"/>
      <c r="E904"/>
    </row>
    <row r="905" spans="2:5" x14ac:dyDescent="0.35">
      <c r="B905"/>
      <c r="C905"/>
      <c r="D905"/>
      <c r="E905"/>
    </row>
    <row r="906" spans="2:5" x14ac:dyDescent="0.35">
      <c r="B906"/>
      <c r="C906"/>
      <c r="D906"/>
      <c r="E906"/>
    </row>
    <row r="907" spans="2:5" x14ac:dyDescent="0.35">
      <c r="B907"/>
      <c r="C907"/>
      <c r="D907"/>
      <c r="E907"/>
    </row>
    <row r="908" spans="2:5" x14ac:dyDescent="0.35">
      <c r="B908"/>
      <c r="C908"/>
      <c r="D908"/>
      <c r="E908"/>
    </row>
    <row r="909" spans="2:5" x14ac:dyDescent="0.35">
      <c r="B909"/>
      <c r="C909"/>
      <c r="D909"/>
      <c r="E909"/>
    </row>
    <row r="910" spans="2:5" x14ac:dyDescent="0.35">
      <c r="B910"/>
      <c r="C910"/>
      <c r="D910"/>
      <c r="E910"/>
    </row>
    <row r="911" spans="2:5" x14ac:dyDescent="0.35">
      <c r="B911"/>
      <c r="C911"/>
      <c r="D911"/>
      <c r="E911"/>
    </row>
    <row r="912" spans="2:5" x14ac:dyDescent="0.35">
      <c r="B912"/>
      <c r="C912"/>
      <c r="D912"/>
      <c r="E912"/>
    </row>
    <row r="913" spans="2:5" x14ac:dyDescent="0.35">
      <c r="B913"/>
      <c r="C913"/>
      <c r="D913"/>
      <c r="E913"/>
    </row>
    <row r="914" spans="2:5" x14ac:dyDescent="0.35">
      <c r="B914"/>
      <c r="C914"/>
      <c r="D914"/>
      <c r="E914"/>
    </row>
    <row r="915" spans="2:5" x14ac:dyDescent="0.35">
      <c r="B915"/>
      <c r="C915"/>
      <c r="D915"/>
      <c r="E915"/>
    </row>
    <row r="916" spans="2:5" x14ac:dyDescent="0.35">
      <c r="B916"/>
      <c r="C916"/>
      <c r="D916"/>
      <c r="E916"/>
    </row>
    <row r="917" spans="2:5" x14ac:dyDescent="0.35">
      <c r="B917"/>
      <c r="C917"/>
      <c r="D917"/>
      <c r="E917"/>
    </row>
    <row r="918" spans="2:5" x14ac:dyDescent="0.35">
      <c r="B918"/>
      <c r="C918"/>
      <c r="D918"/>
      <c r="E918"/>
    </row>
    <row r="919" spans="2:5" x14ac:dyDescent="0.35">
      <c r="B919"/>
      <c r="C919"/>
      <c r="D919"/>
      <c r="E919"/>
    </row>
    <row r="920" spans="2:5" x14ac:dyDescent="0.35">
      <c r="B920"/>
      <c r="C920"/>
      <c r="D920"/>
      <c r="E920"/>
    </row>
    <row r="921" spans="2:5" x14ac:dyDescent="0.35">
      <c r="B921"/>
      <c r="C921"/>
      <c r="D921"/>
      <c r="E921"/>
    </row>
    <row r="922" spans="2:5" x14ac:dyDescent="0.35">
      <c r="B922"/>
      <c r="C922"/>
      <c r="D922"/>
      <c r="E922"/>
    </row>
    <row r="923" spans="2:5" x14ac:dyDescent="0.35">
      <c r="B923"/>
      <c r="C923"/>
      <c r="D923"/>
      <c r="E923"/>
    </row>
    <row r="924" spans="2:5" x14ac:dyDescent="0.35">
      <c r="B924"/>
      <c r="C924"/>
      <c r="D924"/>
      <c r="E924"/>
    </row>
    <row r="925" spans="2:5" x14ac:dyDescent="0.35">
      <c r="B925"/>
      <c r="C925"/>
      <c r="D925"/>
      <c r="E925"/>
    </row>
    <row r="926" spans="2:5" x14ac:dyDescent="0.35">
      <c r="B926"/>
      <c r="C926"/>
      <c r="D926"/>
      <c r="E926"/>
    </row>
    <row r="927" spans="2:5" x14ac:dyDescent="0.35">
      <c r="B927"/>
      <c r="C927"/>
      <c r="D927"/>
      <c r="E927"/>
    </row>
    <row r="928" spans="2:5" x14ac:dyDescent="0.35">
      <c r="B928"/>
      <c r="C928"/>
      <c r="D928"/>
      <c r="E928"/>
    </row>
    <row r="929" spans="2:5" x14ac:dyDescent="0.35">
      <c r="B929"/>
      <c r="C929"/>
      <c r="D929"/>
      <c r="E929"/>
    </row>
    <row r="930" spans="2:5" x14ac:dyDescent="0.35">
      <c r="B930"/>
      <c r="C930"/>
      <c r="D930"/>
      <c r="E930"/>
    </row>
    <row r="931" spans="2:5" x14ac:dyDescent="0.35">
      <c r="B931"/>
      <c r="C931"/>
      <c r="D931"/>
      <c r="E931"/>
    </row>
    <row r="932" spans="2:5" x14ac:dyDescent="0.35">
      <c r="B932"/>
      <c r="C932"/>
      <c r="D932"/>
      <c r="E932"/>
    </row>
    <row r="933" spans="2:5" x14ac:dyDescent="0.35">
      <c r="B933"/>
      <c r="C933"/>
      <c r="D933"/>
      <c r="E933"/>
    </row>
    <row r="934" spans="2:5" x14ac:dyDescent="0.35">
      <c r="B934"/>
      <c r="C934"/>
      <c r="D934"/>
      <c r="E934"/>
    </row>
    <row r="935" spans="2:5" x14ac:dyDescent="0.35">
      <c r="B935"/>
      <c r="C935"/>
      <c r="D935"/>
      <c r="E935"/>
    </row>
    <row r="936" spans="2:5" x14ac:dyDescent="0.35">
      <c r="B936"/>
      <c r="C936"/>
      <c r="D936"/>
      <c r="E936"/>
    </row>
    <row r="937" spans="2:5" x14ac:dyDescent="0.35">
      <c r="B937"/>
      <c r="C937"/>
      <c r="D937"/>
      <c r="E937"/>
    </row>
    <row r="938" spans="2:5" x14ac:dyDescent="0.35">
      <c r="B938"/>
      <c r="C938"/>
      <c r="D938"/>
      <c r="E938"/>
    </row>
    <row r="939" spans="2:5" x14ac:dyDescent="0.35">
      <c r="B939"/>
      <c r="C939"/>
      <c r="D939"/>
      <c r="E939"/>
    </row>
    <row r="940" spans="2:5" x14ac:dyDescent="0.35">
      <c r="B940"/>
      <c r="C940"/>
      <c r="D940"/>
      <c r="E940"/>
    </row>
    <row r="941" spans="2:5" x14ac:dyDescent="0.35">
      <c r="B941"/>
      <c r="C941"/>
      <c r="D941"/>
      <c r="E941"/>
    </row>
    <row r="942" spans="2:5" x14ac:dyDescent="0.35">
      <c r="B942"/>
      <c r="C942"/>
      <c r="D942"/>
      <c r="E942"/>
    </row>
    <row r="943" spans="2:5" x14ac:dyDescent="0.35">
      <c r="B943"/>
      <c r="C943"/>
      <c r="D943"/>
      <c r="E943"/>
    </row>
    <row r="944" spans="2:5" x14ac:dyDescent="0.35">
      <c r="B944"/>
      <c r="C944"/>
      <c r="D944"/>
      <c r="E944"/>
    </row>
    <row r="945" spans="2:5" x14ac:dyDescent="0.35">
      <c r="B945"/>
      <c r="C945"/>
      <c r="D945"/>
      <c r="E945"/>
    </row>
    <row r="946" spans="2:5" x14ac:dyDescent="0.35">
      <c r="B946"/>
      <c r="C946"/>
      <c r="D946"/>
      <c r="E946"/>
    </row>
    <row r="947" spans="2:5" x14ac:dyDescent="0.35">
      <c r="B947"/>
      <c r="C947"/>
      <c r="D947"/>
      <c r="E947"/>
    </row>
    <row r="948" spans="2:5" x14ac:dyDescent="0.35">
      <c r="B948"/>
      <c r="C948"/>
      <c r="D948"/>
      <c r="E948"/>
    </row>
    <row r="949" spans="2:5" x14ac:dyDescent="0.35">
      <c r="B949"/>
      <c r="C949"/>
      <c r="D949"/>
      <c r="E949"/>
    </row>
    <row r="950" spans="2:5" x14ac:dyDescent="0.35">
      <c r="B950"/>
      <c r="C950"/>
      <c r="D950"/>
      <c r="E950"/>
    </row>
    <row r="951" spans="2:5" x14ac:dyDescent="0.35">
      <c r="B951"/>
      <c r="C951"/>
      <c r="D951"/>
      <c r="E951"/>
    </row>
    <row r="952" spans="2:5" x14ac:dyDescent="0.35">
      <c r="B952"/>
      <c r="C952"/>
      <c r="D952"/>
      <c r="E952"/>
    </row>
    <row r="953" spans="2:5" x14ac:dyDescent="0.35">
      <c r="B953"/>
      <c r="C953"/>
      <c r="D953"/>
      <c r="E953"/>
    </row>
    <row r="954" spans="2:5" x14ac:dyDescent="0.35">
      <c r="B954"/>
      <c r="C954"/>
      <c r="D954"/>
      <c r="E954"/>
    </row>
    <row r="955" spans="2:5" x14ac:dyDescent="0.35">
      <c r="B955"/>
      <c r="C955"/>
      <c r="D955"/>
      <c r="E955"/>
    </row>
    <row r="956" spans="2:5" x14ac:dyDescent="0.35">
      <c r="B956"/>
      <c r="C956"/>
      <c r="D956"/>
      <c r="E956"/>
    </row>
    <row r="957" spans="2:5" x14ac:dyDescent="0.35">
      <c r="B957"/>
      <c r="C957"/>
      <c r="D957"/>
      <c r="E957"/>
    </row>
    <row r="958" spans="2:5" x14ac:dyDescent="0.35">
      <c r="B958"/>
      <c r="C958"/>
      <c r="D958"/>
      <c r="E958"/>
    </row>
    <row r="959" spans="2:5" x14ac:dyDescent="0.35">
      <c r="B959"/>
      <c r="C959"/>
      <c r="D959"/>
      <c r="E959"/>
    </row>
    <row r="960" spans="2:5" x14ac:dyDescent="0.35">
      <c r="B960"/>
      <c r="C960"/>
      <c r="D960"/>
      <c r="E960"/>
    </row>
    <row r="961" spans="2:5" x14ac:dyDescent="0.35">
      <c r="B961"/>
      <c r="C961"/>
      <c r="D961"/>
      <c r="E961"/>
    </row>
    <row r="962" spans="2:5" x14ac:dyDescent="0.35">
      <c r="B962"/>
      <c r="C962"/>
      <c r="D962"/>
      <c r="E962"/>
    </row>
    <row r="963" spans="2:5" x14ac:dyDescent="0.35">
      <c r="B963"/>
      <c r="C963"/>
      <c r="D963"/>
      <c r="E963"/>
    </row>
    <row r="964" spans="2:5" x14ac:dyDescent="0.35">
      <c r="B964"/>
      <c r="C964"/>
      <c r="D964"/>
      <c r="E964"/>
    </row>
    <row r="965" spans="2:5" x14ac:dyDescent="0.35">
      <c r="B965"/>
      <c r="C965"/>
      <c r="D965"/>
      <c r="E965"/>
    </row>
    <row r="966" spans="2:5" x14ac:dyDescent="0.35">
      <c r="B966"/>
      <c r="C966"/>
      <c r="D966"/>
      <c r="E966"/>
    </row>
    <row r="967" spans="2:5" x14ac:dyDescent="0.35">
      <c r="B967"/>
      <c r="C967"/>
      <c r="D967"/>
      <c r="E967"/>
    </row>
    <row r="968" spans="2:5" x14ac:dyDescent="0.35">
      <c r="B968"/>
      <c r="C968"/>
      <c r="D968"/>
      <c r="E968"/>
    </row>
    <row r="969" spans="2:5" x14ac:dyDescent="0.35">
      <c r="B969"/>
      <c r="C969"/>
      <c r="D969"/>
      <c r="E969"/>
    </row>
    <row r="970" spans="2:5" x14ac:dyDescent="0.35">
      <c r="B970"/>
      <c r="C970"/>
      <c r="D970"/>
      <c r="E970"/>
    </row>
    <row r="971" spans="2:5" x14ac:dyDescent="0.35">
      <c r="B971"/>
      <c r="C971"/>
      <c r="D971"/>
      <c r="E971"/>
    </row>
    <row r="972" spans="2:5" x14ac:dyDescent="0.35">
      <c r="B972"/>
      <c r="C972"/>
      <c r="D972"/>
      <c r="E972"/>
    </row>
    <row r="973" spans="2:5" x14ac:dyDescent="0.35">
      <c r="B973"/>
      <c r="C973"/>
      <c r="D973"/>
      <c r="E973"/>
    </row>
    <row r="974" spans="2:5" x14ac:dyDescent="0.35">
      <c r="B974"/>
      <c r="C974"/>
      <c r="D974"/>
      <c r="E974"/>
    </row>
    <row r="975" spans="2:5" x14ac:dyDescent="0.35">
      <c r="B975"/>
      <c r="C975"/>
      <c r="D975"/>
      <c r="E975"/>
    </row>
    <row r="976" spans="2:5" x14ac:dyDescent="0.35">
      <c r="B976"/>
      <c r="C976"/>
      <c r="D976"/>
      <c r="E976"/>
    </row>
    <row r="977" spans="2:5" x14ac:dyDescent="0.35">
      <c r="B977"/>
      <c r="C977"/>
      <c r="D977"/>
      <c r="E977"/>
    </row>
    <row r="978" spans="2:5" x14ac:dyDescent="0.35">
      <c r="B978"/>
      <c r="C978"/>
      <c r="D978"/>
      <c r="E978"/>
    </row>
    <row r="979" spans="2:5" x14ac:dyDescent="0.35">
      <c r="B979"/>
      <c r="C979"/>
      <c r="D979"/>
      <c r="E979"/>
    </row>
    <row r="980" spans="2:5" x14ac:dyDescent="0.35">
      <c r="B980"/>
      <c r="C980"/>
      <c r="D980"/>
      <c r="E980"/>
    </row>
    <row r="981" spans="2:5" x14ac:dyDescent="0.35">
      <c r="B981"/>
      <c r="C981"/>
      <c r="D981"/>
      <c r="E981"/>
    </row>
    <row r="982" spans="2:5" x14ac:dyDescent="0.35">
      <c r="B982"/>
      <c r="C982"/>
      <c r="D982"/>
      <c r="E982"/>
    </row>
    <row r="983" spans="2:5" x14ac:dyDescent="0.35">
      <c r="B983"/>
      <c r="C983"/>
      <c r="D983"/>
      <c r="E983"/>
    </row>
    <row r="984" spans="2:5" x14ac:dyDescent="0.35">
      <c r="B984"/>
      <c r="C984"/>
      <c r="D984"/>
      <c r="E984"/>
    </row>
    <row r="985" spans="2:5" x14ac:dyDescent="0.35">
      <c r="B985"/>
      <c r="C985"/>
      <c r="D985"/>
      <c r="E985"/>
    </row>
    <row r="986" spans="2:5" x14ac:dyDescent="0.35">
      <c r="B986"/>
      <c r="C986"/>
      <c r="D986"/>
      <c r="E986"/>
    </row>
    <row r="987" spans="2:5" x14ac:dyDescent="0.35">
      <c r="B987"/>
      <c r="C987"/>
      <c r="D987"/>
      <c r="E987"/>
    </row>
    <row r="988" spans="2:5" x14ac:dyDescent="0.35">
      <c r="B988"/>
      <c r="C988"/>
      <c r="D988"/>
      <c r="E988"/>
    </row>
    <row r="989" spans="2:5" x14ac:dyDescent="0.35">
      <c r="B989"/>
      <c r="C989"/>
      <c r="D989"/>
      <c r="E989"/>
    </row>
    <row r="990" spans="2:5" x14ac:dyDescent="0.35">
      <c r="B990"/>
      <c r="C990"/>
      <c r="D990"/>
      <c r="E990"/>
    </row>
    <row r="991" spans="2:5" x14ac:dyDescent="0.35">
      <c r="B991"/>
      <c r="C991"/>
      <c r="D991"/>
      <c r="E991"/>
    </row>
    <row r="992" spans="2:5" x14ac:dyDescent="0.35">
      <c r="B992"/>
      <c r="C992"/>
      <c r="D992"/>
      <c r="E992"/>
    </row>
    <row r="993" spans="2:5" x14ac:dyDescent="0.35">
      <c r="B993"/>
      <c r="C993"/>
      <c r="D993"/>
      <c r="E993"/>
    </row>
    <row r="994" spans="2:5" x14ac:dyDescent="0.35">
      <c r="B994"/>
      <c r="C994"/>
      <c r="D994"/>
      <c r="E994"/>
    </row>
    <row r="995" spans="2:5" x14ac:dyDescent="0.35">
      <c r="B995"/>
      <c r="C995"/>
      <c r="D995"/>
      <c r="E995"/>
    </row>
    <row r="996" spans="2:5" x14ac:dyDescent="0.35">
      <c r="B996"/>
      <c r="C996"/>
      <c r="D996"/>
      <c r="E996"/>
    </row>
    <row r="997" spans="2:5" x14ac:dyDescent="0.35">
      <c r="B997"/>
      <c r="C997"/>
      <c r="D997"/>
      <c r="E997"/>
    </row>
    <row r="998" spans="2:5" x14ac:dyDescent="0.35">
      <c r="B998"/>
      <c r="C998"/>
      <c r="D998"/>
      <c r="E998"/>
    </row>
    <row r="999" spans="2:5" x14ac:dyDescent="0.35">
      <c r="B999"/>
      <c r="C999"/>
      <c r="D999"/>
      <c r="E999"/>
    </row>
    <row r="1000" spans="2:5" x14ac:dyDescent="0.35">
      <c r="B1000"/>
      <c r="C1000"/>
      <c r="D1000"/>
      <c r="E1000"/>
    </row>
    <row r="1001" spans="2:5" x14ac:dyDescent="0.35">
      <c r="B1001"/>
      <c r="C1001"/>
      <c r="D1001"/>
      <c r="E1001"/>
    </row>
    <row r="1002" spans="2:5" x14ac:dyDescent="0.35">
      <c r="B1002"/>
      <c r="C1002"/>
      <c r="D1002"/>
      <c r="E1002"/>
    </row>
    <row r="1003" spans="2:5" x14ac:dyDescent="0.35">
      <c r="B1003"/>
      <c r="C1003"/>
      <c r="D1003"/>
      <c r="E1003"/>
    </row>
    <row r="1004" spans="2:5" x14ac:dyDescent="0.35">
      <c r="B1004"/>
      <c r="C1004"/>
      <c r="D1004"/>
      <c r="E1004"/>
    </row>
    <row r="1005" spans="2:5" x14ac:dyDescent="0.35">
      <c r="B1005"/>
      <c r="C1005"/>
      <c r="D1005"/>
      <c r="E1005"/>
    </row>
    <row r="1006" spans="2:5" x14ac:dyDescent="0.35">
      <c r="B1006"/>
      <c r="C1006"/>
      <c r="D1006"/>
      <c r="E1006"/>
    </row>
    <row r="1007" spans="2:5" x14ac:dyDescent="0.35">
      <c r="B1007"/>
      <c r="C1007"/>
      <c r="D1007"/>
      <c r="E1007"/>
    </row>
    <row r="1008" spans="2:5" x14ac:dyDescent="0.35">
      <c r="B1008"/>
      <c r="C1008"/>
      <c r="D1008"/>
      <c r="E1008"/>
    </row>
    <row r="1009" spans="2:5" x14ac:dyDescent="0.35">
      <c r="B1009"/>
      <c r="C1009"/>
      <c r="D1009"/>
      <c r="E1009"/>
    </row>
    <row r="1010" spans="2:5" x14ac:dyDescent="0.35">
      <c r="B1010"/>
      <c r="C1010"/>
      <c r="D1010"/>
      <c r="E1010"/>
    </row>
    <row r="1011" spans="2:5" x14ac:dyDescent="0.35">
      <c r="B1011"/>
      <c r="C1011"/>
      <c r="D1011"/>
      <c r="E1011"/>
    </row>
    <row r="1012" spans="2:5" x14ac:dyDescent="0.35">
      <c r="B1012"/>
      <c r="C1012"/>
      <c r="D1012"/>
      <c r="E1012"/>
    </row>
    <row r="1013" spans="2:5" x14ac:dyDescent="0.35">
      <c r="B1013"/>
      <c r="C1013"/>
      <c r="D1013"/>
      <c r="E1013"/>
    </row>
    <row r="1014" spans="2:5" x14ac:dyDescent="0.35">
      <c r="B1014"/>
      <c r="C1014"/>
      <c r="D1014"/>
      <c r="E1014"/>
    </row>
    <row r="1015" spans="2:5" x14ac:dyDescent="0.35">
      <c r="B1015"/>
      <c r="C1015"/>
      <c r="D1015"/>
      <c r="E1015"/>
    </row>
    <row r="1016" spans="2:5" x14ac:dyDescent="0.35">
      <c r="B1016"/>
      <c r="C1016"/>
      <c r="D1016"/>
      <c r="E1016"/>
    </row>
    <row r="1017" spans="2:5" x14ac:dyDescent="0.35">
      <c r="B1017"/>
      <c r="C1017"/>
      <c r="D1017"/>
      <c r="E1017"/>
    </row>
    <row r="1018" spans="2:5" x14ac:dyDescent="0.35">
      <c r="B1018"/>
      <c r="C1018"/>
      <c r="D1018"/>
      <c r="E1018"/>
    </row>
    <row r="1019" spans="2:5" x14ac:dyDescent="0.35">
      <c r="B1019"/>
      <c r="C1019"/>
      <c r="D1019"/>
      <c r="E1019"/>
    </row>
    <row r="1020" spans="2:5" x14ac:dyDescent="0.35">
      <c r="B1020"/>
      <c r="C1020"/>
      <c r="D1020"/>
      <c r="E1020"/>
    </row>
    <row r="1021" spans="2:5" x14ac:dyDescent="0.35">
      <c r="B1021"/>
      <c r="C1021"/>
      <c r="D1021"/>
      <c r="E1021"/>
    </row>
    <row r="1022" spans="2:5" x14ac:dyDescent="0.35">
      <c r="B1022"/>
      <c r="C1022"/>
      <c r="D1022"/>
      <c r="E1022"/>
    </row>
    <row r="1023" spans="2:5" x14ac:dyDescent="0.35">
      <c r="B1023"/>
      <c r="C1023"/>
      <c r="D1023"/>
      <c r="E1023"/>
    </row>
    <row r="1024" spans="2:5" x14ac:dyDescent="0.35">
      <c r="B1024"/>
      <c r="C1024"/>
      <c r="D1024"/>
      <c r="E1024"/>
    </row>
    <row r="1025" spans="2:5" x14ac:dyDescent="0.35">
      <c r="B1025"/>
      <c r="C1025"/>
      <c r="D1025"/>
      <c r="E1025"/>
    </row>
    <row r="1026" spans="2:5" x14ac:dyDescent="0.35">
      <c r="B1026"/>
      <c r="C1026"/>
      <c r="D1026"/>
      <c r="E1026"/>
    </row>
    <row r="1027" spans="2:5" x14ac:dyDescent="0.35">
      <c r="B1027"/>
      <c r="C1027"/>
      <c r="D1027"/>
      <c r="E1027"/>
    </row>
    <row r="1028" spans="2:5" x14ac:dyDescent="0.35">
      <c r="B1028"/>
      <c r="C1028"/>
      <c r="D1028"/>
      <c r="E1028"/>
    </row>
    <row r="1029" spans="2:5" x14ac:dyDescent="0.35">
      <c r="B1029"/>
      <c r="C1029"/>
      <c r="D1029"/>
      <c r="E1029"/>
    </row>
    <row r="1030" spans="2:5" x14ac:dyDescent="0.35">
      <c r="B1030"/>
      <c r="C1030"/>
      <c r="D1030"/>
      <c r="E1030"/>
    </row>
    <row r="1031" spans="2:5" x14ac:dyDescent="0.35">
      <c r="B1031"/>
      <c r="C1031"/>
      <c r="D1031"/>
      <c r="E1031"/>
    </row>
    <row r="1032" spans="2:5" x14ac:dyDescent="0.35">
      <c r="B1032"/>
      <c r="C1032"/>
      <c r="D1032"/>
      <c r="E1032"/>
    </row>
    <row r="1033" spans="2:5" x14ac:dyDescent="0.35">
      <c r="B1033"/>
      <c r="C1033"/>
      <c r="D1033"/>
      <c r="E1033"/>
    </row>
    <row r="1034" spans="2:5" x14ac:dyDescent="0.35">
      <c r="B1034"/>
      <c r="C1034"/>
      <c r="D1034"/>
      <c r="E1034"/>
    </row>
    <row r="1035" spans="2:5" x14ac:dyDescent="0.35">
      <c r="B1035"/>
      <c r="C1035"/>
      <c r="D1035"/>
      <c r="E1035"/>
    </row>
    <row r="1036" spans="2:5" x14ac:dyDescent="0.35">
      <c r="B1036"/>
      <c r="C1036"/>
      <c r="D1036"/>
      <c r="E1036"/>
    </row>
    <row r="1037" spans="2:5" x14ac:dyDescent="0.35">
      <c r="B1037"/>
      <c r="C1037"/>
      <c r="D1037"/>
      <c r="E1037"/>
    </row>
    <row r="1038" spans="2:5" x14ac:dyDescent="0.35">
      <c r="B1038"/>
      <c r="C1038"/>
      <c r="D1038"/>
      <c r="E1038"/>
    </row>
    <row r="1039" spans="2:5" x14ac:dyDescent="0.35">
      <c r="B1039"/>
      <c r="C1039"/>
      <c r="D1039"/>
      <c r="E1039"/>
    </row>
    <row r="1040" spans="2:5" x14ac:dyDescent="0.35">
      <c r="B1040"/>
      <c r="C1040"/>
      <c r="D1040"/>
      <c r="E1040"/>
    </row>
    <row r="1041" spans="2:5" x14ac:dyDescent="0.35">
      <c r="B1041"/>
      <c r="C1041"/>
      <c r="D1041"/>
      <c r="E1041"/>
    </row>
    <row r="1042" spans="2:5" x14ac:dyDescent="0.35">
      <c r="B1042"/>
      <c r="C1042"/>
      <c r="D1042"/>
      <c r="E1042"/>
    </row>
    <row r="1043" spans="2:5" x14ac:dyDescent="0.35">
      <c r="B1043"/>
      <c r="C1043"/>
      <c r="D1043"/>
      <c r="E1043"/>
    </row>
    <row r="1044" spans="2:5" x14ac:dyDescent="0.35">
      <c r="B1044"/>
      <c r="C1044"/>
      <c r="D1044"/>
      <c r="E1044"/>
    </row>
    <row r="1045" spans="2:5" x14ac:dyDescent="0.35">
      <c r="B1045"/>
      <c r="C1045"/>
      <c r="D1045"/>
      <c r="E1045"/>
    </row>
    <row r="1046" spans="2:5" x14ac:dyDescent="0.35">
      <c r="B1046"/>
      <c r="C1046"/>
      <c r="D1046"/>
      <c r="E1046"/>
    </row>
    <row r="1047" spans="2:5" x14ac:dyDescent="0.35">
      <c r="B1047"/>
      <c r="C1047"/>
      <c r="D1047"/>
      <c r="E1047"/>
    </row>
    <row r="1048" spans="2:5" x14ac:dyDescent="0.35">
      <c r="B1048"/>
      <c r="C1048"/>
      <c r="D1048"/>
      <c r="E1048"/>
    </row>
    <row r="1049" spans="2:5" x14ac:dyDescent="0.35">
      <c r="B1049"/>
      <c r="C1049"/>
      <c r="D1049"/>
      <c r="E1049"/>
    </row>
    <row r="1050" spans="2:5" x14ac:dyDescent="0.35">
      <c r="B1050"/>
      <c r="C1050"/>
      <c r="D1050"/>
      <c r="E1050"/>
    </row>
    <row r="1051" spans="2:5" x14ac:dyDescent="0.35">
      <c r="B1051"/>
      <c r="C1051"/>
      <c r="D1051"/>
      <c r="E1051"/>
    </row>
    <row r="1052" spans="2:5" x14ac:dyDescent="0.35">
      <c r="B1052"/>
      <c r="C1052"/>
      <c r="D1052"/>
      <c r="E1052"/>
    </row>
    <row r="1053" spans="2:5" x14ac:dyDescent="0.35">
      <c r="B1053"/>
      <c r="C1053"/>
      <c r="D1053"/>
      <c r="E1053"/>
    </row>
    <row r="1054" spans="2:5" x14ac:dyDescent="0.35">
      <c r="B1054"/>
      <c r="C1054"/>
      <c r="D1054"/>
      <c r="E1054"/>
    </row>
    <row r="1055" spans="2:5" x14ac:dyDescent="0.35">
      <c r="B1055"/>
      <c r="C1055"/>
      <c r="D1055"/>
      <c r="E1055"/>
    </row>
    <row r="1056" spans="2:5" x14ac:dyDescent="0.35">
      <c r="B1056"/>
      <c r="C1056"/>
      <c r="D1056"/>
      <c r="E1056"/>
    </row>
    <row r="1057" spans="2:5" x14ac:dyDescent="0.35">
      <c r="B1057"/>
      <c r="C1057"/>
      <c r="D1057"/>
      <c r="E1057"/>
    </row>
    <row r="1058" spans="2:5" x14ac:dyDescent="0.35">
      <c r="B1058"/>
      <c r="C1058"/>
      <c r="D1058"/>
      <c r="E1058"/>
    </row>
    <row r="1059" spans="2:5" x14ac:dyDescent="0.35">
      <c r="B1059"/>
      <c r="C1059"/>
      <c r="D1059"/>
      <c r="E1059"/>
    </row>
    <row r="1060" spans="2:5" x14ac:dyDescent="0.35">
      <c r="B1060"/>
      <c r="C1060"/>
      <c r="D1060"/>
      <c r="E1060"/>
    </row>
    <row r="1061" spans="2:5" x14ac:dyDescent="0.35">
      <c r="B1061"/>
      <c r="C1061"/>
      <c r="D1061"/>
      <c r="E1061"/>
    </row>
    <row r="1062" spans="2:5" x14ac:dyDescent="0.35">
      <c r="B1062"/>
      <c r="C1062"/>
      <c r="D1062"/>
      <c r="E1062"/>
    </row>
    <row r="1063" spans="2:5" x14ac:dyDescent="0.35">
      <c r="B1063"/>
      <c r="C1063"/>
      <c r="D1063"/>
      <c r="E1063"/>
    </row>
    <row r="1064" spans="2:5" x14ac:dyDescent="0.35">
      <c r="B1064"/>
      <c r="C1064"/>
      <c r="D1064"/>
      <c r="E1064"/>
    </row>
    <row r="1065" spans="2:5" x14ac:dyDescent="0.35">
      <c r="B1065"/>
      <c r="C1065"/>
      <c r="D1065"/>
      <c r="E1065"/>
    </row>
    <row r="1066" spans="2:5" x14ac:dyDescent="0.35">
      <c r="B1066"/>
      <c r="C1066"/>
      <c r="D1066"/>
      <c r="E1066"/>
    </row>
    <row r="1067" spans="2:5" x14ac:dyDescent="0.35">
      <c r="B1067"/>
      <c r="C1067"/>
      <c r="D1067"/>
      <c r="E1067"/>
    </row>
    <row r="1068" spans="2:5" x14ac:dyDescent="0.35">
      <c r="B1068"/>
      <c r="C1068"/>
      <c r="D1068"/>
      <c r="E1068"/>
    </row>
    <row r="1069" spans="2:5" x14ac:dyDescent="0.35">
      <c r="B1069"/>
      <c r="C1069"/>
      <c r="D1069"/>
      <c r="E1069"/>
    </row>
    <row r="1070" spans="2:5" x14ac:dyDescent="0.35">
      <c r="B1070"/>
      <c r="C1070"/>
      <c r="D1070"/>
      <c r="E1070"/>
    </row>
    <row r="1071" spans="2:5" x14ac:dyDescent="0.35">
      <c r="B1071"/>
      <c r="C1071"/>
      <c r="D1071"/>
      <c r="E1071"/>
    </row>
    <row r="1072" spans="2:5" x14ac:dyDescent="0.35">
      <c r="B1072"/>
      <c r="C1072"/>
      <c r="D1072"/>
      <c r="E1072"/>
    </row>
    <row r="1073" spans="2:5" x14ac:dyDescent="0.35">
      <c r="B1073"/>
      <c r="C1073"/>
      <c r="D1073"/>
      <c r="E1073"/>
    </row>
    <row r="1074" spans="2:5" x14ac:dyDescent="0.35">
      <c r="B1074"/>
      <c r="C1074"/>
      <c r="D1074"/>
      <c r="E1074"/>
    </row>
    <row r="1075" spans="2:5" x14ac:dyDescent="0.35">
      <c r="B1075"/>
      <c r="C1075"/>
      <c r="D1075"/>
      <c r="E1075"/>
    </row>
    <row r="1076" spans="2:5" x14ac:dyDescent="0.35">
      <c r="B1076"/>
      <c r="C1076"/>
      <c r="D1076"/>
      <c r="E1076"/>
    </row>
    <row r="1077" spans="2:5" x14ac:dyDescent="0.35">
      <c r="B1077"/>
      <c r="C1077"/>
      <c r="D1077"/>
      <c r="E1077"/>
    </row>
    <row r="1078" spans="2:5" x14ac:dyDescent="0.35">
      <c r="B1078"/>
      <c r="C1078"/>
      <c r="D1078"/>
      <c r="E1078"/>
    </row>
    <row r="1079" spans="2:5" x14ac:dyDescent="0.35">
      <c r="B1079"/>
      <c r="C1079"/>
      <c r="D1079"/>
      <c r="E1079"/>
    </row>
    <row r="1080" spans="2:5" x14ac:dyDescent="0.35">
      <c r="B1080"/>
      <c r="C1080"/>
      <c r="D1080"/>
      <c r="E1080"/>
    </row>
    <row r="1081" spans="2:5" x14ac:dyDescent="0.35">
      <c r="B1081"/>
      <c r="C1081"/>
      <c r="D1081"/>
      <c r="E1081"/>
    </row>
    <row r="1082" spans="2:5" x14ac:dyDescent="0.35">
      <c r="B1082"/>
      <c r="C1082"/>
      <c r="D1082"/>
      <c r="E1082"/>
    </row>
    <row r="1083" spans="2:5" x14ac:dyDescent="0.35">
      <c r="B1083"/>
      <c r="C1083"/>
      <c r="D1083"/>
      <c r="E1083"/>
    </row>
    <row r="1084" spans="2:5" x14ac:dyDescent="0.35">
      <c r="B1084"/>
      <c r="C1084"/>
      <c r="D1084"/>
      <c r="E1084"/>
    </row>
    <row r="1085" spans="2:5" x14ac:dyDescent="0.35">
      <c r="B1085"/>
      <c r="C1085"/>
      <c r="D1085"/>
      <c r="E1085"/>
    </row>
    <row r="1086" spans="2:5" x14ac:dyDescent="0.35">
      <c r="B1086"/>
      <c r="C1086"/>
      <c r="D1086"/>
      <c r="E1086"/>
    </row>
    <row r="1087" spans="2:5" x14ac:dyDescent="0.35">
      <c r="B1087"/>
      <c r="C1087"/>
      <c r="D1087"/>
      <c r="E1087"/>
    </row>
    <row r="1088" spans="2:5" x14ac:dyDescent="0.35">
      <c r="B1088"/>
      <c r="C1088"/>
      <c r="D1088"/>
      <c r="E1088"/>
    </row>
    <row r="1089" spans="2:5" x14ac:dyDescent="0.35">
      <c r="B1089"/>
      <c r="C1089"/>
      <c r="D1089"/>
      <c r="E1089"/>
    </row>
    <row r="1090" spans="2:5" x14ac:dyDescent="0.35">
      <c r="B1090"/>
      <c r="C1090"/>
      <c r="D1090"/>
      <c r="E1090"/>
    </row>
    <row r="1091" spans="2:5" x14ac:dyDescent="0.35">
      <c r="B1091"/>
      <c r="C1091"/>
      <c r="D1091"/>
      <c r="E1091"/>
    </row>
    <row r="1092" spans="2:5" x14ac:dyDescent="0.35">
      <c r="B1092"/>
      <c r="C1092"/>
      <c r="D1092"/>
      <c r="E1092"/>
    </row>
    <row r="1093" spans="2:5" x14ac:dyDescent="0.35">
      <c r="B1093"/>
      <c r="C1093"/>
      <c r="D1093"/>
      <c r="E1093"/>
    </row>
    <row r="1094" spans="2:5" x14ac:dyDescent="0.35">
      <c r="B1094"/>
      <c r="C1094"/>
      <c r="D1094"/>
      <c r="E1094"/>
    </row>
    <row r="1095" spans="2:5" x14ac:dyDescent="0.35">
      <c r="B1095"/>
      <c r="C1095"/>
      <c r="D1095"/>
      <c r="E1095"/>
    </row>
    <row r="1096" spans="2:5" x14ac:dyDescent="0.35">
      <c r="B1096"/>
      <c r="C1096"/>
      <c r="D1096"/>
      <c r="E1096"/>
    </row>
    <row r="1097" spans="2:5" x14ac:dyDescent="0.35">
      <c r="B1097"/>
      <c r="C1097"/>
      <c r="D1097"/>
      <c r="E1097"/>
    </row>
    <row r="1098" spans="2:5" x14ac:dyDescent="0.35">
      <c r="B1098"/>
      <c r="C1098"/>
      <c r="D1098"/>
      <c r="E1098"/>
    </row>
    <row r="1099" spans="2:5" x14ac:dyDescent="0.35">
      <c r="B1099"/>
      <c r="C1099"/>
      <c r="D1099"/>
      <c r="E1099"/>
    </row>
    <row r="1100" spans="2:5" x14ac:dyDescent="0.35">
      <c r="B1100"/>
      <c r="C1100"/>
      <c r="D1100"/>
      <c r="E1100"/>
    </row>
    <row r="1101" spans="2:5" x14ac:dyDescent="0.35">
      <c r="B1101"/>
      <c r="C1101"/>
      <c r="D1101"/>
      <c r="E1101"/>
    </row>
    <row r="1102" spans="2:5" x14ac:dyDescent="0.35">
      <c r="B1102"/>
      <c r="C1102"/>
      <c r="D1102"/>
      <c r="E1102"/>
    </row>
    <row r="1103" spans="2:5" x14ac:dyDescent="0.35">
      <c r="B1103"/>
      <c r="C1103"/>
      <c r="D1103"/>
      <c r="E1103"/>
    </row>
    <row r="1104" spans="2:5" x14ac:dyDescent="0.35">
      <c r="B1104"/>
      <c r="C1104"/>
      <c r="D1104"/>
      <c r="E1104"/>
    </row>
    <row r="1105" spans="2:5" x14ac:dyDescent="0.35">
      <c r="B1105"/>
      <c r="C1105"/>
      <c r="D1105"/>
      <c r="E1105"/>
    </row>
    <row r="1106" spans="2:5" x14ac:dyDescent="0.35">
      <c r="B1106"/>
      <c r="C1106"/>
      <c r="D1106"/>
      <c r="E1106"/>
    </row>
    <row r="1107" spans="2:5" x14ac:dyDescent="0.35">
      <c r="B1107"/>
      <c r="C1107"/>
      <c r="D1107"/>
      <c r="E1107"/>
    </row>
    <row r="1108" spans="2:5" x14ac:dyDescent="0.35">
      <c r="B1108"/>
      <c r="C1108"/>
      <c r="D1108"/>
      <c r="E1108"/>
    </row>
    <row r="1109" spans="2:5" x14ac:dyDescent="0.35">
      <c r="B1109"/>
      <c r="C1109"/>
      <c r="D1109"/>
      <c r="E1109"/>
    </row>
    <row r="1110" spans="2:5" x14ac:dyDescent="0.35">
      <c r="B1110"/>
      <c r="C1110"/>
      <c r="D1110"/>
      <c r="E1110"/>
    </row>
    <row r="1111" spans="2:5" x14ac:dyDescent="0.35">
      <c r="B1111"/>
      <c r="C1111"/>
      <c r="D1111"/>
      <c r="E1111"/>
    </row>
    <row r="1112" spans="2:5" x14ac:dyDescent="0.35">
      <c r="B1112"/>
      <c r="C1112"/>
      <c r="D1112"/>
      <c r="E1112"/>
    </row>
    <row r="1113" spans="2:5" x14ac:dyDescent="0.35">
      <c r="B1113"/>
      <c r="C1113"/>
      <c r="D1113"/>
      <c r="E1113"/>
    </row>
    <row r="1114" spans="2:5" x14ac:dyDescent="0.35">
      <c r="B1114"/>
      <c r="C1114"/>
      <c r="D1114"/>
      <c r="E1114"/>
    </row>
    <row r="1115" spans="2:5" x14ac:dyDescent="0.35">
      <c r="B1115"/>
      <c r="C1115"/>
      <c r="D1115"/>
      <c r="E1115"/>
    </row>
    <row r="1116" spans="2:5" x14ac:dyDescent="0.35">
      <c r="B1116"/>
      <c r="C1116"/>
      <c r="D1116"/>
      <c r="E1116"/>
    </row>
    <row r="1117" spans="2:5" x14ac:dyDescent="0.35">
      <c r="B1117"/>
      <c r="C1117"/>
      <c r="D1117"/>
      <c r="E1117"/>
    </row>
    <row r="1118" spans="2:5" x14ac:dyDescent="0.35">
      <c r="B1118"/>
      <c r="C1118"/>
      <c r="D1118"/>
      <c r="E1118"/>
    </row>
    <row r="1119" spans="2:5" x14ac:dyDescent="0.35">
      <c r="B1119"/>
      <c r="C1119"/>
      <c r="D1119"/>
      <c r="E1119"/>
    </row>
    <row r="1120" spans="2:5" x14ac:dyDescent="0.35">
      <c r="B1120"/>
      <c r="C1120"/>
      <c r="D1120"/>
      <c r="E1120"/>
    </row>
    <row r="1121" spans="2:5" x14ac:dyDescent="0.35">
      <c r="B1121"/>
      <c r="C1121"/>
      <c r="D1121"/>
      <c r="E1121"/>
    </row>
    <row r="1122" spans="2:5" x14ac:dyDescent="0.35">
      <c r="B1122"/>
      <c r="C1122"/>
      <c r="D1122"/>
      <c r="E1122"/>
    </row>
    <row r="1123" spans="2:5" x14ac:dyDescent="0.35">
      <c r="B1123"/>
      <c r="C1123"/>
      <c r="D1123"/>
      <c r="E1123"/>
    </row>
    <row r="1124" spans="2:5" x14ac:dyDescent="0.35">
      <c r="B1124"/>
      <c r="C1124"/>
      <c r="D1124"/>
      <c r="E1124"/>
    </row>
    <row r="1125" spans="2:5" x14ac:dyDescent="0.35">
      <c r="B1125"/>
      <c r="C1125"/>
      <c r="D1125"/>
      <c r="E1125"/>
    </row>
    <row r="1126" spans="2:5" x14ac:dyDescent="0.35">
      <c r="B1126"/>
      <c r="C1126"/>
      <c r="D1126"/>
      <c r="E1126"/>
    </row>
    <row r="1127" spans="2:5" x14ac:dyDescent="0.35">
      <c r="B1127"/>
      <c r="C1127"/>
      <c r="D1127"/>
      <c r="E1127"/>
    </row>
    <row r="1128" spans="2:5" x14ac:dyDescent="0.35">
      <c r="B1128"/>
      <c r="C1128"/>
      <c r="D1128"/>
      <c r="E1128"/>
    </row>
    <row r="1129" spans="2:5" x14ac:dyDescent="0.35">
      <c r="B1129"/>
      <c r="C1129"/>
      <c r="D1129"/>
      <c r="E1129"/>
    </row>
    <row r="1130" spans="2:5" x14ac:dyDescent="0.35">
      <c r="B1130"/>
      <c r="C1130"/>
      <c r="D1130"/>
      <c r="E1130"/>
    </row>
    <row r="1131" spans="2:5" x14ac:dyDescent="0.35">
      <c r="B1131"/>
      <c r="C1131"/>
      <c r="D1131"/>
      <c r="E1131"/>
    </row>
    <row r="1132" spans="2:5" x14ac:dyDescent="0.35">
      <c r="B1132"/>
      <c r="C1132"/>
      <c r="D1132"/>
      <c r="E1132"/>
    </row>
    <row r="1133" spans="2:5" x14ac:dyDescent="0.35">
      <c r="B1133"/>
      <c r="C1133"/>
      <c r="D1133"/>
      <c r="E1133"/>
    </row>
    <row r="1134" spans="2:5" x14ac:dyDescent="0.35">
      <c r="B1134"/>
      <c r="C1134"/>
      <c r="D1134"/>
      <c r="E1134"/>
    </row>
    <row r="1135" spans="2:5" x14ac:dyDescent="0.35">
      <c r="B1135"/>
      <c r="C1135"/>
      <c r="D1135"/>
      <c r="E1135"/>
    </row>
    <row r="1136" spans="2:5" x14ac:dyDescent="0.35">
      <c r="B1136"/>
      <c r="C1136"/>
      <c r="D1136"/>
      <c r="E1136"/>
    </row>
    <row r="1137" spans="2:5" x14ac:dyDescent="0.35">
      <c r="B1137"/>
      <c r="C1137"/>
      <c r="D1137"/>
      <c r="E1137"/>
    </row>
    <row r="1138" spans="2:5" x14ac:dyDescent="0.35">
      <c r="B1138"/>
      <c r="C1138"/>
      <c r="D1138"/>
      <c r="E1138"/>
    </row>
    <row r="1139" spans="2:5" x14ac:dyDescent="0.35">
      <c r="B1139"/>
      <c r="C1139"/>
      <c r="D1139"/>
      <c r="E1139"/>
    </row>
    <row r="1140" spans="2:5" x14ac:dyDescent="0.35">
      <c r="B1140"/>
      <c r="C1140"/>
      <c r="D1140"/>
      <c r="E1140"/>
    </row>
    <row r="1141" spans="2:5" x14ac:dyDescent="0.35">
      <c r="B1141"/>
      <c r="C1141"/>
      <c r="D1141"/>
      <c r="E1141"/>
    </row>
    <row r="1142" spans="2:5" x14ac:dyDescent="0.35">
      <c r="B1142"/>
      <c r="C1142"/>
      <c r="D1142"/>
      <c r="E1142"/>
    </row>
    <row r="1143" spans="2:5" x14ac:dyDescent="0.35">
      <c r="B1143"/>
      <c r="C1143"/>
      <c r="D1143"/>
      <c r="E1143"/>
    </row>
    <row r="1144" spans="2:5" x14ac:dyDescent="0.35">
      <c r="B1144"/>
      <c r="C1144"/>
      <c r="D1144"/>
      <c r="E1144"/>
    </row>
    <row r="1145" spans="2:5" x14ac:dyDescent="0.35">
      <c r="B1145"/>
      <c r="C1145"/>
      <c r="D1145"/>
      <c r="E1145"/>
    </row>
    <row r="1146" spans="2:5" x14ac:dyDescent="0.35">
      <c r="B1146"/>
      <c r="C1146"/>
      <c r="D1146"/>
      <c r="E1146"/>
    </row>
    <row r="1147" spans="2:5" x14ac:dyDescent="0.35">
      <c r="B1147"/>
      <c r="C1147"/>
      <c r="D1147"/>
      <c r="E1147"/>
    </row>
    <row r="1148" spans="2:5" x14ac:dyDescent="0.35">
      <c r="B1148"/>
      <c r="C1148"/>
      <c r="D1148"/>
      <c r="E1148"/>
    </row>
    <row r="1149" spans="2:5" x14ac:dyDescent="0.35">
      <c r="B1149"/>
      <c r="C1149"/>
      <c r="D1149"/>
      <c r="E1149"/>
    </row>
    <row r="1150" spans="2:5" x14ac:dyDescent="0.35">
      <c r="B1150"/>
      <c r="C1150"/>
      <c r="D1150"/>
      <c r="E1150"/>
    </row>
    <row r="1151" spans="2:5" x14ac:dyDescent="0.35">
      <c r="B1151"/>
      <c r="C1151"/>
      <c r="D1151"/>
      <c r="E1151"/>
    </row>
    <row r="1152" spans="2:5" x14ac:dyDescent="0.35">
      <c r="B1152"/>
      <c r="C1152"/>
      <c r="D1152"/>
      <c r="E1152"/>
    </row>
    <row r="1153" spans="2:5" x14ac:dyDescent="0.35">
      <c r="B1153"/>
      <c r="C1153"/>
      <c r="D1153"/>
      <c r="E1153"/>
    </row>
    <row r="1154" spans="2:5" x14ac:dyDescent="0.35">
      <c r="B1154"/>
      <c r="C1154"/>
      <c r="D1154"/>
      <c r="E1154"/>
    </row>
    <row r="1155" spans="2:5" x14ac:dyDescent="0.35">
      <c r="B1155"/>
      <c r="C1155"/>
      <c r="D1155"/>
      <c r="E1155"/>
    </row>
    <row r="1156" spans="2:5" x14ac:dyDescent="0.35">
      <c r="B1156"/>
      <c r="C1156"/>
      <c r="D1156"/>
      <c r="E1156"/>
    </row>
    <row r="1157" spans="2:5" x14ac:dyDescent="0.35">
      <c r="B1157"/>
      <c r="C1157"/>
      <c r="D1157"/>
      <c r="E1157"/>
    </row>
    <row r="1158" spans="2:5" x14ac:dyDescent="0.35">
      <c r="B1158"/>
      <c r="C1158"/>
      <c r="D1158"/>
      <c r="E1158"/>
    </row>
    <row r="1159" spans="2:5" x14ac:dyDescent="0.35">
      <c r="B1159"/>
      <c r="C1159"/>
      <c r="D1159"/>
      <c r="E1159"/>
    </row>
    <row r="1160" spans="2:5" x14ac:dyDescent="0.35">
      <c r="B1160"/>
      <c r="C1160"/>
      <c r="D1160"/>
      <c r="E1160"/>
    </row>
    <row r="1161" spans="2:5" x14ac:dyDescent="0.35">
      <c r="B1161"/>
      <c r="C1161"/>
      <c r="D1161"/>
      <c r="E1161"/>
    </row>
    <row r="1162" spans="2:5" x14ac:dyDescent="0.35">
      <c r="B1162"/>
      <c r="C1162"/>
      <c r="D1162"/>
      <c r="E1162"/>
    </row>
    <row r="1163" spans="2:5" x14ac:dyDescent="0.35">
      <c r="B1163"/>
      <c r="C1163"/>
      <c r="D1163"/>
      <c r="E1163"/>
    </row>
    <row r="1164" spans="2:5" x14ac:dyDescent="0.35">
      <c r="B1164"/>
      <c r="C1164"/>
      <c r="D1164"/>
      <c r="E1164"/>
    </row>
    <row r="1165" spans="2:5" x14ac:dyDescent="0.35">
      <c r="B1165"/>
      <c r="C1165"/>
      <c r="D1165"/>
      <c r="E1165"/>
    </row>
    <row r="1166" spans="2:5" x14ac:dyDescent="0.35">
      <c r="B1166"/>
      <c r="C1166"/>
      <c r="D1166"/>
      <c r="E1166"/>
    </row>
    <row r="1167" spans="2:5" x14ac:dyDescent="0.35">
      <c r="B1167"/>
      <c r="C1167"/>
      <c r="D1167"/>
      <c r="E1167"/>
    </row>
    <row r="1168" spans="2:5" x14ac:dyDescent="0.35">
      <c r="B1168"/>
      <c r="C1168"/>
      <c r="D1168"/>
      <c r="E1168"/>
    </row>
    <row r="1169" spans="2:5" x14ac:dyDescent="0.35">
      <c r="B1169"/>
      <c r="C1169"/>
      <c r="D1169"/>
      <c r="E1169"/>
    </row>
    <row r="1170" spans="2:5" x14ac:dyDescent="0.35">
      <c r="B1170"/>
      <c r="C1170"/>
      <c r="D1170"/>
      <c r="E1170"/>
    </row>
    <row r="1171" spans="2:5" x14ac:dyDescent="0.35">
      <c r="B1171"/>
      <c r="C1171"/>
      <c r="D1171"/>
      <c r="E1171"/>
    </row>
    <row r="1172" spans="2:5" x14ac:dyDescent="0.35">
      <c r="B1172"/>
      <c r="C1172"/>
      <c r="D1172"/>
      <c r="E1172"/>
    </row>
    <row r="1173" spans="2:5" x14ac:dyDescent="0.35">
      <c r="B1173"/>
      <c r="C1173"/>
      <c r="D1173"/>
      <c r="E1173"/>
    </row>
    <row r="1174" spans="2:5" x14ac:dyDescent="0.35">
      <c r="B1174"/>
      <c r="C1174"/>
      <c r="D1174"/>
      <c r="E1174"/>
    </row>
    <row r="1175" spans="2:5" x14ac:dyDescent="0.35">
      <c r="B1175"/>
      <c r="C1175"/>
      <c r="D1175"/>
      <c r="E1175"/>
    </row>
    <row r="1176" spans="2:5" x14ac:dyDescent="0.35">
      <c r="B1176"/>
      <c r="C1176"/>
      <c r="D1176"/>
      <c r="E1176"/>
    </row>
    <row r="1177" spans="2:5" x14ac:dyDescent="0.35">
      <c r="B1177"/>
      <c r="C1177"/>
      <c r="D1177"/>
      <c r="E1177"/>
    </row>
    <row r="1178" spans="2:5" x14ac:dyDescent="0.35">
      <c r="B1178"/>
      <c r="C1178"/>
      <c r="D1178"/>
      <c r="E1178"/>
    </row>
    <row r="1179" spans="2:5" x14ac:dyDescent="0.35">
      <c r="B1179"/>
      <c r="C1179"/>
      <c r="D1179"/>
      <c r="E1179"/>
    </row>
    <row r="1180" spans="2:5" x14ac:dyDescent="0.35">
      <c r="B1180"/>
      <c r="C1180"/>
      <c r="D1180"/>
      <c r="E1180"/>
    </row>
    <row r="1181" spans="2:5" x14ac:dyDescent="0.35">
      <c r="B1181"/>
      <c r="C1181"/>
      <c r="D1181"/>
      <c r="E1181"/>
    </row>
    <row r="1182" spans="2:5" x14ac:dyDescent="0.35">
      <c r="B1182"/>
      <c r="C1182"/>
      <c r="D1182"/>
      <c r="E1182"/>
    </row>
    <row r="1183" spans="2:5" x14ac:dyDescent="0.35">
      <c r="B1183"/>
      <c r="C1183"/>
      <c r="D1183"/>
      <c r="E1183"/>
    </row>
    <row r="1184" spans="2:5" x14ac:dyDescent="0.35">
      <c r="B1184"/>
      <c r="C1184"/>
      <c r="D1184"/>
      <c r="E1184"/>
    </row>
    <row r="1185" spans="2:5" x14ac:dyDescent="0.35">
      <c r="B1185"/>
      <c r="C1185"/>
      <c r="D1185"/>
      <c r="E1185"/>
    </row>
    <row r="1186" spans="2:5" x14ac:dyDescent="0.35">
      <c r="B1186"/>
      <c r="C1186"/>
      <c r="D1186"/>
      <c r="E1186"/>
    </row>
    <row r="1187" spans="2:5" x14ac:dyDescent="0.35">
      <c r="B1187"/>
      <c r="C1187"/>
      <c r="D1187"/>
      <c r="E1187"/>
    </row>
    <row r="1188" spans="2:5" x14ac:dyDescent="0.35">
      <c r="B1188"/>
      <c r="C1188"/>
      <c r="D1188"/>
      <c r="E1188"/>
    </row>
    <row r="1189" spans="2:5" x14ac:dyDescent="0.35">
      <c r="B1189"/>
      <c r="C1189"/>
      <c r="D1189"/>
      <c r="E1189"/>
    </row>
    <row r="1190" spans="2:5" x14ac:dyDescent="0.35">
      <c r="B1190"/>
      <c r="C1190"/>
      <c r="D1190"/>
      <c r="E1190"/>
    </row>
    <row r="1191" spans="2:5" x14ac:dyDescent="0.35">
      <c r="B1191"/>
      <c r="C1191"/>
      <c r="D1191"/>
      <c r="E1191"/>
    </row>
    <row r="1192" spans="2:5" x14ac:dyDescent="0.35">
      <c r="B1192"/>
      <c r="C1192"/>
      <c r="D1192"/>
      <c r="E1192"/>
    </row>
    <row r="1193" spans="2:5" x14ac:dyDescent="0.35">
      <c r="B1193"/>
      <c r="C1193"/>
      <c r="D1193"/>
      <c r="E1193"/>
    </row>
    <row r="1194" spans="2:5" x14ac:dyDescent="0.35">
      <c r="B1194"/>
      <c r="C1194"/>
      <c r="D1194"/>
      <c r="E1194"/>
    </row>
    <row r="1195" spans="2:5" x14ac:dyDescent="0.35">
      <c r="B1195"/>
      <c r="C1195"/>
      <c r="D1195"/>
      <c r="E1195"/>
    </row>
    <row r="1196" spans="2:5" x14ac:dyDescent="0.35">
      <c r="B1196"/>
      <c r="C1196"/>
      <c r="D1196"/>
      <c r="E1196"/>
    </row>
    <row r="1197" spans="2:5" x14ac:dyDescent="0.35">
      <c r="B1197"/>
      <c r="C1197"/>
      <c r="D1197"/>
      <c r="E1197"/>
    </row>
    <row r="1198" spans="2:5" x14ac:dyDescent="0.35">
      <c r="B1198"/>
      <c r="C1198"/>
      <c r="D1198"/>
      <c r="E1198"/>
    </row>
    <row r="1199" spans="2:5" x14ac:dyDescent="0.35">
      <c r="B1199"/>
      <c r="C1199"/>
      <c r="D1199"/>
      <c r="E1199"/>
    </row>
    <row r="1200" spans="2:5" x14ac:dyDescent="0.35">
      <c r="B1200"/>
      <c r="C1200"/>
      <c r="D1200"/>
      <c r="E1200"/>
    </row>
    <row r="1201" spans="2:5" x14ac:dyDescent="0.35">
      <c r="B1201"/>
      <c r="C1201"/>
      <c r="D1201"/>
      <c r="E1201"/>
    </row>
    <row r="1202" spans="2:5" x14ac:dyDescent="0.35">
      <c r="B1202"/>
      <c r="C1202"/>
      <c r="D1202"/>
      <c r="E1202"/>
    </row>
    <row r="1203" spans="2:5" x14ac:dyDescent="0.35">
      <c r="B1203"/>
      <c r="C1203"/>
      <c r="D1203"/>
      <c r="E1203"/>
    </row>
    <row r="1204" spans="2:5" x14ac:dyDescent="0.35">
      <c r="B1204"/>
      <c r="C1204"/>
      <c r="D1204"/>
      <c r="E1204"/>
    </row>
    <row r="1205" spans="2:5" x14ac:dyDescent="0.35">
      <c r="B1205"/>
      <c r="C1205"/>
      <c r="D1205"/>
      <c r="E1205"/>
    </row>
    <row r="1206" spans="2:5" x14ac:dyDescent="0.35">
      <c r="B1206"/>
      <c r="C1206"/>
      <c r="D1206"/>
      <c r="E1206"/>
    </row>
    <row r="1207" spans="2:5" x14ac:dyDescent="0.35">
      <c r="B1207"/>
      <c r="C1207"/>
      <c r="D1207"/>
      <c r="E1207"/>
    </row>
    <row r="1208" spans="2:5" x14ac:dyDescent="0.35">
      <c r="B1208"/>
      <c r="C1208"/>
      <c r="D1208"/>
      <c r="E1208"/>
    </row>
    <row r="1209" spans="2:5" x14ac:dyDescent="0.35">
      <c r="B1209"/>
      <c r="C1209"/>
      <c r="D1209"/>
      <c r="E1209"/>
    </row>
    <row r="1210" spans="2:5" x14ac:dyDescent="0.35">
      <c r="B1210"/>
      <c r="C1210"/>
      <c r="D1210"/>
      <c r="E1210"/>
    </row>
    <row r="1211" spans="2:5" x14ac:dyDescent="0.35">
      <c r="B1211"/>
      <c r="C1211"/>
      <c r="D1211"/>
      <c r="E1211"/>
    </row>
    <row r="1212" spans="2:5" x14ac:dyDescent="0.35">
      <c r="B1212"/>
      <c r="C1212"/>
      <c r="D1212"/>
      <c r="E1212"/>
    </row>
    <row r="1213" spans="2:5" x14ac:dyDescent="0.35">
      <c r="B1213"/>
      <c r="C1213"/>
      <c r="D1213"/>
      <c r="E1213"/>
    </row>
    <row r="1214" spans="2:5" x14ac:dyDescent="0.35">
      <c r="B1214"/>
      <c r="C1214"/>
      <c r="D1214"/>
      <c r="E1214"/>
    </row>
    <row r="1215" spans="2:5" x14ac:dyDescent="0.35">
      <c r="B1215"/>
      <c r="C1215"/>
      <c r="D1215"/>
      <c r="E1215"/>
    </row>
    <row r="1216" spans="2:5" x14ac:dyDescent="0.35">
      <c r="B1216"/>
      <c r="C1216"/>
      <c r="D1216"/>
      <c r="E1216"/>
    </row>
    <row r="1217" spans="2:5" x14ac:dyDescent="0.35">
      <c r="B1217"/>
      <c r="C1217"/>
      <c r="D1217"/>
      <c r="E1217"/>
    </row>
    <row r="1218" spans="2:5" x14ac:dyDescent="0.35">
      <c r="B1218"/>
      <c r="C1218"/>
      <c r="D1218"/>
      <c r="E1218"/>
    </row>
    <row r="1219" spans="2:5" x14ac:dyDescent="0.35">
      <c r="B1219"/>
      <c r="C1219"/>
      <c r="D1219"/>
      <c r="E1219"/>
    </row>
    <row r="1220" spans="2:5" x14ac:dyDescent="0.35">
      <c r="B1220"/>
      <c r="C1220"/>
      <c r="D1220"/>
      <c r="E1220"/>
    </row>
    <row r="1221" spans="2:5" x14ac:dyDescent="0.35">
      <c r="B1221"/>
      <c r="C1221"/>
      <c r="D1221"/>
      <c r="E1221"/>
    </row>
    <row r="1222" spans="2:5" x14ac:dyDescent="0.35">
      <c r="B1222"/>
      <c r="C1222"/>
      <c r="D1222"/>
      <c r="E1222"/>
    </row>
    <row r="1223" spans="2:5" x14ac:dyDescent="0.35">
      <c r="B1223"/>
      <c r="C1223"/>
      <c r="D1223"/>
      <c r="E1223"/>
    </row>
    <row r="1224" spans="2:5" x14ac:dyDescent="0.35">
      <c r="B1224"/>
      <c r="C1224"/>
      <c r="D1224"/>
      <c r="E1224"/>
    </row>
    <row r="1225" spans="2:5" x14ac:dyDescent="0.35">
      <c r="B1225"/>
      <c r="C1225"/>
      <c r="D1225"/>
      <c r="E1225"/>
    </row>
    <row r="1226" spans="2:5" x14ac:dyDescent="0.35">
      <c r="B1226"/>
      <c r="C1226"/>
      <c r="D1226"/>
      <c r="E1226"/>
    </row>
    <row r="1227" spans="2:5" x14ac:dyDescent="0.35">
      <c r="B1227"/>
      <c r="C1227"/>
      <c r="D1227"/>
      <c r="E1227"/>
    </row>
    <row r="1228" spans="2:5" x14ac:dyDescent="0.35">
      <c r="B1228"/>
      <c r="C1228"/>
      <c r="D1228"/>
      <c r="E1228"/>
    </row>
    <row r="1229" spans="2:5" x14ac:dyDescent="0.35">
      <c r="B1229"/>
      <c r="C1229"/>
      <c r="D1229"/>
      <c r="E1229"/>
    </row>
    <row r="1230" spans="2:5" x14ac:dyDescent="0.35">
      <c r="B1230"/>
      <c r="C1230"/>
      <c r="D1230"/>
      <c r="E1230"/>
    </row>
    <row r="1231" spans="2:5" x14ac:dyDescent="0.35">
      <c r="B1231"/>
      <c r="C1231"/>
      <c r="D1231"/>
      <c r="E1231"/>
    </row>
    <row r="1232" spans="2:5" x14ac:dyDescent="0.35">
      <c r="B1232"/>
      <c r="C1232"/>
      <c r="D1232"/>
      <c r="E1232"/>
    </row>
    <row r="1233" spans="2:5" x14ac:dyDescent="0.35">
      <c r="B1233"/>
      <c r="C1233"/>
      <c r="D1233"/>
      <c r="E1233"/>
    </row>
    <row r="1234" spans="2:5" x14ac:dyDescent="0.35">
      <c r="B1234"/>
      <c r="C1234"/>
      <c r="D1234"/>
      <c r="E1234"/>
    </row>
    <row r="1235" spans="2:5" x14ac:dyDescent="0.35">
      <c r="B1235"/>
      <c r="C1235"/>
      <c r="D1235"/>
      <c r="E1235"/>
    </row>
    <row r="1236" spans="2:5" x14ac:dyDescent="0.35">
      <c r="B1236"/>
      <c r="C1236"/>
      <c r="D1236"/>
      <c r="E1236"/>
    </row>
    <row r="1237" spans="2:5" x14ac:dyDescent="0.35">
      <c r="B1237"/>
      <c r="C1237"/>
      <c r="D1237"/>
      <c r="E1237"/>
    </row>
    <row r="1238" spans="2:5" x14ac:dyDescent="0.35">
      <c r="B1238"/>
      <c r="C1238"/>
      <c r="D1238"/>
      <c r="E1238"/>
    </row>
    <row r="1239" spans="2:5" x14ac:dyDescent="0.35">
      <c r="B1239"/>
      <c r="C1239"/>
      <c r="D1239"/>
      <c r="E1239"/>
    </row>
    <row r="1240" spans="2:5" x14ac:dyDescent="0.35">
      <c r="B1240"/>
      <c r="C1240"/>
      <c r="D1240"/>
      <c r="E1240"/>
    </row>
    <row r="1241" spans="2:5" x14ac:dyDescent="0.35">
      <c r="B1241"/>
      <c r="C1241"/>
      <c r="D1241"/>
      <c r="E1241"/>
    </row>
    <row r="1242" spans="2:5" x14ac:dyDescent="0.35">
      <c r="B1242"/>
      <c r="C1242"/>
      <c r="D1242"/>
      <c r="E1242"/>
    </row>
    <row r="1243" spans="2:5" x14ac:dyDescent="0.35">
      <c r="B1243"/>
      <c r="C1243"/>
      <c r="D1243"/>
      <c r="E1243"/>
    </row>
    <row r="1244" spans="2:5" x14ac:dyDescent="0.35">
      <c r="B1244"/>
      <c r="C1244"/>
      <c r="D1244"/>
      <c r="E1244"/>
    </row>
    <row r="1245" spans="2:5" x14ac:dyDescent="0.35">
      <c r="B1245"/>
      <c r="C1245"/>
      <c r="D1245"/>
      <c r="E1245"/>
    </row>
    <row r="1246" spans="2:5" x14ac:dyDescent="0.35">
      <c r="B1246"/>
      <c r="C1246"/>
      <c r="D1246"/>
      <c r="E1246"/>
    </row>
    <row r="1247" spans="2:5" x14ac:dyDescent="0.35">
      <c r="B1247"/>
      <c r="C1247"/>
      <c r="D1247"/>
      <c r="E1247"/>
    </row>
    <row r="1248" spans="2:5" x14ac:dyDescent="0.35">
      <c r="B1248"/>
      <c r="C1248"/>
      <c r="D1248"/>
      <c r="E1248"/>
    </row>
    <row r="1249" spans="2:5" x14ac:dyDescent="0.35">
      <c r="B1249"/>
      <c r="C1249"/>
      <c r="D1249"/>
      <c r="E1249"/>
    </row>
    <row r="1250" spans="2:5" x14ac:dyDescent="0.35">
      <c r="B1250"/>
      <c r="C1250"/>
      <c r="D1250"/>
      <c r="E1250"/>
    </row>
    <row r="1251" spans="2:5" x14ac:dyDescent="0.35">
      <c r="B1251"/>
      <c r="C1251"/>
      <c r="D1251"/>
      <c r="E1251"/>
    </row>
    <row r="1252" spans="2:5" x14ac:dyDescent="0.35">
      <c r="B1252"/>
      <c r="C1252"/>
      <c r="D1252"/>
      <c r="E1252"/>
    </row>
    <row r="1253" spans="2:5" x14ac:dyDescent="0.35">
      <c r="B1253"/>
      <c r="C1253"/>
      <c r="D1253"/>
      <c r="E1253"/>
    </row>
    <row r="1254" spans="2:5" x14ac:dyDescent="0.35">
      <c r="B1254"/>
      <c r="C1254"/>
      <c r="D1254"/>
      <c r="E1254"/>
    </row>
    <row r="1255" spans="2:5" x14ac:dyDescent="0.35">
      <c r="B1255"/>
      <c r="C1255"/>
      <c r="D1255"/>
      <c r="E1255"/>
    </row>
    <row r="1256" spans="2:5" x14ac:dyDescent="0.35">
      <c r="B1256"/>
      <c r="C1256"/>
      <c r="D1256"/>
      <c r="E1256"/>
    </row>
    <row r="1257" spans="2:5" x14ac:dyDescent="0.35">
      <c r="B1257"/>
      <c r="C1257"/>
      <c r="D1257"/>
      <c r="E1257"/>
    </row>
    <row r="1258" spans="2:5" x14ac:dyDescent="0.35">
      <c r="B1258"/>
      <c r="C1258"/>
      <c r="D1258"/>
      <c r="E1258"/>
    </row>
    <row r="1259" spans="2:5" x14ac:dyDescent="0.35">
      <c r="B1259"/>
      <c r="C1259"/>
      <c r="D1259"/>
      <c r="E1259"/>
    </row>
    <row r="1260" spans="2:5" x14ac:dyDescent="0.35">
      <c r="B1260"/>
      <c r="C1260"/>
      <c r="D1260"/>
      <c r="E1260"/>
    </row>
    <row r="1261" spans="2:5" x14ac:dyDescent="0.35">
      <c r="B1261"/>
      <c r="C1261"/>
      <c r="D1261"/>
      <c r="E1261"/>
    </row>
    <row r="1262" spans="2:5" x14ac:dyDescent="0.35">
      <c r="B1262"/>
      <c r="C1262"/>
      <c r="D1262"/>
      <c r="E1262"/>
    </row>
    <row r="1263" spans="2:5" x14ac:dyDescent="0.35">
      <c r="B1263"/>
      <c r="C1263"/>
      <c r="D1263"/>
      <c r="E1263"/>
    </row>
    <row r="1264" spans="2:5" x14ac:dyDescent="0.35">
      <c r="B1264"/>
      <c r="C1264"/>
      <c r="D1264"/>
      <c r="E1264"/>
    </row>
    <row r="1265" spans="2:5" x14ac:dyDescent="0.35">
      <c r="B1265"/>
      <c r="C1265"/>
      <c r="D1265"/>
      <c r="E1265"/>
    </row>
    <row r="1266" spans="2:5" x14ac:dyDescent="0.35">
      <c r="B1266"/>
      <c r="C1266"/>
      <c r="D1266"/>
      <c r="E1266"/>
    </row>
    <row r="1267" spans="2:5" x14ac:dyDescent="0.35">
      <c r="B1267"/>
      <c r="C1267"/>
      <c r="D1267"/>
      <c r="E1267"/>
    </row>
    <row r="1268" spans="2:5" x14ac:dyDescent="0.35">
      <c r="B1268"/>
      <c r="C1268"/>
      <c r="D1268"/>
      <c r="E1268"/>
    </row>
    <row r="1269" spans="2:5" x14ac:dyDescent="0.35">
      <c r="B1269"/>
      <c r="C1269"/>
      <c r="D1269"/>
      <c r="E1269"/>
    </row>
    <row r="1270" spans="2:5" x14ac:dyDescent="0.35">
      <c r="B1270"/>
      <c r="C1270"/>
      <c r="D1270"/>
      <c r="E1270"/>
    </row>
    <row r="1271" spans="2:5" x14ac:dyDescent="0.35">
      <c r="B1271"/>
      <c r="C1271"/>
      <c r="D1271"/>
      <c r="E1271"/>
    </row>
    <row r="1272" spans="2:5" x14ac:dyDescent="0.35">
      <c r="B1272"/>
      <c r="C1272"/>
      <c r="D1272"/>
      <c r="E1272"/>
    </row>
    <row r="1273" spans="2:5" x14ac:dyDescent="0.35">
      <c r="B1273"/>
      <c r="C1273"/>
      <c r="D1273"/>
      <c r="E1273"/>
    </row>
    <row r="1274" spans="2:5" x14ac:dyDescent="0.35">
      <c r="B1274"/>
      <c r="C1274"/>
      <c r="D1274"/>
      <c r="E1274"/>
    </row>
    <row r="1275" spans="2:5" x14ac:dyDescent="0.35">
      <c r="B1275"/>
      <c r="C1275"/>
      <c r="D1275"/>
      <c r="E1275"/>
    </row>
    <row r="1276" spans="2:5" x14ac:dyDescent="0.35">
      <c r="B1276"/>
      <c r="C1276"/>
      <c r="D1276"/>
      <c r="E1276"/>
    </row>
    <row r="1277" spans="2:5" x14ac:dyDescent="0.35">
      <c r="B1277"/>
      <c r="C1277"/>
      <c r="D1277"/>
      <c r="E1277"/>
    </row>
    <row r="1278" spans="2:5" x14ac:dyDescent="0.35">
      <c r="B1278"/>
      <c r="C1278"/>
      <c r="D1278"/>
      <c r="E1278"/>
    </row>
    <row r="1279" spans="2:5" x14ac:dyDescent="0.35">
      <c r="B1279"/>
      <c r="C1279"/>
      <c r="D1279"/>
      <c r="E1279"/>
    </row>
    <row r="1280" spans="2:5" x14ac:dyDescent="0.35">
      <c r="B1280"/>
      <c r="C1280"/>
      <c r="D1280"/>
      <c r="E1280"/>
    </row>
    <row r="1281" spans="2:5" x14ac:dyDescent="0.35">
      <c r="B1281"/>
      <c r="C1281"/>
      <c r="D1281"/>
      <c r="E1281"/>
    </row>
    <row r="1282" spans="2:5" x14ac:dyDescent="0.35">
      <c r="B1282"/>
      <c r="C1282"/>
      <c r="D1282"/>
      <c r="E1282"/>
    </row>
    <row r="1283" spans="2:5" x14ac:dyDescent="0.35">
      <c r="B1283"/>
      <c r="C1283"/>
      <c r="D1283"/>
      <c r="E1283"/>
    </row>
    <row r="1284" spans="2:5" x14ac:dyDescent="0.35">
      <c r="B1284"/>
      <c r="C1284"/>
      <c r="D1284"/>
      <c r="E1284"/>
    </row>
    <row r="1285" spans="2:5" x14ac:dyDescent="0.35">
      <c r="B1285"/>
      <c r="C1285"/>
      <c r="D1285"/>
      <c r="E1285"/>
    </row>
    <row r="1286" spans="2:5" x14ac:dyDescent="0.35">
      <c r="B1286"/>
      <c r="C1286"/>
      <c r="D1286"/>
      <c r="E1286"/>
    </row>
    <row r="1287" spans="2:5" x14ac:dyDescent="0.35">
      <c r="B1287"/>
      <c r="C1287"/>
      <c r="D1287"/>
      <c r="E1287"/>
    </row>
    <row r="1288" spans="2:5" x14ac:dyDescent="0.35">
      <c r="B1288"/>
      <c r="C1288"/>
      <c r="D1288"/>
      <c r="E1288"/>
    </row>
    <row r="1289" spans="2:5" x14ac:dyDescent="0.35">
      <c r="B1289"/>
      <c r="C1289"/>
      <c r="D1289"/>
      <c r="E1289"/>
    </row>
    <row r="1290" spans="2:5" x14ac:dyDescent="0.35">
      <c r="B1290"/>
      <c r="C1290"/>
      <c r="D1290"/>
      <c r="E1290"/>
    </row>
    <row r="1291" spans="2:5" x14ac:dyDescent="0.35">
      <c r="B1291"/>
      <c r="C1291"/>
      <c r="D1291"/>
      <c r="E1291"/>
    </row>
    <row r="1292" spans="2:5" x14ac:dyDescent="0.35">
      <c r="B1292"/>
      <c r="C1292"/>
      <c r="D1292"/>
      <c r="E1292"/>
    </row>
    <row r="1293" spans="2:5" x14ac:dyDescent="0.35">
      <c r="B1293"/>
      <c r="C1293"/>
      <c r="D1293"/>
      <c r="E1293"/>
    </row>
    <row r="1294" spans="2:5" x14ac:dyDescent="0.35">
      <c r="B1294"/>
      <c r="C1294"/>
      <c r="D1294"/>
      <c r="E1294"/>
    </row>
    <row r="1295" spans="2:5" x14ac:dyDescent="0.35">
      <c r="B1295"/>
      <c r="C1295"/>
      <c r="D1295"/>
      <c r="E1295"/>
    </row>
    <row r="1296" spans="2:5" x14ac:dyDescent="0.35">
      <c r="B1296"/>
      <c r="C1296"/>
      <c r="D1296"/>
      <c r="E1296"/>
    </row>
    <row r="1297" spans="2:5" x14ac:dyDescent="0.35">
      <c r="B1297"/>
      <c r="C1297"/>
      <c r="D1297"/>
      <c r="E1297"/>
    </row>
    <row r="1298" spans="2:5" x14ac:dyDescent="0.35">
      <c r="B1298"/>
      <c r="C1298"/>
      <c r="D1298"/>
      <c r="E1298"/>
    </row>
    <row r="1299" spans="2:5" x14ac:dyDescent="0.35">
      <c r="B1299"/>
      <c r="C1299"/>
      <c r="D1299"/>
      <c r="E1299"/>
    </row>
    <row r="1300" spans="2:5" x14ac:dyDescent="0.35">
      <c r="B1300"/>
      <c r="C1300"/>
      <c r="D1300"/>
      <c r="E1300"/>
    </row>
    <row r="1301" spans="2:5" x14ac:dyDescent="0.35">
      <c r="B1301"/>
      <c r="C1301"/>
      <c r="D1301"/>
      <c r="E1301"/>
    </row>
    <row r="1302" spans="2:5" x14ac:dyDescent="0.35">
      <c r="B1302"/>
      <c r="C1302"/>
      <c r="D1302"/>
      <c r="E1302"/>
    </row>
    <row r="1303" spans="2:5" x14ac:dyDescent="0.35">
      <c r="B1303"/>
      <c r="C1303"/>
      <c r="D1303"/>
      <c r="E1303"/>
    </row>
    <row r="1304" spans="2:5" x14ac:dyDescent="0.35">
      <c r="B1304"/>
      <c r="C1304"/>
      <c r="D1304"/>
      <c r="E1304"/>
    </row>
    <row r="1305" spans="2:5" x14ac:dyDescent="0.35">
      <c r="B1305"/>
      <c r="C1305"/>
      <c r="D1305"/>
      <c r="E1305"/>
    </row>
    <row r="1306" spans="2:5" x14ac:dyDescent="0.35">
      <c r="B1306"/>
      <c r="C1306"/>
      <c r="D1306"/>
      <c r="E1306"/>
    </row>
    <row r="1307" spans="2:5" x14ac:dyDescent="0.35">
      <c r="B1307"/>
      <c r="C1307"/>
      <c r="D1307"/>
      <c r="E1307"/>
    </row>
    <row r="1308" spans="2:5" x14ac:dyDescent="0.35">
      <c r="B1308"/>
      <c r="C1308"/>
      <c r="D1308"/>
      <c r="E1308"/>
    </row>
    <row r="1309" spans="2:5" x14ac:dyDescent="0.35">
      <c r="B1309"/>
      <c r="C1309"/>
      <c r="D1309"/>
      <c r="E1309"/>
    </row>
    <row r="1310" spans="2:5" x14ac:dyDescent="0.35">
      <c r="B1310"/>
      <c r="C1310"/>
      <c r="D1310"/>
      <c r="E1310"/>
    </row>
    <row r="1311" spans="2:5" x14ac:dyDescent="0.35">
      <c r="B1311"/>
      <c r="C1311"/>
      <c r="D1311"/>
      <c r="E1311"/>
    </row>
    <row r="1312" spans="2:5" x14ac:dyDescent="0.35">
      <c r="B1312"/>
      <c r="C1312"/>
      <c r="D1312"/>
      <c r="E1312"/>
    </row>
    <row r="1313" spans="2:5" x14ac:dyDescent="0.35">
      <c r="B1313"/>
      <c r="C1313"/>
      <c r="D1313"/>
      <c r="E1313"/>
    </row>
    <row r="1314" spans="2:5" x14ac:dyDescent="0.35">
      <c r="B1314"/>
      <c r="C1314"/>
      <c r="D1314"/>
      <c r="E1314"/>
    </row>
    <row r="1315" spans="2:5" x14ac:dyDescent="0.35">
      <c r="B1315"/>
      <c r="C1315"/>
      <c r="D1315"/>
      <c r="E1315"/>
    </row>
    <row r="1316" spans="2:5" x14ac:dyDescent="0.35">
      <c r="B1316"/>
      <c r="C1316"/>
      <c r="D1316"/>
      <c r="E1316"/>
    </row>
    <row r="1317" spans="2:5" x14ac:dyDescent="0.35">
      <c r="B1317"/>
      <c r="C1317"/>
      <c r="D1317"/>
      <c r="E1317"/>
    </row>
    <row r="1318" spans="2:5" x14ac:dyDescent="0.35">
      <c r="B1318"/>
      <c r="C1318"/>
      <c r="D1318"/>
      <c r="E1318"/>
    </row>
    <row r="1319" spans="2:5" x14ac:dyDescent="0.35">
      <c r="B1319"/>
      <c r="C1319"/>
      <c r="D1319"/>
      <c r="E1319"/>
    </row>
    <row r="1320" spans="2:5" x14ac:dyDescent="0.35">
      <c r="B1320"/>
      <c r="C1320"/>
      <c r="D1320"/>
      <c r="E1320"/>
    </row>
    <row r="1321" spans="2:5" x14ac:dyDescent="0.35">
      <c r="B1321"/>
      <c r="C1321"/>
      <c r="D1321"/>
      <c r="E1321"/>
    </row>
    <row r="1322" spans="2:5" x14ac:dyDescent="0.35">
      <c r="B1322"/>
      <c r="C1322"/>
      <c r="D1322"/>
      <c r="E1322"/>
    </row>
    <row r="1323" spans="2:5" x14ac:dyDescent="0.35">
      <c r="B1323"/>
      <c r="C1323"/>
      <c r="D1323"/>
      <c r="E1323"/>
    </row>
    <row r="1324" spans="2:5" x14ac:dyDescent="0.35">
      <c r="B1324"/>
      <c r="C1324"/>
      <c r="D1324"/>
      <c r="E1324"/>
    </row>
    <row r="1325" spans="2:5" x14ac:dyDescent="0.35">
      <c r="B1325"/>
      <c r="C1325"/>
      <c r="D1325"/>
      <c r="E1325"/>
    </row>
    <row r="1326" spans="2:5" x14ac:dyDescent="0.35">
      <c r="B1326"/>
      <c r="C1326"/>
      <c r="D1326"/>
      <c r="E1326"/>
    </row>
    <row r="1327" spans="2:5" x14ac:dyDescent="0.35">
      <c r="B1327"/>
      <c r="C1327"/>
      <c r="D1327"/>
      <c r="E1327"/>
    </row>
    <row r="1328" spans="2:5" x14ac:dyDescent="0.35">
      <c r="B1328"/>
      <c r="C1328"/>
      <c r="D1328"/>
      <c r="E1328"/>
    </row>
    <row r="1329" spans="2:5" x14ac:dyDescent="0.35">
      <c r="B1329"/>
      <c r="C1329"/>
      <c r="D1329"/>
      <c r="E1329"/>
    </row>
    <row r="1330" spans="2:5" x14ac:dyDescent="0.35">
      <c r="B1330"/>
      <c r="C1330"/>
      <c r="D1330"/>
      <c r="E1330"/>
    </row>
    <row r="1331" spans="2:5" x14ac:dyDescent="0.35">
      <c r="B1331"/>
      <c r="C1331"/>
      <c r="D1331"/>
      <c r="E1331"/>
    </row>
    <row r="1332" spans="2:5" x14ac:dyDescent="0.35">
      <c r="B1332"/>
      <c r="C1332"/>
      <c r="D1332"/>
      <c r="E1332"/>
    </row>
    <row r="1333" spans="2:5" x14ac:dyDescent="0.35">
      <c r="B1333"/>
      <c r="C1333"/>
      <c r="D1333"/>
      <c r="E1333"/>
    </row>
    <row r="1334" spans="2:5" x14ac:dyDescent="0.35">
      <c r="B1334"/>
      <c r="C1334"/>
      <c r="D1334"/>
      <c r="E1334"/>
    </row>
    <row r="1335" spans="2:5" x14ac:dyDescent="0.35">
      <c r="B1335"/>
      <c r="C1335"/>
      <c r="D1335"/>
      <c r="E1335"/>
    </row>
    <row r="1336" spans="2:5" x14ac:dyDescent="0.35">
      <c r="B1336"/>
      <c r="C1336"/>
      <c r="D1336"/>
      <c r="E1336"/>
    </row>
    <row r="1337" spans="2:5" x14ac:dyDescent="0.35">
      <c r="B1337"/>
      <c r="C1337"/>
      <c r="D1337"/>
      <c r="E1337"/>
    </row>
    <row r="1338" spans="2:5" x14ac:dyDescent="0.35">
      <c r="B1338"/>
      <c r="C1338"/>
      <c r="D1338"/>
      <c r="E1338"/>
    </row>
    <row r="1339" spans="2:5" x14ac:dyDescent="0.35">
      <c r="B1339"/>
      <c r="C1339"/>
      <c r="D1339"/>
      <c r="E1339"/>
    </row>
    <row r="1340" spans="2:5" x14ac:dyDescent="0.35">
      <c r="B1340"/>
      <c r="C1340"/>
      <c r="D1340"/>
      <c r="E1340"/>
    </row>
    <row r="1341" spans="2:5" x14ac:dyDescent="0.35">
      <c r="B1341"/>
      <c r="C1341"/>
      <c r="D1341"/>
      <c r="E1341"/>
    </row>
    <row r="1342" spans="2:5" x14ac:dyDescent="0.35">
      <c r="B1342"/>
      <c r="C1342"/>
      <c r="D1342"/>
      <c r="E1342"/>
    </row>
    <row r="1343" spans="2:5" x14ac:dyDescent="0.35">
      <c r="B1343"/>
      <c r="C1343"/>
      <c r="D1343"/>
      <c r="E1343"/>
    </row>
    <row r="1344" spans="2:5" x14ac:dyDescent="0.35">
      <c r="B1344"/>
      <c r="C1344"/>
      <c r="D1344"/>
      <c r="E1344"/>
    </row>
    <row r="1345" spans="2:5" x14ac:dyDescent="0.35">
      <c r="B1345"/>
      <c r="C1345"/>
      <c r="D1345"/>
      <c r="E1345"/>
    </row>
    <row r="1346" spans="2:5" x14ac:dyDescent="0.35">
      <c r="B1346"/>
      <c r="C1346"/>
      <c r="D1346"/>
      <c r="E1346"/>
    </row>
    <row r="1347" spans="2:5" x14ac:dyDescent="0.35">
      <c r="B1347"/>
      <c r="C1347"/>
      <c r="D1347"/>
      <c r="E1347"/>
    </row>
    <row r="1348" spans="2:5" x14ac:dyDescent="0.35">
      <c r="B1348"/>
      <c r="C1348"/>
      <c r="D1348"/>
      <c r="E1348"/>
    </row>
    <row r="1349" spans="2:5" x14ac:dyDescent="0.35">
      <c r="B1349"/>
      <c r="C1349"/>
      <c r="D1349"/>
      <c r="E1349"/>
    </row>
    <row r="1350" spans="2:5" x14ac:dyDescent="0.35">
      <c r="B1350"/>
      <c r="C1350"/>
      <c r="D1350"/>
      <c r="E1350"/>
    </row>
    <row r="1351" spans="2:5" x14ac:dyDescent="0.35">
      <c r="B1351"/>
      <c r="C1351"/>
      <c r="D1351"/>
      <c r="E1351"/>
    </row>
    <row r="1352" spans="2:5" x14ac:dyDescent="0.35">
      <c r="B1352"/>
      <c r="C1352"/>
      <c r="D1352"/>
      <c r="E1352"/>
    </row>
    <row r="1353" spans="2:5" x14ac:dyDescent="0.35">
      <c r="B1353"/>
      <c r="C1353"/>
      <c r="D1353"/>
      <c r="E1353"/>
    </row>
    <row r="1354" spans="2:5" x14ac:dyDescent="0.35">
      <c r="B1354"/>
      <c r="C1354"/>
      <c r="D1354"/>
      <c r="E1354"/>
    </row>
    <row r="1355" spans="2:5" x14ac:dyDescent="0.35">
      <c r="B1355"/>
      <c r="C1355"/>
      <c r="D1355"/>
      <c r="E1355"/>
    </row>
    <row r="1356" spans="2:5" x14ac:dyDescent="0.35">
      <c r="B1356"/>
      <c r="C1356"/>
      <c r="D1356"/>
      <c r="E1356"/>
    </row>
    <row r="1357" spans="2:5" x14ac:dyDescent="0.35">
      <c r="B1357"/>
      <c r="C1357"/>
      <c r="D1357"/>
      <c r="E1357"/>
    </row>
    <row r="1358" spans="2:5" x14ac:dyDescent="0.35">
      <c r="B1358"/>
      <c r="C1358"/>
      <c r="D1358"/>
      <c r="E1358"/>
    </row>
    <row r="1359" spans="2:5" x14ac:dyDescent="0.35">
      <c r="B1359"/>
      <c r="C1359"/>
      <c r="D1359"/>
      <c r="E1359"/>
    </row>
    <row r="1360" spans="2:5" x14ac:dyDescent="0.35">
      <c r="B1360"/>
      <c r="C1360"/>
      <c r="D1360"/>
      <c r="E1360"/>
    </row>
    <row r="1361" spans="2:5" x14ac:dyDescent="0.35">
      <c r="B1361"/>
      <c r="C1361"/>
      <c r="D1361"/>
      <c r="E1361"/>
    </row>
    <row r="1362" spans="2:5" x14ac:dyDescent="0.35">
      <c r="B1362"/>
      <c r="C1362"/>
      <c r="D1362"/>
      <c r="E1362"/>
    </row>
    <row r="1363" spans="2:5" x14ac:dyDescent="0.35">
      <c r="B1363"/>
      <c r="C1363"/>
      <c r="D1363"/>
      <c r="E1363"/>
    </row>
    <row r="1364" spans="2:5" x14ac:dyDescent="0.35">
      <c r="B1364"/>
      <c r="C1364"/>
      <c r="D1364"/>
      <c r="E1364"/>
    </row>
    <row r="1365" spans="2:5" x14ac:dyDescent="0.35">
      <c r="B1365"/>
      <c r="C1365"/>
      <c r="D1365"/>
      <c r="E1365"/>
    </row>
    <row r="1366" spans="2:5" x14ac:dyDescent="0.35">
      <c r="B1366"/>
      <c r="C1366"/>
      <c r="D1366"/>
      <c r="E1366"/>
    </row>
    <row r="1367" spans="2:5" x14ac:dyDescent="0.35">
      <c r="B1367"/>
      <c r="C1367"/>
      <c r="D1367"/>
      <c r="E1367"/>
    </row>
    <row r="1368" spans="2:5" x14ac:dyDescent="0.35">
      <c r="B1368"/>
      <c r="C1368"/>
      <c r="D1368"/>
      <c r="E1368"/>
    </row>
    <row r="1369" spans="2:5" x14ac:dyDescent="0.35">
      <c r="B1369"/>
      <c r="C1369"/>
      <c r="D1369"/>
      <c r="E1369"/>
    </row>
    <row r="1370" spans="2:5" x14ac:dyDescent="0.35">
      <c r="B1370"/>
      <c r="C1370"/>
      <c r="D1370"/>
      <c r="E1370"/>
    </row>
    <row r="1371" spans="2:5" x14ac:dyDescent="0.35">
      <c r="B1371"/>
      <c r="C1371"/>
      <c r="D1371"/>
      <c r="E1371"/>
    </row>
    <row r="1372" spans="2:5" x14ac:dyDescent="0.35">
      <c r="B1372"/>
      <c r="C1372"/>
      <c r="D1372"/>
      <c r="E1372"/>
    </row>
    <row r="1373" spans="2:5" x14ac:dyDescent="0.35">
      <c r="B1373"/>
      <c r="C1373"/>
      <c r="D1373"/>
      <c r="E1373"/>
    </row>
    <row r="1374" spans="2:5" x14ac:dyDescent="0.35">
      <c r="B1374"/>
      <c r="C1374"/>
      <c r="D1374"/>
      <c r="E1374"/>
    </row>
    <row r="1375" spans="2:5" x14ac:dyDescent="0.35">
      <c r="B1375"/>
      <c r="C1375"/>
      <c r="D1375"/>
      <c r="E1375"/>
    </row>
    <row r="1376" spans="2:5" x14ac:dyDescent="0.35">
      <c r="B1376"/>
      <c r="C1376"/>
      <c r="D1376"/>
      <c r="E1376"/>
    </row>
    <row r="1377" spans="2:5" x14ac:dyDescent="0.35">
      <c r="B1377"/>
      <c r="C1377"/>
      <c r="D1377"/>
      <c r="E1377"/>
    </row>
    <row r="1378" spans="2:5" x14ac:dyDescent="0.35">
      <c r="B1378"/>
      <c r="C1378"/>
      <c r="D1378"/>
      <c r="E1378"/>
    </row>
    <row r="1379" spans="2:5" x14ac:dyDescent="0.35">
      <c r="B1379"/>
      <c r="C1379"/>
      <c r="D1379"/>
      <c r="E1379"/>
    </row>
    <row r="1380" spans="2:5" x14ac:dyDescent="0.35">
      <c r="B1380"/>
      <c r="C1380"/>
      <c r="D1380"/>
      <c r="E1380"/>
    </row>
    <row r="1381" spans="2:5" x14ac:dyDescent="0.35">
      <c r="B1381"/>
      <c r="C1381"/>
      <c r="D1381"/>
      <c r="E1381"/>
    </row>
    <row r="1382" spans="2:5" x14ac:dyDescent="0.35">
      <c r="B1382"/>
      <c r="C1382"/>
      <c r="D1382"/>
      <c r="E1382"/>
    </row>
    <row r="1383" spans="2:5" x14ac:dyDescent="0.35">
      <c r="B1383"/>
      <c r="C1383"/>
      <c r="D1383"/>
      <c r="E1383"/>
    </row>
    <row r="1384" spans="2:5" x14ac:dyDescent="0.35">
      <c r="B1384"/>
      <c r="C1384"/>
      <c r="D1384"/>
      <c r="E1384"/>
    </row>
    <row r="1385" spans="2:5" x14ac:dyDescent="0.35">
      <c r="B1385"/>
      <c r="C1385"/>
      <c r="D1385"/>
      <c r="E1385"/>
    </row>
    <row r="1386" spans="2:5" x14ac:dyDescent="0.35">
      <c r="B1386"/>
      <c r="C1386"/>
      <c r="D1386"/>
      <c r="E1386"/>
    </row>
    <row r="1387" spans="2:5" x14ac:dyDescent="0.35">
      <c r="B1387"/>
      <c r="C1387"/>
      <c r="D1387"/>
      <c r="E1387"/>
    </row>
    <row r="1388" spans="2:5" x14ac:dyDescent="0.35">
      <c r="B1388"/>
      <c r="C1388"/>
      <c r="D1388"/>
      <c r="E1388"/>
    </row>
    <row r="1389" spans="2:5" x14ac:dyDescent="0.35">
      <c r="B1389"/>
      <c r="C1389"/>
      <c r="D1389"/>
      <c r="E1389"/>
    </row>
    <row r="1390" spans="2:5" x14ac:dyDescent="0.35">
      <c r="B1390"/>
      <c r="C1390"/>
      <c r="D1390"/>
      <c r="E1390"/>
    </row>
    <row r="1391" spans="2:5" x14ac:dyDescent="0.35">
      <c r="B1391"/>
      <c r="C1391"/>
      <c r="D1391"/>
      <c r="E1391"/>
    </row>
    <row r="1392" spans="2:5" x14ac:dyDescent="0.35">
      <c r="B1392"/>
      <c r="C1392"/>
      <c r="D1392"/>
      <c r="E1392"/>
    </row>
    <row r="1393" spans="2:5" x14ac:dyDescent="0.35">
      <c r="B1393"/>
      <c r="C1393"/>
      <c r="D1393"/>
      <c r="E1393"/>
    </row>
    <row r="1394" spans="2:5" x14ac:dyDescent="0.35">
      <c r="B1394"/>
      <c r="C1394"/>
      <c r="D1394"/>
      <c r="E1394"/>
    </row>
    <row r="1395" spans="2:5" x14ac:dyDescent="0.35">
      <c r="B1395"/>
      <c r="C1395"/>
      <c r="D1395"/>
      <c r="E1395"/>
    </row>
    <row r="1396" spans="2:5" x14ac:dyDescent="0.35">
      <c r="B1396"/>
      <c r="C1396"/>
      <c r="D1396"/>
      <c r="E1396"/>
    </row>
    <row r="1397" spans="2:5" x14ac:dyDescent="0.35">
      <c r="B1397"/>
      <c r="C1397"/>
      <c r="D1397"/>
      <c r="E1397"/>
    </row>
    <row r="1398" spans="2:5" x14ac:dyDescent="0.35">
      <c r="B1398"/>
      <c r="C1398"/>
      <c r="D1398"/>
      <c r="E1398"/>
    </row>
    <row r="1399" spans="2:5" x14ac:dyDescent="0.35">
      <c r="B1399"/>
      <c r="C1399"/>
      <c r="D1399"/>
      <c r="E1399"/>
    </row>
    <row r="1400" spans="2:5" x14ac:dyDescent="0.35">
      <c r="B1400"/>
      <c r="C1400"/>
      <c r="D1400"/>
      <c r="E1400"/>
    </row>
    <row r="1401" spans="2:5" x14ac:dyDescent="0.35">
      <c r="B1401"/>
      <c r="C1401"/>
      <c r="D1401"/>
      <c r="E1401"/>
    </row>
    <row r="1402" spans="2:5" x14ac:dyDescent="0.35">
      <c r="B1402"/>
      <c r="C1402"/>
      <c r="D1402"/>
      <c r="E1402"/>
    </row>
    <row r="1403" spans="2:5" x14ac:dyDescent="0.35">
      <c r="B1403"/>
      <c r="C1403"/>
      <c r="D1403"/>
      <c r="E1403"/>
    </row>
    <row r="1404" spans="2:5" x14ac:dyDescent="0.35">
      <c r="B1404"/>
      <c r="C1404"/>
      <c r="D1404"/>
      <c r="E1404"/>
    </row>
    <row r="1405" spans="2:5" x14ac:dyDescent="0.35">
      <c r="B1405"/>
      <c r="C1405"/>
      <c r="D1405"/>
      <c r="E1405"/>
    </row>
    <row r="1406" spans="2:5" x14ac:dyDescent="0.35">
      <c r="B1406"/>
      <c r="C1406"/>
      <c r="D1406"/>
      <c r="E1406"/>
    </row>
    <row r="1407" spans="2:5" x14ac:dyDescent="0.35">
      <c r="B1407"/>
      <c r="C1407"/>
      <c r="D1407"/>
      <c r="E1407"/>
    </row>
    <row r="1408" spans="2:5" x14ac:dyDescent="0.35">
      <c r="B1408"/>
      <c r="C1408"/>
      <c r="D1408"/>
      <c r="E1408"/>
    </row>
    <row r="1409" spans="2:5" x14ac:dyDescent="0.35">
      <c r="B1409"/>
      <c r="C1409"/>
      <c r="D1409"/>
      <c r="E1409"/>
    </row>
    <row r="1410" spans="2:5" x14ac:dyDescent="0.35">
      <c r="B1410"/>
      <c r="C1410"/>
      <c r="D1410"/>
      <c r="E1410"/>
    </row>
    <row r="1411" spans="2:5" x14ac:dyDescent="0.35">
      <c r="B1411"/>
      <c r="C1411"/>
      <c r="D1411"/>
      <c r="E1411"/>
    </row>
    <row r="1412" spans="2:5" x14ac:dyDescent="0.35">
      <c r="B1412"/>
      <c r="C1412"/>
      <c r="D1412"/>
      <c r="E1412"/>
    </row>
    <row r="1413" spans="2:5" x14ac:dyDescent="0.35">
      <c r="B1413"/>
      <c r="C1413"/>
      <c r="D1413"/>
      <c r="E1413"/>
    </row>
    <row r="1414" spans="2:5" x14ac:dyDescent="0.35">
      <c r="B1414"/>
      <c r="C1414"/>
      <c r="D1414"/>
      <c r="E1414"/>
    </row>
    <row r="1415" spans="2:5" x14ac:dyDescent="0.35">
      <c r="B1415"/>
      <c r="C1415"/>
      <c r="D1415"/>
      <c r="E1415"/>
    </row>
    <row r="1416" spans="2:5" x14ac:dyDescent="0.35">
      <c r="B1416"/>
      <c r="C1416"/>
      <c r="D1416"/>
      <c r="E1416"/>
    </row>
    <row r="1417" spans="2:5" x14ac:dyDescent="0.35">
      <c r="B1417"/>
      <c r="C1417"/>
      <c r="D1417"/>
      <c r="E1417"/>
    </row>
    <row r="1418" spans="2:5" x14ac:dyDescent="0.35">
      <c r="B1418"/>
      <c r="C1418"/>
      <c r="D1418"/>
      <c r="E1418"/>
    </row>
    <row r="1419" spans="2:5" x14ac:dyDescent="0.35">
      <c r="B1419"/>
      <c r="C1419"/>
      <c r="D1419"/>
      <c r="E1419"/>
    </row>
    <row r="1420" spans="2:5" x14ac:dyDescent="0.35">
      <c r="B1420"/>
      <c r="C1420"/>
      <c r="D1420"/>
      <c r="E1420"/>
    </row>
    <row r="1421" spans="2:5" x14ac:dyDescent="0.35">
      <c r="B1421"/>
      <c r="C1421"/>
      <c r="D1421"/>
      <c r="E1421"/>
    </row>
    <row r="1422" spans="2:5" x14ac:dyDescent="0.35">
      <c r="B1422"/>
      <c r="C1422"/>
      <c r="D1422"/>
      <c r="E1422"/>
    </row>
    <row r="1423" spans="2:5" x14ac:dyDescent="0.35">
      <c r="B1423"/>
      <c r="C1423"/>
      <c r="D1423"/>
      <c r="E1423"/>
    </row>
    <row r="1424" spans="2:5" x14ac:dyDescent="0.35">
      <c r="B1424"/>
      <c r="C1424"/>
      <c r="D1424"/>
      <c r="E1424"/>
    </row>
    <row r="1425" spans="2:5" x14ac:dyDescent="0.35">
      <c r="B1425"/>
      <c r="C1425"/>
      <c r="D1425"/>
      <c r="E1425"/>
    </row>
    <row r="1426" spans="2:5" x14ac:dyDescent="0.35">
      <c r="B1426"/>
      <c r="C1426"/>
      <c r="D1426"/>
      <c r="E1426"/>
    </row>
    <row r="1427" spans="2:5" x14ac:dyDescent="0.35">
      <c r="B1427"/>
      <c r="C1427"/>
      <c r="D1427"/>
      <c r="E1427"/>
    </row>
    <row r="1428" spans="2:5" x14ac:dyDescent="0.35">
      <c r="B1428"/>
      <c r="C1428"/>
      <c r="D1428"/>
      <c r="E1428"/>
    </row>
    <row r="1429" spans="2:5" x14ac:dyDescent="0.35">
      <c r="B1429"/>
      <c r="C1429"/>
      <c r="D1429"/>
      <c r="E1429"/>
    </row>
    <row r="1430" spans="2:5" x14ac:dyDescent="0.35">
      <c r="B1430"/>
      <c r="C1430"/>
      <c r="D1430"/>
      <c r="E1430"/>
    </row>
    <row r="1431" spans="2:5" x14ac:dyDescent="0.35">
      <c r="B1431"/>
      <c r="C1431"/>
      <c r="D1431"/>
      <c r="E1431"/>
    </row>
    <row r="1432" spans="2:5" x14ac:dyDescent="0.35">
      <c r="B1432"/>
      <c r="C1432"/>
      <c r="D1432"/>
      <c r="E1432"/>
    </row>
    <row r="1433" spans="2:5" x14ac:dyDescent="0.35">
      <c r="B1433"/>
      <c r="C1433"/>
      <c r="D1433"/>
      <c r="E1433"/>
    </row>
    <row r="1434" spans="2:5" x14ac:dyDescent="0.35">
      <c r="B1434"/>
      <c r="C1434"/>
      <c r="D1434"/>
      <c r="E1434"/>
    </row>
    <row r="1435" spans="2:5" x14ac:dyDescent="0.35">
      <c r="B1435"/>
      <c r="C1435"/>
      <c r="D1435"/>
      <c r="E1435"/>
    </row>
    <row r="1436" spans="2:5" x14ac:dyDescent="0.35">
      <c r="B1436"/>
      <c r="C1436"/>
      <c r="D1436"/>
      <c r="E1436"/>
    </row>
    <row r="1437" spans="2:5" x14ac:dyDescent="0.35">
      <c r="B1437"/>
      <c r="C1437"/>
      <c r="D1437"/>
      <c r="E1437"/>
    </row>
    <row r="1438" spans="2:5" x14ac:dyDescent="0.35">
      <c r="B1438"/>
      <c r="C1438"/>
      <c r="D1438"/>
      <c r="E1438"/>
    </row>
    <row r="1439" spans="2:5" x14ac:dyDescent="0.35">
      <c r="B1439"/>
      <c r="C1439"/>
      <c r="D1439"/>
      <c r="E1439"/>
    </row>
    <row r="1440" spans="2:5" x14ac:dyDescent="0.35">
      <c r="B1440"/>
      <c r="C1440"/>
      <c r="D1440"/>
      <c r="E1440"/>
    </row>
    <row r="1441" spans="2:5" x14ac:dyDescent="0.35">
      <c r="B1441"/>
      <c r="C1441"/>
      <c r="D1441"/>
      <c r="E1441"/>
    </row>
    <row r="1442" spans="2:5" x14ac:dyDescent="0.35">
      <c r="B1442"/>
      <c r="C1442"/>
      <c r="D1442"/>
      <c r="E1442"/>
    </row>
    <row r="1443" spans="2:5" x14ac:dyDescent="0.35">
      <c r="B1443"/>
      <c r="C1443"/>
      <c r="D1443"/>
      <c r="E1443"/>
    </row>
    <row r="1444" spans="2:5" x14ac:dyDescent="0.35">
      <c r="B1444"/>
      <c r="C1444"/>
      <c r="D1444"/>
      <c r="E1444"/>
    </row>
    <row r="1445" spans="2:5" x14ac:dyDescent="0.35">
      <c r="B1445"/>
      <c r="C1445"/>
      <c r="D1445"/>
      <c r="E1445"/>
    </row>
    <row r="1446" spans="2:5" x14ac:dyDescent="0.35">
      <c r="B1446"/>
      <c r="C1446"/>
      <c r="D1446"/>
      <c r="E1446"/>
    </row>
    <row r="1447" spans="2:5" x14ac:dyDescent="0.35">
      <c r="B1447"/>
      <c r="C1447"/>
      <c r="D1447"/>
      <c r="E1447"/>
    </row>
    <row r="1448" spans="2:5" x14ac:dyDescent="0.35">
      <c r="B1448"/>
      <c r="C1448"/>
      <c r="D1448"/>
      <c r="E1448"/>
    </row>
    <row r="1449" spans="2:5" x14ac:dyDescent="0.35">
      <c r="B1449"/>
      <c r="C1449"/>
      <c r="D1449"/>
      <c r="E1449"/>
    </row>
    <row r="1450" spans="2:5" x14ac:dyDescent="0.35">
      <c r="B1450"/>
      <c r="C1450"/>
      <c r="D1450"/>
      <c r="E1450"/>
    </row>
    <row r="1451" spans="2:5" x14ac:dyDescent="0.35">
      <c r="B1451"/>
      <c r="C1451"/>
      <c r="D1451"/>
      <c r="E1451"/>
    </row>
    <row r="1452" spans="2:5" x14ac:dyDescent="0.35">
      <c r="B1452"/>
      <c r="C1452"/>
      <c r="D1452"/>
      <c r="E1452"/>
    </row>
    <row r="1453" spans="2:5" x14ac:dyDescent="0.35">
      <c r="B1453"/>
      <c r="C1453"/>
      <c r="D1453"/>
      <c r="E1453"/>
    </row>
    <row r="1454" spans="2:5" x14ac:dyDescent="0.35">
      <c r="B1454"/>
      <c r="C1454"/>
      <c r="D1454"/>
      <c r="E1454"/>
    </row>
    <row r="1455" spans="2:5" x14ac:dyDescent="0.35">
      <c r="B1455"/>
      <c r="C1455"/>
      <c r="D1455"/>
      <c r="E1455"/>
    </row>
    <row r="1456" spans="2:5" x14ac:dyDescent="0.35">
      <c r="B1456"/>
      <c r="C1456"/>
      <c r="D1456"/>
      <c r="E1456"/>
    </row>
    <row r="1457" spans="2:5" x14ac:dyDescent="0.35">
      <c r="B1457"/>
      <c r="C1457"/>
      <c r="D1457"/>
      <c r="E1457"/>
    </row>
    <row r="1458" spans="2:5" x14ac:dyDescent="0.35">
      <c r="B1458"/>
      <c r="C1458"/>
      <c r="D1458"/>
      <c r="E1458"/>
    </row>
    <row r="1459" spans="2:5" x14ac:dyDescent="0.35">
      <c r="B1459"/>
      <c r="C1459"/>
      <c r="D1459"/>
      <c r="E1459"/>
    </row>
    <row r="1460" spans="2:5" x14ac:dyDescent="0.35">
      <c r="B1460"/>
      <c r="C1460"/>
      <c r="D1460"/>
      <c r="E1460"/>
    </row>
    <row r="1461" spans="2:5" x14ac:dyDescent="0.35">
      <c r="B1461"/>
      <c r="C1461"/>
      <c r="D1461"/>
      <c r="E1461"/>
    </row>
    <row r="1462" spans="2:5" x14ac:dyDescent="0.35">
      <c r="B1462"/>
      <c r="C1462"/>
      <c r="D1462"/>
      <c r="E1462"/>
    </row>
    <row r="1463" spans="2:5" x14ac:dyDescent="0.35">
      <c r="B1463"/>
      <c r="C1463"/>
      <c r="D1463"/>
      <c r="E1463"/>
    </row>
    <row r="1464" spans="2:5" x14ac:dyDescent="0.35">
      <c r="B1464"/>
      <c r="C1464"/>
      <c r="D1464"/>
      <c r="E1464"/>
    </row>
    <row r="1465" spans="2:5" x14ac:dyDescent="0.35">
      <c r="B1465"/>
      <c r="C1465"/>
      <c r="D1465"/>
      <c r="E1465"/>
    </row>
    <row r="1466" spans="2:5" x14ac:dyDescent="0.35">
      <c r="B1466"/>
      <c r="C1466"/>
      <c r="D1466"/>
      <c r="E1466"/>
    </row>
    <row r="1467" spans="2:5" x14ac:dyDescent="0.35">
      <c r="B1467"/>
      <c r="C1467"/>
      <c r="D1467"/>
      <c r="E1467"/>
    </row>
    <row r="1468" spans="2:5" x14ac:dyDescent="0.35">
      <c r="B1468"/>
      <c r="C1468"/>
      <c r="D1468"/>
      <c r="E1468"/>
    </row>
    <row r="1469" spans="2:5" x14ac:dyDescent="0.35">
      <c r="B1469"/>
      <c r="C1469"/>
      <c r="D1469"/>
      <c r="E1469"/>
    </row>
    <row r="1470" spans="2:5" x14ac:dyDescent="0.35">
      <c r="B1470"/>
      <c r="C1470"/>
      <c r="D1470"/>
      <c r="E1470"/>
    </row>
    <row r="1471" spans="2:5" x14ac:dyDescent="0.35">
      <c r="B1471"/>
      <c r="C1471"/>
      <c r="D1471"/>
      <c r="E1471"/>
    </row>
    <row r="1472" spans="2:5" x14ac:dyDescent="0.35">
      <c r="B1472"/>
      <c r="C1472"/>
      <c r="D1472"/>
      <c r="E1472"/>
    </row>
    <row r="1473" spans="2:5" x14ac:dyDescent="0.35">
      <c r="B1473"/>
      <c r="C1473"/>
      <c r="D1473"/>
      <c r="E1473"/>
    </row>
    <row r="1474" spans="2:5" x14ac:dyDescent="0.35">
      <c r="B1474"/>
      <c r="C1474"/>
      <c r="D1474"/>
      <c r="E1474"/>
    </row>
    <row r="1475" spans="2:5" x14ac:dyDescent="0.35">
      <c r="B1475"/>
      <c r="C1475"/>
      <c r="D1475"/>
      <c r="E1475"/>
    </row>
    <row r="1476" spans="2:5" x14ac:dyDescent="0.35">
      <c r="B1476"/>
      <c r="C1476"/>
      <c r="D1476"/>
      <c r="E1476"/>
    </row>
    <row r="1477" spans="2:5" x14ac:dyDescent="0.35">
      <c r="B1477"/>
      <c r="C1477"/>
      <c r="D1477"/>
      <c r="E1477"/>
    </row>
    <row r="1478" spans="2:5" x14ac:dyDescent="0.35">
      <c r="B1478"/>
      <c r="C1478"/>
      <c r="D1478"/>
      <c r="E1478"/>
    </row>
    <row r="1479" spans="2:5" x14ac:dyDescent="0.35">
      <c r="B1479"/>
      <c r="C1479"/>
      <c r="D1479"/>
      <c r="E1479"/>
    </row>
    <row r="1480" spans="2:5" x14ac:dyDescent="0.35">
      <c r="B1480"/>
      <c r="C1480"/>
      <c r="D1480"/>
      <c r="E1480"/>
    </row>
    <row r="1481" spans="2:5" x14ac:dyDescent="0.35">
      <c r="B1481"/>
      <c r="C1481"/>
      <c r="D1481"/>
      <c r="E1481"/>
    </row>
    <row r="1482" spans="2:5" x14ac:dyDescent="0.35">
      <c r="B1482"/>
      <c r="C1482"/>
      <c r="D1482"/>
      <c r="E1482"/>
    </row>
    <row r="1483" spans="2:5" x14ac:dyDescent="0.35">
      <c r="B1483"/>
      <c r="C1483"/>
      <c r="D1483"/>
      <c r="E1483"/>
    </row>
    <row r="1484" spans="2:5" x14ac:dyDescent="0.35">
      <c r="B1484"/>
      <c r="C1484"/>
      <c r="D1484"/>
      <c r="E1484"/>
    </row>
    <row r="1485" spans="2:5" x14ac:dyDescent="0.35">
      <c r="B1485"/>
      <c r="C1485"/>
      <c r="D1485"/>
      <c r="E1485"/>
    </row>
    <row r="1486" spans="2:5" x14ac:dyDescent="0.35">
      <c r="B1486"/>
      <c r="C1486"/>
      <c r="D1486"/>
      <c r="E1486"/>
    </row>
    <row r="1487" spans="2:5" x14ac:dyDescent="0.35">
      <c r="B1487"/>
      <c r="C1487"/>
      <c r="D1487"/>
      <c r="E1487"/>
    </row>
    <row r="1488" spans="2:5" x14ac:dyDescent="0.35">
      <c r="B1488"/>
      <c r="C1488"/>
      <c r="D1488"/>
      <c r="E1488"/>
    </row>
    <row r="1489" spans="2:5" x14ac:dyDescent="0.35">
      <c r="B1489"/>
      <c r="C1489"/>
      <c r="D1489"/>
      <c r="E1489"/>
    </row>
    <row r="1490" spans="2:5" x14ac:dyDescent="0.35">
      <c r="B1490"/>
      <c r="C1490"/>
      <c r="D1490"/>
      <c r="E1490"/>
    </row>
    <row r="1491" spans="2:5" x14ac:dyDescent="0.35">
      <c r="B1491"/>
      <c r="C1491"/>
      <c r="D1491"/>
      <c r="E1491"/>
    </row>
    <row r="1492" spans="2:5" x14ac:dyDescent="0.35">
      <c r="B1492"/>
      <c r="C1492"/>
      <c r="D1492"/>
      <c r="E1492"/>
    </row>
    <row r="1493" spans="2:5" x14ac:dyDescent="0.35">
      <c r="B1493"/>
      <c r="C1493"/>
      <c r="D1493"/>
      <c r="E1493"/>
    </row>
    <row r="1494" spans="2:5" x14ac:dyDescent="0.35">
      <c r="B1494"/>
      <c r="C1494"/>
      <c r="D1494"/>
      <c r="E1494"/>
    </row>
    <row r="1495" spans="2:5" x14ac:dyDescent="0.35">
      <c r="B1495"/>
      <c r="C1495"/>
      <c r="D1495"/>
      <c r="E1495"/>
    </row>
    <row r="1496" spans="2:5" x14ac:dyDescent="0.35">
      <c r="B1496"/>
      <c r="C1496"/>
      <c r="D1496"/>
      <c r="E1496"/>
    </row>
    <row r="1497" spans="2:5" x14ac:dyDescent="0.35">
      <c r="B1497"/>
      <c r="C1497"/>
      <c r="D1497"/>
      <c r="E1497"/>
    </row>
    <row r="1498" spans="2:5" x14ac:dyDescent="0.35">
      <c r="B1498"/>
      <c r="C1498"/>
      <c r="D1498"/>
      <c r="E1498"/>
    </row>
    <row r="1499" spans="2:5" x14ac:dyDescent="0.35">
      <c r="B1499"/>
      <c r="C1499"/>
      <c r="D1499"/>
      <c r="E1499"/>
    </row>
    <row r="1500" spans="2:5" x14ac:dyDescent="0.35">
      <c r="B1500"/>
      <c r="C1500"/>
      <c r="D1500"/>
      <c r="E1500"/>
    </row>
    <row r="1501" spans="2:5" x14ac:dyDescent="0.35">
      <c r="B1501"/>
      <c r="C1501"/>
      <c r="D1501"/>
      <c r="E1501"/>
    </row>
    <row r="1502" spans="2:5" x14ac:dyDescent="0.35">
      <c r="B1502"/>
      <c r="C1502"/>
      <c r="D1502"/>
      <c r="E1502"/>
    </row>
    <row r="1503" spans="2:5" x14ac:dyDescent="0.35">
      <c r="B1503"/>
      <c r="C1503"/>
      <c r="D1503"/>
      <c r="E1503"/>
    </row>
    <row r="1504" spans="2:5" x14ac:dyDescent="0.35">
      <c r="B1504"/>
      <c r="C1504"/>
      <c r="D1504"/>
      <c r="E1504"/>
    </row>
    <row r="1505" spans="2:5" x14ac:dyDescent="0.35">
      <c r="B1505"/>
      <c r="C1505"/>
      <c r="D1505"/>
      <c r="E1505"/>
    </row>
    <row r="1506" spans="2:5" x14ac:dyDescent="0.35">
      <c r="B1506"/>
      <c r="C1506"/>
      <c r="D1506"/>
      <c r="E1506"/>
    </row>
    <row r="1507" spans="2:5" x14ac:dyDescent="0.35">
      <c r="B1507"/>
      <c r="C1507"/>
      <c r="D1507"/>
      <c r="E1507"/>
    </row>
    <row r="1508" spans="2:5" x14ac:dyDescent="0.35">
      <c r="B1508"/>
      <c r="C1508"/>
      <c r="D1508"/>
      <c r="E1508"/>
    </row>
    <row r="1509" spans="2:5" x14ac:dyDescent="0.35">
      <c r="B1509"/>
      <c r="C1509"/>
      <c r="D1509"/>
      <c r="E1509"/>
    </row>
    <row r="1510" spans="2:5" x14ac:dyDescent="0.35">
      <c r="B1510"/>
      <c r="C1510"/>
      <c r="D1510"/>
      <c r="E1510"/>
    </row>
    <row r="1511" spans="2:5" x14ac:dyDescent="0.35">
      <c r="B1511"/>
      <c r="C1511"/>
      <c r="D1511"/>
      <c r="E1511"/>
    </row>
    <row r="1512" spans="2:5" x14ac:dyDescent="0.35">
      <c r="B1512"/>
      <c r="C1512"/>
      <c r="D1512"/>
      <c r="E1512"/>
    </row>
    <row r="1513" spans="2:5" x14ac:dyDescent="0.35">
      <c r="B1513"/>
      <c r="C1513"/>
      <c r="D1513"/>
      <c r="E1513"/>
    </row>
    <row r="1514" spans="2:5" x14ac:dyDescent="0.35">
      <c r="B1514"/>
      <c r="C1514"/>
      <c r="D1514"/>
      <c r="E1514"/>
    </row>
    <row r="1515" spans="2:5" x14ac:dyDescent="0.35">
      <c r="B1515"/>
      <c r="C1515"/>
      <c r="D1515"/>
      <c r="E1515"/>
    </row>
    <row r="1516" spans="2:5" x14ac:dyDescent="0.35">
      <c r="B1516"/>
      <c r="C1516"/>
      <c r="D1516"/>
      <c r="E1516"/>
    </row>
    <row r="1517" spans="2:5" x14ac:dyDescent="0.35">
      <c r="B1517"/>
      <c r="C1517"/>
      <c r="D1517"/>
      <c r="E1517"/>
    </row>
    <row r="1518" spans="2:5" x14ac:dyDescent="0.35">
      <c r="B1518"/>
      <c r="C1518"/>
      <c r="D1518"/>
      <c r="E1518"/>
    </row>
    <row r="1519" spans="2:5" x14ac:dyDescent="0.35">
      <c r="B1519"/>
      <c r="C1519"/>
      <c r="D1519"/>
      <c r="E1519"/>
    </row>
    <row r="1520" spans="2:5" x14ac:dyDescent="0.35">
      <c r="B1520"/>
      <c r="C1520"/>
      <c r="D1520"/>
      <c r="E1520"/>
    </row>
    <row r="1521" spans="2:5" x14ac:dyDescent="0.35">
      <c r="B1521"/>
      <c r="C1521"/>
      <c r="D1521"/>
      <c r="E1521"/>
    </row>
    <row r="1522" spans="2:5" x14ac:dyDescent="0.35">
      <c r="B1522"/>
      <c r="C1522"/>
      <c r="D1522"/>
      <c r="E1522"/>
    </row>
    <row r="1523" spans="2:5" x14ac:dyDescent="0.35">
      <c r="B1523"/>
      <c r="C1523"/>
      <c r="D1523"/>
      <c r="E1523"/>
    </row>
    <row r="1524" spans="2:5" x14ac:dyDescent="0.35">
      <c r="B1524"/>
      <c r="C1524"/>
      <c r="D1524"/>
      <c r="E1524"/>
    </row>
    <row r="1525" spans="2:5" x14ac:dyDescent="0.35">
      <c r="B1525"/>
      <c r="C1525"/>
      <c r="D1525"/>
      <c r="E1525"/>
    </row>
    <row r="1526" spans="2:5" x14ac:dyDescent="0.35">
      <c r="B1526"/>
      <c r="C1526"/>
      <c r="D1526"/>
      <c r="E1526"/>
    </row>
    <row r="1527" spans="2:5" x14ac:dyDescent="0.35">
      <c r="B1527"/>
      <c r="C1527"/>
      <c r="D1527"/>
      <c r="E1527"/>
    </row>
    <row r="1528" spans="2:5" x14ac:dyDescent="0.35">
      <c r="B1528"/>
      <c r="C1528"/>
      <c r="D1528"/>
      <c r="E1528"/>
    </row>
    <row r="1529" spans="2:5" x14ac:dyDescent="0.35">
      <c r="B1529"/>
      <c r="C1529"/>
      <c r="D1529"/>
      <c r="E1529"/>
    </row>
    <row r="1530" spans="2:5" x14ac:dyDescent="0.35">
      <c r="B1530"/>
      <c r="C1530"/>
      <c r="D1530"/>
      <c r="E1530"/>
    </row>
    <row r="1531" spans="2:5" x14ac:dyDescent="0.35">
      <c r="B1531"/>
      <c r="C1531"/>
      <c r="D1531"/>
      <c r="E1531"/>
    </row>
    <row r="1532" spans="2:5" x14ac:dyDescent="0.35">
      <c r="B1532"/>
      <c r="C1532"/>
      <c r="D1532"/>
      <c r="E1532"/>
    </row>
    <row r="1533" spans="2:5" x14ac:dyDescent="0.35">
      <c r="B1533"/>
      <c r="C1533"/>
      <c r="D1533"/>
      <c r="E1533"/>
    </row>
    <row r="1534" spans="2:5" x14ac:dyDescent="0.35">
      <c r="B1534"/>
      <c r="C1534"/>
      <c r="D1534"/>
      <c r="E1534"/>
    </row>
    <row r="1535" spans="2:5" x14ac:dyDescent="0.35">
      <c r="B1535"/>
      <c r="C1535"/>
      <c r="D1535"/>
      <c r="E1535"/>
    </row>
    <row r="1536" spans="2:5" x14ac:dyDescent="0.35">
      <c r="B1536"/>
      <c r="C1536"/>
      <c r="D1536"/>
      <c r="E1536"/>
    </row>
    <row r="1537" spans="2:5" x14ac:dyDescent="0.35">
      <c r="B1537"/>
      <c r="C1537"/>
      <c r="D1537"/>
      <c r="E1537"/>
    </row>
    <row r="1538" spans="2:5" x14ac:dyDescent="0.35">
      <c r="B1538"/>
      <c r="C1538"/>
      <c r="D1538"/>
      <c r="E1538"/>
    </row>
    <row r="1539" spans="2:5" x14ac:dyDescent="0.35">
      <c r="B1539"/>
      <c r="C1539"/>
      <c r="D1539"/>
      <c r="E1539"/>
    </row>
    <row r="1540" spans="2:5" x14ac:dyDescent="0.35">
      <c r="B1540"/>
      <c r="C1540"/>
      <c r="D1540"/>
      <c r="E1540"/>
    </row>
    <row r="1541" spans="2:5" x14ac:dyDescent="0.35">
      <c r="B1541"/>
      <c r="C1541"/>
      <c r="D1541"/>
      <c r="E1541"/>
    </row>
    <row r="1542" spans="2:5" x14ac:dyDescent="0.35">
      <c r="B1542"/>
      <c r="C1542"/>
      <c r="D1542"/>
      <c r="E1542"/>
    </row>
    <row r="1543" spans="2:5" x14ac:dyDescent="0.35">
      <c r="B1543"/>
      <c r="C1543"/>
      <c r="D1543"/>
      <c r="E1543"/>
    </row>
    <row r="1544" spans="2:5" x14ac:dyDescent="0.35">
      <c r="B1544"/>
      <c r="C1544"/>
      <c r="D1544"/>
      <c r="E1544"/>
    </row>
    <row r="1545" spans="2:5" x14ac:dyDescent="0.35">
      <c r="B1545"/>
      <c r="C1545"/>
      <c r="D1545"/>
      <c r="E1545"/>
    </row>
    <row r="1546" spans="2:5" x14ac:dyDescent="0.35">
      <c r="B1546"/>
      <c r="C1546"/>
      <c r="D1546"/>
      <c r="E1546"/>
    </row>
    <row r="1547" spans="2:5" x14ac:dyDescent="0.35">
      <c r="B1547"/>
      <c r="C1547"/>
      <c r="D1547"/>
      <c r="E1547"/>
    </row>
    <row r="1548" spans="2:5" x14ac:dyDescent="0.35">
      <c r="B1548"/>
      <c r="C1548"/>
      <c r="D1548"/>
      <c r="E1548"/>
    </row>
    <row r="1549" spans="2:5" x14ac:dyDescent="0.35">
      <c r="B1549"/>
      <c r="C1549"/>
      <c r="D1549"/>
      <c r="E1549"/>
    </row>
    <row r="1550" spans="2:5" x14ac:dyDescent="0.35">
      <c r="B1550"/>
      <c r="C1550"/>
      <c r="D1550"/>
      <c r="E1550"/>
    </row>
    <row r="1551" spans="2:5" x14ac:dyDescent="0.35">
      <c r="B1551"/>
      <c r="C1551"/>
      <c r="D1551"/>
      <c r="E1551"/>
    </row>
    <row r="1552" spans="2:5" x14ac:dyDescent="0.35">
      <c r="B1552"/>
      <c r="C1552"/>
      <c r="D1552"/>
      <c r="E1552"/>
    </row>
    <row r="1553" spans="2:5" x14ac:dyDescent="0.35">
      <c r="B1553"/>
      <c r="C1553"/>
      <c r="D1553"/>
      <c r="E1553"/>
    </row>
    <row r="1554" spans="2:5" x14ac:dyDescent="0.35">
      <c r="B1554"/>
      <c r="C1554"/>
      <c r="D1554"/>
      <c r="E1554"/>
    </row>
    <row r="1555" spans="2:5" x14ac:dyDescent="0.35">
      <c r="B1555"/>
      <c r="C1555"/>
      <c r="D1555"/>
      <c r="E1555"/>
    </row>
    <row r="1556" spans="2:5" x14ac:dyDescent="0.35">
      <c r="B1556"/>
      <c r="C1556"/>
      <c r="D1556"/>
      <c r="E1556"/>
    </row>
    <row r="1557" spans="2:5" x14ac:dyDescent="0.35">
      <c r="B1557"/>
      <c r="C1557"/>
      <c r="D1557"/>
      <c r="E1557"/>
    </row>
    <row r="1558" spans="2:5" x14ac:dyDescent="0.35">
      <c r="B1558"/>
      <c r="C1558"/>
      <c r="D1558"/>
      <c r="E1558"/>
    </row>
    <row r="1559" spans="2:5" x14ac:dyDescent="0.35">
      <c r="B1559"/>
      <c r="C1559"/>
      <c r="D1559"/>
      <c r="E1559"/>
    </row>
    <row r="1560" spans="2:5" x14ac:dyDescent="0.35">
      <c r="B1560"/>
      <c r="C1560"/>
      <c r="D1560"/>
      <c r="E1560"/>
    </row>
    <row r="1561" spans="2:5" x14ac:dyDescent="0.35">
      <c r="B1561"/>
      <c r="C1561"/>
      <c r="D1561"/>
      <c r="E1561"/>
    </row>
    <row r="1562" spans="2:5" x14ac:dyDescent="0.35">
      <c r="B1562"/>
      <c r="C1562"/>
      <c r="D1562"/>
      <c r="E1562"/>
    </row>
    <row r="1563" spans="2:5" x14ac:dyDescent="0.35">
      <c r="B1563"/>
      <c r="C1563"/>
      <c r="D1563"/>
      <c r="E1563"/>
    </row>
    <row r="1564" spans="2:5" x14ac:dyDescent="0.35">
      <c r="B1564"/>
      <c r="C1564"/>
      <c r="D1564"/>
      <c r="E1564"/>
    </row>
    <row r="1565" spans="2:5" x14ac:dyDescent="0.35">
      <c r="B1565"/>
      <c r="C1565"/>
      <c r="D1565"/>
      <c r="E1565"/>
    </row>
    <row r="1566" spans="2:5" x14ac:dyDescent="0.35">
      <c r="B1566"/>
      <c r="C1566"/>
      <c r="D1566"/>
      <c r="E1566"/>
    </row>
    <row r="1567" spans="2:5" x14ac:dyDescent="0.35">
      <c r="B1567"/>
      <c r="C1567"/>
      <c r="D1567"/>
      <c r="E1567"/>
    </row>
    <row r="1568" spans="2:5" x14ac:dyDescent="0.35">
      <c r="B1568"/>
      <c r="C1568"/>
      <c r="D1568"/>
      <c r="E1568"/>
    </row>
    <row r="1569" spans="2:5" x14ac:dyDescent="0.35">
      <c r="B1569"/>
      <c r="C1569"/>
      <c r="D1569"/>
      <c r="E1569"/>
    </row>
    <row r="1570" spans="2:5" x14ac:dyDescent="0.35">
      <c r="B1570"/>
      <c r="C1570"/>
      <c r="D1570"/>
      <c r="E1570"/>
    </row>
    <row r="1571" spans="2:5" x14ac:dyDescent="0.35">
      <c r="B1571"/>
      <c r="C1571"/>
      <c r="D1571"/>
      <c r="E1571"/>
    </row>
    <row r="1572" spans="2:5" x14ac:dyDescent="0.35">
      <c r="B1572"/>
      <c r="C1572"/>
      <c r="D1572"/>
      <c r="E1572"/>
    </row>
    <row r="1573" spans="2:5" x14ac:dyDescent="0.35">
      <c r="B1573"/>
      <c r="C1573"/>
      <c r="D1573"/>
      <c r="E1573"/>
    </row>
    <row r="1574" spans="2:5" x14ac:dyDescent="0.35">
      <c r="B1574"/>
      <c r="C1574"/>
      <c r="D1574"/>
      <c r="E1574"/>
    </row>
    <row r="1575" spans="2:5" x14ac:dyDescent="0.35">
      <c r="B1575"/>
      <c r="C1575"/>
      <c r="D1575"/>
      <c r="E1575"/>
    </row>
    <row r="1576" spans="2:5" x14ac:dyDescent="0.35">
      <c r="B1576"/>
      <c r="C1576"/>
      <c r="D1576"/>
      <c r="E1576"/>
    </row>
    <row r="1577" spans="2:5" x14ac:dyDescent="0.35">
      <c r="B1577"/>
      <c r="C1577"/>
      <c r="D1577"/>
      <c r="E1577"/>
    </row>
    <row r="1578" spans="2:5" x14ac:dyDescent="0.35">
      <c r="B1578"/>
      <c r="C1578"/>
      <c r="D1578"/>
      <c r="E1578"/>
    </row>
    <row r="1579" spans="2:5" x14ac:dyDescent="0.35">
      <c r="B1579"/>
      <c r="C1579"/>
      <c r="D1579"/>
      <c r="E1579"/>
    </row>
    <row r="1580" spans="2:5" x14ac:dyDescent="0.35">
      <c r="B1580"/>
      <c r="C1580"/>
      <c r="D1580"/>
      <c r="E1580"/>
    </row>
    <row r="1581" spans="2:5" x14ac:dyDescent="0.35">
      <c r="B1581"/>
      <c r="C1581"/>
      <c r="D1581"/>
      <c r="E1581"/>
    </row>
    <row r="1582" spans="2:5" x14ac:dyDescent="0.35">
      <c r="B1582"/>
      <c r="C1582"/>
      <c r="D1582"/>
      <c r="E1582"/>
    </row>
    <row r="1583" spans="2:5" x14ac:dyDescent="0.35">
      <c r="B1583"/>
      <c r="C1583"/>
      <c r="D1583"/>
      <c r="E1583"/>
    </row>
    <row r="1584" spans="2:5" x14ac:dyDescent="0.35">
      <c r="B1584"/>
      <c r="C1584"/>
      <c r="D1584"/>
      <c r="E1584"/>
    </row>
    <row r="1585" spans="2:5" x14ac:dyDescent="0.35">
      <c r="B1585"/>
      <c r="C1585"/>
      <c r="D1585"/>
      <c r="E1585"/>
    </row>
    <row r="1586" spans="2:5" x14ac:dyDescent="0.35">
      <c r="B1586"/>
      <c r="C1586"/>
      <c r="D1586"/>
      <c r="E1586"/>
    </row>
    <row r="1587" spans="2:5" x14ac:dyDescent="0.35">
      <c r="B1587"/>
      <c r="C1587"/>
      <c r="D1587"/>
      <c r="E1587"/>
    </row>
    <row r="1588" spans="2:5" x14ac:dyDescent="0.35">
      <c r="B1588"/>
      <c r="C1588"/>
      <c r="D1588"/>
      <c r="E1588"/>
    </row>
    <row r="1589" spans="2:5" x14ac:dyDescent="0.35">
      <c r="B1589"/>
      <c r="C1589"/>
      <c r="D1589"/>
      <c r="E1589"/>
    </row>
    <row r="1590" spans="2:5" x14ac:dyDescent="0.35">
      <c r="B1590"/>
      <c r="C1590"/>
      <c r="D1590"/>
      <c r="E1590"/>
    </row>
    <row r="1591" spans="2:5" x14ac:dyDescent="0.35">
      <c r="B1591"/>
      <c r="C1591"/>
      <c r="D1591"/>
      <c r="E1591"/>
    </row>
    <row r="1592" spans="2:5" x14ac:dyDescent="0.35">
      <c r="B1592"/>
      <c r="C1592"/>
      <c r="D1592"/>
      <c r="E1592"/>
    </row>
    <row r="1593" spans="2:5" x14ac:dyDescent="0.35">
      <c r="B1593"/>
      <c r="C1593"/>
      <c r="D1593"/>
      <c r="E1593"/>
    </row>
    <row r="1594" spans="2:5" x14ac:dyDescent="0.35">
      <c r="B1594"/>
      <c r="C1594"/>
      <c r="D1594"/>
      <c r="E1594"/>
    </row>
    <row r="1595" spans="2:5" x14ac:dyDescent="0.35">
      <c r="B1595"/>
      <c r="C1595"/>
      <c r="D1595"/>
      <c r="E1595"/>
    </row>
    <row r="1596" spans="2:5" x14ac:dyDescent="0.35">
      <c r="B1596"/>
      <c r="C1596"/>
      <c r="D1596"/>
      <c r="E1596"/>
    </row>
    <row r="1597" spans="2:5" x14ac:dyDescent="0.35">
      <c r="B1597"/>
      <c r="C1597"/>
      <c r="D1597"/>
      <c r="E1597"/>
    </row>
    <row r="1598" spans="2:5" x14ac:dyDescent="0.35">
      <c r="B1598"/>
      <c r="C1598"/>
      <c r="D1598"/>
      <c r="E1598"/>
    </row>
    <row r="1599" spans="2:5" x14ac:dyDescent="0.35">
      <c r="B1599"/>
      <c r="C1599"/>
      <c r="D1599"/>
      <c r="E1599"/>
    </row>
    <row r="1600" spans="2:5" x14ac:dyDescent="0.35">
      <c r="B1600"/>
      <c r="C1600"/>
      <c r="D1600"/>
      <c r="E1600"/>
    </row>
    <row r="1601" spans="2:5" x14ac:dyDescent="0.35">
      <c r="B1601"/>
      <c r="C1601"/>
      <c r="D1601"/>
      <c r="E1601"/>
    </row>
    <row r="1602" spans="2:5" x14ac:dyDescent="0.35">
      <c r="B1602"/>
      <c r="C1602"/>
      <c r="D1602"/>
      <c r="E1602"/>
    </row>
    <row r="1603" spans="2:5" x14ac:dyDescent="0.35">
      <c r="B1603"/>
      <c r="C1603"/>
      <c r="D1603"/>
      <c r="E1603"/>
    </row>
    <row r="1604" spans="2:5" x14ac:dyDescent="0.35">
      <c r="B1604"/>
      <c r="C1604"/>
      <c r="D1604"/>
      <c r="E1604"/>
    </row>
    <row r="1605" spans="2:5" x14ac:dyDescent="0.35">
      <c r="B1605"/>
      <c r="C1605"/>
      <c r="D1605"/>
      <c r="E1605"/>
    </row>
    <row r="1606" spans="2:5" x14ac:dyDescent="0.35">
      <c r="B1606"/>
      <c r="C1606"/>
      <c r="D1606"/>
      <c r="E1606"/>
    </row>
    <row r="1607" spans="2:5" x14ac:dyDescent="0.35">
      <c r="B1607"/>
      <c r="C1607"/>
      <c r="D1607"/>
      <c r="E1607"/>
    </row>
    <row r="1608" spans="2:5" x14ac:dyDescent="0.35">
      <c r="B1608"/>
      <c r="C1608"/>
      <c r="D1608"/>
      <c r="E1608"/>
    </row>
    <row r="1609" spans="2:5" x14ac:dyDescent="0.35">
      <c r="B1609"/>
      <c r="C1609"/>
      <c r="D1609"/>
      <c r="E1609"/>
    </row>
    <row r="1610" spans="2:5" x14ac:dyDescent="0.35">
      <c r="B1610"/>
      <c r="C1610"/>
      <c r="D1610"/>
      <c r="E1610"/>
    </row>
    <row r="1611" spans="2:5" x14ac:dyDescent="0.35">
      <c r="B1611"/>
      <c r="C1611"/>
      <c r="D1611"/>
      <c r="E1611"/>
    </row>
    <row r="1612" spans="2:5" x14ac:dyDescent="0.35">
      <c r="B1612"/>
      <c r="C1612"/>
      <c r="D1612"/>
      <c r="E1612"/>
    </row>
    <row r="1613" spans="2:5" x14ac:dyDescent="0.35">
      <c r="B1613"/>
      <c r="C1613"/>
      <c r="D1613"/>
      <c r="E1613"/>
    </row>
    <row r="1614" spans="2:5" x14ac:dyDescent="0.35">
      <c r="B1614"/>
      <c r="C1614"/>
      <c r="D1614"/>
      <c r="E1614"/>
    </row>
    <row r="1615" spans="2:5" x14ac:dyDescent="0.35">
      <c r="B1615"/>
      <c r="C1615"/>
      <c r="D1615"/>
      <c r="E1615"/>
    </row>
    <row r="1616" spans="2:5" x14ac:dyDescent="0.35">
      <c r="B1616"/>
      <c r="C1616"/>
      <c r="D1616"/>
      <c r="E1616"/>
    </row>
    <row r="1617" spans="2:5" x14ac:dyDescent="0.35">
      <c r="B1617"/>
      <c r="C1617"/>
      <c r="D1617"/>
      <c r="E1617"/>
    </row>
    <row r="1618" spans="2:5" x14ac:dyDescent="0.35">
      <c r="B1618"/>
      <c r="C1618"/>
      <c r="D1618"/>
      <c r="E1618"/>
    </row>
    <row r="1619" spans="2:5" x14ac:dyDescent="0.35">
      <c r="B1619"/>
      <c r="C1619"/>
      <c r="D1619"/>
      <c r="E1619"/>
    </row>
    <row r="1620" spans="2:5" x14ac:dyDescent="0.35">
      <c r="B1620"/>
      <c r="C1620"/>
      <c r="D1620"/>
      <c r="E1620"/>
    </row>
    <row r="1621" spans="2:5" x14ac:dyDescent="0.35">
      <c r="B1621"/>
      <c r="C1621"/>
      <c r="D1621"/>
      <c r="E1621"/>
    </row>
    <row r="1622" spans="2:5" x14ac:dyDescent="0.35">
      <c r="B1622"/>
      <c r="C1622"/>
      <c r="D1622"/>
      <c r="E1622"/>
    </row>
    <row r="1623" spans="2:5" x14ac:dyDescent="0.35">
      <c r="B1623"/>
      <c r="C1623"/>
      <c r="D1623"/>
      <c r="E1623"/>
    </row>
    <row r="1624" spans="2:5" x14ac:dyDescent="0.35">
      <c r="B1624"/>
      <c r="C1624"/>
      <c r="D1624"/>
      <c r="E1624"/>
    </row>
    <row r="1625" spans="2:5" x14ac:dyDescent="0.35">
      <c r="B1625"/>
      <c r="C1625"/>
      <c r="D1625"/>
      <c r="E1625"/>
    </row>
    <row r="1626" spans="2:5" x14ac:dyDescent="0.35">
      <c r="B1626"/>
      <c r="C1626"/>
      <c r="D1626"/>
      <c r="E1626"/>
    </row>
    <row r="1627" spans="2:5" x14ac:dyDescent="0.35">
      <c r="B1627"/>
      <c r="C1627"/>
      <c r="D1627"/>
      <c r="E1627"/>
    </row>
    <row r="1628" spans="2:5" x14ac:dyDescent="0.35">
      <c r="B1628"/>
      <c r="C1628"/>
      <c r="D1628"/>
      <c r="E1628"/>
    </row>
    <row r="1629" spans="2:5" x14ac:dyDescent="0.35">
      <c r="B1629"/>
      <c r="C1629"/>
      <c r="D1629"/>
      <c r="E1629"/>
    </row>
    <row r="1630" spans="2:5" x14ac:dyDescent="0.35">
      <c r="B1630"/>
      <c r="C1630"/>
      <c r="D1630"/>
      <c r="E1630"/>
    </row>
    <row r="1631" spans="2:5" x14ac:dyDescent="0.35">
      <c r="B1631"/>
      <c r="C1631"/>
      <c r="D1631"/>
      <c r="E1631"/>
    </row>
    <row r="1632" spans="2:5" x14ac:dyDescent="0.35">
      <c r="B1632"/>
      <c r="C1632"/>
      <c r="D1632"/>
      <c r="E1632"/>
    </row>
    <row r="1633" spans="2:5" x14ac:dyDescent="0.35">
      <c r="B1633"/>
      <c r="C1633"/>
      <c r="D1633"/>
      <c r="E1633"/>
    </row>
    <row r="1634" spans="2:5" x14ac:dyDescent="0.35">
      <c r="B1634"/>
      <c r="C1634"/>
      <c r="D1634"/>
      <c r="E1634"/>
    </row>
    <row r="1635" spans="2:5" x14ac:dyDescent="0.35">
      <c r="B1635"/>
      <c r="C1635"/>
      <c r="D1635"/>
      <c r="E1635"/>
    </row>
    <row r="1636" spans="2:5" x14ac:dyDescent="0.35">
      <c r="B1636"/>
      <c r="C1636"/>
      <c r="D1636"/>
      <c r="E1636"/>
    </row>
    <row r="1637" spans="2:5" x14ac:dyDescent="0.35">
      <c r="B1637"/>
      <c r="C1637"/>
      <c r="D1637"/>
      <c r="E1637"/>
    </row>
    <row r="1638" spans="2:5" x14ac:dyDescent="0.35">
      <c r="B1638"/>
      <c r="C1638"/>
      <c r="D1638"/>
      <c r="E1638"/>
    </row>
    <row r="1639" spans="2:5" x14ac:dyDescent="0.35">
      <c r="B1639"/>
      <c r="C1639"/>
      <c r="D1639"/>
      <c r="E1639"/>
    </row>
    <row r="1640" spans="2:5" x14ac:dyDescent="0.35">
      <c r="B1640"/>
      <c r="C1640"/>
      <c r="D1640"/>
      <c r="E1640"/>
    </row>
    <row r="1641" spans="2:5" x14ac:dyDescent="0.35">
      <c r="B1641"/>
      <c r="C1641"/>
      <c r="D1641"/>
      <c r="E1641"/>
    </row>
    <row r="1642" spans="2:5" x14ac:dyDescent="0.35">
      <c r="B1642"/>
      <c r="C1642"/>
      <c r="D1642"/>
      <c r="E1642"/>
    </row>
    <row r="1643" spans="2:5" x14ac:dyDescent="0.35">
      <c r="B1643"/>
      <c r="C1643"/>
      <c r="D1643"/>
      <c r="E1643"/>
    </row>
    <row r="1644" spans="2:5" x14ac:dyDescent="0.35">
      <c r="B1644"/>
      <c r="C1644"/>
      <c r="D1644"/>
      <c r="E1644"/>
    </row>
    <row r="1645" spans="2:5" x14ac:dyDescent="0.35">
      <c r="B1645"/>
      <c r="C1645"/>
      <c r="D1645"/>
      <c r="E1645"/>
    </row>
    <row r="1646" spans="2:5" x14ac:dyDescent="0.35">
      <c r="B1646"/>
      <c r="C1646"/>
      <c r="D1646"/>
      <c r="E1646"/>
    </row>
    <row r="1647" spans="2:5" x14ac:dyDescent="0.35">
      <c r="B1647"/>
      <c r="C1647"/>
      <c r="D1647"/>
      <c r="E1647"/>
    </row>
    <row r="1648" spans="2:5" x14ac:dyDescent="0.35">
      <c r="B1648"/>
      <c r="C1648"/>
      <c r="D1648"/>
      <c r="E1648"/>
    </row>
    <row r="1649" spans="2:5" x14ac:dyDescent="0.35">
      <c r="B1649"/>
      <c r="C1649"/>
      <c r="D1649"/>
      <c r="E1649"/>
    </row>
    <row r="1650" spans="2:5" x14ac:dyDescent="0.35">
      <c r="B1650"/>
      <c r="C1650"/>
      <c r="D1650"/>
      <c r="E1650"/>
    </row>
    <row r="1651" spans="2:5" x14ac:dyDescent="0.35">
      <c r="B1651"/>
      <c r="C1651"/>
      <c r="D1651"/>
      <c r="E1651"/>
    </row>
    <row r="1652" spans="2:5" x14ac:dyDescent="0.35">
      <c r="B1652"/>
      <c r="C1652"/>
      <c r="D1652"/>
      <c r="E1652"/>
    </row>
    <row r="1653" spans="2:5" x14ac:dyDescent="0.35">
      <c r="B1653"/>
      <c r="C1653"/>
      <c r="D1653"/>
      <c r="E1653"/>
    </row>
    <row r="1654" spans="2:5" x14ac:dyDescent="0.35">
      <c r="B1654"/>
      <c r="C1654"/>
      <c r="D1654"/>
      <c r="E1654"/>
    </row>
    <row r="1655" spans="2:5" x14ac:dyDescent="0.35">
      <c r="B1655"/>
      <c r="C1655"/>
      <c r="D1655"/>
      <c r="E1655"/>
    </row>
    <row r="1656" spans="2:5" x14ac:dyDescent="0.35">
      <c r="B1656"/>
      <c r="C1656"/>
      <c r="D1656"/>
      <c r="E1656"/>
    </row>
    <row r="1657" spans="2:5" x14ac:dyDescent="0.35">
      <c r="B1657"/>
      <c r="C1657"/>
      <c r="D1657"/>
      <c r="E1657"/>
    </row>
    <row r="1658" spans="2:5" x14ac:dyDescent="0.35">
      <c r="B1658"/>
      <c r="C1658"/>
      <c r="D1658"/>
      <c r="E1658"/>
    </row>
    <row r="1659" spans="2:5" x14ac:dyDescent="0.35">
      <c r="B1659"/>
      <c r="C1659"/>
      <c r="D1659"/>
      <c r="E1659"/>
    </row>
    <row r="1660" spans="2:5" x14ac:dyDescent="0.35">
      <c r="B1660"/>
      <c r="C1660"/>
      <c r="D1660"/>
      <c r="E1660"/>
    </row>
    <row r="1661" spans="2:5" x14ac:dyDescent="0.35">
      <c r="B1661"/>
      <c r="C1661"/>
      <c r="D1661"/>
      <c r="E1661"/>
    </row>
    <row r="1662" spans="2:5" x14ac:dyDescent="0.35">
      <c r="B1662"/>
      <c r="C1662"/>
      <c r="D1662"/>
      <c r="E1662"/>
    </row>
    <row r="1663" spans="2:5" x14ac:dyDescent="0.35">
      <c r="B1663"/>
      <c r="C1663"/>
      <c r="D1663"/>
      <c r="E1663"/>
    </row>
    <row r="1664" spans="2:5" x14ac:dyDescent="0.35">
      <c r="B1664"/>
      <c r="C1664"/>
      <c r="D1664"/>
      <c r="E1664"/>
    </row>
    <row r="1665" spans="2:5" x14ac:dyDescent="0.35">
      <c r="B1665"/>
      <c r="C1665"/>
      <c r="D1665"/>
      <c r="E1665"/>
    </row>
    <row r="1666" spans="2:5" x14ac:dyDescent="0.35">
      <c r="B1666"/>
      <c r="C1666"/>
      <c r="D1666"/>
      <c r="E1666"/>
    </row>
    <row r="1667" spans="2:5" x14ac:dyDescent="0.35">
      <c r="B1667"/>
      <c r="C1667"/>
      <c r="D1667"/>
      <c r="E1667"/>
    </row>
    <row r="1668" spans="2:5" x14ac:dyDescent="0.35">
      <c r="B1668"/>
      <c r="C1668"/>
      <c r="D1668"/>
      <c r="E1668"/>
    </row>
    <row r="1669" spans="2:5" x14ac:dyDescent="0.35">
      <c r="B1669"/>
      <c r="C1669"/>
      <c r="D1669"/>
      <c r="E1669"/>
    </row>
    <row r="1670" spans="2:5" x14ac:dyDescent="0.35">
      <c r="B1670"/>
      <c r="C1670"/>
      <c r="D1670"/>
      <c r="E1670"/>
    </row>
    <row r="1671" spans="2:5" x14ac:dyDescent="0.35">
      <c r="B1671"/>
      <c r="C1671"/>
      <c r="D1671"/>
      <c r="E1671"/>
    </row>
    <row r="1672" spans="2:5" x14ac:dyDescent="0.35">
      <c r="B1672"/>
      <c r="C1672"/>
      <c r="D1672"/>
      <c r="E1672"/>
    </row>
    <row r="1673" spans="2:5" x14ac:dyDescent="0.35">
      <c r="B1673"/>
      <c r="C1673"/>
      <c r="D1673"/>
      <c r="E1673"/>
    </row>
    <row r="1674" spans="2:5" x14ac:dyDescent="0.35">
      <c r="B1674"/>
      <c r="C1674"/>
      <c r="D1674"/>
      <c r="E1674"/>
    </row>
    <row r="1675" spans="2:5" x14ac:dyDescent="0.35">
      <c r="B1675"/>
      <c r="C1675"/>
      <c r="D1675"/>
      <c r="E1675"/>
    </row>
    <row r="1676" spans="2:5" x14ac:dyDescent="0.35">
      <c r="B1676"/>
      <c r="C1676"/>
      <c r="D1676"/>
      <c r="E1676"/>
    </row>
    <row r="1677" spans="2:5" x14ac:dyDescent="0.35">
      <c r="B1677"/>
      <c r="C1677"/>
      <c r="D1677"/>
      <c r="E1677"/>
    </row>
    <row r="1678" spans="2:5" x14ac:dyDescent="0.35">
      <c r="B1678"/>
      <c r="C1678"/>
      <c r="D1678"/>
      <c r="E1678"/>
    </row>
    <row r="1679" spans="2:5" x14ac:dyDescent="0.35">
      <c r="B1679"/>
      <c r="C1679"/>
      <c r="D1679"/>
      <c r="E1679"/>
    </row>
    <row r="1680" spans="2:5" x14ac:dyDescent="0.35">
      <c r="B1680"/>
      <c r="C1680"/>
      <c r="D1680"/>
      <c r="E1680"/>
    </row>
    <row r="1681" spans="2:5" x14ac:dyDescent="0.35">
      <c r="B1681"/>
      <c r="C1681"/>
      <c r="D1681"/>
      <c r="E1681"/>
    </row>
    <row r="1682" spans="2:5" x14ac:dyDescent="0.35">
      <c r="B1682"/>
      <c r="C1682"/>
      <c r="D1682"/>
      <c r="E1682"/>
    </row>
    <row r="1683" spans="2:5" x14ac:dyDescent="0.35">
      <c r="B1683"/>
      <c r="C1683"/>
      <c r="D1683"/>
      <c r="E1683"/>
    </row>
    <row r="1684" spans="2:5" x14ac:dyDescent="0.35">
      <c r="B1684"/>
      <c r="C1684"/>
      <c r="D1684"/>
      <c r="E1684"/>
    </row>
    <row r="1685" spans="2:5" x14ac:dyDescent="0.35">
      <c r="B1685"/>
      <c r="C1685"/>
      <c r="D1685"/>
      <c r="E1685"/>
    </row>
    <row r="1686" spans="2:5" x14ac:dyDescent="0.35">
      <c r="B1686"/>
      <c r="C1686"/>
      <c r="D1686"/>
      <c r="E1686"/>
    </row>
    <row r="1687" spans="2:5" x14ac:dyDescent="0.35">
      <c r="B1687"/>
      <c r="C1687"/>
      <c r="D1687"/>
      <c r="E1687"/>
    </row>
    <row r="1688" spans="2:5" x14ac:dyDescent="0.35">
      <c r="B1688"/>
      <c r="C1688"/>
      <c r="D1688"/>
      <c r="E1688"/>
    </row>
    <row r="1689" spans="2:5" x14ac:dyDescent="0.35">
      <c r="B1689"/>
      <c r="C1689"/>
      <c r="D1689"/>
      <c r="E1689"/>
    </row>
    <row r="1690" spans="2:5" x14ac:dyDescent="0.35">
      <c r="B1690"/>
      <c r="C1690"/>
      <c r="D1690"/>
      <c r="E1690"/>
    </row>
    <row r="1691" spans="2:5" x14ac:dyDescent="0.35">
      <c r="B1691"/>
      <c r="C1691"/>
      <c r="D1691"/>
      <c r="E1691"/>
    </row>
    <row r="1692" spans="2:5" x14ac:dyDescent="0.35">
      <c r="B1692"/>
      <c r="C1692"/>
      <c r="D1692"/>
      <c r="E1692"/>
    </row>
    <row r="1693" spans="2:5" x14ac:dyDescent="0.35">
      <c r="B1693"/>
      <c r="C1693"/>
      <c r="D1693"/>
      <c r="E1693"/>
    </row>
    <row r="1694" spans="2:5" x14ac:dyDescent="0.35">
      <c r="B1694"/>
      <c r="C1694"/>
      <c r="D1694"/>
      <c r="E1694"/>
    </row>
    <row r="1695" spans="2:5" x14ac:dyDescent="0.35">
      <c r="B1695"/>
      <c r="C1695"/>
      <c r="D1695"/>
      <c r="E1695"/>
    </row>
    <row r="1696" spans="2:5" x14ac:dyDescent="0.35">
      <c r="B1696"/>
      <c r="C1696"/>
      <c r="D1696"/>
      <c r="E1696"/>
    </row>
    <row r="1697" spans="2:5" x14ac:dyDescent="0.35">
      <c r="B1697"/>
      <c r="C1697"/>
      <c r="D1697"/>
      <c r="E1697"/>
    </row>
    <row r="1698" spans="2:5" x14ac:dyDescent="0.35">
      <c r="B1698"/>
      <c r="C1698"/>
      <c r="D1698"/>
      <c r="E1698"/>
    </row>
    <row r="1699" spans="2:5" x14ac:dyDescent="0.35">
      <c r="B1699"/>
      <c r="C1699"/>
      <c r="D1699"/>
      <c r="E1699"/>
    </row>
    <row r="1700" spans="2:5" x14ac:dyDescent="0.35">
      <c r="B1700"/>
      <c r="C1700"/>
      <c r="D1700"/>
      <c r="E1700"/>
    </row>
    <row r="1701" spans="2:5" x14ac:dyDescent="0.35">
      <c r="B1701"/>
      <c r="C1701"/>
      <c r="D1701"/>
      <c r="E1701"/>
    </row>
    <row r="1702" spans="2:5" x14ac:dyDescent="0.35">
      <c r="B1702"/>
      <c r="C1702"/>
      <c r="D1702"/>
      <c r="E1702"/>
    </row>
    <row r="1703" spans="2:5" x14ac:dyDescent="0.35">
      <c r="B1703"/>
      <c r="C1703"/>
      <c r="D1703"/>
      <c r="E1703"/>
    </row>
    <row r="1704" spans="2:5" x14ac:dyDescent="0.35">
      <c r="B1704"/>
      <c r="C1704"/>
      <c r="D1704"/>
      <c r="E1704"/>
    </row>
    <row r="1705" spans="2:5" x14ac:dyDescent="0.35">
      <c r="B1705"/>
      <c r="C1705"/>
      <c r="D1705"/>
      <c r="E1705"/>
    </row>
    <row r="1706" spans="2:5" x14ac:dyDescent="0.35">
      <c r="B1706"/>
      <c r="C1706"/>
      <c r="D1706"/>
      <c r="E1706"/>
    </row>
    <row r="1707" spans="2:5" x14ac:dyDescent="0.35">
      <c r="B1707"/>
      <c r="C1707"/>
      <c r="D1707"/>
      <c r="E1707"/>
    </row>
    <row r="1708" spans="2:5" x14ac:dyDescent="0.35">
      <c r="B1708"/>
      <c r="C1708"/>
      <c r="D1708"/>
      <c r="E1708"/>
    </row>
    <row r="1709" spans="2:5" x14ac:dyDescent="0.35">
      <c r="B1709"/>
      <c r="C1709"/>
      <c r="D1709"/>
      <c r="E1709"/>
    </row>
    <row r="1710" spans="2:5" x14ac:dyDescent="0.35">
      <c r="B1710"/>
      <c r="C1710"/>
      <c r="D1710"/>
      <c r="E1710"/>
    </row>
    <row r="1711" spans="2:5" x14ac:dyDescent="0.35">
      <c r="B1711"/>
      <c r="C1711"/>
      <c r="D1711"/>
      <c r="E1711"/>
    </row>
    <row r="1712" spans="2:5" x14ac:dyDescent="0.35">
      <c r="B1712"/>
      <c r="C1712"/>
      <c r="D1712"/>
      <c r="E1712"/>
    </row>
    <row r="1713" spans="2:5" x14ac:dyDescent="0.35">
      <c r="B1713"/>
      <c r="C1713"/>
      <c r="D1713"/>
      <c r="E1713"/>
    </row>
    <row r="1714" spans="2:5" x14ac:dyDescent="0.35">
      <c r="B1714"/>
      <c r="C1714"/>
      <c r="D1714"/>
      <c r="E1714"/>
    </row>
    <row r="1715" spans="2:5" x14ac:dyDescent="0.35">
      <c r="B1715"/>
      <c r="C1715"/>
      <c r="D1715"/>
      <c r="E1715"/>
    </row>
    <row r="1716" spans="2:5" x14ac:dyDescent="0.35">
      <c r="B1716"/>
      <c r="C1716"/>
      <c r="D1716"/>
      <c r="E1716"/>
    </row>
    <row r="1717" spans="2:5" x14ac:dyDescent="0.35">
      <c r="B1717"/>
      <c r="C1717"/>
      <c r="D1717"/>
      <c r="E1717"/>
    </row>
    <row r="1718" spans="2:5" x14ac:dyDescent="0.35">
      <c r="B1718"/>
      <c r="C1718"/>
      <c r="D1718"/>
      <c r="E1718"/>
    </row>
    <row r="1719" spans="2:5" x14ac:dyDescent="0.35">
      <c r="B1719"/>
      <c r="C1719"/>
      <c r="D1719"/>
      <c r="E1719"/>
    </row>
    <row r="1720" spans="2:5" x14ac:dyDescent="0.35">
      <c r="B1720"/>
      <c r="C1720"/>
      <c r="D1720"/>
      <c r="E1720"/>
    </row>
    <row r="1721" spans="2:5" x14ac:dyDescent="0.35">
      <c r="B1721"/>
      <c r="C1721"/>
      <c r="D1721"/>
      <c r="E1721"/>
    </row>
    <row r="1722" spans="2:5" x14ac:dyDescent="0.35">
      <c r="B1722"/>
      <c r="C1722"/>
      <c r="D1722"/>
      <c r="E1722"/>
    </row>
    <row r="1723" spans="2:5" x14ac:dyDescent="0.35">
      <c r="B1723"/>
      <c r="C1723"/>
      <c r="D1723"/>
      <c r="E1723"/>
    </row>
    <row r="1724" spans="2:5" x14ac:dyDescent="0.35">
      <c r="B1724"/>
      <c r="C1724"/>
      <c r="D1724"/>
      <c r="E1724"/>
    </row>
    <row r="1725" spans="2:5" x14ac:dyDescent="0.35">
      <c r="B1725"/>
      <c r="C1725"/>
      <c r="D1725"/>
      <c r="E1725"/>
    </row>
    <row r="1726" spans="2:5" x14ac:dyDescent="0.35">
      <c r="B1726"/>
      <c r="C1726"/>
      <c r="D1726"/>
      <c r="E1726"/>
    </row>
    <row r="1727" spans="2:5" x14ac:dyDescent="0.35">
      <c r="B1727"/>
      <c r="C1727"/>
      <c r="D1727"/>
      <c r="E1727"/>
    </row>
    <row r="1728" spans="2:5" x14ac:dyDescent="0.35">
      <c r="B1728"/>
      <c r="C1728"/>
      <c r="D1728"/>
      <c r="E1728"/>
    </row>
    <row r="1729" spans="2:5" x14ac:dyDescent="0.35">
      <c r="B1729"/>
      <c r="C1729"/>
      <c r="D1729"/>
      <c r="E1729"/>
    </row>
    <row r="1730" spans="2:5" x14ac:dyDescent="0.35">
      <c r="B1730"/>
      <c r="C1730"/>
      <c r="D1730"/>
      <c r="E1730"/>
    </row>
    <row r="1731" spans="2:5" x14ac:dyDescent="0.35">
      <c r="B1731"/>
      <c r="C1731"/>
      <c r="D1731"/>
      <c r="E1731"/>
    </row>
    <row r="1732" spans="2:5" x14ac:dyDescent="0.35">
      <c r="B1732"/>
      <c r="C1732"/>
      <c r="D1732"/>
      <c r="E1732"/>
    </row>
    <row r="1733" spans="2:5" x14ac:dyDescent="0.35">
      <c r="B1733"/>
      <c r="C1733"/>
      <c r="D1733"/>
      <c r="E1733"/>
    </row>
    <row r="1734" spans="2:5" x14ac:dyDescent="0.35">
      <c r="B1734"/>
      <c r="C1734"/>
      <c r="D1734"/>
      <c r="E1734"/>
    </row>
    <row r="1735" spans="2:5" x14ac:dyDescent="0.35">
      <c r="B1735"/>
      <c r="C1735"/>
      <c r="D1735"/>
      <c r="E1735"/>
    </row>
    <row r="1736" spans="2:5" x14ac:dyDescent="0.35">
      <c r="B1736"/>
      <c r="C1736"/>
      <c r="D1736"/>
      <c r="E1736"/>
    </row>
    <row r="1737" spans="2:5" x14ac:dyDescent="0.35">
      <c r="B1737"/>
      <c r="C1737"/>
      <c r="D1737"/>
      <c r="E1737"/>
    </row>
    <row r="1738" spans="2:5" x14ac:dyDescent="0.35">
      <c r="B1738"/>
      <c r="C1738"/>
      <c r="D1738"/>
      <c r="E1738"/>
    </row>
    <row r="1739" spans="2:5" x14ac:dyDescent="0.35">
      <c r="B1739"/>
      <c r="C1739"/>
      <c r="D1739"/>
      <c r="E1739"/>
    </row>
    <row r="1740" spans="2:5" x14ac:dyDescent="0.35">
      <c r="B1740"/>
      <c r="C1740"/>
      <c r="D1740"/>
      <c r="E1740"/>
    </row>
    <row r="1741" spans="2:5" x14ac:dyDescent="0.35">
      <c r="B1741"/>
      <c r="C1741"/>
      <c r="D1741"/>
      <c r="E1741"/>
    </row>
    <row r="1742" spans="2:5" x14ac:dyDescent="0.35">
      <c r="B1742"/>
      <c r="C1742"/>
      <c r="D1742"/>
      <c r="E1742"/>
    </row>
    <row r="1743" spans="2:5" x14ac:dyDescent="0.35">
      <c r="B1743"/>
      <c r="C1743"/>
      <c r="D1743"/>
      <c r="E1743"/>
    </row>
    <row r="1744" spans="2:5" x14ac:dyDescent="0.35">
      <c r="B1744"/>
      <c r="C1744"/>
      <c r="D1744"/>
      <c r="E1744"/>
    </row>
    <row r="1745" spans="2:5" x14ac:dyDescent="0.35">
      <c r="B1745"/>
      <c r="C1745"/>
      <c r="D1745"/>
      <c r="E1745"/>
    </row>
    <row r="1746" spans="2:5" x14ac:dyDescent="0.35">
      <c r="B1746"/>
      <c r="C1746"/>
      <c r="D1746"/>
      <c r="E1746"/>
    </row>
    <row r="1747" spans="2:5" x14ac:dyDescent="0.35">
      <c r="B1747"/>
      <c r="C1747"/>
      <c r="D1747"/>
      <c r="E1747"/>
    </row>
    <row r="1748" spans="2:5" x14ac:dyDescent="0.35">
      <c r="B1748"/>
      <c r="C1748"/>
      <c r="D1748"/>
      <c r="E1748"/>
    </row>
    <row r="1749" spans="2:5" x14ac:dyDescent="0.35">
      <c r="B1749"/>
      <c r="C1749"/>
      <c r="D1749"/>
      <c r="E1749"/>
    </row>
    <row r="1750" spans="2:5" x14ac:dyDescent="0.35">
      <c r="B1750"/>
      <c r="C1750"/>
      <c r="D1750"/>
      <c r="E1750"/>
    </row>
    <row r="1751" spans="2:5" x14ac:dyDescent="0.35">
      <c r="B1751"/>
      <c r="C1751"/>
      <c r="D1751"/>
      <c r="E1751"/>
    </row>
    <row r="1752" spans="2:5" x14ac:dyDescent="0.35">
      <c r="B1752"/>
      <c r="C1752"/>
      <c r="D1752"/>
      <c r="E1752"/>
    </row>
    <row r="1753" spans="2:5" x14ac:dyDescent="0.35">
      <c r="B1753"/>
      <c r="C1753"/>
      <c r="D1753"/>
      <c r="E1753"/>
    </row>
    <row r="1754" spans="2:5" x14ac:dyDescent="0.35">
      <c r="B1754"/>
      <c r="C1754"/>
      <c r="D1754"/>
      <c r="E1754"/>
    </row>
    <row r="1755" spans="2:5" x14ac:dyDescent="0.35">
      <c r="B1755"/>
      <c r="C1755"/>
      <c r="D1755"/>
      <c r="E1755"/>
    </row>
    <row r="1756" spans="2:5" x14ac:dyDescent="0.35">
      <c r="B1756"/>
      <c r="C1756"/>
      <c r="D1756"/>
      <c r="E1756"/>
    </row>
    <row r="1757" spans="2:5" x14ac:dyDescent="0.35">
      <c r="B1757"/>
      <c r="C1757"/>
      <c r="D1757"/>
      <c r="E1757"/>
    </row>
    <row r="1758" spans="2:5" x14ac:dyDescent="0.35">
      <c r="B1758"/>
      <c r="C1758"/>
      <c r="D1758"/>
      <c r="E1758"/>
    </row>
    <row r="1759" spans="2:5" x14ac:dyDescent="0.35">
      <c r="B1759"/>
      <c r="C1759"/>
      <c r="D1759"/>
      <c r="E1759"/>
    </row>
    <row r="1760" spans="2:5" x14ac:dyDescent="0.35">
      <c r="B1760"/>
      <c r="C1760"/>
      <c r="D1760"/>
      <c r="E1760"/>
    </row>
    <row r="1761" spans="2:5" x14ac:dyDescent="0.35">
      <c r="B1761"/>
      <c r="C1761"/>
      <c r="D1761"/>
      <c r="E1761"/>
    </row>
    <row r="1762" spans="2:5" x14ac:dyDescent="0.35">
      <c r="B1762"/>
      <c r="C1762"/>
      <c r="D1762"/>
      <c r="E1762"/>
    </row>
    <row r="1763" spans="2:5" x14ac:dyDescent="0.35">
      <c r="B1763"/>
      <c r="C1763"/>
      <c r="D1763"/>
      <c r="E1763"/>
    </row>
    <row r="1764" spans="2:5" x14ac:dyDescent="0.35">
      <c r="B1764"/>
      <c r="C1764"/>
      <c r="D1764"/>
      <c r="E1764"/>
    </row>
    <row r="1765" spans="2:5" x14ac:dyDescent="0.35">
      <c r="B1765"/>
      <c r="C1765"/>
      <c r="D1765"/>
      <c r="E1765"/>
    </row>
    <row r="1766" spans="2:5" x14ac:dyDescent="0.35">
      <c r="B1766"/>
      <c r="C1766"/>
      <c r="D1766"/>
      <c r="E1766"/>
    </row>
    <row r="1767" spans="2:5" x14ac:dyDescent="0.35">
      <c r="B1767"/>
      <c r="C1767"/>
      <c r="D1767"/>
      <c r="E1767"/>
    </row>
    <row r="1768" spans="2:5" x14ac:dyDescent="0.35">
      <c r="B1768"/>
      <c r="C1768"/>
      <c r="D1768"/>
      <c r="E1768"/>
    </row>
    <row r="1769" spans="2:5" x14ac:dyDescent="0.35">
      <c r="B1769"/>
      <c r="C1769"/>
      <c r="D1769"/>
      <c r="E1769"/>
    </row>
    <row r="1770" spans="2:5" x14ac:dyDescent="0.35">
      <c r="B1770"/>
      <c r="C1770"/>
      <c r="D1770"/>
      <c r="E1770"/>
    </row>
    <row r="1771" spans="2:5" x14ac:dyDescent="0.35">
      <c r="B1771"/>
      <c r="C1771"/>
      <c r="D1771"/>
      <c r="E1771"/>
    </row>
    <row r="1772" spans="2:5" x14ac:dyDescent="0.35">
      <c r="B1772"/>
      <c r="C1772"/>
      <c r="D1772"/>
      <c r="E1772"/>
    </row>
    <row r="1773" spans="2:5" x14ac:dyDescent="0.35">
      <c r="B1773"/>
      <c r="C1773"/>
      <c r="D1773"/>
      <c r="E1773"/>
    </row>
    <row r="1774" spans="2:5" x14ac:dyDescent="0.35">
      <c r="B1774"/>
      <c r="C1774"/>
      <c r="D1774"/>
      <c r="E1774"/>
    </row>
    <row r="1775" spans="2:5" x14ac:dyDescent="0.35">
      <c r="B1775"/>
      <c r="C1775"/>
      <c r="D1775"/>
      <c r="E1775"/>
    </row>
    <row r="1776" spans="2:5" x14ac:dyDescent="0.35">
      <c r="B1776"/>
      <c r="C1776"/>
      <c r="D1776"/>
      <c r="E1776"/>
    </row>
    <row r="1777" spans="2:5" x14ac:dyDescent="0.35">
      <c r="B1777"/>
      <c r="C1777"/>
      <c r="D1777"/>
      <c r="E1777"/>
    </row>
    <row r="1778" spans="2:5" x14ac:dyDescent="0.35">
      <c r="B1778"/>
      <c r="C1778"/>
      <c r="D1778"/>
      <c r="E1778"/>
    </row>
    <row r="1779" spans="2:5" x14ac:dyDescent="0.35">
      <c r="B1779"/>
      <c r="C1779"/>
      <c r="D1779"/>
      <c r="E1779"/>
    </row>
    <row r="1780" spans="2:5" x14ac:dyDescent="0.35">
      <c r="B1780"/>
      <c r="C1780"/>
      <c r="D1780"/>
      <c r="E1780"/>
    </row>
    <row r="1781" spans="2:5" x14ac:dyDescent="0.35">
      <c r="B1781"/>
      <c r="C1781"/>
      <c r="D1781"/>
      <c r="E1781"/>
    </row>
    <row r="1782" spans="2:5" x14ac:dyDescent="0.35">
      <c r="B1782"/>
      <c r="C1782"/>
      <c r="D1782"/>
      <c r="E1782"/>
    </row>
    <row r="1783" spans="2:5" x14ac:dyDescent="0.35">
      <c r="B1783"/>
      <c r="C1783"/>
      <c r="D1783"/>
      <c r="E1783"/>
    </row>
    <row r="1784" spans="2:5" x14ac:dyDescent="0.35">
      <c r="B1784"/>
      <c r="C1784"/>
      <c r="D1784"/>
      <c r="E1784"/>
    </row>
    <row r="1785" spans="2:5" x14ac:dyDescent="0.35">
      <c r="B1785"/>
      <c r="C1785"/>
      <c r="D1785"/>
      <c r="E1785"/>
    </row>
    <row r="1786" spans="2:5" x14ac:dyDescent="0.35">
      <c r="B1786"/>
      <c r="C1786"/>
      <c r="D1786"/>
      <c r="E1786"/>
    </row>
    <row r="1787" spans="2:5" x14ac:dyDescent="0.35">
      <c r="B1787"/>
      <c r="C1787"/>
      <c r="D1787"/>
      <c r="E1787"/>
    </row>
    <row r="1788" spans="2:5" x14ac:dyDescent="0.35">
      <c r="B1788"/>
      <c r="C1788"/>
      <c r="D1788"/>
      <c r="E1788"/>
    </row>
    <row r="1789" spans="2:5" x14ac:dyDescent="0.35">
      <c r="B1789"/>
      <c r="C1789"/>
      <c r="D1789"/>
      <c r="E1789"/>
    </row>
    <row r="1790" spans="2:5" x14ac:dyDescent="0.35">
      <c r="B1790"/>
      <c r="C1790"/>
      <c r="D1790"/>
      <c r="E1790"/>
    </row>
    <row r="1791" spans="2:5" x14ac:dyDescent="0.35">
      <c r="B1791"/>
      <c r="C1791"/>
      <c r="D1791"/>
      <c r="E1791"/>
    </row>
    <row r="1792" spans="2:5" x14ac:dyDescent="0.35">
      <c r="B1792"/>
      <c r="C1792"/>
      <c r="D1792"/>
      <c r="E1792"/>
    </row>
    <row r="1793" spans="2:5" x14ac:dyDescent="0.35">
      <c r="B1793"/>
      <c r="C1793"/>
      <c r="D1793"/>
      <c r="E1793"/>
    </row>
    <row r="1794" spans="2:5" x14ac:dyDescent="0.35">
      <c r="B1794"/>
      <c r="C1794"/>
      <c r="D1794"/>
      <c r="E1794"/>
    </row>
    <row r="1795" spans="2:5" x14ac:dyDescent="0.35">
      <c r="B1795"/>
      <c r="C1795"/>
      <c r="D1795"/>
      <c r="E1795"/>
    </row>
    <row r="1796" spans="2:5" x14ac:dyDescent="0.35">
      <c r="B1796"/>
      <c r="C1796"/>
      <c r="D1796"/>
      <c r="E1796"/>
    </row>
    <row r="1797" spans="2:5" x14ac:dyDescent="0.35">
      <c r="B1797"/>
      <c r="C1797"/>
      <c r="D1797"/>
      <c r="E1797"/>
    </row>
    <row r="1798" spans="2:5" x14ac:dyDescent="0.35">
      <c r="B1798"/>
      <c r="C1798"/>
      <c r="D1798"/>
      <c r="E1798"/>
    </row>
    <row r="1799" spans="2:5" x14ac:dyDescent="0.35">
      <c r="B1799"/>
      <c r="C1799"/>
      <c r="D1799"/>
      <c r="E1799"/>
    </row>
    <row r="1800" spans="2:5" x14ac:dyDescent="0.35">
      <c r="B1800"/>
      <c r="C1800"/>
      <c r="D1800"/>
      <c r="E1800"/>
    </row>
    <row r="1801" spans="2:5" x14ac:dyDescent="0.35">
      <c r="B1801"/>
      <c r="C1801"/>
      <c r="D1801"/>
      <c r="E1801"/>
    </row>
    <row r="1802" spans="2:5" x14ac:dyDescent="0.35">
      <c r="B1802"/>
      <c r="C1802"/>
      <c r="D1802"/>
      <c r="E1802"/>
    </row>
    <row r="1803" spans="2:5" x14ac:dyDescent="0.35">
      <c r="B1803"/>
      <c r="C1803"/>
      <c r="D1803"/>
      <c r="E1803"/>
    </row>
    <row r="1804" spans="2:5" x14ac:dyDescent="0.35">
      <c r="B1804"/>
      <c r="C1804"/>
      <c r="D1804"/>
      <c r="E1804"/>
    </row>
    <row r="1805" spans="2:5" x14ac:dyDescent="0.35">
      <c r="B1805"/>
      <c r="C1805"/>
      <c r="D1805"/>
      <c r="E1805"/>
    </row>
    <row r="1806" spans="2:5" x14ac:dyDescent="0.35">
      <c r="B1806"/>
      <c r="C1806"/>
      <c r="D1806"/>
      <c r="E1806"/>
    </row>
    <row r="1807" spans="2:5" x14ac:dyDescent="0.35">
      <c r="B1807"/>
      <c r="C1807"/>
      <c r="D1807"/>
      <c r="E1807"/>
    </row>
    <row r="1808" spans="2:5" x14ac:dyDescent="0.35">
      <c r="B1808"/>
      <c r="C1808"/>
      <c r="D1808"/>
      <c r="E1808"/>
    </row>
    <row r="1809" spans="2:5" x14ac:dyDescent="0.35">
      <c r="B1809"/>
      <c r="C1809"/>
      <c r="D1809"/>
      <c r="E1809"/>
    </row>
    <row r="1810" spans="2:5" x14ac:dyDescent="0.35">
      <c r="B1810"/>
      <c r="C1810"/>
      <c r="D1810"/>
      <c r="E1810"/>
    </row>
    <row r="1811" spans="2:5" x14ac:dyDescent="0.35">
      <c r="B1811"/>
      <c r="C1811"/>
      <c r="D1811"/>
      <c r="E1811"/>
    </row>
    <row r="1812" spans="2:5" x14ac:dyDescent="0.35">
      <c r="B1812"/>
      <c r="C1812"/>
      <c r="D1812"/>
      <c r="E1812"/>
    </row>
    <row r="1813" spans="2:5" x14ac:dyDescent="0.35">
      <c r="B1813"/>
      <c r="C1813"/>
      <c r="D1813"/>
      <c r="E1813"/>
    </row>
    <row r="1814" spans="2:5" x14ac:dyDescent="0.35">
      <c r="B1814"/>
      <c r="C1814"/>
      <c r="D1814"/>
      <c r="E1814"/>
    </row>
    <row r="1815" spans="2:5" x14ac:dyDescent="0.35">
      <c r="B1815"/>
      <c r="C1815"/>
      <c r="D1815"/>
      <c r="E1815"/>
    </row>
    <row r="1816" spans="2:5" x14ac:dyDescent="0.35">
      <c r="B1816"/>
      <c r="C1816"/>
      <c r="D1816"/>
      <c r="E1816"/>
    </row>
    <row r="1817" spans="2:5" x14ac:dyDescent="0.35">
      <c r="B1817"/>
      <c r="C1817"/>
      <c r="D1817"/>
      <c r="E1817"/>
    </row>
    <row r="1818" spans="2:5" x14ac:dyDescent="0.35">
      <c r="B1818"/>
      <c r="C1818"/>
      <c r="D1818"/>
      <c r="E1818"/>
    </row>
    <row r="1819" spans="2:5" x14ac:dyDescent="0.35">
      <c r="B1819"/>
      <c r="C1819"/>
      <c r="D1819"/>
      <c r="E1819"/>
    </row>
    <row r="1820" spans="2:5" x14ac:dyDescent="0.35">
      <c r="B1820"/>
      <c r="C1820"/>
      <c r="D1820"/>
      <c r="E1820"/>
    </row>
    <row r="1821" spans="2:5" x14ac:dyDescent="0.35">
      <c r="B1821"/>
      <c r="C1821"/>
      <c r="D1821"/>
      <c r="E1821"/>
    </row>
    <row r="1822" spans="2:5" x14ac:dyDescent="0.35">
      <c r="B1822"/>
      <c r="C1822"/>
      <c r="D1822"/>
      <c r="E1822"/>
    </row>
    <row r="1823" spans="2:5" x14ac:dyDescent="0.35">
      <c r="B1823"/>
      <c r="C1823"/>
      <c r="D1823"/>
      <c r="E1823"/>
    </row>
    <row r="1824" spans="2:5" x14ac:dyDescent="0.35">
      <c r="B1824"/>
      <c r="C1824"/>
      <c r="D1824"/>
      <c r="E1824"/>
    </row>
    <row r="1825" spans="2:5" x14ac:dyDescent="0.35">
      <c r="B1825"/>
      <c r="C1825"/>
      <c r="D1825"/>
      <c r="E1825"/>
    </row>
    <row r="1826" spans="2:5" x14ac:dyDescent="0.35">
      <c r="B1826"/>
      <c r="C1826"/>
      <c r="D1826"/>
      <c r="E1826"/>
    </row>
    <row r="1827" spans="2:5" x14ac:dyDescent="0.35">
      <c r="B1827"/>
      <c r="C1827"/>
      <c r="D1827"/>
      <c r="E1827"/>
    </row>
    <row r="1828" spans="2:5" x14ac:dyDescent="0.35">
      <c r="B1828"/>
      <c r="C1828"/>
      <c r="D1828"/>
      <c r="E1828"/>
    </row>
    <row r="1829" spans="2:5" x14ac:dyDescent="0.35">
      <c r="B1829"/>
      <c r="C1829"/>
      <c r="D1829"/>
      <c r="E1829"/>
    </row>
    <row r="1830" spans="2:5" x14ac:dyDescent="0.35">
      <c r="B1830"/>
      <c r="C1830"/>
      <c r="D1830"/>
      <c r="E1830"/>
    </row>
    <row r="1831" spans="2:5" x14ac:dyDescent="0.35">
      <c r="B1831"/>
      <c r="C1831"/>
      <c r="D1831"/>
      <c r="E1831"/>
    </row>
    <row r="1832" spans="2:5" x14ac:dyDescent="0.35">
      <c r="B1832"/>
      <c r="C1832"/>
      <c r="D1832"/>
      <c r="E1832"/>
    </row>
    <row r="1833" spans="2:5" x14ac:dyDescent="0.35">
      <c r="B1833"/>
      <c r="C1833"/>
      <c r="D1833"/>
      <c r="E1833"/>
    </row>
    <row r="1834" spans="2:5" x14ac:dyDescent="0.35">
      <c r="B1834"/>
      <c r="C1834"/>
      <c r="D1834"/>
      <c r="E1834"/>
    </row>
    <row r="1835" spans="2:5" x14ac:dyDescent="0.35">
      <c r="B1835"/>
      <c r="C1835"/>
      <c r="D1835"/>
      <c r="E1835"/>
    </row>
    <row r="1836" spans="2:5" x14ac:dyDescent="0.35">
      <c r="B1836"/>
      <c r="C1836"/>
      <c r="D1836"/>
      <c r="E1836"/>
    </row>
    <row r="1837" spans="2:5" x14ac:dyDescent="0.35">
      <c r="B1837"/>
      <c r="C1837"/>
      <c r="D1837"/>
      <c r="E1837"/>
    </row>
    <row r="1838" spans="2:5" x14ac:dyDescent="0.35">
      <c r="B1838"/>
      <c r="C1838"/>
      <c r="D1838"/>
      <c r="E1838"/>
    </row>
    <row r="1839" spans="2:5" x14ac:dyDescent="0.35">
      <c r="B1839"/>
      <c r="C1839"/>
      <c r="D1839"/>
      <c r="E1839"/>
    </row>
    <row r="1840" spans="2:5" x14ac:dyDescent="0.35">
      <c r="B1840"/>
      <c r="C1840"/>
      <c r="D1840"/>
      <c r="E1840"/>
    </row>
    <row r="1841" spans="2:5" x14ac:dyDescent="0.35">
      <c r="B1841"/>
      <c r="C1841"/>
      <c r="D1841"/>
      <c r="E1841"/>
    </row>
    <row r="1842" spans="2:5" x14ac:dyDescent="0.35">
      <c r="B1842"/>
      <c r="C1842"/>
      <c r="D1842"/>
      <c r="E1842"/>
    </row>
    <row r="1843" spans="2:5" x14ac:dyDescent="0.35">
      <c r="B1843"/>
      <c r="C1843"/>
      <c r="D1843"/>
      <c r="E1843"/>
    </row>
    <row r="1844" spans="2:5" x14ac:dyDescent="0.35">
      <c r="B1844"/>
      <c r="C1844"/>
      <c r="D1844"/>
      <c r="E1844"/>
    </row>
    <row r="1845" spans="2:5" x14ac:dyDescent="0.35">
      <c r="B1845"/>
      <c r="C1845"/>
      <c r="D1845"/>
      <c r="E1845"/>
    </row>
    <row r="1846" spans="2:5" x14ac:dyDescent="0.35">
      <c r="B1846"/>
      <c r="C1846"/>
      <c r="D1846"/>
      <c r="E1846"/>
    </row>
    <row r="1847" spans="2:5" x14ac:dyDescent="0.35">
      <c r="B1847"/>
      <c r="C1847"/>
      <c r="D1847"/>
      <c r="E1847"/>
    </row>
    <row r="1848" spans="2:5" x14ac:dyDescent="0.35">
      <c r="B1848"/>
      <c r="C1848"/>
      <c r="D1848"/>
      <c r="E1848"/>
    </row>
    <row r="1849" spans="2:5" x14ac:dyDescent="0.35">
      <c r="B1849"/>
      <c r="C1849"/>
      <c r="D1849"/>
      <c r="E1849"/>
    </row>
    <row r="1850" spans="2:5" x14ac:dyDescent="0.35">
      <c r="B1850"/>
      <c r="C1850"/>
      <c r="D1850"/>
      <c r="E1850"/>
    </row>
    <row r="1851" spans="2:5" x14ac:dyDescent="0.35">
      <c r="B1851"/>
      <c r="C1851"/>
      <c r="D1851"/>
      <c r="E1851"/>
    </row>
    <row r="1852" spans="2:5" x14ac:dyDescent="0.35">
      <c r="B1852"/>
      <c r="C1852"/>
      <c r="D1852"/>
      <c r="E1852"/>
    </row>
    <row r="1853" spans="2:5" x14ac:dyDescent="0.35">
      <c r="B1853"/>
      <c r="C1853"/>
      <c r="D1853"/>
      <c r="E1853"/>
    </row>
    <row r="1854" spans="2:5" x14ac:dyDescent="0.35">
      <c r="B1854"/>
      <c r="C1854"/>
      <c r="D1854"/>
      <c r="E1854"/>
    </row>
    <row r="1855" spans="2:5" x14ac:dyDescent="0.35">
      <c r="B1855"/>
      <c r="C1855"/>
      <c r="D1855"/>
      <c r="E1855"/>
    </row>
    <row r="1856" spans="2:5" x14ac:dyDescent="0.35">
      <c r="B1856"/>
      <c r="C1856"/>
      <c r="D1856"/>
      <c r="E1856"/>
    </row>
    <row r="1857" spans="2:5" x14ac:dyDescent="0.35">
      <c r="B1857"/>
      <c r="C1857"/>
      <c r="D1857"/>
      <c r="E1857"/>
    </row>
    <row r="1858" spans="2:5" x14ac:dyDescent="0.35">
      <c r="B1858"/>
      <c r="C1858"/>
      <c r="D1858"/>
      <c r="E1858"/>
    </row>
    <row r="1859" spans="2:5" x14ac:dyDescent="0.35">
      <c r="B1859"/>
      <c r="C1859"/>
      <c r="D1859"/>
      <c r="E1859"/>
    </row>
    <row r="1860" spans="2:5" x14ac:dyDescent="0.35">
      <c r="B1860"/>
      <c r="C1860"/>
      <c r="D1860"/>
      <c r="E1860"/>
    </row>
    <row r="1861" spans="2:5" x14ac:dyDescent="0.35">
      <c r="B1861"/>
      <c r="C1861"/>
      <c r="D1861"/>
      <c r="E1861"/>
    </row>
    <row r="1862" spans="2:5" x14ac:dyDescent="0.35">
      <c r="B1862"/>
      <c r="C1862"/>
      <c r="D1862"/>
      <c r="E1862"/>
    </row>
    <row r="1863" spans="2:5" x14ac:dyDescent="0.35">
      <c r="B1863"/>
      <c r="C1863"/>
      <c r="D1863"/>
      <c r="E1863"/>
    </row>
    <row r="1864" spans="2:5" x14ac:dyDescent="0.35">
      <c r="B1864"/>
      <c r="C1864"/>
      <c r="D1864"/>
      <c r="E1864"/>
    </row>
    <row r="1865" spans="2:5" x14ac:dyDescent="0.35">
      <c r="B1865"/>
      <c r="C1865"/>
      <c r="D1865"/>
      <c r="E1865"/>
    </row>
    <row r="1866" spans="2:5" x14ac:dyDescent="0.35">
      <c r="B1866"/>
      <c r="C1866"/>
      <c r="D1866"/>
      <c r="E1866"/>
    </row>
    <row r="1867" spans="2:5" x14ac:dyDescent="0.35">
      <c r="B1867"/>
      <c r="C1867"/>
      <c r="D1867"/>
      <c r="E1867"/>
    </row>
    <row r="1868" spans="2:5" x14ac:dyDescent="0.35">
      <c r="B1868"/>
      <c r="C1868"/>
      <c r="D1868"/>
      <c r="E1868"/>
    </row>
    <row r="1869" spans="2:5" x14ac:dyDescent="0.35">
      <c r="B1869"/>
      <c r="C1869"/>
      <c r="D1869"/>
      <c r="E1869"/>
    </row>
    <row r="1870" spans="2:5" x14ac:dyDescent="0.35">
      <c r="B1870"/>
      <c r="C1870"/>
      <c r="D1870"/>
      <c r="E1870"/>
    </row>
    <row r="1871" spans="2:5" x14ac:dyDescent="0.35">
      <c r="B1871"/>
      <c r="C1871"/>
      <c r="D1871"/>
      <c r="E1871"/>
    </row>
    <row r="1872" spans="2:5" x14ac:dyDescent="0.35">
      <c r="B1872"/>
      <c r="C1872"/>
      <c r="D1872"/>
      <c r="E1872"/>
    </row>
    <row r="1873" spans="2:5" x14ac:dyDescent="0.35">
      <c r="B1873"/>
      <c r="C1873"/>
      <c r="D1873"/>
      <c r="E1873"/>
    </row>
    <row r="1874" spans="2:5" x14ac:dyDescent="0.35">
      <c r="B1874"/>
      <c r="C1874"/>
      <c r="D1874"/>
      <c r="E1874"/>
    </row>
    <row r="1875" spans="2:5" x14ac:dyDescent="0.35">
      <c r="B1875"/>
      <c r="C1875"/>
      <c r="D1875"/>
      <c r="E1875"/>
    </row>
    <row r="1876" spans="2:5" x14ac:dyDescent="0.35">
      <c r="B1876"/>
      <c r="C1876"/>
      <c r="D1876"/>
      <c r="E1876"/>
    </row>
    <row r="1877" spans="2:5" x14ac:dyDescent="0.35">
      <c r="B1877"/>
      <c r="C1877"/>
      <c r="D1877"/>
      <c r="E1877"/>
    </row>
    <row r="1878" spans="2:5" x14ac:dyDescent="0.35">
      <c r="B1878"/>
      <c r="C1878"/>
      <c r="D1878"/>
      <c r="E1878"/>
    </row>
    <row r="1879" spans="2:5" x14ac:dyDescent="0.35">
      <c r="B1879"/>
      <c r="C1879"/>
      <c r="D1879"/>
      <c r="E1879"/>
    </row>
    <row r="1880" spans="2:5" x14ac:dyDescent="0.35">
      <c r="B1880"/>
      <c r="C1880"/>
      <c r="D1880"/>
      <c r="E1880"/>
    </row>
    <row r="1881" spans="2:5" x14ac:dyDescent="0.35">
      <c r="B1881"/>
      <c r="C1881"/>
      <c r="D1881"/>
      <c r="E1881"/>
    </row>
    <row r="1882" spans="2:5" x14ac:dyDescent="0.35">
      <c r="B1882"/>
      <c r="C1882"/>
      <c r="D1882"/>
      <c r="E1882"/>
    </row>
    <row r="1883" spans="2:5" x14ac:dyDescent="0.35">
      <c r="B1883"/>
      <c r="C1883"/>
      <c r="D1883"/>
      <c r="E1883"/>
    </row>
    <row r="1884" spans="2:5" x14ac:dyDescent="0.35">
      <c r="B1884"/>
      <c r="C1884"/>
      <c r="D1884"/>
      <c r="E1884"/>
    </row>
    <row r="1885" spans="2:5" x14ac:dyDescent="0.35">
      <c r="B1885"/>
      <c r="C1885"/>
      <c r="D1885"/>
      <c r="E1885"/>
    </row>
    <row r="1886" spans="2:5" x14ac:dyDescent="0.35">
      <c r="B1886"/>
      <c r="C1886"/>
      <c r="D1886"/>
      <c r="E1886"/>
    </row>
    <row r="1887" spans="2:5" x14ac:dyDescent="0.35">
      <c r="B1887"/>
      <c r="C1887"/>
      <c r="D1887"/>
      <c r="E1887"/>
    </row>
    <row r="1888" spans="2:5" x14ac:dyDescent="0.35">
      <c r="B1888"/>
      <c r="C1888"/>
      <c r="D1888"/>
      <c r="E1888"/>
    </row>
    <row r="1889" spans="2:5" x14ac:dyDescent="0.35">
      <c r="B1889"/>
      <c r="C1889"/>
      <c r="D1889"/>
      <c r="E1889"/>
    </row>
    <row r="1890" spans="2:5" x14ac:dyDescent="0.35">
      <c r="B1890"/>
      <c r="C1890"/>
      <c r="D1890"/>
      <c r="E1890"/>
    </row>
    <row r="1891" spans="2:5" x14ac:dyDescent="0.35">
      <c r="B1891"/>
      <c r="C1891"/>
      <c r="D1891"/>
      <c r="E1891"/>
    </row>
    <row r="1892" spans="2:5" x14ac:dyDescent="0.35">
      <c r="B1892"/>
      <c r="C1892"/>
      <c r="D1892"/>
      <c r="E1892"/>
    </row>
    <row r="1893" spans="2:5" x14ac:dyDescent="0.35">
      <c r="B1893"/>
      <c r="C1893"/>
      <c r="D1893"/>
      <c r="E1893"/>
    </row>
    <row r="1894" spans="2:5" x14ac:dyDescent="0.35">
      <c r="B1894"/>
      <c r="C1894"/>
      <c r="D1894"/>
      <c r="E1894"/>
    </row>
    <row r="1895" spans="2:5" x14ac:dyDescent="0.35">
      <c r="B1895"/>
      <c r="C1895"/>
      <c r="D1895"/>
      <c r="E1895"/>
    </row>
    <row r="1896" spans="2:5" x14ac:dyDescent="0.35">
      <c r="B1896"/>
      <c r="C1896"/>
      <c r="D1896"/>
      <c r="E1896"/>
    </row>
    <row r="1897" spans="2:5" x14ac:dyDescent="0.35">
      <c r="B1897"/>
      <c r="C1897"/>
      <c r="D1897"/>
      <c r="E1897"/>
    </row>
    <row r="1898" spans="2:5" x14ac:dyDescent="0.35">
      <c r="B1898"/>
      <c r="C1898"/>
      <c r="D1898"/>
      <c r="E1898"/>
    </row>
    <row r="1899" spans="2:5" x14ac:dyDescent="0.35">
      <c r="B1899"/>
      <c r="C1899"/>
      <c r="D1899"/>
      <c r="E1899"/>
    </row>
    <row r="1900" spans="2:5" x14ac:dyDescent="0.35">
      <c r="B1900"/>
      <c r="C1900"/>
      <c r="D1900"/>
      <c r="E1900"/>
    </row>
    <row r="1901" spans="2:5" x14ac:dyDescent="0.35">
      <c r="B1901"/>
      <c r="C1901"/>
      <c r="D1901"/>
      <c r="E1901"/>
    </row>
    <row r="1902" spans="2:5" x14ac:dyDescent="0.35">
      <c r="B1902"/>
      <c r="C1902"/>
      <c r="D1902"/>
      <c r="E1902"/>
    </row>
    <row r="1903" spans="2:5" x14ac:dyDescent="0.35">
      <c r="B1903"/>
      <c r="C1903"/>
      <c r="D1903"/>
      <c r="E1903"/>
    </row>
    <row r="1904" spans="2:5" x14ac:dyDescent="0.35">
      <c r="B1904"/>
      <c r="C1904"/>
      <c r="D1904"/>
      <c r="E1904"/>
    </row>
    <row r="1905" spans="2:5" x14ac:dyDescent="0.35">
      <c r="B1905"/>
      <c r="C1905"/>
      <c r="D1905"/>
      <c r="E1905"/>
    </row>
    <row r="1906" spans="2:5" x14ac:dyDescent="0.35">
      <c r="B1906"/>
      <c r="C1906"/>
      <c r="D1906"/>
      <c r="E1906"/>
    </row>
    <row r="1907" spans="2:5" x14ac:dyDescent="0.35">
      <c r="B1907"/>
      <c r="C1907"/>
      <c r="D1907"/>
      <c r="E1907"/>
    </row>
    <row r="1908" spans="2:5" x14ac:dyDescent="0.35">
      <c r="B1908"/>
      <c r="C1908"/>
      <c r="D1908"/>
      <c r="E1908"/>
    </row>
    <row r="1909" spans="2:5" x14ac:dyDescent="0.35">
      <c r="B1909"/>
      <c r="C1909"/>
      <c r="D1909"/>
      <c r="E1909"/>
    </row>
    <row r="1910" spans="2:5" x14ac:dyDescent="0.35">
      <c r="B1910"/>
      <c r="C1910"/>
      <c r="D1910"/>
      <c r="E1910"/>
    </row>
    <row r="1911" spans="2:5" x14ac:dyDescent="0.35">
      <c r="B1911"/>
      <c r="C1911"/>
      <c r="D1911"/>
      <c r="E1911"/>
    </row>
    <row r="1912" spans="2:5" x14ac:dyDescent="0.35">
      <c r="B1912"/>
      <c r="C1912"/>
      <c r="D1912"/>
      <c r="E1912"/>
    </row>
    <row r="1913" spans="2:5" x14ac:dyDescent="0.35">
      <c r="B1913"/>
      <c r="C1913"/>
      <c r="D1913"/>
      <c r="E1913"/>
    </row>
    <row r="1914" spans="2:5" x14ac:dyDescent="0.35">
      <c r="B1914"/>
      <c r="C1914"/>
      <c r="D1914"/>
      <c r="E1914"/>
    </row>
    <row r="1915" spans="2:5" x14ac:dyDescent="0.35">
      <c r="B1915"/>
      <c r="C1915"/>
      <c r="D1915"/>
      <c r="E1915"/>
    </row>
    <row r="1916" spans="2:5" x14ac:dyDescent="0.35">
      <c r="B1916"/>
      <c r="C1916"/>
      <c r="D1916"/>
      <c r="E1916"/>
    </row>
    <row r="1917" spans="2:5" x14ac:dyDescent="0.35">
      <c r="B1917"/>
      <c r="C1917"/>
      <c r="D1917"/>
      <c r="E1917"/>
    </row>
    <row r="1918" spans="2:5" x14ac:dyDescent="0.35">
      <c r="B1918"/>
      <c r="C1918"/>
      <c r="D1918"/>
      <c r="E1918"/>
    </row>
    <row r="1919" spans="2:5" x14ac:dyDescent="0.35">
      <c r="B1919"/>
      <c r="C1919"/>
      <c r="D1919"/>
      <c r="E1919"/>
    </row>
    <row r="1920" spans="2:5" x14ac:dyDescent="0.35">
      <c r="B1920"/>
      <c r="C1920"/>
      <c r="D1920"/>
      <c r="E1920"/>
    </row>
    <row r="1921" spans="2:5" x14ac:dyDescent="0.35">
      <c r="B1921"/>
      <c r="C1921"/>
      <c r="D1921"/>
      <c r="E1921"/>
    </row>
    <row r="1922" spans="2:5" x14ac:dyDescent="0.35">
      <c r="B1922"/>
      <c r="C1922"/>
      <c r="D1922"/>
      <c r="E1922"/>
    </row>
    <row r="1923" spans="2:5" x14ac:dyDescent="0.35">
      <c r="B1923"/>
      <c r="C1923"/>
      <c r="D1923"/>
      <c r="E1923"/>
    </row>
    <row r="1924" spans="2:5" x14ac:dyDescent="0.35">
      <c r="B1924"/>
      <c r="C1924"/>
      <c r="D1924"/>
      <c r="E1924"/>
    </row>
    <row r="1925" spans="2:5" x14ac:dyDescent="0.35">
      <c r="B1925"/>
      <c r="C1925"/>
      <c r="D1925"/>
      <c r="E1925"/>
    </row>
    <row r="1926" spans="2:5" x14ac:dyDescent="0.35">
      <c r="B1926"/>
      <c r="C1926"/>
      <c r="D1926"/>
      <c r="E1926"/>
    </row>
    <row r="1927" spans="2:5" x14ac:dyDescent="0.35">
      <c r="B1927"/>
      <c r="C1927"/>
      <c r="D1927"/>
      <c r="E1927"/>
    </row>
    <row r="1928" spans="2:5" x14ac:dyDescent="0.35">
      <c r="B1928"/>
      <c r="C1928"/>
      <c r="D1928"/>
      <c r="E1928"/>
    </row>
    <row r="1929" spans="2:5" x14ac:dyDescent="0.35">
      <c r="B1929"/>
      <c r="C1929"/>
      <c r="D1929"/>
      <c r="E1929"/>
    </row>
    <row r="1930" spans="2:5" x14ac:dyDescent="0.35">
      <c r="B1930"/>
      <c r="C1930"/>
      <c r="D1930"/>
      <c r="E1930"/>
    </row>
    <row r="1931" spans="2:5" x14ac:dyDescent="0.35">
      <c r="B1931"/>
      <c r="C1931"/>
      <c r="D1931"/>
      <c r="E1931"/>
    </row>
    <row r="1932" spans="2:5" x14ac:dyDescent="0.35">
      <c r="B1932"/>
      <c r="C1932"/>
      <c r="D1932"/>
      <c r="E1932"/>
    </row>
    <row r="1933" spans="2:5" x14ac:dyDescent="0.35">
      <c r="B1933"/>
      <c r="C1933"/>
      <c r="D1933"/>
      <c r="E1933"/>
    </row>
    <row r="1934" spans="2:5" x14ac:dyDescent="0.35">
      <c r="B1934"/>
      <c r="C1934"/>
      <c r="D1934"/>
      <c r="E1934"/>
    </row>
    <row r="1935" spans="2:5" x14ac:dyDescent="0.35">
      <c r="B1935"/>
      <c r="C1935"/>
      <c r="D1935"/>
      <c r="E1935"/>
    </row>
    <row r="1936" spans="2:5" x14ac:dyDescent="0.35">
      <c r="B1936"/>
      <c r="C1936"/>
      <c r="D1936"/>
      <c r="E1936"/>
    </row>
    <row r="1937" spans="2:5" x14ac:dyDescent="0.35">
      <c r="B1937"/>
      <c r="C1937"/>
      <c r="D1937"/>
      <c r="E1937"/>
    </row>
    <row r="1938" spans="2:5" x14ac:dyDescent="0.35">
      <c r="B1938"/>
      <c r="C1938"/>
      <c r="D1938"/>
      <c r="E1938"/>
    </row>
    <row r="1939" spans="2:5" x14ac:dyDescent="0.35">
      <c r="B1939"/>
      <c r="C1939"/>
      <c r="D1939"/>
      <c r="E1939"/>
    </row>
    <row r="1940" spans="2:5" x14ac:dyDescent="0.35">
      <c r="B1940"/>
      <c r="C1940"/>
      <c r="D1940"/>
      <c r="E1940"/>
    </row>
    <row r="1941" spans="2:5" x14ac:dyDescent="0.35">
      <c r="B1941"/>
      <c r="C1941"/>
      <c r="D1941"/>
      <c r="E1941"/>
    </row>
    <row r="1942" spans="2:5" x14ac:dyDescent="0.35">
      <c r="B1942"/>
      <c r="C1942"/>
      <c r="D1942"/>
      <c r="E1942"/>
    </row>
    <row r="1943" spans="2:5" x14ac:dyDescent="0.35">
      <c r="B1943"/>
      <c r="C1943"/>
      <c r="D1943"/>
      <c r="E1943"/>
    </row>
    <row r="1944" spans="2:5" x14ac:dyDescent="0.35">
      <c r="B1944"/>
      <c r="C1944"/>
      <c r="D1944"/>
      <c r="E1944"/>
    </row>
    <row r="1945" spans="2:5" x14ac:dyDescent="0.35">
      <c r="B1945"/>
      <c r="C1945"/>
      <c r="D1945"/>
      <c r="E1945"/>
    </row>
    <row r="1946" spans="2:5" x14ac:dyDescent="0.35">
      <c r="B1946"/>
      <c r="C1946"/>
      <c r="D1946"/>
      <c r="E1946"/>
    </row>
    <row r="1947" spans="2:5" x14ac:dyDescent="0.35">
      <c r="B1947"/>
      <c r="C1947"/>
      <c r="D1947"/>
      <c r="E1947"/>
    </row>
    <row r="1948" spans="2:5" x14ac:dyDescent="0.35">
      <c r="B1948"/>
      <c r="C1948"/>
      <c r="D1948"/>
      <c r="E1948"/>
    </row>
    <row r="1949" spans="2:5" x14ac:dyDescent="0.35">
      <c r="B1949"/>
      <c r="C1949"/>
      <c r="D1949"/>
      <c r="E1949"/>
    </row>
    <row r="1950" spans="2:5" x14ac:dyDescent="0.35">
      <c r="B1950"/>
      <c r="C1950"/>
      <c r="D1950"/>
      <c r="E1950"/>
    </row>
    <row r="1951" spans="2:5" x14ac:dyDescent="0.35">
      <c r="B1951"/>
      <c r="C1951"/>
      <c r="D1951"/>
      <c r="E1951"/>
    </row>
    <row r="1952" spans="2:5" x14ac:dyDescent="0.35">
      <c r="B1952"/>
      <c r="C1952"/>
      <c r="D1952"/>
      <c r="E1952"/>
    </row>
    <row r="1953" spans="2:5" x14ac:dyDescent="0.35">
      <c r="B1953"/>
      <c r="C1953"/>
      <c r="D1953"/>
      <c r="E1953"/>
    </row>
    <row r="1954" spans="2:5" x14ac:dyDescent="0.35">
      <c r="B1954"/>
      <c r="C1954"/>
      <c r="D1954"/>
      <c r="E1954"/>
    </row>
    <row r="1955" spans="2:5" x14ac:dyDescent="0.35">
      <c r="B1955"/>
      <c r="C1955"/>
      <c r="D1955"/>
      <c r="E1955"/>
    </row>
    <row r="1956" spans="2:5" x14ac:dyDescent="0.35">
      <c r="B1956"/>
      <c r="C1956"/>
      <c r="D1956"/>
      <c r="E1956"/>
    </row>
    <row r="1957" spans="2:5" x14ac:dyDescent="0.35">
      <c r="B1957"/>
      <c r="C1957"/>
      <c r="D1957"/>
      <c r="E1957"/>
    </row>
    <row r="1958" spans="2:5" x14ac:dyDescent="0.35">
      <c r="B1958"/>
      <c r="C1958"/>
      <c r="D1958"/>
      <c r="E1958"/>
    </row>
    <row r="1959" spans="2:5" x14ac:dyDescent="0.35">
      <c r="B1959"/>
      <c r="C1959"/>
      <c r="D1959"/>
      <c r="E1959"/>
    </row>
    <row r="1960" spans="2:5" x14ac:dyDescent="0.35">
      <c r="B1960"/>
      <c r="C1960"/>
      <c r="D1960"/>
      <c r="E1960"/>
    </row>
    <row r="1961" spans="2:5" x14ac:dyDescent="0.35">
      <c r="B1961"/>
      <c r="C1961"/>
      <c r="D1961"/>
      <c r="E1961"/>
    </row>
    <row r="1962" spans="2:5" x14ac:dyDescent="0.35">
      <c r="B1962"/>
      <c r="C1962"/>
      <c r="D1962"/>
      <c r="E1962"/>
    </row>
    <row r="1963" spans="2:5" x14ac:dyDescent="0.35">
      <c r="B1963"/>
      <c r="C1963"/>
      <c r="D1963"/>
      <c r="E1963"/>
    </row>
    <row r="1964" spans="2:5" x14ac:dyDescent="0.35">
      <c r="B1964"/>
      <c r="C1964"/>
      <c r="D1964"/>
      <c r="E1964"/>
    </row>
    <row r="1965" spans="2:5" x14ac:dyDescent="0.35">
      <c r="B1965"/>
      <c r="C1965"/>
      <c r="D1965"/>
      <c r="E1965"/>
    </row>
    <row r="1966" spans="2:5" x14ac:dyDescent="0.35">
      <c r="B1966"/>
      <c r="C1966"/>
      <c r="D1966"/>
      <c r="E1966"/>
    </row>
    <row r="1967" spans="2:5" x14ac:dyDescent="0.35">
      <c r="B1967"/>
      <c r="C1967"/>
      <c r="D1967"/>
      <c r="E1967"/>
    </row>
    <row r="1968" spans="2:5" x14ac:dyDescent="0.35">
      <c r="B1968"/>
      <c r="C1968"/>
      <c r="D1968"/>
      <c r="E1968"/>
    </row>
    <row r="1969" spans="2:5" x14ac:dyDescent="0.35">
      <c r="B1969"/>
      <c r="C1969"/>
      <c r="D1969"/>
      <c r="E1969"/>
    </row>
    <row r="1970" spans="2:5" x14ac:dyDescent="0.35">
      <c r="B1970"/>
      <c r="C1970"/>
      <c r="D1970"/>
      <c r="E1970"/>
    </row>
    <row r="1971" spans="2:5" x14ac:dyDescent="0.35">
      <c r="B1971"/>
      <c r="C1971"/>
      <c r="D1971"/>
      <c r="E1971"/>
    </row>
    <row r="1972" spans="2:5" x14ac:dyDescent="0.35">
      <c r="B1972"/>
      <c r="C1972"/>
      <c r="D1972"/>
      <c r="E1972"/>
    </row>
    <row r="1973" spans="2:5" x14ac:dyDescent="0.35">
      <c r="B1973"/>
      <c r="C1973"/>
      <c r="D1973"/>
      <c r="E1973"/>
    </row>
    <row r="1974" spans="2:5" x14ac:dyDescent="0.35">
      <c r="B1974"/>
      <c r="C1974"/>
      <c r="D1974"/>
      <c r="E1974"/>
    </row>
    <row r="1975" spans="2:5" x14ac:dyDescent="0.35">
      <c r="B1975"/>
      <c r="C1975"/>
      <c r="D1975"/>
      <c r="E1975"/>
    </row>
    <row r="1976" spans="2:5" x14ac:dyDescent="0.35">
      <c r="B1976"/>
      <c r="C1976"/>
      <c r="D1976"/>
      <c r="E1976"/>
    </row>
    <row r="1977" spans="2:5" x14ac:dyDescent="0.35">
      <c r="B1977"/>
      <c r="C1977"/>
      <c r="D1977"/>
      <c r="E1977"/>
    </row>
    <row r="1978" spans="2:5" x14ac:dyDescent="0.35">
      <c r="B1978"/>
      <c r="C1978"/>
      <c r="D1978"/>
      <c r="E1978"/>
    </row>
    <row r="1979" spans="2:5" x14ac:dyDescent="0.35">
      <c r="B1979"/>
      <c r="C1979"/>
      <c r="D1979"/>
      <c r="E1979"/>
    </row>
    <row r="1980" spans="2:5" x14ac:dyDescent="0.35">
      <c r="B1980"/>
      <c r="C1980"/>
      <c r="D1980"/>
      <c r="E1980"/>
    </row>
    <row r="1981" spans="2:5" x14ac:dyDescent="0.35">
      <c r="B1981"/>
      <c r="C1981"/>
      <c r="D1981"/>
      <c r="E1981"/>
    </row>
    <row r="1982" spans="2:5" x14ac:dyDescent="0.35">
      <c r="B1982"/>
      <c r="C1982"/>
      <c r="D1982"/>
      <c r="E1982"/>
    </row>
    <row r="1983" spans="2:5" x14ac:dyDescent="0.35">
      <c r="B1983"/>
      <c r="C1983"/>
      <c r="D1983"/>
      <c r="E1983"/>
    </row>
    <row r="1984" spans="2:5" x14ac:dyDescent="0.35">
      <c r="B1984"/>
      <c r="C1984"/>
      <c r="D1984"/>
      <c r="E1984"/>
    </row>
    <row r="1985" spans="2:5" x14ac:dyDescent="0.35">
      <c r="B1985"/>
      <c r="C1985"/>
      <c r="D1985"/>
      <c r="E1985"/>
    </row>
    <row r="1986" spans="2:5" x14ac:dyDescent="0.35">
      <c r="B1986"/>
      <c r="C1986"/>
      <c r="D1986"/>
      <c r="E1986"/>
    </row>
    <row r="1987" spans="2:5" x14ac:dyDescent="0.35">
      <c r="B1987"/>
      <c r="C1987"/>
      <c r="D1987"/>
      <c r="E1987"/>
    </row>
    <row r="1988" spans="2:5" x14ac:dyDescent="0.35">
      <c r="B1988"/>
      <c r="C1988"/>
      <c r="D1988"/>
      <c r="E1988"/>
    </row>
    <row r="1989" spans="2:5" x14ac:dyDescent="0.35">
      <c r="B1989"/>
      <c r="C1989"/>
      <c r="D1989"/>
      <c r="E1989"/>
    </row>
    <row r="1990" spans="2:5" x14ac:dyDescent="0.35">
      <c r="B1990"/>
      <c r="C1990"/>
      <c r="D1990"/>
      <c r="E1990"/>
    </row>
    <row r="1991" spans="2:5" x14ac:dyDescent="0.35">
      <c r="B1991"/>
      <c r="C1991"/>
      <c r="D1991"/>
      <c r="E1991"/>
    </row>
    <row r="1992" spans="2:5" x14ac:dyDescent="0.35">
      <c r="B1992"/>
      <c r="C1992"/>
      <c r="D1992"/>
      <c r="E1992"/>
    </row>
    <row r="1993" spans="2:5" x14ac:dyDescent="0.35">
      <c r="B1993"/>
      <c r="C1993"/>
      <c r="D1993"/>
      <c r="E1993"/>
    </row>
    <row r="1994" spans="2:5" x14ac:dyDescent="0.35">
      <c r="B1994"/>
      <c r="C1994"/>
      <c r="D1994"/>
      <c r="E1994"/>
    </row>
    <row r="1995" spans="2:5" x14ac:dyDescent="0.35">
      <c r="B1995"/>
      <c r="C1995"/>
      <c r="D1995"/>
      <c r="E1995"/>
    </row>
    <row r="1996" spans="2:5" x14ac:dyDescent="0.35">
      <c r="B1996"/>
      <c r="C1996"/>
      <c r="D1996"/>
      <c r="E1996"/>
    </row>
    <row r="1997" spans="2:5" x14ac:dyDescent="0.35">
      <c r="B1997"/>
      <c r="C1997"/>
      <c r="D1997"/>
      <c r="E1997"/>
    </row>
    <row r="1998" spans="2:5" x14ac:dyDescent="0.35">
      <c r="B1998"/>
      <c r="C1998"/>
      <c r="D1998"/>
      <c r="E1998"/>
    </row>
    <row r="1999" spans="2:5" x14ac:dyDescent="0.35">
      <c r="B1999"/>
      <c r="C1999"/>
      <c r="D1999"/>
      <c r="E1999"/>
    </row>
    <row r="2000" spans="2:5" x14ac:dyDescent="0.35">
      <c r="B2000"/>
      <c r="C2000"/>
      <c r="D2000"/>
      <c r="E2000"/>
    </row>
    <row r="2001" spans="2:5" x14ac:dyDescent="0.35">
      <c r="B2001"/>
      <c r="C2001"/>
      <c r="D2001"/>
      <c r="E2001"/>
    </row>
    <row r="2002" spans="2:5" x14ac:dyDescent="0.35">
      <c r="B2002"/>
      <c r="C2002"/>
      <c r="D2002"/>
      <c r="E2002"/>
    </row>
    <row r="2003" spans="2:5" x14ac:dyDescent="0.35">
      <c r="B2003"/>
      <c r="C2003"/>
      <c r="D2003"/>
      <c r="E2003"/>
    </row>
    <row r="2004" spans="2:5" x14ac:dyDescent="0.35">
      <c r="B2004"/>
      <c r="C2004"/>
      <c r="D2004"/>
      <c r="E2004"/>
    </row>
    <row r="2005" spans="2:5" x14ac:dyDescent="0.35">
      <c r="B2005"/>
      <c r="C2005"/>
      <c r="D2005"/>
      <c r="E2005"/>
    </row>
    <row r="2006" spans="2:5" x14ac:dyDescent="0.35">
      <c r="B2006"/>
      <c r="C2006"/>
      <c r="D2006"/>
      <c r="E2006"/>
    </row>
    <row r="2007" spans="2:5" x14ac:dyDescent="0.35">
      <c r="B2007"/>
      <c r="C2007"/>
      <c r="D2007"/>
      <c r="E2007"/>
    </row>
    <row r="2008" spans="2:5" x14ac:dyDescent="0.35">
      <c r="B2008"/>
      <c r="C2008"/>
      <c r="D2008"/>
      <c r="E2008"/>
    </row>
    <row r="2009" spans="2:5" x14ac:dyDescent="0.35">
      <c r="B2009"/>
      <c r="C2009"/>
      <c r="D2009"/>
      <c r="E2009"/>
    </row>
    <row r="2010" spans="2:5" x14ac:dyDescent="0.35">
      <c r="B2010"/>
      <c r="C2010"/>
      <c r="D2010"/>
      <c r="E2010"/>
    </row>
    <row r="2011" spans="2:5" x14ac:dyDescent="0.35">
      <c r="B2011"/>
      <c r="C2011"/>
      <c r="D2011"/>
      <c r="E2011"/>
    </row>
    <row r="2012" spans="2:5" x14ac:dyDescent="0.35">
      <c r="B2012"/>
      <c r="C2012"/>
      <c r="D2012"/>
      <c r="E2012"/>
    </row>
    <row r="2013" spans="2:5" x14ac:dyDescent="0.35">
      <c r="B2013"/>
      <c r="C2013"/>
      <c r="D2013"/>
      <c r="E2013"/>
    </row>
    <row r="2014" spans="2:5" x14ac:dyDescent="0.35">
      <c r="B2014"/>
      <c r="C2014"/>
      <c r="D2014"/>
      <c r="E2014"/>
    </row>
    <row r="2015" spans="2:5" x14ac:dyDescent="0.35">
      <c r="B2015"/>
      <c r="C2015"/>
      <c r="D2015"/>
      <c r="E2015"/>
    </row>
    <row r="2016" spans="2:5" x14ac:dyDescent="0.35">
      <c r="B2016"/>
      <c r="C2016"/>
      <c r="D2016"/>
      <c r="E2016"/>
    </row>
    <row r="2017" spans="2:5" x14ac:dyDescent="0.35">
      <c r="B2017"/>
      <c r="C2017"/>
      <c r="D2017"/>
      <c r="E2017"/>
    </row>
    <row r="2018" spans="2:5" x14ac:dyDescent="0.35">
      <c r="B2018"/>
      <c r="C2018"/>
      <c r="D2018"/>
      <c r="E2018"/>
    </row>
    <row r="2019" spans="2:5" x14ac:dyDescent="0.35">
      <c r="B2019"/>
      <c r="C2019"/>
      <c r="D2019"/>
      <c r="E2019"/>
    </row>
    <row r="2020" spans="2:5" x14ac:dyDescent="0.35">
      <c r="B2020"/>
      <c r="C2020"/>
      <c r="D2020"/>
      <c r="E2020"/>
    </row>
    <row r="2021" spans="2:5" x14ac:dyDescent="0.35">
      <c r="B2021"/>
      <c r="C2021"/>
      <c r="D2021"/>
      <c r="E2021"/>
    </row>
    <row r="2022" spans="2:5" x14ac:dyDescent="0.35">
      <c r="B2022"/>
      <c r="C2022"/>
      <c r="D2022"/>
      <c r="E2022"/>
    </row>
    <row r="2023" spans="2:5" x14ac:dyDescent="0.35">
      <c r="B2023"/>
      <c r="C2023"/>
      <c r="D2023"/>
      <c r="E2023"/>
    </row>
    <row r="2024" spans="2:5" x14ac:dyDescent="0.35">
      <c r="B2024"/>
      <c r="C2024"/>
      <c r="D2024"/>
      <c r="E2024"/>
    </row>
    <row r="2025" spans="2:5" x14ac:dyDescent="0.35">
      <c r="B2025"/>
      <c r="C2025"/>
      <c r="D2025"/>
      <c r="E2025"/>
    </row>
    <row r="2026" spans="2:5" x14ac:dyDescent="0.35">
      <c r="B2026"/>
      <c r="C2026"/>
      <c r="D2026"/>
      <c r="E2026"/>
    </row>
    <row r="2027" spans="2:5" x14ac:dyDescent="0.35">
      <c r="B2027"/>
      <c r="C2027"/>
      <c r="D2027"/>
      <c r="E2027"/>
    </row>
    <row r="2028" spans="2:5" x14ac:dyDescent="0.35">
      <c r="B2028"/>
      <c r="C2028"/>
      <c r="D2028"/>
      <c r="E2028"/>
    </row>
    <row r="2029" spans="2:5" x14ac:dyDescent="0.35">
      <c r="B2029"/>
      <c r="C2029"/>
      <c r="D2029"/>
      <c r="E2029"/>
    </row>
    <row r="2030" spans="2:5" x14ac:dyDescent="0.35">
      <c r="B2030"/>
      <c r="C2030"/>
      <c r="D2030"/>
      <c r="E2030"/>
    </row>
    <row r="2031" spans="2:5" x14ac:dyDescent="0.35">
      <c r="B2031"/>
      <c r="C2031"/>
      <c r="D2031"/>
      <c r="E2031"/>
    </row>
    <row r="2032" spans="2:5" x14ac:dyDescent="0.35">
      <c r="B2032"/>
      <c r="C2032"/>
      <c r="D2032"/>
      <c r="E2032"/>
    </row>
    <row r="2033" spans="2:5" x14ac:dyDescent="0.35">
      <c r="B2033"/>
      <c r="C2033"/>
      <c r="D2033"/>
      <c r="E2033"/>
    </row>
    <row r="2034" spans="2:5" x14ac:dyDescent="0.35">
      <c r="B2034"/>
      <c r="C2034"/>
      <c r="D2034"/>
      <c r="E2034"/>
    </row>
    <row r="2035" spans="2:5" x14ac:dyDescent="0.35">
      <c r="B2035"/>
      <c r="C2035"/>
      <c r="D2035"/>
      <c r="E2035"/>
    </row>
    <row r="2036" spans="2:5" x14ac:dyDescent="0.35">
      <c r="B2036"/>
      <c r="C2036"/>
      <c r="D2036"/>
      <c r="E2036"/>
    </row>
    <row r="2037" spans="2:5" x14ac:dyDescent="0.35">
      <c r="B2037"/>
      <c r="C2037"/>
      <c r="D2037"/>
      <c r="E2037"/>
    </row>
    <row r="2038" spans="2:5" x14ac:dyDescent="0.35">
      <c r="B2038"/>
      <c r="C2038"/>
      <c r="D2038"/>
      <c r="E2038"/>
    </row>
    <row r="2039" spans="2:5" x14ac:dyDescent="0.35">
      <c r="B2039"/>
      <c r="C2039"/>
      <c r="D2039"/>
      <c r="E2039"/>
    </row>
    <row r="2040" spans="2:5" x14ac:dyDescent="0.35">
      <c r="B2040"/>
      <c r="C2040"/>
      <c r="D2040"/>
      <c r="E2040"/>
    </row>
    <row r="2041" spans="2:5" x14ac:dyDescent="0.35">
      <c r="B2041"/>
      <c r="C2041"/>
      <c r="D2041"/>
      <c r="E2041"/>
    </row>
    <row r="2042" spans="2:5" x14ac:dyDescent="0.35">
      <c r="B2042"/>
      <c r="C2042"/>
      <c r="D2042"/>
      <c r="E2042"/>
    </row>
    <row r="2043" spans="2:5" x14ac:dyDescent="0.35">
      <c r="B2043"/>
      <c r="C2043"/>
      <c r="D2043"/>
      <c r="E2043"/>
    </row>
    <row r="2044" spans="2:5" x14ac:dyDescent="0.35">
      <c r="B2044"/>
      <c r="C2044"/>
      <c r="D2044"/>
      <c r="E2044"/>
    </row>
    <row r="2045" spans="2:5" x14ac:dyDescent="0.35">
      <c r="B2045"/>
      <c r="C2045"/>
      <c r="D2045"/>
      <c r="E2045"/>
    </row>
    <row r="2046" spans="2:5" x14ac:dyDescent="0.35">
      <c r="B2046"/>
      <c r="C2046"/>
      <c r="D2046"/>
      <c r="E2046"/>
    </row>
    <row r="2047" spans="2:5" x14ac:dyDescent="0.35">
      <c r="B2047"/>
      <c r="C2047"/>
      <c r="D2047"/>
      <c r="E2047"/>
    </row>
    <row r="2048" spans="2:5" x14ac:dyDescent="0.35">
      <c r="B2048"/>
      <c r="C2048"/>
      <c r="D2048"/>
      <c r="E2048"/>
    </row>
    <row r="2049" spans="2:5" x14ac:dyDescent="0.35">
      <c r="B2049"/>
      <c r="C2049"/>
      <c r="D2049"/>
      <c r="E2049"/>
    </row>
    <row r="2050" spans="2:5" x14ac:dyDescent="0.35">
      <c r="B2050"/>
      <c r="C2050"/>
      <c r="D2050"/>
      <c r="E2050"/>
    </row>
    <row r="2051" spans="2:5" x14ac:dyDescent="0.35">
      <c r="B2051"/>
      <c r="C2051"/>
      <c r="D2051"/>
      <c r="E2051"/>
    </row>
    <row r="2052" spans="2:5" x14ac:dyDescent="0.35">
      <c r="B2052"/>
      <c r="C2052"/>
      <c r="D2052"/>
      <c r="E2052"/>
    </row>
    <row r="2053" spans="2:5" x14ac:dyDescent="0.35">
      <c r="B2053"/>
      <c r="C2053"/>
      <c r="D2053"/>
      <c r="E2053"/>
    </row>
    <row r="2054" spans="2:5" x14ac:dyDescent="0.35">
      <c r="B2054"/>
      <c r="C2054"/>
      <c r="D2054"/>
      <c r="E2054"/>
    </row>
    <row r="2055" spans="2:5" x14ac:dyDescent="0.35">
      <c r="B2055"/>
      <c r="C2055"/>
      <c r="D2055"/>
      <c r="E2055"/>
    </row>
    <row r="2056" spans="2:5" x14ac:dyDescent="0.35">
      <c r="B2056"/>
      <c r="C2056"/>
      <c r="D2056"/>
      <c r="E2056"/>
    </row>
    <row r="2057" spans="2:5" x14ac:dyDescent="0.35">
      <c r="B2057"/>
      <c r="C2057"/>
      <c r="D2057"/>
      <c r="E2057"/>
    </row>
    <row r="2058" spans="2:5" x14ac:dyDescent="0.35">
      <c r="B2058"/>
      <c r="C2058"/>
      <c r="D2058"/>
      <c r="E2058"/>
    </row>
    <row r="2059" spans="2:5" x14ac:dyDescent="0.35">
      <c r="B2059"/>
      <c r="C2059"/>
      <c r="D2059"/>
      <c r="E2059"/>
    </row>
    <row r="2060" spans="2:5" x14ac:dyDescent="0.35">
      <c r="B2060"/>
      <c r="C2060"/>
      <c r="D2060"/>
      <c r="E2060"/>
    </row>
    <row r="2061" spans="2:5" x14ac:dyDescent="0.35">
      <c r="B2061"/>
      <c r="C2061"/>
      <c r="D2061"/>
      <c r="E2061"/>
    </row>
    <row r="2062" spans="2:5" x14ac:dyDescent="0.35">
      <c r="B2062"/>
      <c r="C2062"/>
      <c r="D2062"/>
      <c r="E2062"/>
    </row>
    <row r="2063" spans="2:5" x14ac:dyDescent="0.35">
      <c r="B2063"/>
      <c r="C2063"/>
      <c r="D2063"/>
      <c r="E2063"/>
    </row>
    <row r="2064" spans="2:5" x14ac:dyDescent="0.35">
      <c r="B2064"/>
      <c r="C2064"/>
      <c r="D2064"/>
      <c r="E2064"/>
    </row>
    <row r="2065" spans="2:5" x14ac:dyDescent="0.35">
      <c r="B2065"/>
      <c r="C2065"/>
      <c r="D2065"/>
      <c r="E2065"/>
    </row>
    <row r="2066" spans="2:5" x14ac:dyDescent="0.35">
      <c r="B2066"/>
      <c r="C2066"/>
      <c r="D2066"/>
      <c r="E2066"/>
    </row>
    <row r="2067" spans="2:5" x14ac:dyDescent="0.35">
      <c r="B2067"/>
      <c r="C2067"/>
      <c r="D2067"/>
      <c r="E2067"/>
    </row>
    <row r="2068" spans="2:5" x14ac:dyDescent="0.35">
      <c r="B2068"/>
      <c r="C2068"/>
      <c r="D2068"/>
      <c r="E2068"/>
    </row>
    <row r="2069" spans="2:5" x14ac:dyDescent="0.35">
      <c r="B2069"/>
      <c r="C2069"/>
      <c r="D2069"/>
      <c r="E2069"/>
    </row>
    <row r="2070" spans="2:5" x14ac:dyDescent="0.35">
      <c r="B2070"/>
      <c r="C2070"/>
      <c r="D2070"/>
      <c r="E2070"/>
    </row>
    <row r="2071" spans="2:5" x14ac:dyDescent="0.35">
      <c r="B2071"/>
      <c r="C2071"/>
      <c r="D2071"/>
      <c r="E2071"/>
    </row>
    <row r="2072" spans="2:5" x14ac:dyDescent="0.35">
      <c r="B2072"/>
      <c r="C2072"/>
      <c r="D2072"/>
      <c r="E2072"/>
    </row>
    <row r="2073" spans="2:5" x14ac:dyDescent="0.35">
      <c r="B2073"/>
      <c r="C2073"/>
      <c r="D2073"/>
      <c r="E2073"/>
    </row>
    <row r="2074" spans="2:5" x14ac:dyDescent="0.35">
      <c r="B2074"/>
      <c r="C2074"/>
      <c r="D2074"/>
      <c r="E2074"/>
    </row>
    <row r="2075" spans="2:5" x14ac:dyDescent="0.35">
      <c r="B2075"/>
      <c r="C2075"/>
      <c r="D2075"/>
      <c r="E2075"/>
    </row>
    <row r="2076" spans="2:5" x14ac:dyDescent="0.35">
      <c r="B2076"/>
      <c r="C2076"/>
      <c r="D2076"/>
      <c r="E2076"/>
    </row>
    <row r="2077" spans="2:5" x14ac:dyDescent="0.35">
      <c r="B2077"/>
      <c r="C2077"/>
      <c r="D2077"/>
      <c r="E2077"/>
    </row>
    <row r="2078" spans="2:5" x14ac:dyDescent="0.35">
      <c r="B2078"/>
      <c r="C2078"/>
      <c r="D2078"/>
      <c r="E2078"/>
    </row>
    <row r="2079" spans="2:5" x14ac:dyDescent="0.35">
      <c r="B2079"/>
      <c r="C2079"/>
      <c r="D2079"/>
      <c r="E2079"/>
    </row>
    <row r="2080" spans="2:5" x14ac:dyDescent="0.35">
      <c r="B2080"/>
      <c r="C2080"/>
      <c r="D2080"/>
      <c r="E2080"/>
    </row>
    <row r="2081" spans="2:5" x14ac:dyDescent="0.35">
      <c r="B2081"/>
      <c r="C2081"/>
      <c r="D2081"/>
      <c r="E2081"/>
    </row>
    <row r="2082" spans="2:5" x14ac:dyDescent="0.35">
      <c r="B2082"/>
      <c r="C2082"/>
      <c r="D2082"/>
      <c r="E2082"/>
    </row>
    <row r="2083" spans="2:5" x14ac:dyDescent="0.35">
      <c r="B2083"/>
      <c r="C2083"/>
      <c r="D2083"/>
      <c r="E2083"/>
    </row>
    <row r="2084" spans="2:5" x14ac:dyDescent="0.35">
      <c r="B2084"/>
      <c r="C2084"/>
      <c r="D2084"/>
      <c r="E2084"/>
    </row>
    <row r="2085" spans="2:5" x14ac:dyDescent="0.35">
      <c r="B2085"/>
      <c r="C2085"/>
      <c r="D2085"/>
      <c r="E2085"/>
    </row>
    <row r="2086" spans="2:5" x14ac:dyDescent="0.35">
      <c r="B2086"/>
      <c r="C2086"/>
      <c r="D2086"/>
      <c r="E2086"/>
    </row>
    <row r="2087" spans="2:5" x14ac:dyDescent="0.35">
      <c r="B2087"/>
      <c r="C2087"/>
      <c r="D2087"/>
      <c r="E2087"/>
    </row>
    <row r="2088" spans="2:5" x14ac:dyDescent="0.35">
      <c r="B2088"/>
      <c r="C2088"/>
      <c r="D2088"/>
      <c r="E2088"/>
    </row>
    <row r="2089" spans="2:5" x14ac:dyDescent="0.35">
      <c r="B2089"/>
      <c r="C2089"/>
      <c r="D2089"/>
      <c r="E2089"/>
    </row>
    <row r="2090" spans="2:5" x14ac:dyDescent="0.35">
      <c r="B2090"/>
      <c r="C2090"/>
      <c r="D2090"/>
      <c r="E2090"/>
    </row>
    <row r="2091" spans="2:5" x14ac:dyDescent="0.35">
      <c r="B2091"/>
      <c r="C2091"/>
      <c r="D2091"/>
      <c r="E2091"/>
    </row>
    <row r="2092" spans="2:5" x14ac:dyDescent="0.35">
      <c r="B2092"/>
      <c r="C2092"/>
      <c r="D2092"/>
      <c r="E2092"/>
    </row>
    <row r="2093" spans="2:5" x14ac:dyDescent="0.35">
      <c r="B2093"/>
      <c r="C2093"/>
      <c r="D2093"/>
      <c r="E2093"/>
    </row>
    <row r="2094" spans="2:5" x14ac:dyDescent="0.35">
      <c r="B2094"/>
      <c r="C2094"/>
      <c r="D2094"/>
      <c r="E2094"/>
    </row>
    <row r="2095" spans="2:5" x14ac:dyDescent="0.35">
      <c r="B2095"/>
      <c r="C2095"/>
      <c r="D2095"/>
      <c r="E2095"/>
    </row>
    <row r="2096" spans="2:5" x14ac:dyDescent="0.35">
      <c r="B2096"/>
      <c r="C2096"/>
      <c r="D2096"/>
      <c r="E2096"/>
    </row>
    <row r="2097" spans="2:5" x14ac:dyDescent="0.35">
      <c r="B2097"/>
      <c r="C2097"/>
      <c r="D2097"/>
      <c r="E2097"/>
    </row>
    <row r="2098" spans="2:5" x14ac:dyDescent="0.35">
      <c r="B2098"/>
      <c r="C2098"/>
      <c r="D2098"/>
      <c r="E2098"/>
    </row>
    <row r="2099" spans="2:5" x14ac:dyDescent="0.35">
      <c r="B2099"/>
      <c r="C2099"/>
      <c r="D2099"/>
      <c r="E2099"/>
    </row>
    <row r="2100" spans="2:5" x14ac:dyDescent="0.35">
      <c r="B2100"/>
      <c r="C2100"/>
      <c r="D2100"/>
      <c r="E2100"/>
    </row>
    <row r="2101" spans="2:5" x14ac:dyDescent="0.35">
      <c r="B2101"/>
      <c r="C2101"/>
      <c r="D2101"/>
      <c r="E2101"/>
    </row>
    <row r="2102" spans="2:5" x14ac:dyDescent="0.35">
      <c r="B2102"/>
      <c r="C2102"/>
      <c r="D2102"/>
      <c r="E2102"/>
    </row>
    <row r="2103" spans="2:5" x14ac:dyDescent="0.35">
      <c r="B2103"/>
      <c r="C2103"/>
      <c r="D2103"/>
      <c r="E2103"/>
    </row>
    <row r="2104" spans="2:5" x14ac:dyDescent="0.35">
      <c r="B2104"/>
      <c r="C2104"/>
      <c r="D2104"/>
      <c r="E2104"/>
    </row>
    <row r="2105" spans="2:5" x14ac:dyDescent="0.35">
      <c r="B2105"/>
      <c r="C2105"/>
      <c r="D2105"/>
      <c r="E2105"/>
    </row>
    <row r="2106" spans="2:5" x14ac:dyDescent="0.35">
      <c r="B2106"/>
      <c r="C2106"/>
      <c r="D2106"/>
      <c r="E2106"/>
    </row>
    <row r="2107" spans="2:5" x14ac:dyDescent="0.35">
      <c r="B2107"/>
      <c r="C2107"/>
      <c r="D2107"/>
      <c r="E2107"/>
    </row>
    <row r="2108" spans="2:5" x14ac:dyDescent="0.35">
      <c r="B2108"/>
      <c r="C2108"/>
      <c r="D2108"/>
      <c r="E2108"/>
    </row>
    <row r="2109" spans="2:5" x14ac:dyDescent="0.35">
      <c r="B2109"/>
      <c r="C2109"/>
      <c r="D2109"/>
      <c r="E2109"/>
    </row>
    <row r="2110" spans="2:5" x14ac:dyDescent="0.35">
      <c r="B2110"/>
      <c r="C2110"/>
      <c r="D2110"/>
      <c r="E2110"/>
    </row>
    <row r="2111" spans="2:5" x14ac:dyDescent="0.35">
      <c r="B2111"/>
      <c r="C2111"/>
      <c r="D2111"/>
      <c r="E2111"/>
    </row>
    <row r="2112" spans="2:5" x14ac:dyDescent="0.35">
      <c r="B2112"/>
      <c r="C2112"/>
      <c r="D2112"/>
      <c r="E2112"/>
    </row>
    <row r="2113" spans="2:5" x14ac:dyDescent="0.35">
      <c r="B2113"/>
      <c r="C2113"/>
      <c r="D2113"/>
      <c r="E2113"/>
    </row>
    <row r="2114" spans="2:5" x14ac:dyDescent="0.35">
      <c r="B2114"/>
      <c r="C2114"/>
      <c r="D2114"/>
      <c r="E2114"/>
    </row>
    <row r="2115" spans="2:5" x14ac:dyDescent="0.35">
      <c r="B2115"/>
      <c r="C2115"/>
      <c r="D2115"/>
      <c r="E2115"/>
    </row>
    <row r="2116" spans="2:5" x14ac:dyDescent="0.35">
      <c r="B2116"/>
      <c r="C2116"/>
      <c r="D2116"/>
      <c r="E2116"/>
    </row>
    <row r="2117" spans="2:5" x14ac:dyDescent="0.35">
      <c r="B2117"/>
      <c r="C2117"/>
      <c r="D2117"/>
      <c r="E2117"/>
    </row>
    <row r="2118" spans="2:5" x14ac:dyDescent="0.35">
      <c r="B2118"/>
      <c r="C2118"/>
      <c r="D2118"/>
      <c r="E2118"/>
    </row>
    <row r="2119" spans="2:5" x14ac:dyDescent="0.35">
      <c r="B2119"/>
      <c r="C2119"/>
      <c r="D2119"/>
      <c r="E2119"/>
    </row>
    <row r="2120" spans="2:5" x14ac:dyDescent="0.35">
      <c r="B2120"/>
      <c r="C2120"/>
      <c r="D2120"/>
      <c r="E2120"/>
    </row>
    <row r="2121" spans="2:5" x14ac:dyDescent="0.35">
      <c r="B2121"/>
      <c r="C2121"/>
      <c r="D2121"/>
      <c r="E2121"/>
    </row>
    <row r="2122" spans="2:5" x14ac:dyDescent="0.35">
      <c r="B2122"/>
      <c r="C2122"/>
      <c r="D2122"/>
      <c r="E2122"/>
    </row>
    <row r="2123" spans="2:5" x14ac:dyDescent="0.35">
      <c r="B2123"/>
      <c r="C2123"/>
      <c r="D2123"/>
      <c r="E2123"/>
    </row>
    <row r="2124" spans="2:5" x14ac:dyDescent="0.35">
      <c r="B2124"/>
      <c r="C2124"/>
      <c r="D2124"/>
      <c r="E2124"/>
    </row>
    <row r="2125" spans="2:5" x14ac:dyDescent="0.35">
      <c r="B2125"/>
      <c r="C2125"/>
      <c r="D2125"/>
      <c r="E2125"/>
    </row>
    <row r="2126" spans="2:5" x14ac:dyDescent="0.35">
      <c r="B2126"/>
      <c r="C2126"/>
      <c r="D2126"/>
      <c r="E2126"/>
    </row>
    <row r="2127" spans="2:5" x14ac:dyDescent="0.35">
      <c r="B2127"/>
      <c r="C2127"/>
      <c r="D2127"/>
      <c r="E2127"/>
    </row>
    <row r="2128" spans="2:5" x14ac:dyDescent="0.35">
      <c r="B2128"/>
      <c r="C2128"/>
      <c r="D2128"/>
      <c r="E2128"/>
    </row>
    <row r="2129" spans="2:5" x14ac:dyDescent="0.35">
      <c r="B2129"/>
      <c r="C2129"/>
      <c r="D2129"/>
      <c r="E2129"/>
    </row>
    <row r="2130" spans="2:5" x14ac:dyDescent="0.35">
      <c r="B2130"/>
      <c r="C2130"/>
      <c r="D2130"/>
      <c r="E2130"/>
    </row>
    <row r="2131" spans="2:5" x14ac:dyDescent="0.35">
      <c r="B2131"/>
      <c r="C2131"/>
      <c r="D2131"/>
      <c r="E2131"/>
    </row>
    <row r="2132" spans="2:5" x14ac:dyDescent="0.35">
      <c r="B2132"/>
      <c r="C2132"/>
      <c r="D2132"/>
      <c r="E2132"/>
    </row>
    <row r="2133" spans="2:5" x14ac:dyDescent="0.35">
      <c r="B2133"/>
      <c r="C2133"/>
      <c r="D2133"/>
      <c r="E2133"/>
    </row>
    <row r="2134" spans="2:5" x14ac:dyDescent="0.35">
      <c r="B2134"/>
      <c r="C2134"/>
      <c r="D2134"/>
      <c r="E2134"/>
    </row>
    <row r="2135" spans="2:5" x14ac:dyDescent="0.35">
      <c r="B2135"/>
      <c r="C2135"/>
      <c r="D2135"/>
      <c r="E2135"/>
    </row>
    <row r="2136" spans="2:5" x14ac:dyDescent="0.35">
      <c r="B2136"/>
      <c r="C2136"/>
      <c r="D2136"/>
      <c r="E2136"/>
    </row>
    <row r="2137" spans="2:5" x14ac:dyDescent="0.35">
      <c r="B2137"/>
      <c r="C2137"/>
      <c r="D2137"/>
      <c r="E2137"/>
    </row>
    <row r="2138" spans="2:5" x14ac:dyDescent="0.35">
      <c r="B2138"/>
      <c r="C2138"/>
      <c r="D2138"/>
      <c r="E2138"/>
    </row>
    <row r="2139" spans="2:5" x14ac:dyDescent="0.35">
      <c r="B2139"/>
      <c r="C2139"/>
      <c r="D2139"/>
      <c r="E2139"/>
    </row>
    <row r="2140" spans="2:5" x14ac:dyDescent="0.35">
      <c r="B2140"/>
      <c r="C2140"/>
      <c r="D2140"/>
      <c r="E2140"/>
    </row>
    <row r="2141" spans="2:5" x14ac:dyDescent="0.35">
      <c r="B2141"/>
      <c r="C2141"/>
      <c r="D2141"/>
      <c r="E2141"/>
    </row>
    <row r="2142" spans="2:5" x14ac:dyDescent="0.35">
      <c r="B2142"/>
      <c r="C2142"/>
      <c r="D2142"/>
      <c r="E2142"/>
    </row>
    <row r="2143" spans="2:5" x14ac:dyDescent="0.35">
      <c r="B2143"/>
      <c r="C2143"/>
      <c r="D2143"/>
      <c r="E2143"/>
    </row>
    <row r="2144" spans="2:5" x14ac:dyDescent="0.35">
      <c r="B2144"/>
      <c r="C2144"/>
      <c r="D2144"/>
      <c r="E2144"/>
    </row>
    <row r="2145" spans="2:5" x14ac:dyDescent="0.35">
      <c r="B2145"/>
      <c r="C2145"/>
      <c r="D2145"/>
      <c r="E2145"/>
    </row>
    <row r="2146" spans="2:5" x14ac:dyDescent="0.35">
      <c r="B2146"/>
      <c r="C2146"/>
      <c r="D2146"/>
      <c r="E2146"/>
    </row>
    <row r="2147" spans="2:5" x14ac:dyDescent="0.35">
      <c r="B2147"/>
      <c r="C2147"/>
      <c r="D2147"/>
      <c r="E2147"/>
    </row>
    <row r="2148" spans="2:5" x14ac:dyDescent="0.35">
      <c r="B2148"/>
      <c r="C2148"/>
      <c r="D2148"/>
      <c r="E2148"/>
    </row>
    <row r="2149" spans="2:5" x14ac:dyDescent="0.35">
      <c r="B2149"/>
      <c r="C2149"/>
      <c r="D2149"/>
      <c r="E2149"/>
    </row>
    <row r="2150" spans="2:5" x14ac:dyDescent="0.35">
      <c r="B2150"/>
      <c r="C2150"/>
      <c r="D2150"/>
      <c r="E2150"/>
    </row>
    <row r="2151" spans="2:5" x14ac:dyDescent="0.35">
      <c r="B2151"/>
      <c r="C2151"/>
      <c r="D2151"/>
      <c r="E2151"/>
    </row>
    <row r="2152" spans="2:5" x14ac:dyDescent="0.35">
      <c r="B2152"/>
      <c r="C2152"/>
      <c r="D2152"/>
      <c r="E2152"/>
    </row>
    <row r="2153" spans="2:5" x14ac:dyDescent="0.35">
      <c r="B2153"/>
      <c r="C2153"/>
      <c r="D2153"/>
      <c r="E2153"/>
    </row>
    <row r="2154" spans="2:5" x14ac:dyDescent="0.35">
      <c r="B2154"/>
      <c r="C2154"/>
      <c r="D2154"/>
      <c r="E2154"/>
    </row>
    <row r="2155" spans="2:5" x14ac:dyDescent="0.35">
      <c r="B2155"/>
      <c r="C2155"/>
      <c r="D2155"/>
      <c r="E2155"/>
    </row>
    <row r="2156" spans="2:5" x14ac:dyDescent="0.35">
      <c r="B2156"/>
      <c r="C2156"/>
      <c r="D2156"/>
      <c r="E2156"/>
    </row>
    <row r="2157" spans="2:5" x14ac:dyDescent="0.35">
      <c r="B2157"/>
      <c r="C2157"/>
      <c r="D2157"/>
      <c r="E2157"/>
    </row>
    <row r="2158" spans="2:5" x14ac:dyDescent="0.35">
      <c r="B2158"/>
      <c r="C2158"/>
      <c r="D2158"/>
      <c r="E2158"/>
    </row>
    <row r="2159" spans="2:5" x14ac:dyDescent="0.35">
      <c r="B2159"/>
      <c r="C2159"/>
      <c r="D2159"/>
      <c r="E2159"/>
    </row>
    <row r="2160" spans="2:5" x14ac:dyDescent="0.35">
      <c r="B2160"/>
      <c r="C2160"/>
      <c r="D2160"/>
      <c r="E2160"/>
    </row>
    <row r="2161" spans="2:5" x14ac:dyDescent="0.35">
      <c r="B2161"/>
      <c r="C2161"/>
      <c r="D2161"/>
      <c r="E2161"/>
    </row>
    <row r="2162" spans="2:5" x14ac:dyDescent="0.35">
      <c r="B2162"/>
      <c r="C2162"/>
      <c r="D2162"/>
      <c r="E2162"/>
    </row>
    <row r="2163" spans="2:5" x14ac:dyDescent="0.35">
      <c r="B2163"/>
      <c r="C2163"/>
      <c r="D2163"/>
      <c r="E2163"/>
    </row>
    <row r="2164" spans="2:5" x14ac:dyDescent="0.35">
      <c r="B2164"/>
      <c r="C2164"/>
      <c r="D2164"/>
      <c r="E2164"/>
    </row>
    <row r="2165" spans="2:5" x14ac:dyDescent="0.35">
      <c r="B2165"/>
      <c r="C2165"/>
      <c r="D2165"/>
      <c r="E2165"/>
    </row>
    <row r="2166" spans="2:5" x14ac:dyDescent="0.35">
      <c r="B2166"/>
      <c r="C2166"/>
      <c r="D2166"/>
      <c r="E2166"/>
    </row>
    <row r="2167" spans="2:5" x14ac:dyDescent="0.35">
      <c r="B2167"/>
      <c r="C2167"/>
      <c r="D2167"/>
      <c r="E2167"/>
    </row>
    <row r="2168" spans="2:5" x14ac:dyDescent="0.35">
      <c r="B2168"/>
      <c r="C2168"/>
      <c r="D2168"/>
      <c r="E2168"/>
    </row>
    <row r="2169" spans="2:5" x14ac:dyDescent="0.35">
      <c r="B2169"/>
      <c r="C2169"/>
      <c r="D2169"/>
      <c r="E2169"/>
    </row>
    <row r="2170" spans="2:5" x14ac:dyDescent="0.35">
      <c r="B2170"/>
      <c r="C2170"/>
      <c r="D2170"/>
      <c r="E2170"/>
    </row>
    <row r="2171" spans="2:5" x14ac:dyDescent="0.35">
      <c r="B2171"/>
      <c r="C2171"/>
      <c r="D2171"/>
      <c r="E2171"/>
    </row>
    <row r="2172" spans="2:5" x14ac:dyDescent="0.35">
      <c r="B2172"/>
      <c r="C2172"/>
      <c r="D2172"/>
      <c r="E2172"/>
    </row>
    <row r="2173" spans="2:5" x14ac:dyDescent="0.35">
      <c r="B2173"/>
      <c r="C2173"/>
      <c r="D2173"/>
      <c r="E2173"/>
    </row>
    <row r="2174" spans="2:5" x14ac:dyDescent="0.35">
      <c r="B2174"/>
      <c r="C2174"/>
      <c r="D2174"/>
      <c r="E2174"/>
    </row>
    <row r="2175" spans="2:5" x14ac:dyDescent="0.35">
      <c r="B2175"/>
      <c r="C2175"/>
      <c r="D2175"/>
      <c r="E2175"/>
    </row>
    <row r="2176" spans="2:5" x14ac:dyDescent="0.35">
      <c r="B2176"/>
      <c r="C2176"/>
      <c r="D2176"/>
      <c r="E2176"/>
    </row>
    <row r="2177" spans="2:5" x14ac:dyDescent="0.35">
      <c r="B2177"/>
      <c r="C2177"/>
      <c r="D2177"/>
      <c r="E2177"/>
    </row>
    <row r="2178" spans="2:5" x14ac:dyDescent="0.35">
      <c r="B2178"/>
      <c r="C2178"/>
      <c r="D2178"/>
      <c r="E2178"/>
    </row>
    <row r="2179" spans="2:5" x14ac:dyDescent="0.35">
      <c r="B2179"/>
      <c r="C2179"/>
      <c r="D2179"/>
      <c r="E2179"/>
    </row>
    <row r="2180" spans="2:5" x14ac:dyDescent="0.35">
      <c r="B2180"/>
      <c r="C2180"/>
      <c r="D2180"/>
      <c r="E2180"/>
    </row>
    <row r="2181" spans="2:5" x14ac:dyDescent="0.35">
      <c r="B2181"/>
      <c r="C2181"/>
      <c r="D2181"/>
      <c r="E2181"/>
    </row>
    <row r="2182" spans="2:5" x14ac:dyDescent="0.35">
      <c r="B2182"/>
      <c r="C2182"/>
      <c r="D2182"/>
      <c r="E2182"/>
    </row>
    <row r="2183" spans="2:5" x14ac:dyDescent="0.35">
      <c r="B2183"/>
      <c r="C2183"/>
      <c r="D2183"/>
      <c r="E2183"/>
    </row>
    <row r="2184" spans="2:5" x14ac:dyDescent="0.35">
      <c r="B2184"/>
      <c r="C2184"/>
      <c r="D2184"/>
      <c r="E2184"/>
    </row>
    <row r="2185" spans="2:5" x14ac:dyDescent="0.35">
      <c r="B2185"/>
      <c r="C2185"/>
      <c r="D2185"/>
      <c r="E2185"/>
    </row>
    <row r="2186" spans="2:5" x14ac:dyDescent="0.35">
      <c r="B2186"/>
      <c r="C2186"/>
      <c r="D2186"/>
      <c r="E2186"/>
    </row>
    <row r="2187" spans="2:5" x14ac:dyDescent="0.35">
      <c r="B2187"/>
      <c r="C2187"/>
      <c r="D2187"/>
      <c r="E2187"/>
    </row>
    <row r="2188" spans="2:5" x14ac:dyDescent="0.35">
      <c r="B2188"/>
      <c r="C2188"/>
      <c r="D2188"/>
      <c r="E2188"/>
    </row>
    <row r="2189" spans="2:5" x14ac:dyDescent="0.35">
      <c r="B2189"/>
      <c r="C2189"/>
      <c r="D2189"/>
      <c r="E2189"/>
    </row>
    <row r="2190" spans="2:5" x14ac:dyDescent="0.35">
      <c r="B2190"/>
      <c r="C2190"/>
      <c r="D2190"/>
      <c r="E2190"/>
    </row>
    <row r="2191" spans="2:5" x14ac:dyDescent="0.35">
      <c r="B2191"/>
      <c r="C2191"/>
      <c r="D2191"/>
      <c r="E2191"/>
    </row>
    <row r="2192" spans="2:5" x14ac:dyDescent="0.35">
      <c r="B2192"/>
      <c r="C2192"/>
      <c r="D2192"/>
      <c r="E2192"/>
    </row>
    <row r="2193" spans="2:5" x14ac:dyDescent="0.35">
      <c r="B2193"/>
      <c r="C2193"/>
      <c r="D2193"/>
      <c r="E2193"/>
    </row>
    <row r="2194" spans="2:5" x14ac:dyDescent="0.35">
      <c r="B2194"/>
      <c r="C2194"/>
      <c r="D2194"/>
      <c r="E2194"/>
    </row>
    <row r="2195" spans="2:5" x14ac:dyDescent="0.35">
      <c r="B2195"/>
      <c r="C2195"/>
      <c r="D2195"/>
      <c r="E2195"/>
    </row>
    <row r="2196" spans="2:5" x14ac:dyDescent="0.35">
      <c r="B2196"/>
      <c r="C2196"/>
      <c r="D2196"/>
      <c r="E2196"/>
    </row>
    <row r="2197" spans="2:5" x14ac:dyDescent="0.35">
      <c r="B2197"/>
      <c r="C2197"/>
      <c r="D2197"/>
      <c r="E2197"/>
    </row>
    <row r="2198" spans="2:5" x14ac:dyDescent="0.35">
      <c r="B2198"/>
      <c r="C2198"/>
      <c r="D2198"/>
      <c r="E2198"/>
    </row>
    <row r="2199" spans="2:5" x14ac:dyDescent="0.35">
      <c r="B2199"/>
      <c r="C2199"/>
      <c r="D2199"/>
      <c r="E2199"/>
    </row>
    <row r="2200" spans="2:5" x14ac:dyDescent="0.35">
      <c r="B2200"/>
      <c r="C2200"/>
      <c r="D2200"/>
      <c r="E2200"/>
    </row>
    <row r="2201" spans="2:5" x14ac:dyDescent="0.35">
      <c r="B2201"/>
      <c r="C2201"/>
      <c r="D2201"/>
      <c r="E2201"/>
    </row>
    <row r="2202" spans="2:5" x14ac:dyDescent="0.35">
      <c r="B2202"/>
      <c r="C2202"/>
      <c r="D2202"/>
      <c r="E2202"/>
    </row>
    <row r="2203" spans="2:5" x14ac:dyDescent="0.35">
      <c r="B2203"/>
      <c r="C2203"/>
      <c r="D2203"/>
      <c r="E2203"/>
    </row>
    <row r="2204" spans="2:5" x14ac:dyDescent="0.35">
      <c r="B2204"/>
      <c r="C2204"/>
      <c r="D2204"/>
      <c r="E2204"/>
    </row>
    <row r="2205" spans="2:5" x14ac:dyDescent="0.35">
      <c r="B2205"/>
      <c r="C2205"/>
      <c r="D2205"/>
      <c r="E2205"/>
    </row>
    <row r="2206" spans="2:5" x14ac:dyDescent="0.35">
      <c r="B2206"/>
      <c r="C2206"/>
      <c r="D2206"/>
      <c r="E2206"/>
    </row>
    <row r="2207" spans="2:5" x14ac:dyDescent="0.35">
      <c r="B2207"/>
      <c r="C2207"/>
      <c r="D2207"/>
      <c r="E2207"/>
    </row>
    <row r="2208" spans="2:5" x14ac:dyDescent="0.35">
      <c r="B2208"/>
      <c r="C2208"/>
      <c r="D2208"/>
      <c r="E2208"/>
    </row>
    <row r="2209" spans="2:5" x14ac:dyDescent="0.35">
      <c r="B2209"/>
      <c r="C2209"/>
      <c r="D2209"/>
      <c r="E2209"/>
    </row>
    <row r="2210" spans="2:5" x14ac:dyDescent="0.35">
      <c r="B2210"/>
      <c r="C2210"/>
      <c r="D2210"/>
      <c r="E2210"/>
    </row>
    <row r="2211" spans="2:5" x14ac:dyDescent="0.35">
      <c r="B2211"/>
      <c r="C2211"/>
      <c r="D2211"/>
      <c r="E2211"/>
    </row>
    <row r="2212" spans="2:5" x14ac:dyDescent="0.35">
      <c r="B2212"/>
      <c r="C2212"/>
      <c r="D2212"/>
      <c r="E2212"/>
    </row>
    <row r="2213" spans="2:5" x14ac:dyDescent="0.35">
      <c r="B2213"/>
      <c r="C2213"/>
      <c r="D2213"/>
      <c r="E2213"/>
    </row>
    <row r="2214" spans="2:5" x14ac:dyDescent="0.35">
      <c r="B2214"/>
      <c r="C2214"/>
      <c r="D2214"/>
      <c r="E2214"/>
    </row>
    <row r="2215" spans="2:5" x14ac:dyDescent="0.35">
      <c r="B2215"/>
      <c r="C2215"/>
      <c r="D2215"/>
      <c r="E2215"/>
    </row>
    <row r="2216" spans="2:5" x14ac:dyDescent="0.35">
      <c r="B2216"/>
      <c r="C2216"/>
      <c r="D2216"/>
      <c r="E2216"/>
    </row>
    <row r="2217" spans="2:5" x14ac:dyDescent="0.35">
      <c r="B2217"/>
      <c r="C2217"/>
      <c r="D2217"/>
      <c r="E2217"/>
    </row>
    <row r="2218" spans="2:5" x14ac:dyDescent="0.35">
      <c r="B2218"/>
      <c r="C2218"/>
      <c r="D2218"/>
      <c r="E2218"/>
    </row>
    <row r="2219" spans="2:5" x14ac:dyDescent="0.35">
      <c r="B2219"/>
      <c r="C2219"/>
      <c r="D2219"/>
      <c r="E2219"/>
    </row>
    <row r="2220" spans="2:5" x14ac:dyDescent="0.35">
      <c r="B2220"/>
      <c r="C2220"/>
      <c r="D2220"/>
      <c r="E2220"/>
    </row>
    <row r="2221" spans="2:5" x14ac:dyDescent="0.35">
      <c r="B2221"/>
      <c r="C2221"/>
      <c r="D2221"/>
      <c r="E2221"/>
    </row>
    <row r="2222" spans="2:5" x14ac:dyDescent="0.35">
      <c r="B2222"/>
      <c r="C2222"/>
      <c r="D2222"/>
      <c r="E2222"/>
    </row>
    <row r="2223" spans="2:5" x14ac:dyDescent="0.35">
      <c r="B2223"/>
      <c r="C2223"/>
      <c r="D2223"/>
      <c r="E2223"/>
    </row>
    <row r="2224" spans="2:5" x14ac:dyDescent="0.35">
      <c r="B2224"/>
      <c r="C2224"/>
      <c r="D2224"/>
      <c r="E2224"/>
    </row>
    <row r="2225" spans="2:5" x14ac:dyDescent="0.35">
      <c r="B2225"/>
      <c r="C2225"/>
      <c r="D2225"/>
      <c r="E2225"/>
    </row>
    <row r="2226" spans="2:5" x14ac:dyDescent="0.35">
      <c r="B2226"/>
      <c r="C2226"/>
      <c r="D2226"/>
      <c r="E2226"/>
    </row>
    <row r="2227" spans="2:5" x14ac:dyDescent="0.35">
      <c r="B2227"/>
      <c r="C2227"/>
      <c r="D2227"/>
      <c r="E2227"/>
    </row>
    <row r="2228" spans="2:5" x14ac:dyDescent="0.35">
      <c r="B2228"/>
      <c r="C2228"/>
      <c r="D2228"/>
      <c r="E2228"/>
    </row>
    <row r="2229" spans="2:5" x14ac:dyDescent="0.35">
      <c r="B2229"/>
      <c r="C2229"/>
      <c r="D2229"/>
      <c r="E2229"/>
    </row>
    <row r="2230" spans="2:5" x14ac:dyDescent="0.35">
      <c r="B2230"/>
      <c r="C2230"/>
      <c r="D2230"/>
      <c r="E2230"/>
    </row>
    <row r="2231" spans="2:5" x14ac:dyDescent="0.35">
      <c r="B2231"/>
      <c r="C2231"/>
      <c r="D2231"/>
      <c r="E2231"/>
    </row>
    <row r="2232" spans="2:5" x14ac:dyDescent="0.35">
      <c r="B2232"/>
      <c r="C2232"/>
      <c r="D2232"/>
      <c r="E2232"/>
    </row>
    <row r="2233" spans="2:5" x14ac:dyDescent="0.35">
      <c r="B2233"/>
      <c r="C2233"/>
      <c r="D2233"/>
      <c r="E2233"/>
    </row>
    <row r="2234" spans="2:5" x14ac:dyDescent="0.35">
      <c r="B2234"/>
      <c r="C2234"/>
      <c r="D2234"/>
      <c r="E2234"/>
    </row>
    <row r="2235" spans="2:5" x14ac:dyDescent="0.35">
      <c r="B2235"/>
      <c r="C2235"/>
      <c r="D2235"/>
      <c r="E2235"/>
    </row>
    <row r="2236" spans="2:5" x14ac:dyDescent="0.35">
      <c r="B2236"/>
      <c r="C2236"/>
      <c r="D2236"/>
      <c r="E2236"/>
    </row>
    <row r="2237" spans="2:5" x14ac:dyDescent="0.35">
      <c r="B2237"/>
      <c r="C2237"/>
      <c r="D2237"/>
      <c r="E2237"/>
    </row>
    <row r="2238" spans="2:5" x14ac:dyDescent="0.35">
      <c r="B2238"/>
      <c r="C2238"/>
      <c r="D2238"/>
      <c r="E2238"/>
    </row>
    <row r="2239" spans="2:5" x14ac:dyDescent="0.35">
      <c r="B2239"/>
      <c r="C2239"/>
      <c r="D2239"/>
      <c r="E2239"/>
    </row>
    <row r="2240" spans="2:5" x14ac:dyDescent="0.35">
      <c r="B2240"/>
      <c r="C2240"/>
      <c r="D2240"/>
      <c r="E2240"/>
    </row>
    <row r="2241" spans="2:5" x14ac:dyDescent="0.35">
      <c r="B2241"/>
      <c r="C2241"/>
      <c r="D2241"/>
      <c r="E2241"/>
    </row>
    <row r="2242" spans="2:5" x14ac:dyDescent="0.35">
      <c r="B2242"/>
      <c r="C2242"/>
      <c r="D2242"/>
      <c r="E2242"/>
    </row>
    <row r="2243" spans="2:5" x14ac:dyDescent="0.35">
      <c r="B2243"/>
      <c r="C2243"/>
      <c r="D2243"/>
      <c r="E2243"/>
    </row>
    <row r="2244" spans="2:5" x14ac:dyDescent="0.35">
      <c r="B2244"/>
      <c r="C2244"/>
      <c r="D2244"/>
      <c r="E2244"/>
    </row>
    <row r="2245" spans="2:5" x14ac:dyDescent="0.35">
      <c r="B2245"/>
      <c r="C2245"/>
      <c r="D2245"/>
      <c r="E2245"/>
    </row>
    <row r="2246" spans="2:5" x14ac:dyDescent="0.35">
      <c r="B2246"/>
      <c r="C2246"/>
      <c r="D2246"/>
      <c r="E2246"/>
    </row>
    <row r="2247" spans="2:5" x14ac:dyDescent="0.35">
      <c r="B2247"/>
      <c r="C2247"/>
      <c r="D2247"/>
      <c r="E2247"/>
    </row>
    <row r="2248" spans="2:5" x14ac:dyDescent="0.35">
      <c r="B2248"/>
      <c r="C2248"/>
      <c r="D2248"/>
      <c r="E2248"/>
    </row>
    <row r="2249" spans="2:5" x14ac:dyDescent="0.35">
      <c r="B2249"/>
      <c r="C2249"/>
      <c r="D2249"/>
      <c r="E2249"/>
    </row>
    <row r="2250" spans="2:5" x14ac:dyDescent="0.35">
      <c r="B2250"/>
      <c r="C2250"/>
      <c r="D2250"/>
      <c r="E2250"/>
    </row>
    <row r="2251" spans="2:5" x14ac:dyDescent="0.35">
      <c r="B2251"/>
      <c r="C2251"/>
      <c r="D2251"/>
      <c r="E2251"/>
    </row>
    <row r="2252" spans="2:5" x14ac:dyDescent="0.35">
      <c r="B2252"/>
      <c r="C2252"/>
      <c r="D2252"/>
      <c r="E2252"/>
    </row>
    <row r="2253" spans="2:5" x14ac:dyDescent="0.35">
      <c r="B2253"/>
      <c r="C2253"/>
      <c r="D2253"/>
      <c r="E2253"/>
    </row>
    <row r="2254" spans="2:5" x14ac:dyDescent="0.35">
      <c r="B2254"/>
      <c r="C2254"/>
      <c r="D2254"/>
      <c r="E2254"/>
    </row>
    <row r="2255" spans="2:5" x14ac:dyDescent="0.35">
      <c r="B2255"/>
      <c r="C2255"/>
      <c r="D2255"/>
      <c r="E2255"/>
    </row>
    <row r="2256" spans="2:5" x14ac:dyDescent="0.35">
      <c r="B2256"/>
      <c r="C2256"/>
      <c r="D2256"/>
      <c r="E2256"/>
    </row>
    <row r="2257" spans="2:5" x14ac:dyDescent="0.35">
      <c r="B2257"/>
      <c r="C2257"/>
      <c r="D2257"/>
      <c r="E2257"/>
    </row>
    <row r="2258" spans="2:5" x14ac:dyDescent="0.35">
      <c r="B2258"/>
      <c r="C2258"/>
      <c r="D2258"/>
      <c r="E2258"/>
    </row>
    <row r="2259" spans="2:5" x14ac:dyDescent="0.35">
      <c r="B2259"/>
      <c r="C2259"/>
      <c r="D2259"/>
      <c r="E2259"/>
    </row>
    <row r="2260" spans="2:5" x14ac:dyDescent="0.35">
      <c r="B2260"/>
      <c r="C2260"/>
      <c r="D2260"/>
      <c r="E2260"/>
    </row>
    <row r="2261" spans="2:5" x14ac:dyDescent="0.35">
      <c r="B2261"/>
      <c r="C2261"/>
      <c r="D2261"/>
      <c r="E2261"/>
    </row>
    <row r="2262" spans="2:5" x14ac:dyDescent="0.35">
      <c r="B2262"/>
      <c r="C2262"/>
      <c r="D2262"/>
      <c r="E2262"/>
    </row>
    <row r="2263" spans="2:5" x14ac:dyDescent="0.35">
      <c r="B2263"/>
      <c r="C2263"/>
      <c r="D2263"/>
      <c r="E2263"/>
    </row>
    <row r="2264" spans="2:5" x14ac:dyDescent="0.35">
      <c r="B2264"/>
      <c r="C2264"/>
      <c r="D2264"/>
      <c r="E2264"/>
    </row>
    <row r="2265" spans="2:5" x14ac:dyDescent="0.35">
      <c r="B2265"/>
      <c r="C2265"/>
      <c r="D2265"/>
      <c r="E2265"/>
    </row>
    <row r="2266" spans="2:5" x14ac:dyDescent="0.35">
      <c r="B2266"/>
      <c r="C2266"/>
      <c r="D2266"/>
      <c r="E2266"/>
    </row>
    <row r="2267" spans="2:5" x14ac:dyDescent="0.35">
      <c r="B2267"/>
      <c r="C2267"/>
      <c r="D2267"/>
      <c r="E2267"/>
    </row>
    <row r="2268" spans="2:5" x14ac:dyDescent="0.35">
      <c r="B2268"/>
      <c r="C2268"/>
      <c r="D2268"/>
      <c r="E2268"/>
    </row>
    <row r="2269" spans="2:5" x14ac:dyDescent="0.35">
      <c r="B2269"/>
      <c r="C2269"/>
      <c r="D2269"/>
      <c r="E2269"/>
    </row>
    <row r="2270" spans="2:5" x14ac:dyDescent="0.35">
      <c r="B2270"/>
      <c r="C2270"/>
      <c r="D2270"/>
      <c r="E2270"/>
    </row>
    <row r="2271" spans="2:5" x14ac:dyDescent="0.35">
      <c r="B2271"/>
      <c r="C2271"/>
      <c r="D2271"/>
      <c r="E2271"/>
    </row>
    <row r="2272" spans="2:5" x14ac:dyDescent="0.35">
      <c r="B2272"/>
      <c r="C2272"/>
      <c r="D2272"/>
      <c r="E2272"/>
    </row>
    <row r="2273" spans="2:5" x14ac:dyDescent="0.35">
      <c r="B2273"/>
      <c r="C2273"/>
      <c r="D2273"/>
      <c r="E2273"/>
    </row>
    <row r="2274" spans="2:5" x14ac:dyDescent="0.35">
      <c r="B2274"/>
      <c r="C2274"/>
      <c r="D2274"/>
      <c r="E2274"/>
    </row>
    <row r="2275" spans="2:5" x14ac:dyDescent="0.35">
      <c r="B2275"/>
      <c r="C2275"/>
      <c r="D2275"/>
      <c r="E2275"/>
    </row>
    <row r="2276" spans="2:5" x14ac:dyDescent="0.35">
      <c r="B2276"/>
      <c r="C2276"/>
      <c r="D2276"/>
      <c r="E2276"/>
    </row>
    <row r="2277" spans="2:5" x14ac:dyDescent="0.35">
      <c r="B2277"/>
      <c r="C2277"/>
      <c r="D2277"/>
      <c r="E2277"/>
    </row>
    <row r="2278" spans="2:5" x14ac:dyDescent="0.35">
      <c r="B2278"/>
      <c r="C2278"/>
      <c r="D2278"/>
      <c r="E2278"/>
    </row>
    <row r="2279" spans="2:5" x14ac:dyDescent="0.35">
      <c r="B2279"/>
      <c r="C2279"/>
      <c r="D2279"/>
      <c r="E2279"/>
    </row>
    <row r="2280" spans="2:5" x14ac:dyDescent="0.35">
      <c r="B2280"/>
      <c r="C2280"/>
      <c r="D2280"/>
      <c r="E2280"/>
    </row>
    <row r="2281" spans="2:5" x14ac:dyDescent="0.35">
      <c r="B2281"/>
      <c r="C2281"/>
      <c r="D2281"/>
      <c r="E2281"/>
    </row>
    <row r="2282" spans="2:5" x14ac:dyDescent="0.35">
      <c r="B2282"/>
      <c r="C2282"/>
      <c r="D2282"/>
      <c r="E2282"/>
    </row>
    <row r="2283" spans="2:5" x14ac:dyDescent="0.35">
      <c r="B2283"/>
      <c r="C2283"/>
      <c r="D2283"/>
      <c r="E2283"/>
    </row>
    <row r="2284" spans="2:5" x14ac:dyDescent="0.35">
      <c r="B2284"/>
      <c r="C2284"/>
      <c r="D2284"/>
      <c r="E2284"/>
    </row>
    <row r="2285" spans="2:5" x14ac:dyDescent="0.35">
      <c r="B2285"/>
      <c r="C2285"/>
      <c r="D2285"/>
      <c r="E2285"/>
    </row>
    <row r="2286" spans="2:5" x14ac:dyDescent="0.35">
      <c r="B2286"/>
      <c r="C2286"/>
      <c r="D2286"/>
      <c r="E2286"/>
    </row>
    <row r="2287" spans="2:5" x14ac:dyDescent="0.35">
      <c r="B2287"/>
      <c r="C2287"/>
      <c r="D2287"/>
      <c r="E2287"/>
    </row>
    <row r="2288" spans="2:5" x14ac:dyDescent="0.35">
      <c r="B2288"/>
      <c r="C2288"/>
      <c r="D2288"/>
      <c r="E2288"/>
    </row>
    <row r="2289" spans="2:5" x14ac:dyDescent="0.35">
      <c r="B2289"/>
      <c r="C2289"/>
      <c r="D2289"/>
      <c r="E2289"/>
    </row>
    <row r="2290" spans="2:5" x14ac:dyDescent="0.35">
      <c r="B2290"/>
      <c r="C2290"/>
      <c r="D2290"/>
      <c r="E2290"/>
    </row>
    <row r="2291" spans="2:5" x14ac:dyDescent="0.35">
      <c r="B2291"/>
      <c r="C2291"/>
      <c r="D2291"/>
      <c r="E2291"/>
    </row>
    <row r="2292" spans="2:5" x14ac:dyDescent="0.35">
      <c r="B2292"/>
      <c r="C2292"/>
      <c r="D2292"/>
      <c r="E2292"/>
    </row>
    <row r="2293" spans="2:5" x14ac:dyDescent="0.35">
      <c r="B2293"/>
      <c r="C2293"/>
      <c r="D2293"/>
      <c r="E2293"/>
    </row>
    <row r="2294" spans="2:5" x14ac:dyDescent="0.35">
      <c r="B2294"/>
      <c r="C2294"/>
      <c r="D2294"/>
      <c r="E2294"/>
    </row>
    <row r="2295" spans="2:5" x14ac:dyDescent="0.35">
      <c r="B2295"/>
      <c r="C2295"/>
      <c r="D2295"/>
      <c r="E2295"/>
    </row>
    <row r="2296" spans="2:5" x14ac:dyDescent="0.35">
      <c r="B2296"/>
      <c r="C2296"/>
      <c r="D2296"/>
      <c r="E2296"/>
    </row>
    <row r="2297" spans="2:5" x14ac:dyDescent="0.35">
      <c r="B2297"/>
      <c r="C2297"/>
      <c r="D2297"/>
      <c r="E2297"/>
    </row>
    <row r="2298" spans="2:5" x14ac:dyDescent="0.35">
      <c r="B2298"/>
      <c r="C2298"/>
      <c r="D2298"/>
      <c r="E2298"/>
    </row>
    <row r="2299" spans="2:5" x14ac:dyDescent="0.35">
      <c r="B2299"/>
      <c r="C2299"/>
      <c r="D2299"/>
      <c r="E2299"/>
    </row>
    <row r="2300" spans="2:5" x14ac:dyDescent="0.35">
      <c r="B2300"/>
      <c r="C2300"/>
      <c r="D2300"/>
      <c r="E2300"/>
    </row>
    <row r="2301" spans="2:5" x14ac:dyDescent="0.35">
      <c r="B2301"/>
      <c r="C2301"/>
      <c r="D2301"/>
      <c r="E2301"/>
    </row>
    <row r="2302" spans="2:5" x14ac:dyDescent="0.35">
      <c r="B2302"/>
      <c r="C2302"/>
      <c r="D2302"/>
      <c r="E2302"/>
    </row>
    <row r="2303" spans="2:5" x14ac:dyDescent="0.35">
      <c r="B2303"/>
      <c r="C2303"/>
      <c r="D2303"/>
      <c r="E2303"/>
    </row>
    <row r="2304" spans="2:5" x14ac:dyDescent="0.35">
      <c r="B2304"/>
      <c r="C2304"/>
      <c r="D2304"/>
      <c r="E2304"/>
    </row>
    <row r="2305" spans="2:5" x14ac:dyDescent="0.35">
      <c r="B2305"/>
      <c r="C2305"/>
      <c r="D2305"/>
      <c r="E2305"/>
    </row>
    <row r="2306" spans="2:5" x14ac:dyDescent="0.35">
      <c r="B2306"/>
      <c r="C2306"/>
      <c r="D2306"/>
      <c r="E2306"/>
    </row>
    <row r="2307" spans="2:5" x14ac:dyDescent="0.35">
      <c r="B2307"/>
      <c r="C2307"/>
      <c r="D2307"/>
      <c r="E2307"/>
    </row>
    <row r="2308" spans="2:5" x14ac:dyDescent="0.35">
      <c r="B2308"/>
      <c r="C2308"/>
      <c r="D2308"/>
      <c r="E2308"/>
    </row>
    <row r="2309" spans="2:5" x14ac:dyDescent="0.35">
      <c r="B2309"/>
      <c r="C2309"/>
      <c r="D2309"/>
      <c r="E2309"/>
    </row>
    <row r="2310" spans="2:5" x14ac:dyDescent="0.35">
      <c r="B2310"/>
      <c r="C2310"/>
      <c r="D2310"/>
      <c r="E2310"/>
    </row>
    <row r="2311" spans="2:5" x14ac:dyDescent="0.35">
      <c r="B2311"/>
      <c r="C2311"/>
      <c r="D2311"/>
      <c r="E2311"/>
    </row>
    <row r="2312" spans="2:5" x14ac:dyDescent="0.35">
      <c r="B2312"/>
      <c r="C2312"/>
      <c r="D2312"/>
      <c r="E2312"/>
    </row>
    <row r="2313" spans="2:5" x14ac:dyDescent="0.35">
      <c r="B2313"/>
      <c r="C2313"/>
      <c r="D2313"/>
      <c r="E2313"/>
    </row>
    <row r="2314" spans="2:5" x14ac:dyDescent="0.35">
      <c r="B2314"/>
      <c r="C2314"/>
      <c r="D2314"/>
      <c r="E2314"/>
    </row>
    <row r="2315" spans="2:5" x14ac:dyDescent="0.35">
      <c r="B2315"/>
      <c r="C2315"/>
      <c r="D2315"/>
      <c r="E2315"/>
    </row>
    <row r="2316" spans="2:5" x14ac:dyDescent="0.35">
      <c r="B2316"/>
      <c r="C2316"/>
      <c r="D2316"/>
      <c r="E2316"/>
    </row>
    <row r="2317" spans="2:5" x14ac:dyDescent="0.35">
      <c r="B2317"/>
      <c r="C2317"/>
      <c r="D2317"/>
      <c r="E2317"/>
    </row>
    <row r="2318" spans="2:5" x14ac:dyDescent="0.35">
      <c r="B2318"/>
      <c r="C2318"/>
      <c r="D2318"/>
      <c r="E2318"/>
    </row>
    <row r="2319" spans="2:5" x14ac:dyDescent="0.35">
      <c r="B2319"/>
      <c r="C2319"/>
      <c r="D2319"/>
      <c r="E2319"/>
    </row>
    <row r="2320" spans="2:5" x14ac:dyDescent="0.35">
      <c r="B2320"/>
      <c r="C2320"/>
      <c r="D2320"/>
      <c r="E2320"/>
    </row>
    <row r="2321" spans="2:5" x14ac:dyDescent="0.35">
      <c r="B2321"/>
      <c r="C2321"/>
      <c r="D2321"/>
      <c r="E2321"/>
    </row>
    <row r="2322" spans="2:5" x14ac:dyDescent="0.35">
      <c r="B2322"/>
      <c r="C2322"/>
      <c r="D2322"/>
      <c r="E2322"/>
    </row>
    <row r="2323" spans="2:5" x14ac:dyDescent="0.35">
      <c r="B2323"/>
      <c r="C2323"/>
      <c r="D2323"/>
      <c r="E2323"/>
    </row>
    <row r="2324" spans="2:5" x14ac:dyDescent="0.35">
      <c r="B2324"/>
      <c r="C2324"/>
      <c r="D2324"/>
      <c r="E2324"/>
    </row>
    <row r="2325" spans="2:5" x14ac:dyDescent="0.35">
      <c r="B2325"/>
      <c r="C2325"/>
      <c r="D2325"/>
      <c r="E2325"/>
    </row>
    <row r="2326" spans="2:5" x14ac:dyDescent="0.35">
      <c r="B2326"/>
      <c r="C2326"/>
      <c r="D2326"/>
      <c r="E2326"/>
    </row>
    <row r="2327" spans="2:5" x14ac:dyDescent="0.35">
      <c r="B2327"/>
      <c r="C2327"/>
      <c r="D2327"/>
      <c r="E2327"/>
    </row>
    <row r="2328" spans="2:5" x14ac:dyDescent="0.35">
      <c r="B2328"/>
      <c r="C2328"/>
      <c r="D2328"/>
      <c r="E2328"/>
    </row>
    <row r="2329" spans="2:5" x14ac:dyDescent="0.35">
      <c r="B2329"/>
      <c r="C2329"/>
      <c r="D2329"/>
      <c r="E2329"/>
    </row>
    <row r="2330" spans="2:5" x14ac:dyDescent="0.35">
      <c r="B2330"/>
      <c r="C2330"/>
      <c r="D2330"/>
      <c r="E2330"/>
    </row>
    <row r="2331" spans="2:5" x14ac:dyDescent="0.35">
      <c r="B2331"/>
      <c r="C2331"/>
      <c r="D2331"/>
      <c r="E2331"/>
    </row>
    <row r="2332" spans="2:5" x14ac:dyDescent="0.35">
      <c r="B2332"/>
      <c r="C2332"/>
      <c r="D2332"/>
      <c r="E2332"/>
    </row>
    <row r="2333" spans="2:5" x14ac:dyDescent="0.35">
      <c r="B2333"/>
      <c r="C2333"/>
      <c r="D2333"/>
      <c r="E2333"/>
    </row>
    <row r="2334" spans="2:5" x14ac:dyDescent="0.35">
      <c r="B2334"/>
      <c r="C2334"/>
      <c r="D2334"/>
      <c r="E2334"/>
    </row>
    <row r="2335" spans="2:5" x14ac:dyDescent="0.35">
      <c r="B2335"/>
      <c r="C2335"/>
      <c r="D2335"/>
      <c r="E2335"/>
    </row>
    <row r="2336" spans="2:5" x14ac:dyDescent="0.35">
      <c r="B2336"/>
      <c r="C2336"/>
      <c r="D2336"/>
      <c r="E2336"/>
    </row>
    <row r="2337" spans="2:5" x14ac:dyDescent="0.35">
      <c r="B2337"/>
      <c r="C2337"/>
      <c r="D2337"/>
      <c r="E2337"/>
    </row>
    <row r="2338" spans="2:5" x14ac:dyDescent="0.35">
      <c r="B2338"/>
      <c r="C2338"/>
      <c r="D2338"/>
      <c r="E2338"/>
    </row>
    <row r="2339" spans="2:5" x14ac:dyDescent="0.35">
      <c r="B2339"/>
      <c r="C2339"/>
      <c r="D2339"/>
      <c r="E2339"/>
    </row>
    <row r="2340" spans="2:5" x14ac:dyDescent="0.35">
      <c r="B2340"/>
      <c r="C2340"/>
      <c r="D2340"/>
      <c r="E2340"/>
    </row>
    <row r="2341" spans="2:5" x14ac:dyDescent="0.35">
      <c r="B2341"/>
      <c r="C2341"/>
      <c r="D2341"/>
      <c r="E2341"/>
    </row>
    <row r="2342" spans="2:5" x14ac:dyDescent="0.35">
      <c r="B2342"/>
      <c r="C2342"/>
      <c r="D2342"/>
      <c r="E2342"/>
    </row>
    <row r="2343" spans="2:5" x14ac:dyDescent="0.35">
      <c r="B2343"/>
      <c r="C2343"/>
      <c r="D2343"/>
      <c r="E2343"/>
    </row>
    <row r="2344" spans="2:5" x14ac:dyDescent="0.35">
      <c r="B2344"/>
      <c r="C2344"/>
      <c r="D2344"/>
      <c r="E2344"/>
    </row>
    <row r="2345" spans="2:5" x14ac:dyDescent="0.35">
      <c r="B2345"/>
      <c r="C2345"/>
      <c r="D2345"/>
      <c r="E2345"/>
    </row>
    <row r="2346" spans="2:5" x14ac:dyDescent="0.35">
      <c r="B2346"/>
      <c r="C2346"/>
      <c r="D2346"/>
      <c r="E2346"/>
    </row>
    <row r="2347" spans="2:5" x14ac:dyDescent="0.35">
      <c r="B2347"/>
      <c r="C2347"/>
      <c r="D2347"/>
      <c r="E2347"/>
    </row>
    <row r="2348" spans="2:5" x14ac:dyDescent="0.35">
      <c r="B2348"/>
      <c r="C2348"/>
      <c r="D2348"/>
      <c r="E2348"/>
    </row>
    <row r="2349" spans="2:5" x14ac:dyDescent="0.35">
      <c r="B2349"/>
      <c r="C2349"/>
      <c r="D2349"/>
      <c r="E2349"/>
    </row>
    <row r="2350" spans="2:5" x14ac:dyDescent="0.35">
      <c r="B2350"/>
      <c r="C2350"/>
      <c r="D2350"/>
      <c r="E2350"/>
    </row>
    <row r="2351" spans="2:5" x14ac:dyDescent="0.35">
      <c r="B2351"/>
      <c r="C2351"/>
      <c r="D2351"/>
      <c r="E2351"/>
    </row>
    <row r="2352" spans="2:5" x14ac:dyDescent="0.35">
      <c r="B2352"/>
      <c r="C2352"/>
      <c r="D2352"/>
      <c r="E2352"/>
    </row>
    <row r="2353" spans="2:5" x14ac:dyDescent="0.35">
      <c r="B2353"/>
      <c r="C2353"/>
      <c r="D2353"/>
      <c r="E2353"/>
    </row>
    <row r="2354" spans="2:5" x14ac:dyDescent="0.35">
      <c r="B2354"/>
      <c r="C2354"/>
      <c r="D2354"/>
      <c r="E2354"/>
    </row>
    <row r="2355" spans="2:5" x14ac:dyDescent="0.35">
      <c r="B2355"/>
      <c r="C2355"/>
      <c r="D2355"/>
      <c r="E2355"/>
    </row>
    <row r="2356" spans="2:5" x14ac:dyDescent="0.35">
      <c r="B2356"/>
      <c r="C2356"/>
      <c r="D2356"/>
      <c r="E2356"/>
    </row>
    <row r="2357" spans="2:5" x14ac:dyDescent="0.35">
      <c r="B2357"/>
      <c r="C2357"/>
      <c r="D2357"/>
      <c r="E2357"/>
    </row>
    <row r="2358" spans="2:5" x14ac:dyDescent="0.35">
      <c r="B2358"/>
      <c r="C2358"/>
      <c r="D2358"/>
      <c r="E2358"/>
    </row>
    <row r="2359" spans="2:5" x14ac:dyDescent="0.35">
      <c r="B2359"/>
      <c r="C2359"/>
      <c r="D2359"/>
      <c r="E2359"/>
    </row>
    <row r="2360" spans="2:5" x14ac:dyDescent="0.35">
      <c r="B2360"/>
      <c r="C2360"/>
      <c r="D2360"/>
      <c r="E2360"/>
    </row>
    <row r="2361" spans="2:5" x14ac:dyDescent="0.35">
      <c r="B2361"/>
      <c r="C2361"/>
      <c r="D2361"/>
      <c r="E2361"/>
    </row>
    <row r="2362" spans="2:5" x14ac:dyDescent="0.35">
      <c r="B2362"/>
      <c r="C2362"/>
      <c r="D2362"/>
      <c r="E2362"/>
    </row>
    <row r="2363" spans="2:5" x14ac:dyDescent="0.35">
      <c r="B2363"/>
      <c r="C2363"/>
      <c r="D2363"/>
      <c r="E2363"/>
    </row>
    <row r="2364" spans="2:5" x14ac:dyDescent="0.35">
      <c r="B2364"/>
      <c r="C2364"/>
      <c r="D2364"/>
      <c r="E2364"/>
    </row>
    <row r="2365" spans="2:5" x14ac:dyDescent="0.35">
      <c r="B2365"/>
      <c r="C2365"/>
      <c r="D2365"/>
      <c r="E2365"/>
    </row>
    <row r="2366" spans="2:5" x14ac:dyDescent="0.35">
      <c r="B2366"/>
      <c r="C2366"/>
      <c r="D2366"/>
      <c r="E2366"/>
    </row>
    <row r="2367" spans="2:5" x14ac:dyDescent="0.35">
      <c r="B2367"/>
      <c r="C2367"/>
      <c r="D2367"/>
      <c r="E2367"/>
    </row>
    <row r="2368" spans="2:5" x14ac:dyDescent="0.35">
      <c r="B2368"/>
      <c r="C2368"/>
      <c r="D2368"/>
      <c r="E2368"/>
    </row>
    <row r="2369" spans="2:5" x14ac:dyDescent="0.35">
      <c r="B2369"/>
      <c r="C2369"/>
      <c r="D2369"/>
      <c r="E2369"/>
    </row>
    <row r="2370" spans="2:5" x14ac:dyDescent="0.35">
      <c r="B2370"/>
      <c r="C2370"/>
      <c r="D2370"/>
      <c r="E2370"/>
    </row>
    <row r="2371" spans="2:5" x14ac:dyDescent="0.35">
      <c r="B2371"/>
      <c r="C2371"/>
      <c r="D2371"/>
      <c r="E2371"/>
    </row>
    <row r="2372" spans="2:5" x14ac:dyDescent="0.35">
      <c r="B2372"/>
      <c r="C2372"/>
      <c r="D2372"/>
      <c r="E2372"/>
    </row>
    <row r="2373" spans="2:5" x14ac:dyDescent="0.35">
      <c r="B2373"/>
      <c r="C2373"/>
      <c r="D2373"/>
      <c r="E2373"/>
    </row>
    <row r="2374" spans="2:5" x14ac:dyDescent="0.35">
      <c r="B2374"/>
      <c r="C2374"/>
      <c r="D2374"/>
      <c r="E2374"/>
    </row>
    <row r="2375" spans="2:5" x14ac:dyDescent="0.35">
      <c r="B2375"/>
      <c r="C2375"/>
      <c r="D2375"/>
      <c r="E2375"/>
    </row>
    <row r="2376" spans="2:5" x14ac:dyDescent="0.35">
      <c r="B2376"/>
      <c r="C2376"/>
      <c r="D2376"/>
      <c r="E2376"/>
    </row>
    <row r="2377" spans="2:5" x14ac:dyDescent="0.35">
      <c r="B2377"/>
      <c r="C2377"/>
      <c r="D2377"/>
      <c r="E2377"/>
    </row>
    <row r="2378" spans="2:5" x14ac:dyDescent="0.35">
      <c r="B2378"/>
      <c r="C2378"/>
      <c r="D2378"/>
      <c r="E2378"/>
    </row>
    <row r="2379" spans="2:5" x14ac:dyDescent="0.35">
      <c r="B2379"/>
      <c r="C2379"/>
      <c r="D2379"/>
      <c r="E2379"/>
    </row>
    <row r="2380" spans="2:5" x14ac:dyDescent="0.35">
      <c r="B2380"/>
      <c r="C2380"/>
      <c r="D2380"/>
      <c r="E2380"/>
    </row>
    <row r="2381" spans="2:5" x14ac:dyDescent="0.35">
      <c r="B2381"/>
      <c r="C2381"/>
      <c r="D2381"/>
      <c r="E2381"/>
    </row>
    <row r="2382" spans="2:5" x14ac:dyDescent="0.35">
      <c r="B2382"/>
      <c r="C2382"/>
      <c r="D2382"/>
      <c r="E2382"/>
    </row>
    <row r="2383" spans="2:5" x14ac:dyDescent="0.35">
      <c r="B2383"/>
      <c r="C2383"/>
      <c r="D2383"/>
      <c r="E2383"/>
    </row>
    <row r="2384" spans="2:5" x14ac:dyDescent="0.35">
      <c r="B2384"/>
      <c r="C2384"/>
      <c r="D2384"/>
      <c r="E2384"/>
    </row>
    <row r="2385" spans="2:5" x14ac:dyDescent="0.35">
      <c r="B2385"/>
      <c r="C2385"/>
      <c r="D2385"/>
      <c r="E2385"/>
    </row>
    <row r="2386" spans="2:5" x14ac:dyDescent="0.35">
      <c r="B2386"/>
      <c r="C2386"/>
      <c r="D2386"/>
      <c r="E2386"/>
    </row>
    <row r="2387" spans="2:5" x14ac:dyDescent="0.35">
      <c r="B2387"/>
      <c r="C2387"/>
      <c r="D2387"/>
      <c r="E2387"/>
    </row>
    <row r="2388" spans="2:5" x14ac:dyDescent="0.35">
      <c r="B2388"/>
      <c r="C2388"/>
      <c r="D2388"/>
      <c r="E2388"/>
    </row>
    <row r="2389" spans="2:5" x14ac:dyDescent="0.35">
      <c r="B2389"/>
      <c r="C2389"/>
      <c r="D2389"/>
      <c r="E2389"/>
    </row>
    <row r="2390" spans="2:5" x14ac:dyDescent="0.35">
      <c r="B2390"/>
      <c r="C2390"/>
      <c r="D2390"/>
      <c r="E2390"/>
    </row>
    <row r="2391" spans="2:5" x14ac:dyDescent="0.35">
      <c r="B2391"/>
      <c r="C2391"/>
      <c r="D2391"/>
      <c r="E2391"/>
    </row>
    <row r="2392" spans="2:5" x14ac:dyDescent="0.35">
      <c r="B2392"/>
      <c r="C2392"/>
      <c r="D2392"/>
      <c r="E2392"/>
    </row>
    <row r="2393" spans="2:5" x14ac:dyDescent="0.35">
      <c r="B2393"/>
      <c r="C2393"/>
      <c r="D2393"/>
      <c r="E2393"/>
    </row>
    <row r="2394" spans="2:5" x14ac:dyDescent="0.35">
      <c r="B2394"/>
      <c r="C2394"/>
      <c r="D2394"/>
      <c r="E2394"/>
    </row>
    <row r="2395" spans="2:5" x14ac:dyDescent="0.35">
      <c r="B2395"/>
      <c r="C2395"/>
      <c r="D2395"/>
      <c r="E2395"/>
    </row>
    <row r="2396" spans="2:5" x14ac:dyDescent="0.35">
      <c r="B2396"/>
      <c r="C2396"/>
      <c r="D2396"/>
      <c r="E2396"/>
    </row>
    <row r="2397" spans="2:5" x14ac:dyDescent="0.35">
      <c r="B2397"/>
      <c r="C2397"/>
      <c r="D2397"/>
      <c r="E2397"/>
    </row>
    <row r="2398" spans="2:5" x14ac:dyDescent="0.35">
      <c r="B2398"/>
      <c r="C2398"/>
      <c r="D2398"/>
      <c r="E2398"/>
    </row>
    <row r="2399" spans="2:5" x14ac:dyDescent="0.35">
      <c r="B2399"/>
      <c r="C2399"/>
      <c r="D2399"/>
      <c r="E2399"/>
    </row>
    <row r="2400" spans="2:5" x14ac:dyDescent="0.35">
      <c r="B2400"/>
      <c r="C2400"/>
      <c r="D2400"/>
      <c r="E2400"/>
    </row>
    <row r="2401" spans="2:5" x14ac:dyDescent="0.35">
      <c r="B2401"/>
      <c r="C2401"/>
      <c r="D2401"/>
      <c r="E2401"/>
    </row>
    <row r="2402" spans="2:5" x14ac:dyDescent="0.35">
      <c r="B2402"/>
      <c r="C2402"/>
      <c r="D2402"/>
      <c r="E2402"/>
    </row>
    <row r="2403" spans="2:5" x14ac:dyDescent="0.35">
      <c r="B2403"/>
      <c r="C2403"/>
      <c r="D2403"/>
      <c r="E2403"/>
    </row>
    <row r="2404" spans="2:5" x14ac:dyDescent="0.35">
      <c r="B2404"/>
      <c r="C2404"/>
      <c r="D2404"/>
      <c r="E2404"/>
    </row>
    <row r="2405" spans="2:5" x14ac:dyDescent="0.35">
      <c r="B2405"/>
      <c r="C2405"/>
      <c r="D2405"/>
      <c r="E2405"/>
    </row>
    <row r="2406" spans="2:5" x14ac:dyDescent="0.35">
      <c r="B2406"/>
      <c r="C2406"/>
      <c r="D2406"/>
      <c r="E2406"/>
    </row>
    <row r="2407" spans="2:5" x14ac:dyDescent="0.35">
      <c r="B2407"/>
      <c r="C2407"/>
      <c r="D2407"/>
      <c r="E2407"/>
    </row>
    <row r="2408" spans="2:5" x14ac:dyDescent="0.35">
      <c r="B2408"/>
      <c r="C2408"/>
      <c r="D2408"/>
      <c r="E2408"/>
    </row>
    <row r="2409" spans="2:5" x14ac:dyDescent="0.35">
      <c r="B2409"/>
      <c r="C2409"/>
      <c r="D2409"/>
      <c r="E2409"/>
    </row>
    <row r="2410" spans="2:5" x14ac:dyDescent="0.35">
      <c r="B2410"/>
      <c r="C2410"/>
      <c r="D2410"/>
      <c r="E2410"/>
    </row>
    <row r="2411" spans="2:5" x14ac:dyDescent="0.35">
      <c r="B2411"/>
      <c r="C2411"/>
      <c r="D2411"/>
      <c r="E2411"/>
    </row>
    <row r="2412" spans="2:5" x14ac:dyDescent="0.35">
      <c r="B2412"/>
      <c r="C2412"/>
      <c r="D2412"/>
      <c r="E2412"/>
    </row>
    <row r="2413" spans="2:5" x14ac:dyDescent="0.35">
      <c r="B2413"/>
      <c r="C2413"/>
      <c r="D2413"/>
      <c r="E2413"/>
    </row>
    <row r="2414" spans="2:5" x14ac:dyDescent="0.35">
      <c r="B2414"/>
      <c r="C2414"/>
      <c r="D2414"/>
      <c r="E2414"/>
    </row>
    <row r="2415" spans="2:5" x14ac:dyDescent="0.35">
      <c r="B2415"/>
      <c r="C2415"/>
      <c r="D2415"/>
      <c r="E2415"/>
    </row>
    <row r="2416" spans="2:5" x14ac:dyDescent="0.35">
      <c r="B2416"/>
      <c r="C2416"/>
      <c r="D2416"/>
      <c r="E2416"/>
    </row>
    <row r="2417" spans="2:5" x14ac:dyDescent="0.35">
      <c r="B2417"/>
      <c r="C2417"/>
      <c r="D2417"/>
      <c r="E2417"/>
    </row>
    <row r="2418" spans="2:5" x14ac:dyDescent="0.35">
      <c r="B2418"/>
      <c r="C2418"/>
      <c r="D2418"/>
      <c r="E2418"/>
    </row>
    <row r="2419" spans="2:5" x14ac:dyDescent="0.35">
      <c r="B2419"/>
      <c r="C2419"/>
      <c r="D2419"/>
      <c r="E2419"/>
    </row>
    <row r="2420" spans="2:5" x14ac:dyDescent="0.35">
      <c r="B2420"/>
      <c r="C2420"/>
      <c r="D2420"/>
      <c r="E2420"/>
    </row>
    <row r="2421" spans="2:5" x14ac:dyDescent="0.35">
      <c r="B2421"/>
      <c r="C2421"/>
      <c r="D2421"/>
      <c r="E2421"/>
    </row>
    <row r="2422" spans="2:5" x14ac:dyDescent="0.35">
      <c r="B2422"/>
      <c r="C2422"/>
      <c r="D2422"/>
      <c r="E2422"/>
    </row>
    <row r="2423" spans="2:5" x14ac:dyDescent="0.35">
      <c r="B2423"/>
      <c r="C2423"/>
      <c r="D2423"/>
      <c r="E2423"/>
    </row>
    <row r="2424" spans="2:5" x14ac:dyDescent="0.35">
      <c r="B2424"/>
      <c r="C2424"/>
      <c r="D2424"/>
      <c r="E2424"/>
    </row>
    <row r="2425" spans="2:5" x14ac:dyDescent="0.35">
      <c r="B2425"/>
      <c r="C2425"/>
      <c r="D2425"/>
      <c r="E2425"/>
    </row>
    <row r="2426" spans="2:5" x14ac:dyDescent="0.35">
      <c r="B2426"/>
      <c r="C2426"/>
      <c r="D2426"/>
      <c r="E2426"/>
    </row>
    <row r="2427" spans="2:5" x14ac:dyDescent="0.35">
      <c r="B2427"/>
      <c r="C2427"/>
      <c r="D2427"/>
      <c r="E2427"/>
    </row>
    <row r="2428" spans="2:5" x14ac:dyDescent="0.35">
      <c r="B2428"/>
      <c r="C2428"/>
      <c r="D2428"/>
      <c r="E2428"/>
    </row>
    <row r="2429" spans="2:5" x14ac:dyDescent="0.35">
      <c r="B2429"/>
      <c r="C2429"/>
      <c r="D2429"/>
      <c r="E2429"/>
    </row>
    <row r="2430" spans="2:5" x14ac:dyDescent="0.35">
      <c r="B2430"/>
      <c r="C2430"/>
      <c r="D2430"/>
      <c r="E2430"/>
    </row>
    <row r="2431" spans="2:5" x14ac:dyDescent="0.35">
      <c r="B2431"/>
      <c r="C2431"/>
      <c r="D2431"/>
      <c r="E2431"/>
    </row>
    <row r="2432" spans="2:5" x14ac:dyDescent="0.35">
      <c r="B2432"/>
      <c r="C2432"/>
      <c r="D2432"/>
      <c r="E2432"/>
    </row>
    <row r="2433" spans="2:5" x14ac:dyDescent="0.35">
      <c r="B2433"/>
      <c r="C2433"/>
      <c r="D2433"/>
      <c r="E2433"/>
    </row>
    <row r="2434" spans="2:5" x14ac:dyDescent="0.35">
      <c r="B2434"/>
      <c r="C2434"/>
      <c r="D2434"/>
      <c r="E2434"/>
    </row>
    <row r="2435" spans="2:5" x14ac:dyDescent="0.35">
      <c r="B2435"/>
      <c r="C2435"/>
      <c r="D2435"/>
      <c r="E2435"/>
    </row>
    <row r="2436" spans="2:5" x14ac:dyDescent="0.35">
      <c r="B2436"/>
      <c r="C2436"/>
      <c r="D2436"/>
      <c r="E2436"/>
    </row>
    <row r="2437" spans="2:5" x14ac:dyDescent="0.35">
      <c r="B2437"/>
      <c r="C2437"/>
      <c r="D2437"/>
      <c r="E2437"/>
    </row>
    <row r="2438" spans="2:5" x14ac:dyDescent="0.35">
      <c r="B2438"/>
      <c r="C2438"/>
      <c r="D2438"/>
      <c r="E2438"/>
    </row>
    <row r="2439" spans="2:5" x14ac:dyDescent="0.35">
      <c r="B2439"/>
      <c r="C2439"/>
      <c r="D2439"/>
      <c r="E2439"/>
    </row>
    <row r="2440" spans="2:5" x14ac:dyDescent="0.35">
      <c r="B2440"/>
      <c r="C2440"/>
      <c r="D2440"/>
      <c r="E2440"/>
    </row>
    <row r="2441" spans="2:5" x14ac:dyDescent="0.35">
      <c r="B2441"/>
      <c r="C2441"/>
      <c r="D2441"/>
      <c r="E2441"/>
    </row>
    <row r="2442" spans="2:5" x14ac:dyDescent="0.35">
      <c r="B2442"/>
      <c r="C2442"/>
      <c r="D2442"/>
      <c r="E2442"/>
    </row>
    <row r="2443" spans="2:5" x14ac:dyDescent="0.35">
      <c r="B2443"/>
      <c r="C2443"/>
      <c r="D2443"/>
      <c r="E2443"/>
    </row>
    <row r="2444" spans="2:5" x14ac:dyDescent="0.35">
      <c r="B2444"/>
      <c r="C2444"/>
      <c r="D2444"/>
      <c r="E2444"/>
    </row>
    <row r="2445" spans="2:5" x14ac:dyDescent="0.35">
      <c r="B2445"/>
      <c r="C2445"/>
      <c r="D2445"/>
      <c r="E2445"/>
    </row>
    <row r="2446" spans="2:5" x14ac:dyDescent="0.35">
      <c r="B2446"/>
      <c r="C2446"/>
      <c r="D2446"/>
      <c r="E2446"/>
    </row>
    <row r="2447" spans="2:5" x14ac:dyDescent="0.35">
      <c r="B2447"/>
      <c r="C2447"/>
      <c r="D2447"/>
      <c r="E2447"/>
    </row>
    <row r="2448" spans="2:5" x14ac:dyDescent="0.35">
      <c r="B2448"/>
      <c r="C2448"/>
      <c r="D2448"/>
      <c r="E2448"/>
    </row>
    <row r="2449" spans="2:5" x14ac:dyDescent="0.35">
      <c r="B2449"/>
      <c r="C2449"/>
      <c r="D2449"/>
      <c r="E2449"/>
    </row>
    <row r="2450" spans="2:5" x14ac:dyDescent="0.35">
      <c r="B2450"/>
      <c r="C2450"/>
      <c r="D2450"/>
      <c r="E2450"/>
    </row>
    <row r="2451" spans="2:5" x14ac:dyDescent="0.35">
      <c r="B2451"/>
      <c r="C2451"/>
      <c r="D2451"/>
      <c r="E2451"/>
    </row>
    <row r="2452" spans="2:5" x14ac:dyDescent="0.35">
      <c r="B2452"/>
      <c r="C2452"/>
      <c r="D2452"/>
      <c r="E2452"/>
    </row>
    <row r="2453" spans="2:5" x14ac:dyDescent="0.35">
      <c r="B2453"/>
      <c r="C2453"/>
      <c r="D2453"/>
      <c r="E2453"/>
    </row>
    <row r="2454" spans="2:5" x14ac:dyDescent="0.35">
      <c r="B2454"/>
      <c r="C2454"/>
      <c r="D2454"/>
      <c r="E2454"/>
    </row>
    <row r="2455" spans="2:5" x14ac:dyDescent="0.35">
      <c r="B2455"/>
      <c r="C2455"/>
      <c r="D2455"/>
      <c r="E2455"/>
    </row>
    <row r="2456" spans="2:5" x14ac:dyDescent="0.35">
      <c r="B2456"/>
      <c r="C2456"/>
      <c r="D2456"/>
      <c r="E2456"/>
    </row>
    <row r="2457" spans="2:5" x14ac:dyDescent="0.35">
      <c r="B2457"/>
      <c r="C2457"/>
      <c r="D2457"/>
      <c r="E2457"/>
    </row>
    <row r="2458" spans="2:5" x14ac:dyDescent="0.35">
      <c r="B2458"/>
      <c r="C2458"/>
      <c r="D2458"/>
      <c r="E2458"/>
    </row>
    <row r="2459" spans="2:5" x14ac:dyDescent="0.35">
      <c r="B2459"/>
      <c r="C2459"/>
      <c r="D2459"/>
      <c r="E2459"/>
    </row>
    <row r="2460" spans="2:5" x14ac:dyDescent="0.35">
      <c r="B2460"/>
      <c r="C2460"/>
      <c r="D2460"/>
      <c r="E2460"/>
    </row>
    <row r="2461" spans="2:5" x14ac:dyDescent="0.35">
      <c r="B2461"/>
      <c r="C2461"/>
      <c r="D2461"/>
      <c r="E2461"/>
    </row>
    <row r="2462" spans="2:5" x14ac:dyDescent="0.35">
      <c r="B2462"/>
      <c r="C2462"/>
      <c r="D2462"/>
      <c r="E2462"/>
    </row>
    <row r="2463" spans="2:5" x14ac:dyDescent="0.35">
      <c r="B2463"/>
      <c r="C2463"/>
      <c r="D2463"/>
      <c r="E2463"/>
    </row>
    <row r="2464" spans="2:5" x14ac:dyDescent="0.35">
      <c r="B2464"/>
      <c r="C2464"/>
      <c r="D2464"/>
      <c r="E2464"/>
    </row>
    <row r="2465" spans="2:5" x14ac:dyDescent="0.35">
      <c r="B2465"/>
      <c r="C2465"/>
      <c r="D2465"/>
      <c r="E2465"/>
    </row>
    <row r="2466" spans="2:5" x14ac:dyDescent="0.35">
      <c r="B2466"/>
      <c r="C2466"/>
      <c r="D2466"/>
      <c r="E2466"/>
    </row>
    <row r="2467" spans="2:5" x14ac:dyDescent="0.35">
      <c r="B2467"/>
      <c r="C2467"/>
      <c r="D2467"/>
      <c r="E2467"/>
    </row>
    <row r="2468" spans="2:5" x14ac:dyDescent="0.35">
      <c r="B2468"/>
      <c r="C2468"/>
      <c r="D2468"/>
      <c r="E2468"/>
    </row>
    <row r="2469" spans="2:5" x14ac:dyDescent="0.35">
      <c r="B2469"/>
      <c r="C2469"/>
      <c r="D2469"/>
      <c r="E2469"/>
    </row>
    <row r="2470" spans="2:5" x14ac:dyDescent="0.35">
      <c r="B2470"/>
      <c r="C2470"/>
      <c r="D2470"/>
      <c r="E2470"/>
    </row>
    <row r="2471" spans="2:5" x14ac:dyDescent="0.35">
      <c r="B2471"/>
      <c r="C2471"/>
      <c r="D2471"/>
      <c r="E2471"/>
    </row>
    <row r="2472" spans="2:5" x14ac:dyDescent="0.35">
      <c r="B2472"/>
      <c r="C2472"/>
      <c r="D2472"/>
      <c r="E2472"/>
    </row>
    <row r="2473" spans="2:5" x14ac:dyDescent="0.35">
      <c r="B2473"/>
      <c r="C2473"/>
      <c r="D2473"/>
      <c r="E2473"/>
    </row>
    <row r="2474" spans="2:5" x14ac:dyDescent="0.35">
      <c r="B2474"/>
      <c r="C2474"/>
      <c r="D2474"/>
      <c r="E2474"/>
    </row>
    <row r="2475" spans="2:5" x14ac:dyDescent="0.35">
      <c r="B2475"/>
      <c r="C2475"/>
      <c r="D2475"/>
      <c r="E2475"/>
    </row>
    <row r="2476" spans="2:5" x14ac:dyDescent="0.35">
      <c r="B2476"/>
      <c r="C2476"/>
      <c r="D2476"/>
      <c r="E2476"/>
    </row>
    <row r="2477" spans="2:5" x14ac:dyDescent="0.35">
      <c r="B2477"/>
      <c r="C2477"/>
      <c r="D2477"/>
      <c r="E2477"/>
    </row>
    <row r="2478" spans="2:5" x14ac:dyDescent="0.35">
      <c r="B2478"/>
      <c r="C2478"/>
      <c r="D2478"/>
      <c r="E2478"/>
    </row>
    <row r="2479" spans="2:5" x14ac:dyDescent="0.35">
      <c r="B2479"/>
      <c r="C2479"/>
      <c r="D2479"/>
      <c r="E2479"/>
    </row>
    <row r="2480" spans="2:5" x14ac:dyDescent="0.35">
      <c r="B2480"/>
      <c r="C2480"/>
      <c r="D2480"/>
      <c r="E2480"/>
    </row>
    <row r="2481" spans="2:5" x14ac:dyDescent="0.35">
      <c r="B2481"/>
      <c r="C2481"/>
      <c r="D2481"/>
      <c r="E2481"/>
    </row>
    <row r="2482" spans="2:5" x14ac:dyDescent="0.35">
      <c r="B2482"/>
      <c r="C2482"/>
      <c r="D2482"/>
      <c r="E2482"/>
    </row>
    <row r="2483" spans="2:5" x14ac:dyDescent="0.35">
      <c r="B2483"/>
      <c r="C2483"/>
      <c r="D2483"/>
      <c r="E2483"/>
    </row>
    <row r="2484" spans="2:5" x14ac:dyDescent="0.35">
      <c r="B2484"/>
      <c r="C2484"/>
      <c r="D2484"/>
      <c r="E2484"/>
    </row>
    <row r="2485" spans="2:5" x14ac:dyDescent="0.35">
      <c r="B2485"/>
      <c r="C2485"/>
      <c r="D2485"/>
      <c r="E2485"/>
    </row>
    <row r="2486" spans="2:5" x14ac:dyDescent="0.35">
      <c r="B2486"/>
      <c r="C2486"/>
      <c r="D2486"/>
      <c r="E2486"/>
    </row>
    <row r="2487" spans="2:5" x14ac:dyDescent="0.35">
      <c r="B2487"/>
      <c r="C2487"/>
      <c r="D2487"/>
      <c r="E2487"/>
    </row>
    <row r="2488" spans="2:5" x14ac:dyDescent="0.35">
      <c r="B2488"/>
      <c r="C2488"/>
      <c r="D2488"/>
      <c r="E2488"/>
    </row>
    <row r="2489" spans="2:5" x14ac:dyDescent="0.35">
      <c r="B2489"/>
      <c r="C2489"/>
      <c r="D2489"/>
      <c r="E2489"/>
    </row>
    <row r="2490" spans="2:5" x14ac:dyDescent="0.35">
      <c r="B2490"/>
      <c r="C2490"/>
      <c r="D2490"/>
      <c r="E2490"/>
    </row>
    <row r="2491" spans="2:5" x14ac:dyDescent="0.35">
      <c r="B2491"/>
      <c r="C2491"/>
      <c r="D2491"/>
      <c r="E2491"/>
    </row>
    <row r="2492" spans="2:5" x14ac:dyDescent="0.35">
      <c r="B2492"/>
      <c r="C2492"/>
      <c r="D2492"/>
      <c r="E2492"/>
    </row>
    <row r="2493" spans="2:5" x14ac:dyDescent="0.35">
      <c r="B2493"/>
      <c r="C2493"/>
      <c r="D2493"/>
      <c r="E2493"/>
    </row>
    <row r="2494" spans="2:5" x14ac:dyDescent="0.35">
      <c r="B2494"/>
      <c r="C2494"/>
      <c r="D2494"/>
      <c r="E2494"/>
    </row>
    <row r="2495" spans="2:5" x14ac:dyDescent="0.35">
      <c r="B2495"/>
      <c r="C2495"/>
      <c r="D2495"/>
      <c r="E2495"/>
    </row>
    <row r="2496" spans="2:5" x14ac:dyDescent="0.35">
      <c r="B2496"/>
      <c r="C2496"/>
      <c r="D2496"/>
      <c r="E2496"/>
    </row>
    <row r="2497" spans="2:5" x14ac:dyDescent="0.35">
      <c r="B2497"/>
      <c r="C2497"/>
      <c r="D2497"/>
      <c r="E2497"/>
    </row>
    <row r="2498" spans="2:5" x14ac:dyDescent="0.35">
      <c r="B2498"/>
      <c r="C2498"/>
      <c r="D2498"/>
      <c r="E2498"/>
    </row>
    <row r="2499" spans="2:5" x14ac:dyDescent="0.35">
      <c r="B2499"/>
      <c r="C2499"/>
      <c r="D2499"/>
      <c r="E2499"/>
    </row>
    <row r="2500" spans="2:5" x14ac:dyDescent="0.35">
      <c r="B2500"/>
      <c r="C2500"/>
      <c r="D2500"/>
      <c r="E2500"/>
    </row>
    <row r="2501" spans="2:5" x14ac:dyDescent="0.35">
      <c r="B2501"/>
      <c r="C2501"/>
      <c r="D2501"/>
      <c r="E2501"/>
    </row>
    <row r="2502" spans="2:5" x14ac:dyDescent="0.35">
      <c r="B2502"/>
      <c r="C2502"/>
      <c r="D2502"/>
      <c r="E2502"/>
    </row>
    <row r="2503" spans="2:5" x14ac:dyDescent="0.35">
      <c r="B2503"/>
      <c r="C2503"/>
      <c r="D2503"/>
      <c r="E2503"/>
    </row>
    <row r="2504" spans="2:5" x14ac:dyDescent="0.35">
      <c r="B2504"/>
      <c r="C2504"/>
      <c r="D2504"/>
      <c r="E2504"/>
    </row>
    <row r="2505" spans="2:5" x14ac:dyDescent="0.35">
      <c r="B2505"/>
      <c r="C2505"/>
      <c r="D2505"/>
      <c r="E2505"/>
    </row>
    <row r="2506" spans="2:5" x14ac:dyDescent="0.35">
      <c r="B2506"/>
      <c r="C2506"/>
      <c r="D2506"/>
      <c r="E2506"/>
    </row>
    <row r="2507" spans="2:5" x14ac:dyDescent="0.35">
      <c r="B2507"/>
      <c r="C2507"/>
      <c r="D2507"/>
      <c r="E2507"/>
    </row>
    <row r="2508" spans="2:5" x14ac:dyDescent="0.35">
      <c r="B2508"/>
      <c r="C2508"/>
      <c r="D2508"/>
      <c r="E2508"/>
    </row>
    <row r="2509" spans="2:5" x14ac:dyDescent="0.35">
      <c r="B2509"/>
      <c r="C2509"/>
      <c r="D2509"/>
      <c r="E2509"/>
    </row>
    <row r="2510" spans="2:5" x14ac:dyDescent="0.35">
      <c r="B2510"/>
      <c r="C2510"/>
      <c r="D2510"/>
      <c r="E2510"/>
    </row>
    <row r="2511" spans="2:5" x14ac:dyDescent="0.35">
      <c r="B2511"/>
      <c r="C2511"/>
      <c r="D2511"/>
      <c r="E2511"/>
    </row>
    <row r="2512" spans="2:5" x14ac:dyDescent="0.35">
      <c r="B2512"/>
      <c r="C2512"/>
      <c r="D2512"/>
      <c r="E2512"/>
    </row>
    <row r="2513" spans="2:5" x14ac:dyDescent="0.35">
      <c r="B2513"/>
      <c r="C2513"/>
      <c r="D2513"/>
      <c r="E2513"/>
    </row>
    <row r="2514" spans="2:5" x14ac:dyDescent="0.35">
      <c r="B2514"/>
      <c r="C2514"/>
      <c r="D2514"/>
      <c r="E2514"/>
    </row>
    <row r="2515" spans="2:5" x14ac:dyDescent="0.35">
      <c r="B2515"/>
      <c r="C2515"/>
      <c r="D2515"/>
      <c r="E2515"/>
    </row>
    <row r="2516" spans="2:5" x14ac:dyDescent="0.35">
      <c r="B2516"/>
      <c r="C2516"/>
      <c r="D2516"/>
      <c r="E2516"/>
    </row>
    <row r="2517" spans="2:5" x14ac:dyDescent="0.35">
      <c r="B2517"/>
      <c r="C2517"/>
      <c r="D2517"/>
      <c r="E2517"/>
    </row>
    <row r="2518" spans="2:5" x14ac:dyDescent="0.35">
      <c r="B2518"/>
      <c r="C2518"/>
      <c r="D2518"/>
      <c r="E2518"/>
    </row>
    <row r="2519" spans="2:5" x14ac:dyDescent="0.35">
      <c r="B2519"/>
      <c r="C2519"/>
      <c r="D2519"/>
      <c r="E2519"/>
    </row>
    <row r="2520" spans="2:5" x14ac:dyDescent="0.35">
      <c r="B2520"/>
      <c r="C2520"/>
      <c r="D2520"/>
      <c r="E2520"/>
    </row>
    <row r="2521" spans="2:5" x14ac:dyDescent="0.35">
      <c r="B2521"/>
      <c r="C2521"/>
      <c r="D2521"/>
      <c r="E2521"/>
    </row>
    <row r="2522" spans="2:5" x14ac:dyDescent="0.35">
      <c r="B2522"/>
      <c r="C2522"/>
      <c r="D2522"/>
      <c r="E2522"/>
    </row>
    <row r="2523" spans="2:5" x14ac:dyDescent="0.35">
      <c r="B2523"/>
      <c r="C2523"/>
      <c r="D2523"/>
      <c r="E2523"/>
    </row>
    <row r="2524" spans="2:5" x14ac:dyDescent="0.35">
      <c r="B2524"/>
      <c r="C2524"/>
      <c r="D2524"/>
      <c r="E2524"/>
    </row>
    <row r="2525" spans="2:5" x14ac:dyDescent="0.35">
      <c r="B2525"/>
      <c r="C2525"/>
      <c r="D2525"/>
      <c r="E2525"/>
    </row>
    <row r="2526" spans="2:5" x14ac:dyDescent="0.35">
      <c r="B2526"/>
      <c r="C2526"/>
      <c r="D2526"/>
      <c r="E2526"/>
    </row>
    <row r="2527" spans="2:5" x14ac:dyDescent="0.35">
      <c r="B2527"/>
      <c r="C2527"/>
      <c r="D2527"/>
      <c r="E2527"/>
    </row>
    <row r="2528" spans="2:5" x14ac:dyDescent="0.35">
      <c r="B2528"/>
      <c r="C2528"/>
      <c r="D2528"/>
      <c r="E2528"/>
    </row>
    <row r="2529" spans="2:5" x14ac:dyDescent="0.35">
      <c r="B2529"/>
      <c r="C2529"/>
      <c r="D2529"/>
      <c r="E2529"/>
    </row>
    <row r="2530" spans="2:5" x14ac:dyDescent="0.35">
      <c r="B2530"/>
      <c r="C2530"/>
      <c r="D2530"/>
      <c r="E2530"/>
    </row>
    <row r="2531" spans="2:5" x14ac:dyDescent="0.35">
      <c r="B2531"/>
      <c r="C2531"/>
      <c r="D2531"/>
      <c r="E2531"/>
    </row>
    <row r="2532" spans="2:5" x14ac:dyDescent="0.35">
      <c r="B2532"/>
      <c r="C2532"/>
      <c r="D2532"/>
      <c r="E2532"/>
    </row>
    <row r="2533" spans="2:5" x14ac:dyDescent="0.35">
      <c r="B2533"/>
      <c r="C2533"/>
      <c r="D2533"/>
      <c r="E2533"/>
    </row>
    <row r="2534" spans="2:5" x14ac:dyDescent="0.35">
      <c r="B2534"/>
      <c r="C2534"/>
      <c r="D2534"/>
      <c r="E2534"/>
    </row>
    <row r="2535" spans="2:5" x14ac:dyDescent="0.35">
      <c r="B2535"/>
      <c r="C2535"/>
      <c r="D2535"/>
      <c r="E2535"/>
    </row>
    <row r="2536" spans="2:5" x14ac:dyDescent="0.35">
      <c r="B2536"/>
      <c r="C2536"/>
      <c r="D2536"/>
      <c r="E2536"/>
    </row>
    <row r="2537" spans="2:5" x14ac:dyDescent="0.35">
      <c r="B2537"/>
      <c r="C2537"/>
      <c r="D2537"/>
      <c r="E2537"/>
    </row>
    <row r="2538" spans="2:5" x14ac:dyDescent="0.35">
      <c r="B2538"/>
      <c r="C2538"/>
      <c r="D2538"/>
      <c r="E2538"/>
    </row>
    <row r="2539" spans="2:5" x14ac:dyDescent="0.35">
      <c r="B2539"/>
      <c r="C2539"/>
      <c r="D2539"/>
      <c r="E2539"/>
    </row>
    <row r="2540" spans="2:5" x14ac:dyDescent="0.35">
      <c r="B2540"/>
      <c r="C2540"/>
      <c r="D2540"/>
      <c r="E2540"/>
    </row>
    <row r="2541" spans="2:5" x14ac:dyDescent="0.35">
      <c r="B2541"/>
      <c r="C2541"/>
      <c r="D2541"/>
      <c r="E2541"/>
    </row>
    <row r="2542" spans="2:5" x14ac:dyDescent="0.35">
      <c r="B2542"/>
      <c r="C2542"/>
      <c r="D2542"/>
      <c r="E2542"/>
    </row>
    <row r="2543" spans="2:5" x14ac:dyDescent="0.35">
      <c r="B2543"/>
      <c r="C2543"/>
      <c r="D2543"/>
      <c r="E2543"/>
    </row>
    <row r="2544" spans="2:5" x14ac:dyDescent="0.35">
      <c r="B2544"/>
      <c r="C2544"/>
      <c r="D2544"/>
      <c r="E2544"/>
    </row>
    <row r="2545" spans="2:5" x14ac:dyDescent="0.35">
      <c r="B2545"/>
      <c r="C2545"/>
      <c r="D2545"/>
      <c r="E2545"/>
    </row>
    <row r="2546" spans="2:5" x14ac:dyDescent="0.35">
      <c r="B2546"/>
      <c r="C2546"/>
      <c r="D2546"/>
      <c r="E2546"/>
    </row>
    <row r="2547" spans="2:5" x14ac:dyDescent="0.35">
      <c r="B2547"/>
      <c r="C2547"/>
      <c r="D2547"/>
      <c r="E2547"/>
    </row>
    <row r="2548" spans="2:5" x14ac:dyDescent="0.35">
      <c r="B2548"/>
      <c r="C2548"/>
      <c r="D2548"/>
      <c r="E2548"/>
    </row>
    <row r="2549" spans="2:5" x14ac:dyDescent="0.35">
      <c r="B2549"/>
      <c r="C2549"/>
      <c r="D2549"/>
      <c r="E2549"/>
    </row>
    <row r="2550" spans="2:5" x14ac:dyDescent="0.35">
      <c r="B2550"/>
      <c r="C2550"/>
      <c r="D2550"/>
      <c r="E2550"/>
    </row>
    <row r="2551" spans="2:5" x14ac:dyDescent="0.35">
      <c r="B2551"/>
      <c r="C2551"/>
      <c r="D2551"/>
      <c r="E2551"/>
    </row>
    <row r="2552" spans="2:5" x14ac:dyDescent="0.35">
      <c r="B2552"/>
      <c r="C2552"/>
      <c r="D2552"/>
      <c r="E2552"/>
    </row>
    <row r="2553" spans="2:5" x14ac:dyDescent="0.35">
      <c r="B2553"/>
      <c r="C2553"/>
      <c r="D2553"/>
      <c r="E2553"/>
    </row>
    <row r="2554" spans="2:5" x14ac:dyDescent="0.35">
      <c r="B2554"/>
      <c r="C2554"/>
      <c r="D2554"/>
      <c r="E2554"/>
    </row>
    <row r="2555" spans="2:5" x14ac:dyDescent="0.35">
      <c r="B2555"/>
      <c r="C2555"/>
      <c r="D2555"/>
      <c r="E2555"/>
    </row>
    <row r="2556" spans="2:5" x14ac:dyDescent="0.35">
      <c r="B2556"/>
      <c r="C2556"/>
      <c r="D2556"/>
      <c r="E2556"/>
    </row>
    <row r="2557" spans="2:5" x14ac:dyDescent="0.35">
      <c r="B2557"/>
      <c r="C2557"/>
      <c r="D2557"/>
      <c r="E2557"/>
    </row>
    <row r="2558" spans="2:5" x14ac:dyDescent="0.35">
      <c r="B2558"/>
      <c r="C2558"/>
      <c r="D2558"/>
      <c r="E2558"/>
    </row>
    <row r="2559" spans="2:5" x14ac:dyDescent="0.35">
      <c r="B2559"/>
      <c r="C2559"/>
      <c r="D2559"/>
      <c r="E2559"/>
    </row>
    <row r="2560" spans="2:5" x14ac:dyDescent="0.35">
      <c r="B2560"/>
      <c r="C2560"/>
      <c r="D2560"/>
      <c r="E2560"/>
    </row>
    <row r="2561" spans="2:5" x14ac:dyDescent="0.35">
      <c r="B2561"/>
      <c r="C2561"/>
      <c r="D2561"/>
      <c r="E2561"/>
    </row>
    <row r="2562" spans="2:5" x14ac:dyDescent="0.35">
      <c r="B2562"/>
      <c r="C2562"/>
      <c r="D2562"/>
      <c r="E2562"/>
    </row>
    <row r="2563" spans="2:5" x14ac:dyDescent="0.35">
      <c r="B2563"/>
      <c r="C2563"/>
      <c r="D2563"/>
      <c r="E2563"/>
    </row>
    <row r="2564" spans="2:5" x14ac:dyDescent="0.35">
      <c r="B2564"/>
      <c r="C2564"/>
      <c r="D2564"/>
      <c r="E2564"/>
    </row>
    <row r="2565" spans="2:5" x14ac:dyDescent="0.35">
      <c r="B2565"/>
      <c r="C2565"/>
      <c r="D2565"/>
      <c r="E2565"/>
    </row>
    <row r="2566" spans="2:5" x14ac:dyDescent="0.35">
      <c r="B2566"/>
      <c r="C2566"/>
      <c r="D2566"/>
      <c r="E2566"/>
    </row>
    <row r="2567" spans="2:5" x14ac:dyDescent="0.35">
      <c r="B2567"/>
      <c r="C2567"/>
      <c r="D2567"/>
      <c r="E2567"/>
    </row>
    <row r="2568" spans="2:5" x14ac:dyDescent="0.35">
      <c r="B2568"/>
      <c r="C2568"/>
      <c r="D2568"/>
      <c r="E2568"/>
    </row>
    <row r="2569" spans="2:5" x14ac:dyDescent="0.35">
      <c r="B2569"/>
      <c r="C2569"/>
      <c r="D2569"/>
      <c r="E2569"/>
    </row>
    <row r="2570" spans="2:5" x14ac:dyDescent="0.35">
      <c r="B2570"/>
      <c r="C2570"/>
      <c r="D2570"/>
      <c r="E2570"/>
    </row>
    <row r="2571" spans="2:5" x14ac:dyDescent="0.35">
      <c r="B2571"/>
      <c r="C2571"/>
      <c r="D2571"/>
      <c r="E2571"/>
    </row>
    <row r="2572" spans="2:5" x14ac:dyDescent="0.35">
      <c r="B2572"/>
      <c r="C2572"/>
      <c r="D2572"/>
      <c r="E2572"/>
    </row>
    <row r="2573" spans="2:5" x14ac:dyDescent="0.35">
      <c r="B2573"/>
      <c r="C2573"/>
      <c r="D2573"/>
      <c r="E2573"/>
    </row>
    <row r="2574" spans="2:5" x14ac:dyDescent="0.35">
      <c r="B2574"/>
      <c r="C2574"/>
      <c r="D2574"/>
      <c r="E2574"/>
    </row>
    <row r="2575" spans="2:5" x14ac:dyDescent="0.35">
      <c r="B2575"/>
      <c r="C2575"/>
      <c r="D2575"/>
      <c r="E2575"/>
    </row>
    <row r="2576" spans="2:5" x14ac:dyDescent="0.35">
      <c r="B2576"/>
      <c r="C2576"/>
      <c r="D2576"/>
      <c r="E2576"/>
    </row>
    <row r="2577" spans="2:5" x14ac:dyDescent="0.35">
      <c r="B2577"/>
      <c r="C2577"/>
      <c r="D2577"/>
      <c r="E2577"/>
    </row>
    <row r="2578" spans="2:5" x14ac:dyDescent="0.35">
      <c r="B2578"/>
      <c r="C2578"/>
      <c r="D2578"/>
      <c r="E2578"/>
    </row>
    <row r="2579" spans="2:5" x14ac:dyDescent="0.35">
      <c r="B2579"/>
      <c r="C2579"/>
      <c r="D2579"/>
      <c r="E2579"/>
    </row>
    <row r="2580" spans="2:5" x14ac:dyDescent="0.35">
      <c r="B2580"/>
      <c r="C2580"/>
      <c r="D2580"/>
      <c r="E2580"/>
    </row>
    <row r="2581" spans="2:5" x14ac:dyDescent="0.35">
      <c r="B2581"/>
      <c r="C2581"/>
      <c r="D2581"/>
      <c r="E2581"/>
    </row>
    <row r="2582" spans="2:5" x14ac:dyDescent="0.35">
      <c r="B2582"/>
      <c r="C2582"/>
      <c r="D2582"/>
      <c r="E2582"/>
    </row>
    <row r="2583" spans="2:5" x14ac:dyDescent="0.35">
      <c r="B2583"/>
      <c r="C2583"/>
      <c r="D2583"/>
      <c r="E2583"/>
    </row>
    <row r="2584" spans="2:5" x14ac:dyDescent="0.35">
      <c r="B2584"/>
      <c r="C2584"/>
      <c r="D2584"/>
      <c r="E2584"/>
    </row>
    <row r="2585" spans="2:5" x14ac:dyDescent="0.35">
      <c r="B2585"/>
      <c r="C2585"/>
      <c r="D2585"/>
      <c r="E2585"/>
    </row>
    <row r="2586" spans="2:5" x14ac:dyDescent="0.35">
      <c r="B2586"/>
      <c r="C2586"/>
      <c r="D2586"/>
      <c r="E2586"/>
    </row>
    <row r="2587" spans="2:5" x14ac:dyDescent="0.35">
      <c r="B2587"/>
      <c r="C2587"/>
      <c r="D2587"/>
      <c r="E2587"/>
    </row>
    <row r="2588" spans="2:5" x14ac:dyDescent="0.35">
      <c r="B2588"/>
      <c r="C2588"/>
      <c r="D2588"/>
      <c r="E2588"/>
    </row>
    <row r="2589" spans="2:5" x14ac:dyDescent="0.35">
      <c r="B2589"/>
      <c r="C2589"/>
      <c r="D2589"/>
      <c r="E2589"/>
    </row>
    <row r="2590" spans="2:5" x14ac:dyDescent="0.35">
      <c r="B2590"/>
      <c r="C2590"/>
      <c r="D2590"/>
      <c r="E2590"/>
    </row>
    <row r="2591" spans="2:5" x14ac:dyDescent="0.35">
      <c r="B2591"/>
      <c r="C2591"/>
      <c r="D2591"/>
      <c r="E2591"/>
    </row>
    <row r="2592" spans="2:5" x14ac:dyDescent="0.35">
      <c r="B2592"/>
      <c r="C2592"/>
      <c r="D2592"/>
      <c r="E2592"/>
    </row>
    <row r="2593" spans="2:5" x14ac:dyDescent="0.35">
      <c r="B2593"/>
      <c r="C2593"/>
      <c r="D2593"/>
      <c r="E2593"/>
    </row>
    <row r="2594" spans="2:5" x14ac:dyDescent="0.35">
      <c r="B2594"/>
      <c r="C2594"/>
      <c r="D2594"/>
      <c r="E2594"/>
    </row>
    <row r="2595" spans="2:5" x14ac:dyDescent="0.35">
      <c r="B2595"/>
      <c r="C2595"/>
      <c r="D2595"/>
      <c r="E2595"/>
    </row>
    <row r="2596" spans="2:5" x14ac:dyDescent="0.35">
      <c r="B2596"/>
      <c r="C2596"/>
      <c r="D2596"/>
      <c r="E2596"/>
    </row>
    <row r="2597" spans="2:5" x14ac:dyDescent="0.35">
      <c r="B2597"/>
      <c r="C2597"/>
      <c r="D2597"/>
      <c r="E2597"/>
    </row>
    <row r="2598" spans="2:5" x14ac:dyDescent="0.35">
      <c r="B2598"/>
      <c r="C2598"/>
      <c r="D2598"/>
      <c r="E2598"/>
    </row>
    <row r="2599" spans="2:5" x14ac:dyDescent="0.35">
      <c r="B2599"/>
      <c r="C2599"/>
      <c r="D2599"/>
      <c r="E2599"/>
    </row>
    <row r="2600" spans="2:5" x14ac:dyDescent="0.35">
      <c r="B2600"/>
      <c r="C2600"/>
      <c r="D2600"/>
      <c r="E2600"/>
    </row>
    <row r="2601" spans="2:5" x14ac:dyDescent="0.35">
      <c r="B2601"/>
      <c r="C2601"/>
      <c r="D2601"/>
      <c r="E2601"/>
    </row>
    <row r="2602" spans="2:5" x14ac:dyDescent="0.35">
      <c r="B2602"/>
      <c r="C2602"/>
      <c r="D2602"/>
      <c r="E2602"/>
    </row>
    <row r="2603" spans="2:5" x14ac:dyDescent="0.35">
      <c r="B2603"/>
      <c r="C2603"/>
      <c r="D2603"/>
      <c r="E2603"/>
    </row>
    <row r="2604" spans="2:5" x14ac:dyDescent="0.35">
      <c r="B2604"/>
      <c r="C2604"/>
      <c r="D2604"/>
      <c r="E2604"/>
    </row>
    <row r="2605" spans="2:5" x14ac:dyDescent="0.35">
      <c r="B2605"/>
      <c r="C2605"/>
      <c r="D2605"/>
      <c r="E2605"/>
    </row>
    <row r="2606" spans="2:5" x14ac:dyDescent="0.35">
      <c r="B2606"/>
      <c r="C2606"/>
      <c r="D2606"/>
      <c r="E2606"/>
    </row>
    <row r="2607" spans="2:5" x14ac:dyDescent="0.35">
      <c r="B2607"/>
      <c r="C2607"/>
      <c r="D2607"/>
      <c r="E2607"/>
    </row>
    <row r="2608" spans="2:5" x14ac:dyDescent="0.35">
      <c r="B2608"/>
      <c r="C2608"/>
      <c r="D2608"/>
      <c r="E2608"/>
    </row>
    <row r="2609" spans="2:5" x14ac:dyDescent="0.35">
      <c r="B2609"/>
      <c r="C2609"/>
      <c r="D2609"/>
      <c r="E2609"/>
    </row>
    <row r="2610" spans="2:5" x14ac:dyDescent="0.35">
      <c r="B2610"/>
      <c r="C2610"/>
      <c r="D2610"/>
      <c r="E2610"/>
    </row>
    <row r="2611" spans="2:5" x14ac:dyDescent="0.35">
      <c r="B2611"/>
      <c r="C2611"/>
      <c r="D2611"/>
      <c r="E2611"/>
    </row>
    <row r="2612" spans="2:5" x14ac:dyDescent="0.35">
      <c r="B2612"/>
      <c r="C2612"/>
      <c r="D2612"/>
      <c r="E2612"/>
    </row>
    <row r="2613" spans="2:5" x14ac:dyDescent="0.35">
      <c r="B2613"/>
      <c r="C2613"/>
      <c r="D2613"/>
      <c r="E2613"/>
    </row>
    <row r="2614" spans="2:5" x14ac:dyDescent="0.35">
      <c r="B2614"/>
      <c r="C2614"/>
      <c r="D2614"/>
      <c r="E2614"/>
    </row>
    <row r="2615" spans="2:5" x14ac:dyDescent="0.35">
      <c r="B2615"/>
      <c r="C2615"/>
      <c r="D2615"/>
      <c r="E2615"/>
    </row>
    <row r="2616" spans="2:5" x14ac:dyDescent="0.35">
      <c r="B2616"/>
      <c r="C2616"/>
      <c r="D2616"/>
      <c r="E2616"/>
    </row>
    <row r="2617" spans="2:5" x14ac:dyDescent="0.35">
      <c r="B2617"/>
      <c r="C2617"/>
      <c r="D2617"/>
      <c r="E2617"/>
    </row>
    <row r="2618" spans="2:5" x14ac:dyDescent="0.35">
      <c r="B2618"/>
      <c r="C2618"/>
      <c r="D2618"/>
      <c r="E2618"/>
    </row>
    <row r="2619" spans="2:5" x14ac:dyDescent="0.35">
      <c r="B2619"/>
      <c r="C2619"/>
      <c r="D2619"/>
      <c r="E2619"/>
    </row>
    <row r="2620" spans="2:5" x14ac:dyDescent="0.35">
      <c r="B2620"/>
      <c r="C2620"/>
      <c r="D2620"/>
      <c r="E2620"/>
    </row>
    <row r="2621" spans="2:5" x14ac:dyDescent="0.35">
      <c r="B2621"/>
      <c r="C2621"/>
      <c r="D2621"/>
      <c r="E2621"/>
    </row>
    <row r="2622" spans="2:5" x14ac:dyDescent="0.35">
      <c r="B2622"/>
      <c r="C2622"/>
      <c r="D2622"/>
      <c r="E2622"/>
    </row>
    <row r="2623" spans="2:5" x14ac:dyDescent="0.35">
      <c r="B2623"/>
      <c r="C2623"/>
      <c r="D2623"/>
      <c r="E2623"/>
    </row>
    <row r="2624" spans="2:5" x14ac:dyDescent="0.35">
      <c r="B2624"/>
      <c r="C2624"/>
      <c r="D2624"/>
      <c r="E2624"/>
    </row>
    <row r="2625" spans="2:5" x14ac:dyDescent="0.35">
      <c r="B2625"/>
      <c r="C2625"/>
      <c r="D2625"/>
      <c r="E2625"/>
    </row>
    <row r="2626" spans="2:5" x14ac:dyDescent="0.35">
      <c r="B2626"/>
      <c r="C2626"/>
      <c r="D2626"/>
      <c r="E2626"/>
    </row>
    <row r="2627" spans="2:5" x14ac:dyDescent="0.35">
      <c r="B2627"/>
      <c r="C2627"/>
      <c r="D2627"/>
      <c r="E2627"/>
    </row>
    <row r="2628" spans="2:5" x14ac:dyDescent="0.35">
      <c r="B2628"/>
      <c r="C2628"/>
      <c r="D2628"/>
      <c r="E2628"/>
    </row>
    <row r="2629" spans="2:5" x14ac:dyDescent="0.35">
      <c r="B2629"/>
      <c r="C2629"/>
      <c r="D2629"/>
      <c r="E2629"/>
    </row>
    <row r="2630" spans="2:5" x14ac:dyDescent="0.35">
      <c r="B2630"/>
      <c r="C2630"/>
      <c r="D2630"/>
      <c r="E2630"/>
    </row>
    <row r="2631" spans="2:5" x14ac:dyDescent="0.35">
      <c r="B2631"/>
      <c r="C2631"/>
      <c r="D2631"/>
      <c r="E2631"/>
    </row>
    <row r="2632" spans="2:5" x14ac:dyDescent="0.35">
      <c r="B2632"/>
      <c r="C2632"/>
      <c r="D2632"/>
      <c r="E2632"/>
    </row>
    <row r="2633" spans="2:5" x14ac:dyDescent="0.35">
      <c r="B2633"/>
      <c r="C2633"/>
      <c r="D2633"/>
      <c r="E2633"/>
    </row>
    <row r="2634" spans="2:5" x14ac:dyDescent="0.35">
      <c r="B2634"/>
      <c r="C2634"/>
      <c r="D2634"/>
      <c r="E2634"/>
    </row>
    <row r="2635" spans="2:5" x14ac:dyDescent="0.35">
      <c r="B2635"/>
      <c r="C2635"/>
      <c r="D2635"/>
      <c r="E2635"/>
    </row>
    <row r="2636" spans="2:5" x14ac:dyDescent="0.35">
      <c r="B2636"/>
      <c r="C2636"/>
      <c r="D2636"/>
      <c r="E2636"/>
    </row>
    <row r="2637" spans="2:5" x14ac:dyDescent="0.35">
      <c r="B2637"/>
      <c r="C2637"/>
      <c r="D2637"/>
      <c r="E2637"/>
    </row>
    <row r="2638" spans="2:5" x14ac:dyDescent="0.35">
      <c r="B2638"/>
      <c r="C2638"/>
      <c r="D2638"/>
      <c r="E2638"/>
    </row>
    <row r="2639" spans="2:5" x14ac:dyDescent="0.35">
      <c r="B2639"/>
      <c r="C2639"/>
      <c r="D2639"/>
      <c r="E2639"/>
    </row>
    <row r="2640" spans="2:5" x14ac:dyDescent="0.35">
      <c r="B2640"/>
      <c r="C2640"/>
      <c r="D2640"/>
      <c r="E2640"/>
    </row>
    <row r="2641" spans="2:5" x14ac:dyDescent="0.35">
      <c r="B2641"/>
      <c r="C2641"/>
      <c r="D2641"/>
      <c r="E2641"/>
    </row>
    <row r="2642" spans="2:5" x14ac:dyDescent="0.35">
      <c r="B2642"/>
      <c r="C2642"/>
      <c r="D2642"/>
      <c r="E2642"/>
    </row>
    <row r="2643" spans="2:5" x14ac:dyDescent="0.35">
      <c r="B2643"/>
      <c r="C2643"/>
      <c r="D2643"/>
      <c r="E2643"/>
    </row>
    <row r="2644" spans="2:5" x14ac:dyDescent="0.35">
      <c r="B2644"/>
      <c r="C2644"/>
      <c r="D2644"/>
      <c r="E2644"/>
    </row>
    <row r="2645" spans="2:5" x14ac:dyDescent="0.35">
      <c r="B2645"/>
      <c r="C2645"/>
      <c r="D2645"/>
      <c r="E2645"/>
    </row>
    <row r="2646" spans="2:5" x14ac:dyDescent="0.35">
      <c r="B2646"/>
      <c r="C2646"/>
      <c r="D2646"/>
      <c r="E2646"/>
    </row>
    <row r="2647" spans="2:5" x14ac:dyDescent="0.35">
      <c r="B2647"/>
      <c r="C2647"/>
      <c r="D2647"/>
      <c r="E2647"/>
    </row>
    <row r="2648" spans="2:5" x14ac:dyDescent="0.35">
      <c r="B2648"/>
      <c r="C2648"/>
      <c r="D2648"/>
      <c r="E2648"/>
    </row>
    <row r="2649" spans="2:5" x14ac:dyDescent="0.35">
      <c r="B2649"/>
      <c r="C2649"/>
      <c r="D2649"/>
      <c r="E2649"/>
    </row>
    <row r="2650" spans="2:5" x14ac:dyDescent="0.35">
      <c r="B2650"/>
      <c r="C2650"/>
      <c r="D2650"/>
      <c r="E2650"/>
    </row>
    <row r="2651" spans="2:5" x14ac:dyDescent="0.35">
      <c r="B2651"/>
      <c r="C2651"/>
      <c r="D2651"/>
      <c r="E2651"/>
    </row>
    <row r="2652" spans="2:5" x14ac:dyDescent="0.35">
      <c r="B2652"/>
      <c r="C2652"/>
      <c r="D2652"/>
      <c r="E2652"/>
    </row>
    <row r="2653" spans="2:5" x14ac:dyDescent="0.35">
      <c r="B2653"/>
      <c r="C2653"/>
      <c r="D2653"/>
      <c r="E2653"/>
    </row>
    <row r="2654" spans="2:5" x14ac:dyDescent="0.35">
      <c r="B2654"/>
      <c r="C2654"/>
      <c r="D2654"/>
      <c r="E2654"/>
    </row>
    <row r="2655" spans="2:5" x14ac:dyDescent="0.35">
      <c r="B2655"/>
      <c r="C2655"/>
      <c r="D2655"/>
      <c r="E2655"/>
    </row>
    <row r="2656" spans="2:5" x14ac:dyDescent="0.35">
      <c r="B2656"/>
      <c r="C2656"/>
      <c r="D2656"/>
      <c r="E2656"/>
    </row>
    <row r="2657" spans="2:5" x14ac:dyDescent="0.35">
      <c r="B2657"/>
      <c r="C2657"/>
      <c r="D2657"/>
      <c r="E2657"/>
    </row>
    <row r="2658" spans="2:5" x14ac:dyDescent="0.35">
      <c r="B2658"/>
      <c r="C2658"/>
      <c r="D2658"/>
      <c r="E2658"/>
    </row>
    <row r="2659" spans="2:5" x14ac:dyDescent="0.35">
      <c r="B2659"/>
      <c r="C2659"/>
      <c r="D2659"/>
      <c r="E2659"/>
    </row>
    <row r="2660" spans="2:5" x14ac:dyDescent="0.35">
      <c r="B2660"/>
      <c r="C2660"/>
      <c r="D2660"/>
      <c r="E2660"/>
    </row>
    <row r="2661" spans="2:5" x14ac:dyDescent="0.35">
      <c r="B2661"/>
      <c r="C2661"/>
      <c r="D2661"/>
      <c r="E2661"/>
    </row>
    <row r="2662" spans="2:5" x14ac:dyDescent="0.35">
      <c r="B2662"/>
      <c r="C2662"/>
      <c r="D2662"/>
      <c r="E2662"/>
    </row>
    <row r="2663" spans="2:5" x14ac:dyDescent="0.35">
      <c r="B2663"/>
      <c r="C2663"/>
      <c r="D2663"/>
      <c r="E2663"/>
    </row>
    <row r="2664" spans="2:5" x14ac:dyDescent="0.35">
      <c r="B2664"/>
      <c r="C2664"/>
      <c r="D2664"/>
      <c r="E2664"/>
    </row>
    <row r="2665" spans="2:5" x14ac:dyDescent="0.35">
      <c r="B2665"/>
      <c r="C2665"/>
      <c r="D2665"/>
      <c r="E2665"/>
    </row>
    <row r="2666" spans="2:5" x14ac:dyDescent="0.35">
      <c r="B2666"/>
      <c r="C2666"/>
      <c r="D2666"/>
      <c r="E2666"/>
    </row>
    <row r="2667" spans="2:5" x14ac:dyDescent="0.35">
      <c r="B2667"/>
      <c r="C2667"/>
      <c r="D2667"/>
      <c r="E2667"/>
    </row>
    <row r="2668" spans="2:5" x14ac:dyDescent="0.35">
      <c r="B2668"/>
      <c r="C2668"/>
      <c r="D2668"/>
      <c r="E2668"/>
    </row>
    <row r="2669" spans="2:5" x14ac:dyDescent="0.35">
      <c r="B2669"/>
      <c r="C2669"/>
      <c r="D2669"/>
      <c r="E2669"/>
    </row>
    <row r="2670" spans="2:5" x14ac:dyDescent="0.35">
      <c r="B2670"/>
      <c r="C2670"/>
      <c r="D2670"/>
      <c r="E2670"/>
    </row>
    <row r="2671" spans="2:5" x14ac:dyDescent="0.35">
      <c r="B2671"/>
      <c r="C2671"/>
      <c r="D2671"/>
      <c r="E2671"/>
    </row>
    <row r="2672" spans="2:5" x14ac:dyDescent="0.35">
      <c r="B2672"/>
      <c r="C2672"/>
      <c r="D2672"/>
      <c r="E2672"/>
    </row>
    <row r="2673" spans="2:5" x14ac:dyDescent="0.35">
      <c r="B2673"/>
      <c r="C2673"/>
      <c r="D2673"/>
      <c r="E2673"/>
    </row>
    <row r="2674" spans="2:5" x14ac:dyDescent="0.35">
      <c r="B2674"/>
      <c r="C2674"/>
      <c r="D2674"/>
      <c r="E2674"/>
    </row>
    <row r="2675" spans="2:5" x14ac:dyDescent="0.35">
      <c r="B2675"/>
      <c r="C2675"/>
      <c r="D2675"/>
      <c r="E2675"/>
    </row>
    <row r="2676" spans="2:5" x14ac:dyDescent="0.35">
      <c r="B2676"/>
      <c r="C2676"/>
      <c r="D2676"/>
      <c r="E2676"/>
    </row>
    <row r="2677" spans="2:5" x14ac:dyDescent="0.35">
      <c r="B2677"/>
      <c r="C2677"/>
      <c r="D2677"/>
      <c r="E2677"/>
    </row>
    <row r="2678" spans="2:5" x14ac:dyDescent="0.35">
      <c r="B2678"/>
      <c r="C2678"/>
      <c r="D2678"/>
      <c r="E2678"/>
    </row>
    <row r="2679" spans="2:5" x14ac:dyDescent="0.35">
      <c r="B2679"/>
      <c r="C2679"/>
      <c r="D2679"/>
      <c r="E2679"/>
    </row>
    <row r="2680" spans="2:5" x14ac:dyDescent="0.35">
      <c r="B2680"/>
      <c r="C2680"/>
      <c r="D2680"/>
      <c r="E2680"/>
    </row>
    <row r="2681" spans="2:5" x14ac:dyDescent="0.35">
      <c r="B2681"/>
      <c r="C2681"/>
      <c r="D2681"/>
      <c r="E2681"/>
    </row>
    <row r="2682" spans="2:5" x14ac:dyDescent="0.35">
      <c r="B2682"/>
      <c r="C2682"/>
      <c r="D2682"/>
      <c r="E2682"/>
    </row>
    <row r="2683" spans="2:5" x14ac:dyDescent="0.35">
      <c r="B2683"/>
      <c r="C2683"/>
      <c r="D2683"/>
      <c r="E2683"/>
    </row>
    <row r="2684" spans="2:5" x14ac:dyDescent="0.35">
      <c r="B2684"/>
      <c r="C2684"/>
      <c r="D2684"/>
      <c r="E2684"/>
    </row>
    <row r="2685" spans="2:5" x14ac:dyDescent="0.35">
      <c r="B2685"/>
      <c r="C2685"/>
      <c r="D2685"/>
      <c r="E2685"/>
    </row>
    <row r="2686" spans="2:5" x14ac:dyDescent="0.35">
      <c r="B2686"/>
      <c r="C2686"/>
      <c r="D2686"/>
      <c r="E2686"/>
    </row>
    <row r="2687" spans="2:5" x14ac:dyDescent="0.35">
      <c r="B2687"/>
      <c r="C2687"/>
      <c r="D2687"/>
      <c r="E2687"/>
    </row>
    <row r="2688" spans="2:5" x14ac:dyDescent="0.35">
      <c r="B2688"/>
      <c r="C2688"/>
      <c r="D2688"/>
      <c r="E2688"/>
    </row>
    <row r="2689" spans="2:5" x14ac:dyDescent="0.35">
      <c r="B2689"/>
      <c r="C2689"/>
      <c r="D2689"/>
      <c r="E2689"/>
    </row>
    <row r="2690" spans="2:5" x14ac:dyDescent="0.35">
      <c r="B2690"/>
      <c r="C2690"/>
      <c r="D2690"/>
      <c r="E2690"/>
    </row>
    <row r="2691" spans="2:5" x14ac:dyDescent="0.35">
      <c r="B2691"/>
      <c r="C2691"/>
      <c r="D2691"/>
      <c r="E2691"/>
    </row>
    <row r="2692" spans="2:5" x14ac:dyDescent="0.35">
      <c r="B2692"/>
      <c r="C2692"/>
      <c r="D2692"/>
      <c r="E2692"/>
    </row>
    <row r="2693" spans="2:5" x14ac:dyDescent="0.35">
      <c r="B2693"/>
      <c r="C2693"/>
      <c r="D2693"/>
      <c r="E2693"/>
    </row>
    <row r="2694" spans="2:5" x14ac:dyDescent="0.35">
      <c r="B2694"/>
      <c r="C2694"/>
      <c r="D2694"/>
      <c r="E2694"/>
    </row>
    <row r="2695" spans="2:5" x14ac:dyDescent="0.35">
      <c r="B2695"/>
      <c r="C2695"/>
      <c r="D2695"/>
      <c r="E2695"/>
    </row>
    <row r="2696" spans="2:5" x14ac:dyDescent="0.35">
      <c r="B2696"/>
      <c r="C2696"/>
      <c r="D2696"/>
      <c r="E2696"/>
    </row>
    <row r="2697" spans="2:5" x14ac:dyDescent="0.35">
      <c r="B2697"/>
      <c r="C2697"/>
      <c r="D2697"/>
      <c r="E2697"/>
    </row>
    <row r="2698" spans="2:5" x14ac:dyDescent="0.35">
      <c r="B2698"/>
      <c r="C2698"/>
      <c r="D2698"/>
      <c r="E2698"/>
    </row>
    <row r="2699" spans="2:5" x14ac:dyDescent="0.35">
      <c r="B2699"/>
      <c r="C2699"/>
      <c r="D2699"/>
      <c r="E2699"/>
    </row>
    <row r="2700" spans="2:5" x14ac:dyDescent="0.35">
      <c r="B2700"/>
      <c r="C2700"/>
      <c r="D2700"/>
      <c r="E2700"/>
    </row>
    <row r="2701" spans="2:5" x14ac:dyDescent="0.35">
      <c r="B2701"/>
      <c r="C2701"/>
      <c r="D2701"/>
      <c r="E2701"/>
    </row>
    <row r="2702" spans="2:5" x14ac:dyDescent="0.35">
      <c r="B2702"/>
      <c r="C2702"/>
      <c r="D2702"/>
      <c r="E2702"/>
    </row>
    <row r="2703" spans="2:5" x14ac:dyDescent="0.35">
      <c r="B2703"/>
      <c r="C2703"/>
      <c r="D2703"/>
      <c r="E2703"/>
    </row>
    <row r="2704" spans="2:5" x14ac:dyDescent="0.35">
      <c r="B2704"/>
      <c r="C2704"/>
      <c r="D2704"/>
      <c r="E2704"/>
    </row>
    <row r="2705" spans="2:5" x14ac:dyDescent="0.35">
      <c r="B2705"/>
      <c r="C2705"/>
      <c r="D2705"/>
      <c r="E2705"/>
    </row>
    <row r="2706" spans="2:5" x14ac:dyDescent="0.35">
      <c r="B2706"/>
      <c r="C2706"/>
      <c r="D2706"/>
      <c r="E2706"/>
    </row>
    <row r="2707" spans="2:5" x14ac:dyDescent="0.35">
      <c r="B2707"/>
      <c r="C2707"/>
      <c r="D2707"/>
      <c r="E2707"/>
    </row>
    <row r="2708" spans="2:5" x14ac:dyDescent="0.35">
      <c r="B2708"/>
      <c r="C2708"/>
      <c r="D2708"/>
      <c r="E2708"/>
    </row>
    <row r="2709" spans="2:5" x14ac:dyDescent="0.35">
      <c r="B2709"/>
      <c r="C2709"/>
      <c r="D2709"/>
      <c r="E2709"/>
    </row>
    <row r="2710" spans="2:5" x14ac:dyDescent="0.35">
      <c r="B2710"/>
      <c r="C2710"/>
      <c r="D2710"/>
      <c r="E2710"/>
    </row>
    <row r="2711" spans="2:5" x14ac:dyDescent="0.35">
      <c r="B2711"/>
      <c r="C2711"/>
      <c r="D2711"/>
      <c r="E2711"/>
    </row>
    <row r="2712" spans="2:5" x14ac:dyDescent="0.35">
      <c r="B2712"/>
      <c r="C2712"/>
      <c r="D2712"/>
      <c r="E2712"/>
    </row>
    <row r="2713" spans="2:5" x14ac:dyDescent="0.35">
      <c r="B2713"/>
      <c r="C2713"/>
      <c r="D2713"/>
      <c r="E2713"/>
    </row>
    <row r="2714" spans="2:5" x14ac:dyDescent="0.35">
      <c r="B2714"/>
      <c r="C2714"/>
      <c r="D2714"/>
      <c r="E2714"/>
    </row>
    <row r="2715" spans="2:5" x14ac:dyDescent="0.35">
      <c r="B2715"/>
      <c r="C2715"/>
      <c r="D2715"/>
      <c r="E2715"/>
    </row>
    <row r="2716" spans="2:5" x14ac:dyDescent="0.35">
      <c r="B2716"/>
      <c r="C2716"/>
      <c r="D2716"/>
      <c r="E2716"/>
    </row>
    <row r="2717" spans="2:5" x14ac:dyDescent="0.35">
      <c r="B2717"/>
      <c r="C2717"/>
      <c r="D2717"/>
      <c r="E2717"/>
    </row>
    <row r="2718" spans="2:5" x14ac:dyDescent="0.35">
      <c r="B2718"/>
      <c r="C2718"/>
      <c r="D2718"/>
      <c r="E2718"/>
    </row>
    <row r="2719" spans="2:5" x14ac:dyDescent="0.35">
      <c r="B2719"/>
      <c r="C2719"/>
      <c r="D2719"/>
      <c r="E2719"/>
    </row>
    <row r="2720" spans="2:5" x14ac:dyDescent="0.35">
      <c r="B2720"/>
      <c r="C2720"/>
      <c r="D2720"/>
      <c r="E2720"/>
    </row>
    <row r="2721" spans="2:5" x14ac:dyDescent="0.35">
      <c r="B2721"/>
      <c r="C2721"/>
      <c r="D2721"/>
      <c r="E2721"/>
    </row>
    <row r="2722" spans="2:5" x14ac:dyDescent="0.35">
      <c r="B2722"/>
      <c r="C2722"/>
      <c r="D2722"/>
      <c r="E2722"/>
    </row>
    <row r="2723" spans="2:5" x14ac:dyDescent="0.35">
      <c r="B2723"/>
      <c r="C2723"/>
      <c r="D2723"/>
      <c r="E2723"/>
    </row>
    <row r="2724" spans="2:5" x14ac:dyDescent="0.35">
      <c r="B2724"/>
      <c r="C2724"/>
      <c r="D2724"/>
      <c r="E2724"/>
    </row>
    <row r="2725" spans="2:5" x14ac:dyDescent="0.35">
      <c r="B2725"/>
      <c r="C2725"/>
      <c r="D2725"/>
      <c r="E2725"/>
    </row>
    <row r="2726" spans="2:5" x14ac:dyDescent="0.35">
      <c r="B2726"/>
      <c r="C2726"/>
      <c r="D2726"/>
      <c r="E2726"/>
    </row>
    <row r="2727" spans="2:5" x14ac:dyDescent="0.35">
      <c r="B2727"/>
      <c r="C2727"/>
      <c r="D2727"/>
      <c r="E2727"/>
    </row>
    <row r="2728" spans="2:5" x14ac:dyDescent="0.35">
      <c r="B2728"/>
      <c r="C2728"/>
      <c r="D2728"/>
      <c r="E2728"/>
    </row>
    <row r="2729" spans="2:5" x14ac:dyDescent="0.35">
      <c r="B2729"/>
      <c r="C2729"/>
      <c r="D2729"/>
      <c r="E2729"/>
    </row>
    <row r="2730" spans="2:5" x14ac:dyDescent="0.35">
      <c r="B2730"/>
      <c r="C2730"/>
      <c r="D2730"/>
      <c r="E2730"/>
    </row>
    <row r="2731" spans="2:5" x14ac:dyDescent="0.35">
      <c r="B2731"/>
      <c r="C2731"/>
      <c r="D2731"/>
      <c r="E2731"/>
    </row>
    <row r="2732" spans="2:5" x14ac:dyDescent="0.35">
      <c r="B2732"/>
      <c r="C2732"/>
      <c r="D2732"/>
      <c r="E2732"/>
    </row>
    <row r="2733" spans="2:5" x14ac:dyDescent="0.35">
      <c r="B2733"/>
      <c r="C2733"/>
      <c r="D2733"/>
      <c r="E2733"/>
    </row>
    <row r="2734" spans="2:5" x14ac:dyDescent="0.35">
      <c r="B2734"/>
      <c r="C2734"/>
      <c r="D2734"/>
      <c r="E2734"/>
    </row>
    <row r="2735" spans="2:5" x14ac:dyDescent="0.35">
      <c r="B2735"/>
      <c r="C2735"/>
      <c r="D2735"/>
      <c r="E2735"/>
    </row>
    <row r="2736" spans="2:5" x14ac:dyDescent="0.35">
      <c r="B2736"/>
      <c r="C2736"/>
      <c r="D2736"/>
      <c r="E2736"/>
    </row>
    <row r="2737" spans="2:5" x14ac:dyDescent="0.35">
      <c r="B2737"/>
      <c r="C2737"/>
      <c r="D2737"/>
      <c r="E2737"/>
    </row>
    <row r="2738" spans="2:5" x14ac:dyDescent="0.35">
      <c r="B2738"/>
      <c r="C2738"/>
      <c r="D2738"/>
      <c r="E2738"/>
    </row>
    <row r="2739" spans="2:5" x14ac:dyDescent="0.35">
      <c r="B2739"/>
      <c r="C2739"/>
      <c r="D2739"/>
      <c r="E2739"/>
    </row>
    <row r="2740" spans="2:5" x14ac:dyDescent="0.35">
      <c r="B2740"/>
      <c r="C2740"/>
      <c r="D2740"/>
      <c r="E2740"/>
    </row>
    <row r="2741" spans="2:5" x14ac:dyDescent="0.35">
      <c r="B2741"/>
      <c r="C2741"/>
      <c r="D2741"/>
      <c r="E2741"/>
    </row>
    <row r="2742" spans="2:5" x14ac:dyDescent="0.35">
      <c r="B2742"/>
      <c r="C2742"/>
      <c r="D2742"/>
      <c r="E2742"/>
    </row>
    <row r="2743" spans="2:5" x14ac:dyDescent="0.35">
      <c r="B2743"/>
      <c r="C2743"/>
      <c r="D2743"/>
      <c r="E2743"/>
    </row>
    <row r="2744" spans="2:5" x14ac:dyDescent="0.35">
      <c r="B2744"/>
      <c r="C2744"/>
      <c r="D2744"/>
      <c r="E2744"/>
    </row>
    <row r="2745" spans="2:5" x14ac:dyDescent="0.35">
      <c r="B2745"/>
      <c r="C2745"/>
      <c r="D2745"/>
      <c r="E2745"/>
    </row>
    <row r="2746" spans="2:5" x14ac:dyDescent="0.35">
      <c r="B2746"/>
      <c r="C2746"/>
      <c r="D2746"/>
      <c r="E2746"/>
    </row>
    <row r="2747" spans="2:5" x14ac:dyDescent="0.35">
      <c r="B2747"/>
      <c r="C2747"/>
      <c r="D2747"/>
      <c r="E2747"/>
    </row>
    <row r="2748" spans="2:5" x14ac:dyDescent="0.35">
      <c r="B2748"/>
      <c r="C2748"/>
      <c r="D2748"/>
      <c r="E2748"/>
    </row>
    <row r="2749" spans="2:5" x14ac:dyDescent="0.35">
      <c r="B2749"/>
      <c r="C2749"/>
      <c r="D2749"/>
      <c r="E2749"/>
    </row>
    <row r="2750" spans="2:5" x14ac:dyDescent="0.35">
      <c r="B2750"/>
      <c r="C2750"/>
      <c r="D2750"/>
      <c r="E2750"/>
    </row>
    <row r="2751" spans="2:5" x14ac:dyDescent="0.35">
      <c r="B2751"/>
      <c r="C2751"/>
      <c r="D2751"/>
      <c r="E2751"/>
    </row>
    <row r="2752" spans="2:5" x14ac:dyDescent="0.35">
      <c r="B2752"/>
      <c r="C2752"/>
      <c r="D2752"/>
      <c r="E2752"/>
    </row>
    <row r="2753" spans="2:5" x14ac:dyDescent="0.35">
      <c r="B2753"/>
      <c r="C2753"/>
      <c r="D2753"/>
      <c r="E2753"/>
    </row>
    <row r="2754" spans="2:5" x14ac:dyDescent="0.35">
      <c r="B2754"/>
      <c r="C2754"/>
      <c r="D2754"/>
      <c r="E2754"/>
    </row>
    <row r="2755" spans="2:5" x14ac:dyDescent="0.35">
      <c r="B2755"/>
      <c r="C2755"/>
      <c r="D2755"/>
      <c r="E2755"/>
    </row>
    <row r="2756" spans="2:5" x14ac:dyDescent="0.35">
      <c r="B2756"/>
      <c r="C2756"/>
      <c r="D2756"/>
      <c r="E2756"/>
    </row>
    <row r="2757" spans="2:5" x14ac:dyDescent="0.35">
      <c r="B2757"/>
      <c r="C2757"/>
      <c r="D2757"/>
      <c r="E2757"/>
    </row>
    <row r="2758" spans="2:5" x14ac:dyDescent="0.35">
      <c r="B2758"/>
      <c r="C2758"/>
      <c r="D2758"/>
      <c r="E2758"/>
    </row>
    <row r="2759" spans="2:5" x14ac:dyDescent="0.35">
      <c r="B2759"/>
      <c r="C2759"/>
      <c r="D2759"/>
      <c r="E2759"/>
    </row>
    <row r="2760" spans="2:5" x14ac:dyDescent="0.35">
      <c r="B2760"/>
      <c r="C2760"/>
      <c r="D2760"/>
      <c r="E2760"/>
    </row>
    <row r="2761" spans="2:5" x14ac:dyDescent="0.35">
      <c r="B2761"/>
      <c r="C2761"/>
      <c r="D2761"/>
      <c r="E2761"/>
    </row>
    <row r="2762" spans="2:5" x14ac:dyDescent="0.35">
      <c r="B2762"/>
      <c r="C2762"/>
      <c r="D2762"/>
      <c r="E2762"/>
    </row>
    <row r="2763" spans="2:5" x14ac:dyDescent="0.35">
      <c r="B2763"/>
      <c r="C2763"/>
      <c r="D2763"/>
      <c r="E2763"/>
    </row>
    <row r="2764" spans="2:5" x14ac:dyDescent="0.35">
      <c r="B2764"/>
      <c r="C2764"/>
      <c r="D2764"/>
      <c r="E2764"/>
    </row>
    <row r="2765" spans="2:5" x14ac:dyDescent="0.35">
      <c r="B2765"/>
      <c r="C2765"/>
      <c r="D2765"/>
      <c r="E2765"/>
    </row>
    <row r="2766" spans="2:5" x14ac:dyDescent="0.35">
      <c r="B2766"/>
      <c r="C2766"/>
      <c r="D2766"/>
      <c r="E2766"/>
    </row>
    <row r="2767" spans="2:5" x14ac:dyDescent="0.35">
      <c r="B2767"/>
      <c r="C2767"/>
      <c r="D2767"/>
      <c r="E2767"/>
    </row>
    <row r="2768" spans="2:5" x14ac:dyDescent="0.35">
      <c r="B2768"/>
      <c r="C2768"/>
      <c r="D2768"/>
      <c r="E2768"/>
    </row>
    <row r="2769" spans="2:5" x14ac:dyDescent="0.35">
      <c r="B2769"/>
      <c r="C2769"/>
      <c r="D2769"/>
      <c r="E2769"/>
    </row>
    <row r="2770" spans="2:5" x14ac:dyDescent="0.35">
      <c r="B2770"/>
      <c r="C2770"/>
      <c r="D2770"/>
      <c r="E2770"/>
    </row>
    <row r="2771" spans="2:5" x14ac:dyDescent="0.35">
      <c r="B2771"/>
      <c r="C2771"/>
      <c r="D2771"/>
      <c r="E2771"/>
    </row>
    <row r="2772" spans="2:5" x14ac:dyDescent="0.35">
      <c r="B2772"/>
      <c r="C2772"/>
      <c r="D2772"/>
      <c r="E2772"/>
    </row>
    <row r="2773" spans="2:5" x14ac:dyDescent="0.35">
      <c r="B2773"/>
      <c r="C2773"/>
      <c r="D2773"/>
      <c r="E2773"/>
    </row>
    <row r="2774" spans="2:5" x14ac:dyDescent="0.35">
      <c r="B2774"/>
      <c r="C2774"/>
      <c r="D2774"/>
      <c r="E2774"/>
    </row>
    <row r="2775" spans="2:5" x14ac:dyDescent="0.35">
      <c r="B2775"/>
      <c r="C2775"/>
      <c r="D2775"/>
      <c r="E2775"/>
    </row>
    <row r="2776" spans="2:5" x14ac:dyDescent="0.35">
      <c r="B2776"/>
      <c r="C2776"/>
      <c r="D2776"/>
      <c r="E2776"/>
    </row>
    <row r="2777" spans="2:5" x14ac:dyDescent="0.35">
      <c r="B2777"/>
      <c r="C2777"/>
      <c r="D2777"/>
      <c r="E2777"/>
    </row>
    <row r="2778" spans="2:5" x14ac:dyDescent="0.35">
      <c r="B2778"/>
      <c r="C2778"/>
      <c r="D2778"/>
      <c r="E2778"/>
    </row>
    <row r="2779" spans="2:5" x14ac:dyDescent="0.35">
      <c r="B2779"/>
      <c r="C2779"/>
      <c r="D2779"/>
      <c r="E2779"/>
    </row>
    <row r="2780" spans="2:5" x14ac:dyDescent="0.35">
      <c r="B2780"/>
      <c r="C2780"/>
      <c r="D2780"/>
      <c r="E2780"/>
    </row>
    <row r="2781" spans="2:5" x14ac:dyDescent="0.35">
      <c r="B2781"/>
      <c r="C2781"/>
      <c r="D2781"/>
      <c r="E2781"/>
    </row>
    <row r="2782" spans="2:5" x14ac:dyDescent="0.35">
      <c r="B2782"/>
      <c r="C2782"/>
      <c r="D2782"/>
      <c r="E2782"/>
    </row>
    <row r="2783" spans="2:5" x14ac:dyDescent="0.35">
      <c r="B2783"/>
      <c r="C2783"/>
      <c r="D2783"/>
      <c r="E2783"/>
    </row>
    <row r="2784" spans="2:5" x14ac:dyDescent="0.35">
      <c r="B2784"/>
      <c r="C2784"/>
      <c r="D2784"/>
      <c r="E2784"/>
    </row>
    <row r="2785" spans="2:5" x14ac:dyDescent="0.35">
      <c r="B2785"/>
      <c r="C2785"/>
      <c r="D2785"/>
      <c r="E2785"/>
    </row>
    <row r="2786" spans="2:5" x14ac:dyDescent="0.35">
      <c r="B2786"/>
      <c r="C2786"/>
      <c r="D2786"/>
      <c r="E2786"/>
    </row>
    <row r="2787" spans="2:5" x14ac:dyDescent="0.35">
      <c r="B2787"/>
      <c r="C2787"/>
      <c r="D2787"/>
      <c r="E2787"/>
    </row>
    <row r="2788" spans="2:5" x14ac:dyDescent="0.35">
      <c r="B2788"/>
      <c r="C2788"/>
      <c r="D2788"/>
      <c r="E2788"/>
    </row>
    <row r="2789" spans="2:5" x14ac:dyDescent="0.35">
      <c r="B2789"/>
      <c r="C2789"/>
      <c r="D2789"/>
      <c r="E2789"/>
    </row>
    <row r="2790" spans="2:5" x14ac:dyDescent="0.35">
      <c r="B2790"/>
      <c r="C2790"/>
      <c r="D2790"/>
      <c r="E2790"/>
    </row>
    <row r="2791" spans="2:5" x14ac:dyDescent="0.35">
      <c r="B2791"/>
      <c r="C2791"/>
      <c r="D2791"/>
      <c r="E2791"/>
    </row>
    <row r="2792" spans="2:5" x14ac:dyDescent="0.35">
      <c r="B2792"/>
      <c r="C2792"/>
      <c r="D2792"/>
      <c r="E2792"/>
    </row>
    <row r="2793" spans="2:5" x14ac:dyDescent="0.35">
      <c r="B2793"/>
      <c r="C2793"/>
      <c r="D2793"/>
      <c r="E2793"/>
    </row>
    <row r="2794" spans="2:5" x14ac:dyDescent="0.35">
      <c r="B2794"/>
      <c r="C2794"/>
      <c r="D2794"/>
      <c r="E2794"/>
    </row>
    <row r="2795" spans="2:5" x14ac:dyDescent="0.35">
      <c r="B2795"/>
      <c r="C2795"/>
      <c r="D2795"/>
      <c r="E2795"/>
    </row>
    <row r="2796" spans="2:5" x14ac:dyDescent="0.35">
      <c r="B2796"/>
      <c r="C2796"/>
      <c r="D2796"/>
      <c r="E2796"/>
    </row>
    <row r="2797" spans="2:5" x14ac:dyDescent="0.35">
      <c r="B2797"/>
      <c r="C2797"/>
      <c r="D2797"/>
      <c r="E2797"/>
    </row>
    <row r="2798" spans="2:5" x14ac:dyDescent="0.35">
      <c r="B2798"/>
      <c r="C2798"/>
      <c r="D2798"/>
      <c r="E2798"/>
    </row>
    <row r="2799" spans="2:5" x14ac:dyDescent="0.35">
      <c r="B2799"/>
      <c r="C2799"/>
      <c r="D2799"/>
      <c r="E2799"/>
    </row>
    <row r="2800" spans="2:5" x14ac:dyDescent="0.35">
      <c r="B2800"/>
      <c r="C2800"/>
      <c r="D2800"/>
      <c r="E2800"/>
    </row>
    <row r="2801" spans="2:5" x14ac:dyDescent="0.35">
      <c r="B2801"/>
      <c r="C2801"/>
      <c r="D2801"/>
      <c r="E2801"/>
    </row>
    <row r="2802" spans="2:5" x14ac:dyDescent="0.35">
      <c r="B2802"/>
      <c r="C2802"/>
      <c r="D2802"/>
      <c r="E2802"/>
    </row>
    <row r="2803" spans="2:5" x14ac:dyDescent="0.35">
      <c r="B2803"/>
      <c r="C2803"/>
      <c r="D2803"/>
      <c r="E2803"/>
    </row>
    <row r="2804" spans="2:5" x14ac:dyDescent="0.35">
      <c r="B2804"/>
      <c r="C2804"/>
      <c r="D2804"/>
      <c r="E2804"/>
    </row>
    <row r="2805" spans="2:5" x14ac:dyDescent="0.35">
      <c r="B2805"/>
      <c r="C2805"/>
      <c r="D2805"/>
      <c r="E2805"/>
    </row>
    <row r="2806" spans="2:5" x14ac:dyDescent="0.35">
      <c r="B2806"/>
      <c r="C2806"/>
      <c r="D2806"/>
      <c r="E2806"/>
    </row>
    <row r="2807" spans="2:5" x14ac:dyDescent="0.35">
      <c r="B2807"/>
      <c r="C2807"/>
      <c r="D2807"/>
      <c r="E2807"/>
    </row>
    <row r="2808" spans="2:5" x14ac:dyDescent="0.35">
      <c r="B2808"/>
      <c r="C2808"/>
      <c r="D2808"/>
      <c r="E2808"/>
    </row>
    <row r="2809" spans="2:5" x14ac:dyDescent="0.35">
      <c r="B2809"/>
      <c r="C2809"/>
      <c r="D2809"/>
      <c r="E2809"/>
    </row>
    <row r="2810" spans="2:5" x14ac:dyDescent="0.35">
      <c r="B2810"/>
      <c r="C2810"/>
      <c r="D2810"/>
      <c r="E2810"/>
    </row>
    <row r="2811" spans="2:5" x14ac:dyDescent="0.35">
      <c r="B2811"/>
      <c r="C2811"/>
      <c r="D2811"/>
      <c r="E2811"/>
    </row>
    <row r="2812" spans="2:5" x14ac:dyDescent="0.35">
      <c r="B2812"/>
      <c r="C2812"/>
      <c r="D2812"/>
      <c r="E2812"/>
    </row>
    <row r="2813" spans="2:5" x14ac:dyDescent="0.35">
      <c r="B2813"/>
      <c r="C2813"/>
      <c r="D2813"/>
      <c r="E2813"/>
    </row>
    <row r="2814" spans="2:5" x14ac:dyDescent="0.35">
      <c r="B2814"/>
      <c r="C2814"/>
      <c r="D2814"/>
      <c r="E2814"/>
    </row>
    <row r="2815" spans="2:5" x14ac:dyDescent="0.35">
      <c r="B2815"/>
      <c r="C2815"/>
      <c r="D2815"/>
      <c r="E2815"/>
    </row>
    <row r="2816" spans="2:5" x14ac:dyDescent="0.35">
      <c r="B2816"/>
      <c r="C2816"/>
      <c r="D2816"/>
      <c r="E2816"/>
    </row>
    <row r="2817" spans="2:5" x14ac:dyDescent="0.35">
      <c r="B2817"/>
      <c r="C2817"/>
      <c r="D2817"/>
      <c r="E2817"/>
    </row>
    <row r="2818" spans="2:5" x14ac:dyDescent="0.35">
      <c r="B2818"/>
      <c r="C2818"/>
      <c r="D2818"/>
      <c r="E2818"/>
    </row>
    <row r="2819" spans="2:5" x14ac:dyDescent="0.35">
      <c r="B2819"/>
      <c r="C2819"/>
      <c r="D2819"/>
      <c r="E2819"/>
    </row>
    <row r="2820" spans="2:5" x14ac:dyDescent="0.35">
      <c r="B2820"/>
      <c r="C2820"/>
      <c r="D2820"/>
      <c r="E2820"/>
    </row>
    <row r="2821" spans="2:5" x14ac:dyDescent="0.35">
      <c r="B2821"/>
      <c r="C2821"/>
      <c r="D2821"/>
      <c r="E2821"/>
    </row>
    <row r="2822" spans="2:5" x14ac:dyDescent="0.35">
      <c r="B2822"/>
      <c r="C2822"/>
      <c r="D2822"/>
      <c r="E2822"/>
    </row>
    <row r="2823" spans="2:5" x14ac:dyDescent="0.35">
      <c r="B2823"/>
      <c r="C2823"/>
      <c r="D2823"/>
      <c r="E2823"/>
    </row>
    <row r="2824" spans="2:5" x14ac:dyDescent="0.35">
      <c r="B2824"/>
      <c r="C2824"/>
      <c r="D2824"/>
      <c r="E2824"/>
    </row>
    <row r="2825" spans="2:5" x14ac:dyDescent="0.35">
      <c r="B2825"/>
      <c r="C2825"/>
      <c r="D2825"/>
      <c r="E2825"/>
    </row>
    <row r="2826" spans="2:5" x14ac:dyDescent="0.35">
      <c r="B2826"/>
      <c r="C2826"/>
      <c r="D2826"/>
      <c r="E2826"/>
    </row>
    <row r="2827" spans="2:5" x14ac:dyDescent="0.35">
      <c r="B2827"/>
      <c r="C2827"/>
      <c r="D2827"/>
      <c r="E2827"/>
    </row>
    <row r="2828" spans="2:5" x14ac:dyDescent="0.35">
      <c r="B2828"/>
      <c r="C2828"/>
      <c r="D2828"/>
      <c r="E2828"/>
    </row>
    <row r="2829" spans="2:5" x14ac:dyDescent="0.35">
      <c r="B2829"/>
      <c r="C2829"/>
      <c r="D2829"/>
      <c r="E2829"/>
    </row>
    <row r="2830" spans="2:5" x14ac:dyDescent="0.35">
      <c r="B2830"/>
      <c r="C2830"/>
      <c r="D2830"/>
      <c r="E2830"/>
    </row>
    <row r="2831" spans="2:5" x14ac:dyDescent="0.35">
      <c r="B2831"/>
      <c r="C2831"/>
      <c r="D2831"/>
      <c r="E2831"/>
    </row>
    <row r="2832" spans="2:5" x14ac:dyDescent="0.35">
      <c r="B2832"/>
      <c r="C2832"/>
      <c r="D2832"/>
      <c r="E2832"/>
    </row>
    <row r="2833" spans="2:5" x14ac:dyDescent="0.35">
      <c r="B2833"/>
      <c r="C2833"/>
      <c r="D2833"/>
      <c r="E2833"/>
    </row>
    <row r="2834" spans="2:5" x14ac:dyDescent="0.35">
      <c r="B2834"/>
      <c r="C2834"/>
      <c r="D2834"/>
      <c r="E2834"/>
    </row>
    <row r="2835" spans="2:5" x14ac:dyDescent="0.35">
      <c r="B2835"/>
      <c r="C2835"/>
      <c r="D2835"/>
      <c r="E2835"/>
    </row>
    <row r="2836" spans="2:5" x14ac:dyDescent="0.35">
      <c r="B2836"/>
      <c r="C2836"/>
      <c r="D2836"/>
      <c r="E2836"/>
    </row>
    <row r="2837" spans="2:5" x14ac:dyDescent="0.35">
      <c r="B2837"/>
      <c r="C2837"/>
      <c r="D2837"/>
      <c r="E2837"/>
    </row>
    <row r="2838" spans="2:5" x14ac:dyDescent="0.35">
      <c r="B2838"/>
      <c r="C2838"/>
      <c r="D2838"/>
      <c r="E2838"/>
    </row>
    <row r="2839" spans="2:5" x14ac:dyDescent="0.35">
      <c r="B2839"/>
      <c r="C2839"/>
      <c r="D2839"/>
      <c r="E2839"/>
    </row>
    <row r="2840" spans="2:5" x14ac:dyDescent="0.35">
      <c r="B2840"/>
      <c r="C2840"/>
      <c r="D2840"/>
      <c r="E2840"/>
    </row>
    <row r="2841" spans="2:5" x14ac:dyDescent="0.35">
      <c r="B2841"/>
      <c r="C2841"/>
      <c r="D2841"/>
      <c r="E2841"/>
    </row>
    <row r="2842" spans="2:5" x14ac:dyDescent="0.35">
      <c r="B2842"/>
      <c r="C2842"/>
      <c r="D2842"/>
      <c r="E2842"/>
    </row>
    <row r="2843" spans="2:5" x14ac:dyDescent="0.35">
      <c r="B2843"/>
      <c r="C2843"/>
      <c r="D2843"/>
      <c r="E2843"/>
    </row>
    <row r="2844" spans="2:5" x14ac:dyDescent="0.35">
      <c r="B2844"/>
      <c r="C2844"/>
      <c r="D2844"/>
      <c r="E2844"/>
    </row>
    <row r="2845" spans="2:5" x14ac:dyDescent="0.35">
      <c r="B2845"/>
      <c r="C2845"/>
      <c r="D2845"/>
      <c r="E2845"/>
    </row>
    <row r="2846" spans="2:5" x14ac:dyDescent="0.35">
      <c r="B2846"/>
      <c r="C2846"/>
      <c r="D2846"/>
      <c r="E2846"/>
    </row>
    <row r="2847" spans="2:5" x14ac:dyDescent="0.35">
      <c r="B2847"/>
      <c r="C2847"/>
      <c r="D2847"/>
      <c r="E2847"/>
    </row>
    <row r="2848" spans="2:5" x14ac:dyDescent="0.35">
      <c r="B2848"/>
      <c r="C2848"/>
      <c r="D2848"/>
      <c r="E2848"/>
    </row>
    <row r="2849" spans="2:5" x14ac:dyDescent="0.35">
      <c r="B2849"/>
      <c r="C2849"/>
      <c r="D2849"/>
      <c r="E2849"/>
    </row>
    <row r="2850" spans="2:5" x14ac:dyDescent="0.35">
      <c r="B2850"/>
      <c r="C2850"/>
      <c r="D2850"/>
      <c r="E2850"/>
    </row>
    <row r="2851" spans="2:5" x14ac:dyDescent="0.35">
      <c r="B2851"/>
      <c r="C2851"/>
      <c r="D2851"/>
      <c r="E2851"/>
    </row>
    <row r="2852" spans="2:5" x14ac:dyDescent="0.35">
      <c r="B2852"/>
      <c r="C2852"/>
      <c r="D2852"/>
      <c r="E2852"/>
    </row>
    <row r="2853" spans="2:5" x14ac:dyDescent="0.35">
      <c r="B2853"/>
      <c r="C2853"/>
      <c r="D2853"/>
      <c r="E2853"/>
    </row>
    <row r="2854" spans="2:5" x14ac:dyDescent="0.35">
      <c r="B2854"/>
      <c r="C2854"/>
      <c r="D2854"/>
      <c r="E2854"/>
    </row>
    <row r="2855" spans="2:5" x14ac:dyDescent="0.35">
      <c r="B2855"/>
      <c r="C2855"/>
      <c r="D2855"/>
      <c r="E2855"/>
    </row>
    <row r="2856" spans="2:5" x14ac:dyDescent="0.35">
      <c r="B2856"/>
      <c r="C2856"/>
      <c r="D2856"/>
      <c r="E2856"/>
    </row>
    <row r="2857" spans="2:5" x14ac:dyDescent="0.35">
      <c r="B2857"/>
      <c r="C2857"/>
      <c r="D2857"/>
      <c r="E2857"/>
    </row>
    <row r="2858" spans="2:5" x14ac:dyDescent="0.35">
      <c r="B2858"/>
      <c r="C2858"/>
      <c r="D2858"/>
      <c r="E2858"/>
    </row>
    <row r="2859" spans="2:5" x14ac:dyDescent="0.35">
      <c r="B2859"/>
      <c r="C2859"/>
      <c r="D2859"/>
      <c r="E2859"/>
    </row>
    <row r="2860" spans="2:5" x14ac:dyDescent="0.35">
      <c r="B2860"/>
      <c r="C2860"/>
      <c r="D2860"/>
      <c r="E2860"/>
    </row>
    <row r="2861" spans="2:5" x14ac:dyDescent="0.35">
      <c r="B2861"/>
      <c r="C2861"/>
      <c r="D2861"/>
      <c r="E2861"/>
    </row>
    <row r="2862" spans="2:5" x14ac:dyDescent="0.35">
      <c r="B2862"/>
      <c r="C2862"/>
      <c r="D2862"/>
      <c r="E2862"/>
    </row>
    <row r="2863" spans="2:5" x14ac:dyDescent="0.35">
      <c r="B2863"/>
      <c r="C2863"/>
      <c r="D2863"/>
      <c r="E2863"/>
    </row>
    <row r="2864" spans="2:5" x14ac:dyDescent="0.35">
      <c r="B2864"/>
      <c r="C2864"/>
      <c r="D2864"/>
      <c r="E2864"/>
    </row>
    <row r="2865" spans="2:5" x14ac:dyDescent="0.35">
      <c r="B2865"/>
      <c r="C2865"/>
      <c r="D2865"/>
      <c r="E2865"/>
    </row>
    <row r="2866" spans="2:5" x14ac:dyDescent="0.35">
      <c r="B2866"/>
      <c r="C2866"/>
      <c r="D2866"/>
      <c r="E2866"/>
    </row>
    <row r="2867" spans="2:5" x14ac:dyDescent="0.35">
      <c r="B2867"/>
      <c r="C2867"/>
      <c r="D2867"/>
      <c r="E2867"/>
    </row>
    <row r="2868" spans="2:5" x14ac:dyDescent="0.35">
      <c r="B2868"/>
      <c r="C2868"/>
      <c r="D2868"/>
      <c r="E2868"/>
    </row>
    <row r="2869" spans="2:5" x14ac:dyDescent="0.35">
      <c r="B2869"/>
      <c r="C2869"/>
      <c r="D2869"/>
      <c r="E2869"/>
    </row>
    <row r="2870" spans="2:5" x14ac:dyDescent="0.35">
      <c r="B2870"/>
      <c r="C2870"/>
      <c r="D2870"/>
      <c r="E2870"/>
    </row>
    <row r="2871" spans="2:5" x14ac:dyDescent="0.35">
      <c r="B2871"/>
      <c r="C2871"/>
      <c r="D2871"/>
      <c r="E2871"/>
    </row>
    <row r="2872" spans="2:5" x14ac:dyDescent="0.35">
      <c r="B2872"/>
      <c r="C2872"/>
      <c r="D2872"/>
      <c r="E2872"/>
    </row>
    <row r="2873" spans="2:5" x14ac:dyDescent="0.35">
      <c r="B2873"/>
      <c r="C2873"/>
      <c r="D2873"/>
      <c r="E2873"/>
    </row>
    <row r="2874" spans="2:5" x14ac:dyDescent="0.35">
      <c r="B2874"/>
      <c r="C2874"/>
      <c r="D2874"/>
      <c r="E2874"/>
    </row>
    <row r="2875" spans="2:5" x14ac:dyDescent="0.35">
      <c r="B2875"/>
      <c r="C2875"/>
      <c r="D2875"/>
      <c r="E2875"/>
    </row>
    <row r="2876" spans="2:5" x14ac:dyDescent="0.35">
      <c r="B2876"/>
      <c r="C2876"/>
      <c r="D2876"/>
      <c r="E2876"/>
    </row>
    <row r="2877" spans="2:5" x14ac:dyDescent="0.35">
      <c r="B2877"/>
      <c r="C2877"/>
      <c r="D2877"/>
      <c r="E2877"/>
    </row>
    <row r="2878" spans="2:5" x14ac:dyDescent="0.35">
      <c r="B2878"/>
      <c r="C2878"/>
      <c r="D2878"/>
      <c r="E2878"/>
    </row>
    <row r="2879" spans="2:5" x14ac:dyDescent="0.35">
      <c r="B2879"/>
      <c r="C2879"/>
      <c r="D2879"/>
      <c r="E2879"/>
    </row>
    <row r="2880" spans="2:5" x14ac:dyDescent="0.35">
      <c r="B2880"/>
      <c r="C2880"/>
      <c r="D2880"/>
      <c r="E2880"/>
    </row>
    <row r="2881" spans="2:5" x14ac:dyDescent="0.35">
      <c r="B2881"/>
      <c r="C2881"/>
      <c r="D2881"/>
      <c r="E2881"/>
    </row>
    <row r="2882" spans="2:5" x14ac:dyDescent="0.35">
      <c r="B2882"/>
      <c r="C2882"/>
      <c r="D2882"/>
      <c r="E2882"/>
    </row>
    <row r="2883" spans="2:5" x14ac:dyDescent="0.35">
      <c r="B2883"/>
      <c r="C2883"/>
      <c r="D2883"/>
      <c r="E2883"/>
    </row>
    <row r="2884" spans="2:5" x14ac:dyDescent="0.35">
      <c r="B2884"/>
      <c r="C2884"/>
      <c r="D2884"/>
      <c r="E2884"/>
    </row>
    <row r="2885" spans="2:5" x14ac:dyDescent="0.35">
      <c r="B2885"/>
      <c r="C2885"/>
      <c r="D2885"/>
      <c r="E2885"/>
    </row>
    <row r="2886" spans="2:5" x14ac:dyDescent="0.35">
      <c r="B2886"/>
      <c r="C2886"/>
      <c r="D2886"/>
      <c r="E2886"/>
    </row>
    <row r="2887" spans="2:5" x14ac:dyDescent="0.35">
      <c r="B2887"/>
      <c r="C2887"/>
      <c r="D2887"/>
      <c r="E2887"/>
    </row>
    <row r="2888" spans="2:5" x14ac:dyDescent="0.35">
      <c r="B2888"/>
      <c r="C2888"/>
      <c r="D2888"/>
      <c r="E2888"/>
    </row>
    <row r="2889" spans="2:5" x14ac:dyDescent="0.35">
      <c r="B2889"/>
      <c r="C2889"/>
      <c r="D2889"/>
      <c r="E2889"/>
    </row>
    <row r="2890" spans="2:5" x14ac:dyDescent="0.35">
      <c r="B2890"/>
      <c r="C2890"/>
      <c r="D2890"/>
      <c r="E2890"/>
    </row>
    <row r="2891" spans="2:5" x14ac:dyDescent="0.35">
      <c r="B2891"/>
      <c r="C2891"/>
      <c r="D2891"/>
      <c r="E2891"/>
    </row>
    <row r="2892" spans="2:5" x14ac:dyDescent="0.35">
      <c r="B2892"/>
      <c r="C2892"/>
      <c r="D2892"/>
      <c r="E2892"/>
    </row>
    <row r="2893" spans="2:5" x14ac:dyDescent="0.35">
      <c r="B2893"/>
      <c r="C2893"/>
      <c r="D2893"/>
      <c r="E2893"/>
    </row>
    <row r="2894" spans="2:5" x14ac:dyDescent="0.35">
      <c r="B2894"/>
      <c r="C2894"/>
      <c r="D2894"/>
      <c r="E2894"/>
    </row>
    <row r="2895" spans="2:5" x14ac:dyDescent="0.35">
      <c r="B2895"/>
      <c r="C2895"/>
      <c r="D2895"/>
      <c r="E2895"/>
    </row>
    <row r="2896" spans="2:5" x14ac:dyDescent="0.35">
      <c r="B2896"/>
      <c r="C2896"/>
      <c r="D2896"/>
      <c r="E2896"/>
    </row>
    <row r="2897" spans="2:5" x14ac:dyDescent="0.35">
      <c r="B2897"/>
      <c r="C2897"/>
      <c r="D2897"/>
      <c r="E2897"/>
    </row>
    <row r="2898" spans="2:5" x14ac:dyDescent="0.35">
      <c r="B2898"/>
      <c r="C2898"/>
      <c r="D2898"/>
      <c r="E2898"/>
    </row>
    <row r="2899" spans="2:5" x14ac:dyDescent="0.35">
      <c r="B2899"/>
      <c r="C2899"/>
      <c r="D2899"/>
      <c r="E2899"/>
    </row>
    <row r="2900" spans="2:5" x14ac:dyDescent="0.35">
      <c r="B2900"/>
      <c r="C2900"/>
      <c r="D2900"/>
      <c r="E2900"/>
    </row>
    <row r="2901" spans="2:5" x14ac:dyDescent="0.35">
      <c r="B2901"/>
      <c r="C2901"/>
      <c r="D2901"/>
      <c r="E2901"/>
    </row>
    <row r="2902" spans="2:5" x14ac:dyDescent="0.35">
      <c r="B2902"/>
      <c r="C2902"/>
      <c r="D2902"/>
      <c r="E2902"/>
    </row>
    <row r="2903" spans="2:5" x14ac:dyDescent="0.35">
      <c r="B2903"/>
      <c r="C2903"/>
      <c r="D2903"/>
      <c r="E2903"/>
    </row>
    <row r="2904" spans="2:5" x14ac:dyDescent="0.35">
      <c r="B2904"/>
      <c r="C2904"/>
      <c r="D2904"/>
      <c r="E2904"/>
    </row>
    <row r="2905" spans="2:5" x14ac:dyDescent="0.35">
      <c r="B2905"/>
      <c r="C2905"/>
      <c r="D2905"/>
      <c r="E2905"/>
    </row>
    <row r="2906" spans="2:5" x14ac:dyDescent="0.35">
      <c r="B2906"/>
      <c r="C2906"/>
      <c r="D2906"/>
      <c r="E2906"/>
    </row>
    <row r="2907" spans="2:5" x14ac:dyDescent="0.35">
      <c r="B2907"/>
      <c r="C2907"/>
      <c r="D2907"/>
      <c r="E2907"/>
    </row>
    <row r="2908" spans="2:5" x14ac:dyDescent="0.35">
      <c r="B2908"/>
      <c r="C2908"/>
      <c r="D2908"/>
      <c r="E2908"/>
    </row>
    <row r="2909" spans="2:5" x14ac:dyDescent="0.35">
      <c r="B2909"/>
      <c r="C2909"/>
      <c r="D2909"/>
      <c r="E2909"/>
    </row>
    <row r="2910" spans="2:5" x14ac:dyDescent="0.35">
      <c r="B2910"/>
      <c r="C2910"/>
      <c r="D2910"/>
      <c r="E2910"/>
    </row>
    <row r="2911" spans="2:5" x14ac:dyDescent="0.35">
      <c r="B2911"/>
      <c r="C2911"/>
      <c r="D2911"/>
      <c r="E2911"/>
    </row>
    <row r="2912" spans="2:5" x14ac:dyDescent="0.35">
      <c r="B2912"/>
      <c r="C2912"/>
      <c r="D2912"/>
      <c r="E2912"/>
    </row>
    <row r="2913" spans="2:5" x14ac:dyDescent="0.35">
      <c r="B2913"/>
      <c r="C2913"/>
      <c r="D2913"/>
      <c r="E2913"/>
    </row>
    <row r="2914" spans="2:5" x14ac:dyDescent="0.35">
      <c r="B2914"/>
      <c r="C2914"/>
      <c r="D2914"/>
      <c r="E2914"/>
    </row>
    <row r="2915" spans="2:5" x14ac:dyDescent="0.35">
      <c r="B2915"/>
      <c r="C2915"/>
      <c r="D2915"/>
      <c r="E2915"/>
    </row>
    <row r="2916" spans="2:5" x14ac:dyDescent="0.35">
      <c r="B2916"/>
      <c r="C2916"/>
      <c r="D2916"/>
      <c r="E2916"/>
    </row>
    <row r="2917" spans="2:5" x14ac:dyDescent="0.35">
      <c r="B2917"/>
      <c r="C2917"/>
      <c r="D2917"/>
      <c r="E2917"/>
    </row>
    <row r="2918" spans="2:5" x14ac:dyDescent="0.35">
      <c r="B2918"/>
      <c r="C2918"/>
      <c r="D2918"/>
      <c r="E2918"/>
    </row>
    <row r="2919" spans="2:5" x14ac:dyDescent="0.35">
      <c r="B2919"/>
      <c r="C2919"/>
      <c r="D2919"/>
      <c r="E2919"/>
    </row>
    <row r="2920" spans="2:5" x14ac:dyDescent="0.35">
      <c r="B2920"/>
      <c r="C2920"/>
      <c r="D2920"/>
      <c r="E2920"/>
    </row>
    <row r="2921" spans="2:5" x14ac:dyDescent="0.35">
      <c r="B2921"/>
      <c r="C2921"/>
      <c r="D2921"/>
      <c r="E2921"/>
    </row>
    <row r="2922" spans="2:5" x14ac:dyDescent="0.35">
      <c r="B2922"/>
      <c r="C2922"/>
      <c r="D2922"/>
      <c r="E2922"/>
    </row>
    <row r="2923" spans="2:5" x14ac:dyDescent="0.35">
      <c r="B2923"/>
      <c r="C2923"/>
      <c r="D2923"/>
      <c r="E2923"/>
    </row>
    <row r="2924" spans="2:5" x14ac:dyDescent="0.35">
      <c r="B2924"/>
      <c r="C2924"/>
      <c r="D2924"/>
      <c r="E2924"/>
    </row>
    <row r="2925" spans="2:5" x14ac:dyDescent="0.35">
      <c r="B2925"/>
      <c r="C2925"/>
      <c r="D2925"/>
      <c r="E2925"/>
    </row>
    <row r="2926" spans="2:5" x14ac:dyDescent="0.35">
      <c r="B2926"/>
      <c r="C2926"/>
      <c r="D2926"/>
      <c r="E2926"/>
    </row>
    <row r="2927" spans="2:5" x14ac:dyDescent="0.35">
      <c r="B2927"/>
      <c r="C2927"/>
      <c r="D2927"/>
      <c r="E2927"/>
    </row>
    <row r="2928" spans="2:5" x14ac:dyDescent="0.35">
      <c r="B2928"/>
      <c r="C2928"/>
      <c r="D2928"/>
      <c r="E2928"/>
    </row>
    <row r="2929" spans="2:5" x14ac:dyDescent="0.35">
      <c r="B2929"/>
      <c r="C2929"/>
      <c r="D2929"/>
      <c r="E2929"/>
    </row>
    <row r="2930" spans="2:5" x14ac:dyDescent="0.35">
      <c r="B2930"/>
      <c r="C2930"/>
      <c r="D2930"/>
      <c r="E2930"/>
    </row>
    <row r="2931" spans="2:5" x14ac:dyDescent="0.35">
      <c r="B2931"/>
      <c r="C2931"/>
      <c r="D2931"/>
      <c r="E2931"/>
    </row>
    <row r="2932" spans="2:5" x14ac:dyDescent="0.35">
      <c r="B2932"/>
      <c r="C2932"/>
      <c r="D2932"/>
      <c r="E2932"/>
    </row>
    <row r="2933" spans="2:5" x14ac:dyDescent="0.35">
      <c r="B2933"/>
      <c r="C2933"/>
      <c r="D2933"/>
      <c r="E2933"/>
    </row>
    <row r="2934" spans="2:5" x14ac:dyDescent="0.35">
      <c r="B2934"/>
      <c r="C2934"/>
      <c r="D2934"/>
      <c r="E2934"/>
    </row>
    <row r="2935" spans="2:5" x14ac:dyDescent="0.35">
      <c r="B2935"/>
      <c r="C2935"/>
      <c r="D2935"/>
      <c r="E2935"/>
    </row>
    <row r="2936" spans="2:5" x14ac:dyDescent="0.35">
      <c r="B2936"/>
      <c r="C2936"/>
      <c r="D2936"/>
      <c r="E2936"/>
    </row>
    <row r="2937" spans="2:5" x14ac:dyDescent="0.35">
      <c r="B2937"/>
      <c r="C2937"/>
      <c r="D2937"/>
      <c r="E2937"/>
    </row>
    <row r="2938" spans="2:5" x14ac:dyDescent="0.35">
      <c r="B2938"/>
      <c r="C2938"/>
      <c r="D2938"/>
      <c r="E2938"/>
    </row>
    <row r="2939" spans="2:5" x14ac:dyDescent="0.35">
      <c r="B2939"/>
      <c r="C2939"/>
      <c r="D2939"/>
      <c r="E2939"/>
    </row>
    <row r="2940" spans="2:5" x14ac:dyDescent="0.35">
      <c r="B2940"/>
      <c r="C2940"/>
      <c r="D2940"/>
      <c r="E2940"/>
    </row>
    <row r="2941" spans="2:5" x14ac:dyDescent="0.35">
      <c r="B2941"/>
      <c r="C2941"/>
      <c r="D2941"/>
      <c r="E2941"/>
    </row>
    <row r="2942" spans="2:5" x14ac:dyDescent="0.35">
      <c r="B2942"/>
      <c r="C2942"/>
      <c r="D2942"/>
      <c r="E2942"/>
    </row>
    <row r="2943" spans="2:5" x14ac:dyDescent="0.35">
      <c r="B2943"/>
      <c r="C2943"/>
      <c r="D2943"/>
      <c r="E2943"/>
    </row>
    <row r="2944" spans="2:5" x14ac:dyDescent="0.35">
      <c r="B2944"/>
      <c r="C2944"/>
      <c r="D2944"/>
      <c r="E2944"/>
    </row>
    <row r="2945" spans="2:5" x14ac:dyDescent="0.35">
      <c r="B2945"/>
      <c r="C2945"/>
      <c r="D2945"/>
      <c r="E2945"/>
    </row>
    <row r="2946" spans="2:5" x14ac:dyDescent="0.35">
      <c r="B2946"/>
      <c r="C2946"/>
      <c r="D2946"/>
      <c r="E2946"/>
    </row>
    <row r="2947" spans="2:5" x14ac:dyDescent="0.35">
      <c r="B2947"/>
      <c r="C2947"/>
      <c r="D2947"/>
      <c r="E2947"/>
    </row>
    <row r="2948" spans="2:5" x14ac:dyDescent="0.35">
      <c r="B2948"/>
      <c r="C2948"/>
      <c r="D2948"/>
      <c r="E2948"/>
    </row>
    <row r="2949" spans="2:5" x14ac:dyDescent="0.35">
      <c r="B2949"/>
      <c r="C2949"/>
      <c r="D2949"/>
      <c r="E2949"/>
    </row>
    <row r="2950" spans="2:5" x14ac:dyDescent="0.35">
      <c r="B2950"/>
      <c r="C2950"/>
      <c r="D2950"/>
      <c r="E2950"/>
    </row>
    <row r="2951" spans="2:5" x14ac:dyDescent="0.35">
      <c r="B2951"/>
      <c r="C2951"/>
      <c r="D2951"/>
      <c r="E2951"/>
    </row>
    <row r="2952" spans="2:5" x14ac:dyDescent="0.35">
      <c r="B2952"/>
      <c r="C2952"/>
      <c r="D2952"/>
      <c r="E2952"/>
    </row>
    <row r="2953" spans="2:5" x14ac:dyDescent="0.35">
      <c r="B2953"/>
      <c r="C2953"/>
      <c r="D2953"/>
      <c r="E2953"/>
    </row>
    <row r="2954" spans="2:5" x14ac:dyDescent="0.35">
      <c r="B2954"/>
      <c r="C2954"/>
      <c r="D2954"/>
      <c r="E2954"/>
    </row>
    <row r="2955" spans="2:5" x14ac:dyDescent="0.35">
      <c r="B2955"/>
      <c r="C2955"/>
      <c r="D2955"/>
      <c r="E2955"/>
    </row>
    <row r="2956" spans="2:5" x14ac:dyDescent="0.35">
      <c r="B2956"/>
      <c r="C2956"/>
      <c r="D2956"/>
      <c r="E2956"/>
    </row>
    <row r="2957" spans="2:5" x14ac:dyDescent="0.35">
      <c r="B2957"/>
      <c r="C2957"/>
      <c r="D2957"/>
      <c r="E2957"/>
    </row>
    <row r="2958" spans="2:5" x14ac:dyDescent="0.35">
      <c r="B2958"/>
      <c r="C2958"/>
      <c r="D2958"/>
      <c r="E2958"/>
    </row>
    <row r="2959" spans="2:5" x14ac:dyDescent="0.35">
      <c r="B2959"/>
      <c r="C2959"/>
      <c r="D2959"/>
      <c r="E2959"/>
    </row>
    <row r="2960" spans="2:5" x14ac:dyDescent="0.35">
      <c r="B2960"/>
      <c r="C2960"/>
      <c r="D2960"/>
      <c r="E2960"/>
    </row>
    <row r="2961" spans="2:5" x14ac:dyDescent="0.35">
      <c r="B2961"/>
      <c r="C2961"/>
      <c r="D2961"/>
      <c r="E2961"/>
    </row>
    <row r="2962" spans="2:5" x14ac:dyDescent="0.35">
      <c r="B2962"/>
      <c r="C2962"/>
      <c r="D2962"/>
      <c r="E2962"/>
    </row>
    <row r="2963" spans="2:5" x14ac:dyDescent="0.35">
      <c r="B2963"/>
      <c r="C2963"/>
      <c r="D2963"/>
      <c r="E2963"/>
    </row>
    <row r="2964" spans="2:5" x14ac:dyDescent="0.35">
      <c r="B2964"/>
      <c r="C2964"/>
      <c r="D2964"/>
      <c r="E2964"/>
    </row>
    <row r="2965" spans="2:5" x14ac:dyDescent="0.35">
      <c r="B2965"/>
      <c r="C2965"/>
      <c r="D2965"/>
      <c r="E2965"/>
    </row>
    <row r="2966" spans="2:5" x14ac:dyDescent="0.35">
      <c r="B2966"/>
      <c r="C2966"/>
      <c r="D2966"/>
      <c r="E2966"/>
    </row>
    <row r="2967" spans="2:5" x14ac:dyDescent="0.35">
      <c r="B2967"/>
      <c r="C2967"/>
      <c r="D2967"/>
      <c r="E2967"/>
    </row>
    <row r="2968" spans="2:5" x14ac:dyDescent="0.35">
      <c r="B2968"/>
      <c r="C2968"/>
      <c r="D2968"/>
      <c r="E2968"/>
    </row>
    <row r="2969" spans="2:5" x14ac:dyDescent="0.35">
      <c r="B2969"/>
      <c r="C2969"/>
      <c r="D2969"/>
      <c r="E2969"/>
    </row>
    <row r="2970" spans="2:5" x14ac:dyDescent="0.35">
      <c r="B2970"/>
      <c r="C2970"/>
      <c r="D2970"/>
      <c r="E2970"/>
    </row>
    <row r="2971" spans="2:5" x14ac:dyDescent="0.35">
      <c r="B2971"/>
      <c r="C2971"/>
      <c r="D2971"/>
      <c r="E2971"/>
    </row>
    <row r="2972" spans="2:5" x14ac:dyDescent="0.35">
      <c r="B2972"/>
      <c r="C2972"/>
      <c r="D2972"/>
      <c r="E2972"/>
    </row>
    <row r="2973" spans="2:5" x14ac:dyDescent="0.35">
      <c r="B2973"/>
      <c r="C2973"/>
      <c r="D2973"/>
      <c r="E2973"/>
    </row>
    <row r="2974" spans="2:5" x14ac:dyDescent="0.35">
      <c r="B2974"/>
      <c r="C2974"/>
      <c r="D2974"/>
      <c r="E2974"/>
    </row>
    <row r="2975" spans="2:5" x14ac:dyDescent="0.35">
      <c r="B2975"/>
      <c r="C2975"/>
      <c r="D2975"/>
      <c r="E2975"/>
    </row>
    <row r="2976" spans="2:5" x14ac:dyDescent="0.35">
      <c r="B2976"/>
      <c r="C2976"/>
      <c r="D2976"/>
      <c r="E2976"/>
    </row>
    <row r="2977" spans="2:5" x14ac:dyDescent="0.35">
      <c r="B2977"/>
      <c r="C2977"/>
      <c r="D2977"/>
      <c r="E2977"/>
    </row>
    <row r="2978" spans="2:5" x14ac:dyDescent="0.35">
      <c r="B2978"/>
      <c r="C2978"/>
      <c r="D2978"/>
      <c r="E2978"/>
    </row>
    <row r="2979" spans="2:5" x14ac:dyDescent="0.35">
      <c r="B2979"/>
      <c r="C2979"/>
      <c r="D2979"/>
      <c r="E2979"/>
    </row>
    <row r="2980" spans="2:5" x14ac:dyDescent="0.35">
      <c r="B2980"/>
      <c r="C2980"/>
      <c r="D2980"/>
      <c r="E2980"/>
    </row>
    <row r="2981" spans="2:5" x14ac:dyDescent="0.35">
      <c r="B2981"/>
      <c r="C2981"/>
      <c r="D2981"/>
      <c r="E2981"/>
    </row>
    <row r="2982" spans="2:5" x14ac:dyDescent="0.35">
      <c r="B2982"/>
      <c r="C2982"/>
      <c r="D2982"/>
      <c r="E2982"/>
    </row>
    <row r="2983" spans="2:5" x14ac:dyDescent="0.35">
      <c r="B2983"/>
      <c r="C2983"/>
      <c r="D2983"/>
      <c r="E2983"/>
    </row>
    <row r="2984" spans="2:5" x14ac:dyDescent="0.35">
      <c r="B2984"/>
      <c r="C2984"/>
      <c r="D2984"/>
      <c r="E2984"/>
    </row>
    <row r="2985" spans="2:5" x14ac:dyDescent="0.35">
      <c r="B2985"/>
      <c r="C2985"/>
      <c r="D2985"/>
      <c r="E2985"/>
    </row>
    <row r="2986" spans="2:5" x14ac:dyDescent="0.35">
      <c r="B2986"/>
      <c r="C2986"/>
      <c r="D2986"/>
      <c r="E2986"/>
    </row>
    <row r="2987" spans="2:5" x14ac:dyDescent="0.35">
      <c r="B2987"/>
      <c r="C2987"/>
      <c r="D2987"/>
      <c r="E2987"/>
    </row>
    <row r="2988" spans="2:5" x14ac:dyDescent="0.35">
      <c r="B2988"/>
      <c r="C2988"/>
      <c r="D2988"/>
      <c r="E2988"/>
    </row>
    <row r="2989" spans="2:5" x14ac:dyDescent="0.35">
      <c r="B2989"/>
      <c r="C2989"/>
      <c r="D2989"/>
      <c r="E2989"/>
    </row>
    <row r="2990" spans="2:5" x14ac:dyDescent="0.35">
      <c r="B2990"/>
      <c r="C2990"/>
      <c r="D2990"/>
      <c r="E2990"/>
    </row>
    <row r="2991" spans="2:5" x14ac:dyDescent="0.35">
      <c r="B2991"/>
      <c r="C2991"/>
      <c r="D2991"/>
      <c r="E2991"/>
    </row>
    <row r="2992" spans="2:5" x14ac:dyDescent="0.35">
      <c r="B2992"/>
      <c r="C2992"/>
      <c r="D2992"/>
      <c r="E2992"/>
    </row>
    <row r="2993" spans="2:5" x14ac:dyDescent="0.35">
      <c r="B2993"/>
      <c r="C2993"/>
      <c r="D2993"/>
      <c r="E2993"/>
    </row>
    <row r="2994" spans="2:5" x14ac:dyDescent="0.35">
      <c r="B2994"/>
      <c r="C2994"/>
      <c r="D2994"/>
      <c r="E2994"/>
    </row>
    <row r="2995" spans="2:5" x14ac:dyDescent="0.35">
      <c r="B2995"/>
      <c r="C2995"/>
      <c r="D2995"/>
      <c r="E2995"/>
    </row>
    <row r="2996" spans="2:5" x14ac:dyDescent="0.35">
      <c r="B2996"/>
      <c r="C2996"/>
      <c r="D2996"/>
      <c r="E2996"/>
    </row>
    <row r="2997" spans="2:5" x14ac:dyDescent="0.35">
      <c r="B2997"/>
      <c r="C2997"/>
      <c r="D2997"/>
      <c r="E2997"/>
    </row>
    <row r="2998" spans="2:5" x14ac:dyDescent="0.35">
      <c r="B2998"/>
      <c r="C2998"/>
      <c r="D2998"/>
      <c r="E2998"/>
    </row>
    <row r="2999" spans="2:5" x14ac:dyDescent="0.35">
      <c r="B2999"/>
      <c r="C2999"/>
      <c r="D2999"/>
      <c r="E2999"/>
    </row>
    <row r="3000" spans="2:5" x14ac:dyDescent="0.35">
      <c r="B3000"/>
      <c r="C3000"/>
      <c r="D3000"/>
      <c r="E3000"/>
    </row>
    <row r="3001" spans="2:5" x14ac:dyDescent="0.35">
      <c r="B3001"/>
      <c r="C3001"/>
      <c r="D3001"/>
      <c r="E3001"/>
    </row>
    <row r="3002" spans="2:5" x14ac:dyDescent="0.35">
      <c r="B3002"/>
      <c r="C3002"/>
      <c r="D3002"/>
      <c r="E3002"/>
    </row>
    <row r="3003" spans="2:5" x14ac:dyDescent="0.35">
      <c r="B3003"/>
      <c r="C3003"/>
      <c r="D3003"/>
      <c r="E3003"/>
    </row>
    <row r="3004" spans="2:5" x14ac:dyDescent="0.35">
      <c r="B3004"/>
      <c r="C3004"/>
      <c r="D3004"/>
      <c r="E3004"/>
    </row>
    <row r="3005" spans="2:5" x14ac:dyDescent="0.35">
      <c r="B3005"/>
      <c r="C3005"/>
      <c r="D3005"/>
      <c r="E3005"/>
    </row>
    <row r="3006" spans="2:5" x14ac:dyDescent="0.35">
      <c r="B3006"/>
      <c r="C3006"/>
      <c r="D3006"/>
      <c r="E3006"/>
    </row>
    <row r="3007" spans="2:5" x14ac:dyDescent="0.35">
      <c r="B3007"/>
      <c r="C3007"/>
      <c r="D3007"/>
      <c r="E3007"/>
    </row>
    <row r="3008" spans="2:5" x14ac:dyDescent="0.35">
      <c r="B3008"/>
      <c r="C3008"/>
      <c r="D3008"/>
      <c r="E3008"/>
    </row>
    <row r="3009" spans="2:5" x14ac:dyDescent="0.35">
      <c r="B3009"/>
      <c r="C3009"/>
      <c r="D3009"/>
      <c r="E3009"/>
    </row>
    <row r="3010" spans="2:5" x14ac:dyDescent="0.35">
      <c r="B3010"/>
      <c r="C3010"/>
      <c r="D3010"/>
      <c r="E3010"/>
    </row>
    <row r="3011" spans="2:5" x14ac:dyDescent="0.35">
      <c r="B3011"/>
      <c r="C3011"/>
      <c r="D3011"/>
      <c r="E3011"/>
    </row>
    <row r="3012" spans="2:5" x14ac:dyDescent="0.35">
      <c r="B3012"/>
      <c r="C3012"/>
      <c r="D3012"/>
      <c r="E3012"/>
    </row>
    <row r="3013" spans="2:5" x14ac:dyDescent="0.35">
      <c r="B3013"/>
      <c r="C3013"/>
      <c r="D3013"/>
      <c r="E3013"/>
    </row>
    <row r="3014" spans="2:5" x14ac:dyDescent="0.35">
      <c r="B3014"/>
      <c r="C3014"/>
      <c r="D3014"/>
      <c r="E3014"/>
    </row>
    <row r="3015" spans="2:5" x14ac:dyDescent="0.35">
      <c r="B3015"/>
      <c r="C3015"/>
      <c r="D3015"/>
      <c r="E3015"/>
    </row>
    <row r="3016" spans="2:5" x14ac:dyDescent="0.35">
      <c r="B3016"/>
      <c r="C3016"/>
      <c r="D3016"/>
      <c r="E3016"/>
    </row>
    <row r="3017" spans="2:5" x14ac:dyDescent="0.35">
      <c r="B3017"/>
      <c r="C3017"/>
      <c r="D3017"/>
      <c r="E3017"/>
    </row>
    <row r="3018" spans="2:5" x14ac:dyDescent="0.35">
      <c r="B3018"/>
      <c r="C3018"/>
      <c r="D3018"/>
      <c r="E3018"/>
    </row>
    <row r="3019" spans="2:5" x14ac:dyDescent="0.35">
      <c r="B3019"/>
      <c r="C3019"/>
      <c r="D3019"/>
      <c r="E3019"/>
    </row>
    <row r="3020" spans="2:5" x14ac:dyDescent="0.35">
      <c r="B3020"/>
      <c r="C3020"/>
      <c r="D3020"/>
      <c r="E3020"/>
    </row>
    <row r="3021" spans="2:5" x14ac:dyDescent="0.35">
      <c r="B3021"/>
      <c r="C3021"/>
      <c r="D3021"/>
      <c r="E3021"/>
    </row>
    <row r="3022" spans="2:5" x14ac:dyDescent="0.35">
      <c r="B3022"/>
      <c r="C3022"/>
      <c r="D3022"/>
      <c r="E3022"/>
    </row>
    <row r="3023" spans="2:5" x14ac:dyDescent="0.35">
      <c r="B3023"/>
      <c r="C3023"/>
      <c r="D3023"/>
      <c r="E3023"/>
    </row>
    <row r="3024" spans="2:5" x14ac:dyDescent="0.35">
      <c r="B3024"/>
      <c r="C3024"/>
      <c r="D3024"/>
      <c r="E3024"/>
    </row>
    <row r="3025" spans="2:5" x14ac:dyDescent="0.35">
      <c r="B3025"/>
      <c r="C3025"/>
      <c r="D3025"/>
      <c r="E3025"/>
    </row>
    <row r="3026" spans="2:5" x14ac:dyDescent="0.35">
      <c r="B3026"/>
      <c r="C3026"/>
      <c r="D3026"/>
      <c r="E3026"/>
    </row>
    <row r="3027" spans="2:5" x14ac:dyDescent="0.35">
      <c r="B3027"/>
      <c r="C3027"/>
      <c r="D3027"/>
      <c r="E3027"/>
    </row>
    <row r="3028" spans="2:5" x14ac:dyDescent="0.35">
      <c r="B3028"/>
      <c r="C3028"/>
      <c r="D3028"/>
      <c r="E3028"/>
    </row>
    <row r="3029" spans="2:5" x14ac:dyDescent="0.35">
      <c r="B3029"/>
      <c r="C3029"/>
      <c r="D3029"/>
      <c r="E3029"/>
    </row>
    <row r="3030" spans="2:5" x14ac:dyDescent="0.35">
      <c r="B3030"/>
      <c r="C3030"/>
      <c r="D3030"/>
      <c r="E3030"/>
    </row>
    <row r="3031" spans="2:5" x14ac:dyDescent="0.35">
      <c r="B3031"/>
      <c r="C3031"/>
      <c r="D3031"/>
      <c r="E3031"/>
    </row>
    <row r="3032" spans="2:5" x14ac:dyDescent="0.35">
      <c r="B3032"/>
      <c r="C3032"/>
      <c r="D3032"/>
      <c r="E3032"/>
    </row>
    <row r="3033" spans="2:5" x14ac:dyDescent="0.35">
      <c r="B3033"/>
      <c r="C3033"/>
      <c r="D3033"/>
      <c r="E3033"/>
    </row>
    <row r="3034" spans="2:5" x14ac:dyDescent="0.35">
      <c r="B3034"/>
      <c r="C3034"/>
      <c r="D3034"/>
      <c r="E3034"/>
    </row>
    <row r="3035" spans="2:5" x14ac:dyDescent="0.35">
      <c r="B3035"/>
      <c r="C3035"/>
      <c r="D3035"/>
      <c r="E3035"/>
    </row>
    <row r="3036" spans="2:5" x14ac:dyDescent="0.35">
      <c r="B3036"/>
      <c r="C3036"/>
      <c r="D3036"/>
      <c r="E3036"/>
    </row>
    <row r="3037" spans="2:5" x14ac:dyDescent="0.35">
      <c r="B3037"/>
      <c r="C3037"/>
      <c r="D3037"/>
      <c r="E3037"/>
    </row>
    <row r="3038" spans="2:5" x14ac:dyDescent="0.35">
      <c r="B3038"/>
      <c r="C3038"/>
      <c r="D3038"/>
      <c r="E3038"/>
    </row>
    <row r="3039" spans="2:5" x14ac:dyDescent="0.35">
      <c r="B3039"/>
      <c r="C3039"/>
      <c r="D3039"/>
      <c r="E3039"/>
    </row>
    <row r="3040" spans="2:5" x14ac:dyDescent="0.35">
      <c r="B3040"/>
      <c r="C3040"/>
      <c r="D3040"/>
      <c r="E3040"/>
    </row>
    <row r="3041" spans="2:5" x14ac:dyDescent="0.35">
      <c r="B3041"/>
      <c r="C3041"/>
      <c r="D3041"/>
      <c r="E3041"/>
    </row>
    <row r="3042" spans="2:5" x14ac:dyDescent="0.35">
      <c r="B3042"/>
      <c r="C3042"/>
      <c r="D3042"/>
      <c r="E3042"/>
    </row>
    <row r="3043" spans="2:5" x14ac:dyDescent="0.35">
      <c r="B3043"/>
      <c r="C3043"/>
      <c r="D3043"/>
      <c r="E3043"/>
    </row>
    <row r="3044" spans="2:5" x14ac:dyDescent="0.35">
      <c r="B3044"/>
      <c r="C3044"/>
      <c r="D3044"/>
      <c r="E3044"/>
    </row>
    <row r="3045" spans="2:5" x14ac:dyDescent="0.35">
      <c r="B3045"/>
      <c r="C3045"/>
      <c r="D3045"/>
      <c r="E3045"/>
    </row>
    <row r="3046" spans="2:5" x14ac:dyDescent="0.35">
      <c r="B3046"/>
      <c r="C3046"/>
      <c r="D3046"/>
      <c r="E3046"/>
    </row>
    <row r="3047" spans="2:5" x14ac:dyDescent="0.35">
      <c r="B3047"/>
      <c r="C3047"/>
      <c r="D3047"/>
      <c r="E3047"/>
    </row>
    <row r="3048" spans="2:5" x14ac:dyDescent="0.35">
      <c r="B3048"/>
      <c r="C3048"/>
      <c r="D3048"/>
      <c r="E3048"/>
    </row>
    <row r="3049" spans="2:5" x14ac:dyDescent="0.35">
      <c r="B3049"/>
      <c r="C3049"/>
      <c r="D3049"/>
      <c r="E3049"/>
    </row>
    <row r="3050" spans="2:5" x14ac:dyDescent="0.35">
      <c r="B3050"/>
      <c r="C3050"/>
      <c r="D3050"/>
      <c r="E3050"/>
    </row>
    <row r="3051" spans="2:5" x14ac:dyDescent="0.35">
      <c r="B3051"/>
      <c r="C3051"/>
      <c r="D3051"/>
      <c r="E3051"/>
    </row>
    <row r="3052" spans="2:5" x14ac:dyDescent="0.35">
      <c r="B3052"/>
      <c r="C3052"/>
      <c r="D3052"/>
      <c r="E3052"/>
    </row>
    <row r="3053" spans="2:5" x14ac:dyDescent="0.35">
      <c r="B3053"/>
      <c r="C3053"/>
      <c r="D3053"/>
      <c r="E3053"/>
    </row>
    <row r="3054" spans="2:5" x14ac:dyDescent="0.35">
      <c r="B3054"/>
      <c r="C3054"/>
      <c r="D3054"/>
      <c r="E3054"/>
    </row>
    <row r="3055" spans="2:5" x14ac:dyDescent="0.35">
      <c r="B3055"/>
      <c r="C3055"/>
      <c r="D3055"/>
      <c r="E3055"/>
    </row>
    <row r="3056" spans="2:5" x14ac:dyDescent="0.35">
      <c r="B3056"/>
      <c r="C3056"/>
      <c r="D3056"/>
      <c r="E3056"/>
    </row>
    <row r="3057" spans="2:5" x14ac:dyDescent="0.35">
      <c r="B3057"/>
      <c r="C3057"/>
      <c r="D3057"/>
      <c r="E3057"/>
    </row>
    <row r="3058" spans="2:5" x14ac:dyDescent="0.35">
      <c r="B3058"/>
      <c r="C3058"/>
      <c r="D3058"/>
      <c r="E3058"/>
    </row>
    <row r="3059" spans="2:5" x14ac:dyDescent="0.35">
      <c r="B3059"/>
      <c r="C3059"/>
      <c r="D3059"/>
      <c r="E3059"/>
    </row>
    <row r="3060" spans="2:5" x14ac:dyDescent="0.35">
      <c r="B3060"/>
      <c r="C3060"/>
      <c r="D3060"/>
      <c r="E3060"/>
    </row>
    <row r="3061" spans="2:5" x14ac:dyDescent="0.35">
      <c r="B3061"/>
      <c r="C3061"/>
      <c r="D3061"/>
      <c r="E3061"/>
    </row>
    <row r="3062" spans="2:5" x14ac:dyDescent="0.35">
      <c r="B3062"/>
      <c r="C3062"/>
      <c r="D3062"/>
      <c r="E3062"/>
    </row>
    <row r="3063" spans="2:5" x14ac:dyDescent="0.35">
      <c r="B3063"/>
      <c r="C3063"/>
      <c r="D3063"/>
      <c r="E3063"/>
    </row>
    <row r="3064" spans="2:5" x14ac:dyDescent="0.35">
      <c r="B3064"/>
      <c r="C3064"/>
      <c r="D3064"/>
      <c r="E3064"/>
    </row>
    <row r="3065" spans="2:5" x14ac:dyDescent="0.35">
      <c r="B3065"/>
      <c r="C3065"/>
      <c r="D3065"/>
      <c r="E3065"/>
    </row>
    <row r="3066" spans="2:5" x14ac:dyDescent="0.35">
      <c r="B3066"/>
      <c r="C3066"/>
      <c r="D3066"/>
      <c r="E3066"/>
    </row>
    <row r="3067" spans="2:5" x14ac:dyDescent="0.35">
      <c r="B3067"/>
      <c r="C3067"/>
      <c r="D3067"/>
      <c r="E3067"/>
    </row>
    <row r="3068" spans="2:5" x14ac:dyDescent="0.35">
      <c r="B3068"/>
      <c r="C3068"/>
      <c r="D3068"/>
      <c r="E3068"/>
    </row>
    <row r="3069" spans="2:5" x14ac:dyDescent="0.35">
      <c r="B3069"/>
      <c r="C3069"/>
      <c r="D3069"/>
      <c r="E3069"/>
    </row>
    <row r="3070" spans="2:5" x14ac:dyDescent="0.35">
      <c r="B3070"/>
      <c r="C3070"/>
      <c r="D3070"/>
      <c r="E3070"/>
    </row>
    <row r="3071" spans="2:5" x14ac:dyDescent="0.35">
      <c r="B3071"/>
      <c r="C3071"/>
      <c r="D3071"/>
      <c r="E3071"/>
    </row>
    <row r="3072" spans="2:5" x14ac:dyDescent="0.35">
      <c r="B3072"/>
      <c r="C3072"/>
      <c r="D3072"/>
      <c r="E3072"/>
    </row>
    <row r="3073" spans="2:5" x14ac:dyDescent="0.35">
      <c r="B3073"/>
      <c r="C3073"/>
      <c r="D3073"/>
      <c r="E3073"/>
    </row>
    <row r="3074" spans="2:5" x14ac:dyDescent="0.35">
      <c r="B3074"/>
      <c r="C3074"/>
      <c r="D3074"/>
      <c r="E3074"/>
    </row>
    <row r="3075" spans="2:5" x14ac:dyDescent="0.35">
      <c r="B3075"/>
      <c r="C3075"/>
      <c r="D3075"/>
      <c r="E3075"/>
    </row>
    <row r="3076" spans="2:5" x14ac:dyDescent="0.35">
      <c r="B3076"/>
      <c r="C3076"/>
      <c r="D3076"/>
      <c r="E3076"/>
    </row>
    <row r="3077" spans="2:5" x14ac:dyDescent="0.35">
      <c r="B3077"/>
      <c r="C3077"/>
      <c r="D3077"/>
      <c r="E3077"/>
    </row>
    <row r="3078" spans="2:5" x14ac:dyDescent="0.35">
      <c r="B3078"/>
      <c r="C3078"/>
      <c r="D3078"/>
      <c r="E3078"/>
    </row>
    <row r="3079" spans="2:5" x14ac:dyDescent="0.35">
      <c r="B3079"/>
      <c r="C3079"/>
      <c r="D3079"/>
      <c r="E3079"/>
    </row>
    <row r="3080" spans="2:5" x14ac:dyDescent="0.35">
      <c r="B3080"/>
      <c r="C3080"/>
      <c r="D3080"/>
      <c r="E3080"/>
    </row>
    <row r="3081" spans="2:5" x14ac:dyDescent="0.35">
      <c r="B3081"/>
      <c r="C3081"/>
      <c r="D3081"/>
      <c r="E3081"/>
    </row>
    <row r="3082" spans="2:5" x14ac:dyDescent="0.35">
      <c r="B3082"/>
      <c r="C3082"/>
      <c r="D3082"/>
      <c r="E3082"/>
    </row>
    <row r="3083" spans="2:5" x14ac:dyDescent="0.35">
      <c r="B3083"/>
      <c r="C3083"/>
      <c r="D3083"/>
      <c r="E3083"/>
    </row>
    <row r="3084" spans="2:5" x14ac:dyDescent="0.35">
      <c r="B3084"/>
      <c r="C3084"/>
      <c r="D3084"/>
      <c r="E3084"/>
    </row>
    <row r="3085" spans="2:5" x14ac:dyDescent="0.35">
      <c r="B3085"/>
      <c r="C3085"/>
      <c r="D3085"/>
      <c r="E3085"/>
    </row>
    <row r="3086" spans="2:5" x14ac:dyDescent="0.35">
      <c r="B3086"/>
      <c r="C3086"/>
      <c r="D3086"/>
      <c r="E3086"/>
    </row>
    <row r="3087" spans="2:5" x14ac:dyDescent="0.35">
      <c r="B3087"/>
      <c r="C3087"/>
      <c r="D3087"/>
      <c r="E3087"/>
    </row>
    <row r="3088" spans="2:5" x14ac:dyDescent="0.35">
      <c r="B3088"/>
      <c r="C3088"/>
      <c r="D3088"/>
      <c r="E3088"/>
    </row>
    <row r="3089" spans="2:5" x14ac:dyDescent="0.35">
      <c r="B3089"/>
      <c r="C3089"/>
      <c r="D3089"/>
      <c r="E3089"/>
    </row>
    <row r="3090" spans="2:5" x14ac:dyDescent="0.35">
      <c r="B3090"/>
      <c r="C3090"/>
      <c r="D3090"/>
      <c r="E3090"/>
    </row>
    <row r="3091" spans="2:5" x14ac:dyDescent="0.35">
      <c r="B3091"/>
      <c r="C3091"/>
      <c r="D3091"/>
      <c r="E3091"/>
    </row>
    <row r="3092" spans="2:5" x14ac:dyDescent="0.35">
      <c r="B3092"/>
      <c r="C3092"/>
      <c r="D3092"/>
      <c r="E3092"/>
    </row>
    <row r="3093" spans="2:5" x14ac:dyDescent="0.35">
      <c r="B3093"/>
      <c r="C3093"/>
      <c r="D3093"/>
      <c r="E3093"/>
    </row>
    <row r="3094" spans="2:5" x14ac:dyDescent="0.35">
      <c r="B3094"/>
      <c r="C3094"/>
      <c r="D3094"/>
      <c r="E3094"/>
    </row>
    <row r="3095" spans="2:5" x14ac:dyDescent="0.35">
      <c r="B3095"/>
      <c r="C3095"/>
      <c r="D3095"/>
      <c r="E3095"/>
    </row>
    <row r="3096" spans="2:5" x14ac:dyDescent="0.35">
      <c r="B3096"/>
      <c r="C3096"/>
      <c r="D3096"/>
      <c r="E3096"/>
    </row>
    <row r="3097" spans="2:5" x14ac:dyDescent="0.35">
      <c r="B3097"/>
      <c r="C3097"/>
      <c r="D3097"/>
      <c r="E3097"/>
    </row>
    <row r="3098" spans="2:5" x14ac:dyDescent="0.35">
      <c r="B3098"/>
      <c r="C3098"/>
      <c r="D3098"/>
      <c r="E3098"/>
    </row>
    <row r="3099" spans="2:5" x14ac:dyDescent="0.35">
      <c r="B3099"/>
      <c r="C3099"/>
      <c r="D3099"/>
      <c r="E3099"/>
    </row>
    <row r="3100" spans="2:5" x14ac:dyDescent="0.35">
      <c r="B3100"/>
      <c r="C3100"/>
      <c r="D3100"/>
      <c r="E3100"/>
    </row>
    <row r="3101" spans="2:5" x14ac:dyDescent="0.35">
      <c r="B3101"/>
      <c r="C3101"/>
      <c r="D3101"/>
      <c r="E3101"/>
    </row>
    <row r="3102" spans="2:5" x14ac:dyDescent="0.35">
      <c r="B3102"/>
      <c r="C3102"/>
      <c r="D3102"/>
      <c r="E3102"/>
    </row>
    <row r="3103" spans="2:5" x14ac:dyDescent="0.35">
      <c r="B3103"/>
      <c r="C3103"/>
      <c r="D3103"/>
      <c r="E3103"/>
    </row>
    <row r="3104" spans="2:5" x14ac:dyDescent="0.35">
      <c r="B3104"/>
      <c r="C3104"/>
      <c r="D3104"/>
      <c r="E3104"/>
    </row>
    <row r="3105" spans="2:5" x14ac:dyDescent="0.35">
      <c r="B3105"/>
      <c r="C3105"/>
      <c r="D3105"/>
      <c r="E3105"/>
    </row>
    <row r="3106" spans="2:5" x14ac:dyDescent="0.35">
      <c r="B3106"/>
      <c r="C3106"/>
      <c r="D3106"/>
      <c r="E3106"/>
    </row>
    <row r="3107" spans="2:5" x14ac:dyDescent="0.35">
      <c r="B3107"/>
      <c r="C3107"/>
      <c r="D3107"/>
      <c r="E3107"/>
    </row>
    <row r="3108" spans="2:5" x14ac:dyDescent="0.35">
      <c r="B3108"/>
      <c r="C3108"/>
      <c r="D3108"/>
      <c r="E3108"/>
    </row>
    <row r="3109" spans="2:5" x14ac:dyDescent="0.35">
      <c r="B3109"/>
      <c r="C3109"/>
      <c r="D3109"/>
      <c r="E3109"/>
    </row>
    <row r="3110" spans="2:5" x14ac:dyDescent="0.35">
      <c r="B3110"/>
      <c r="C3110"/>
      <c r="D3110"/>
      <c r="E3110"/>
    </row>
    <row r="3111" spans="2:5" x14ac:dyDescent="0.35">
      <c r="B3111"/>
      <c r="C3111"/>
      <c r="D3111"/>
      <c r="E3111"/>
    </row>
    <row r="3112" spans="2:5" x14ac:dyDescent="0.35">
      <c r="B3112"/>
      <c r="C3112"/>
      <c r="D3112"/>
      <c r="E3112"/>
    </row>
    <row r="3113" spans="2:5" x14ac:dyDescent="0.35">
      <c r="B3113"/>
      <c r="C3113"/>
      <c r="D3113"/>
      <c r="E3113"/>
    </row>
    <row r="3114" spans="2:5" x14ac:dyDescent="0.35">
      <c r="B3114"/>
      <c r="C3114"/>
      <c r="D3114"/>
      <c r="E3114"/>
    </row>
    <row r="3115" spans="2:5" x14ac:dyDescent="0.35">
      <c r="B3115"/>
      <c r="C3115"/>
      <c r="D3115"/>
      <c r="E3115"/>
    </row>
    <row r="3116" spans="2:5" x14ac:dyDescent="0.35">
      <c r="B3116"/>
      <c r="C3116"/>
      <c r="D3116"/>
      <c r="E3116"/>
    </row>
    <row r="3117" spans="2:5" x14ac:dyDescent="0.35">
      <c r="B3117"/>
      <c r="C3117"/>
      <c r="D3117"/>
      <c r="E3117"/>
    </row>
    <row r="3118" spans="2:5" x14ac:dyDescent="0.35">
      <c r="B3118"/>
      <c r="C3118"/>
      <c r="D3118"/>
      <c r="E3118"/>
    </row>
    <row r="3119" spans="2:5" x14ac:dyDescent="0.35">
      <c r="B3119"/>
      <c r="C3119"/>
      <c r="D3119"/>
      <c r="E3119"/>
    </row>
    <row r="3120" spans="2:5" x14ac:dyDescent="0.35">
      <c r="B3120"/>
      <c r="C3120"/>
      <c r="D3120"/>
      <c r="E3120"/>
    </row>
    <row r="3121" spans="2:5" x14ac:dyDescent="0.35">
      <c r="B3121"/>
      <c r="C3121"/>
      <c r="D3121"/>
      <c r="E3121"/>
    </row>
    <row r="3122" spans="2:5" x14ac:dyDescent="0.35">
      <c r="B3122"/>
      <c r="C3122"/>
      <c r="D3122"/>
      <c r="E3122"/>
    </row>
    <row r="3123" spans="2:5" x14ac:dyDescent="0.35">
      <c r="B3123"/>
      <c r="C3123"/>
      <c r="D3123"/>
      <c r="E3123"/>
    </row>
    <row r="3124" spans="2:5" x14ac:dyDescent="0.35">
      <c r="B3124"/>
      <c r="C3124"/>
      <c r="D3124"/>
      <c r="E3124"/>
    </row>
    <row r="3125" spans="2:5" x14ac:dyDescent="0.35">
      <c r="B3125"/>
      <c r="C3125"/>
      <c r="D3125"/>
      <c r="E3125"/>
    </row>
    <row r="3126" spans="2:5" x14ac:dyDescent="0.35">
      <c r="B3126"/>
      <c r="C3126"/>
      <c r="D3126"/>
      <c r="E3126"/>
    </row>
    <row r="3127" spans="2:5" x14ac:dyDescent="0.35">
      <c r="B3127"/>
      <c r="C3127"/>
      <c r="D3127"/>
      <c r="E3127"/>
    </row>
    <row r="3128" spans="2:5" x14ac:dyDescent="0.35">
      <c r="B3128"/>
      <c r="C3128"/>
      <c r="D3128"/>
      <c r="E3128"/>
    </row>
    <row r="3129" spans="2:5" x14ac:dyDescent="0.35">
      <c r="B3129"/>
      <c r="C3129"/>
      <c r="D3129"/>
      <c r="E3129"/>
    </row>
    <row r="3130" spans="2:5" x14ac:dyDescent="0.35">
      <c r="B3130"/>
      <c r="C3130"/>
      <c r="D3130"/>
      <c r="E3130"/>
    </row>
    <row r="3131" spans="2:5" x14ac:dyDescent="0.35">
      <c r="B3131"/>
      <c r="C3131"/>
      <c r="D3131"/>
      <c r="E3131"/>
    </row>
    <row r="3132" spans="2:5" x14ac:dyDescent="0.35">
      <c r="B3132"/>
      <c r="C3132"/>
      <c r="D3132"/>
      <c r="E3132"/>
    </row>
    <row r="3133" spans="2:5" x14ac:dyDescent="0.35">
      <c r="B3133"/>
      <c r="C3133"/>
      <c r="D3133"/>
      <c r="E3133"/>
    </row>
    <row r="3134" spans="2:5" x14ac:dyDescent="0.35">
      <c r="B3134"/>
      <c r="C3134"/>
      <c r="D3134"/>
      <c r="E3134"/>
    </row>
    <row r="3135" spans="2:5" x14ac:dyDescent="0.35">
      <c r="B3135"/>
      <c r="C3135"/>
      <c r="D3135"/>
      <c r="E3135"/>
    </row>
    <row r="3136" spans="2:5" x14ac:dyDescent="0.35">
      <c r="B3136"/>
      <c r="C3136"/>
      <c r="D3136"/>
      <c r="E3136"/>
    </row>
    <row r="3137" spans="2:5" x14ac:dyDescent="0.35">
      <c r="B3137"/>
      <c r="C3137"/>
      <c r="D3137"/>
      <c r="E3137"/>
    </row>
    <row r="3138" spans="2:5" x14ac:dyDescent="0.35">
      <c r="B3138"/>
      <c r="C3138"/>
      <c r="D3138"/>
      <c r="E3138"/>
    </row>
    <row r="3139" spans="2:5" x14ac:dyDescent="0.35">
      <c r="B3139"/>
      <c r="C3139"/>
      <c r="D3139"/>
      <c r="E3139"/>
    </row>
    <row r="3140" spans="2:5" x14ac:dyDescent="0.35">
      <c r="B3140"/>
      <c r="C3140"/>
      <c r="D3140"/>
      <c r="E3140"/>
    </row>
    <row r="3141" spans="2:5" x14ac:dyDescent="0.35">
      <c r="B3141"/>
      <c r="C3141"/>
      <c r="D3141"/>
      <c r="E3141"/>
    </row>
    <row r="3142" spans="2:5" x14ac:dyDescent="0.35">
      <c r="B3142"/>
      <c r="C3142"/>
      <c r="D3142"/>
      <c r="E3142"/>
    </row>
    <row r="3143" spans="2:5" x14ac:dyDescent="0.35">
      <c r="B3143"/>
      <c r="C3143"/>
      <c r="D3143"/>
      <c r="E3143"/>
    </row>
    <row r="3144" spans="2:5" x14ac:dyDescent="0.35">
      <c r="B3144"/>
      <c r="C3144"/>
      <c r="D3144"/>
      <c r="E3144"/>
    </row>
    <row r="3145" spans="2:5" x14ac:dyDescent="0.35">
      <c r="B3145"/>
      <c r="C3145"/>
      <c r="D3145"/>
      <c r="E3145"/>
    </row>
    <row r="3146" spans="2:5" x14ac:dyDescent="0.35">
      <c r="B3146"/>
      <c r="C3146"/>
      <c r="D3146"/>
      <c r="E3146"/>
    </row>
    <row r="3147" spans="2:5" x14ac:dyDescent="0.35">
      <c r="B3147"/>
      <c r="C3147"/>
      <c r="D3147"/>
      <c r="E3147"/>
    </row>
    <row r="3148" spans="2:5" x14ac:dyDescent="0.35">
      <c r="B3148"/>
      <c r="C3148"/>
      <c r="D3148"/>
      <c r="E3148"/>
    </row>
    <row r="3149" spans="2:5" x14ac:dyDescent="0.35">
      <c r="B3149"/>
      <c r="C3149"/>
      <c r="D3149"/>
      <c r="E3149"/>
    </row>
    <row r="3150" spans="2:5" x14ac:dyDescent="0.35">
      <c r="B3150"/>
      <c r="C3150"/>
      <c r="D3150"/>
      <c r="E3150"/>
    </row>
    <row r="3151" spans="2:5" x14ac:dyDescent="0.35">
      <c r="B3151"/>
      <c r="C3151"/>
      <c r="D3151"/>
      <c r="E3151"/>
    </row>
    <row r="3152" spans="2:5" x14ac:dyDescent="0.35">
      <c r="B3152"/>
      <c r="C3152"/>
      <c r="D3152"/>
      <c r="E3152"/>
    </row>
    <row r="3153" spans="2:5" x14ac:dyDescent="0.35">
      <c r="B3153"/>
      <c r="C3153"/>
      <c r="D3153"/>
      <c r="E3153"/>
    </row>
    <row r="3154" spans="2:5" x14ac:dyDescent="0.35">
      <c r="B3154"/>
      <c r="C3154"/>
      <c r="D3154"/>
      <c r="E3154"/>
    </row>
    <row r="3155" spans="2:5" x14ac:dyDescent="0.35">
      <c r="B3155"/>
      <c r="C3155"/>
      <c r="D3155"/>
      <c r="E3155"/>
    </row>
    <row r="3156" spans="2:5" x14ac:dyDescent="0.35">
      <c r="B3156"/>
      <c r="C3156"/>
      <c r="D3156"/>
      <c r="E3156"/>
    </row>
    <row r="3157" spans="2:5" x14ac:dyDescent="0.35">
      <c r="B3157"/>
      <c r="C3157"/>
      <c r="D3157"/>
      <c r="E3157"/>
    </row>
    <row r="3158" spans="2:5" x14ac:dyDescent="0.35">
      <c r="B3158"/>
      <c r="C3158"/>
      <c r="D3158"/>
      <c r="E3158"/>
    </row>
    <row r="3159" spans="2:5" x14ac:dyDescent="0.35">
      <c r="B3159"/>
      <c r="C3159"/>
      <c r="D3159"/>
      <c r="E3159"/>
    </row>
    <row r="3160" spans="2:5" x14ac:dyDescent="0.35">
      <c r="B3160"/>
      <c r="C3160"/>
      <c r="D3160"/>
      <c r="E3160"/>
    </row>
    <row r="3161" spans="2:5" x14ac:dyDescent="0.35">
      <c r="B3161"/>
      <c r="C3161"/>
      <c r="D3161"/>
      <c r="E3161"/>
    </row>
    <row r="3162" spans="2:5" x14ac:dyDescent="0.35">
      <c r="B3162"/>
      <c r="C3162"/>
      <c r="D3162"/>
      <c r="E3162"/>
    </row>
    <row r="3163" spans="2:5" x14ac:dyDescent="0.35">
      <c r="B3163"/>
      <c r="C3163"/>
      <c r="D3163"/>
      <c r="E3163"/>
    </row>
    <row r="3164" spans="2:5" x14ac:dyDescent="0.35">
      <c r="B3164"/>
      <c r="C3164"/>
      <c r="D3164"/>
      <c r="E3164"/>
    </row>
    <row r="3165" spans="2:5" x14ac:dyDescent="0.35">
      <c r="B3165"/>
      <c r="C3165"/>
      <c r="D3165"/>
      <c r="E3165"/>
    </row>
    <row r="3166" spans="2:5" x14ac:dyDescent="0.35">
      <c r="B3166"/>
      <c r="C3166"/>
      <c r="D3166"/>
      <c r="E3166"/>
    </row>
    <row r="3167" spans="2:5" x14ac:dyDescent="0.35">
      <c r="B3167"/>
      <c r="C3167"/>
      <c r="D3167"/>
      <c r="E3167"/>
    </row>
    <row r="3168" spans="2:5" x14ac:dyDescent="0.35">
      <c r="B3168"/>
      <c r="C3168"/>
      <c r="D3168"/>
      <c r="E3168"/>
    </row>
    <row r="3169" spans="2:5" x14ac:dyDescent="0.35">
      <c r="B3169"/>
      <c r="C3169"/>
      <c r="D3169"/>
      <c r="E3169"/>
    </row>
    <row r="3170" spans="2:5" x14ac:dyDescent="0.35">
      <c r="B3170"/>
      <c r="C3170"/>
      <c r="D3170"/>
      <c r="E3170"/>
    </row>
    <row r="3171" spans="2:5" x14ac:dyDescent="0.35">
      <c r="B3171"/>
      <c r="C3171"/>
      <c r="D3171"/>
      <c r="E3171"/>
    </row>
    <row r="3172" spans="2:5" x14ac:dyDescent="0.35">
      <c r="B3172"/>
      <c r="C3172"/>
      <c r="D3172"/>
      <c r="E3172"/>
    </row>
    <row r="3173" spans="2:5" x14ac:dyDescent="0.35">
      <c r="B3173"/>
      <c r="C3173"/>
      <c r="D3173"/>
      <c r="E3173"/>
    </row>
    <row r="3174" spans="2:5" x14ac:dyDescent="0.35">
      <c r="B3174"/>
      <c r="C3174"/>
      <c r="D3174"/>
      <c r="E3174"/>
    </row>
    <row r="3175" spans="2:5" x14ac:dyDescent="0.35">
      <c r="B3175"/>
      <c r="C3175"/>
      <c r="D3175"/>
      <c r="E3175"/>
    </row>
    <row r="3176" spans="2:5" x14ac:dyDescent="0.35">
      <c r="B3176"/>
      <c r="C3176"/>
      <c r="D3176"/>
      <c r="E3176"/>
    </row>
    <row r="3177" spans="2:5" x14ac:dyDescent="0.35">
      <c r="B3177"/>
      <c r="C3177"/>
      <c r="D3177"/>
      <c r="E3177"/>
    </row>
    <row r="3178" spans="2:5" x14ac:dyDescent="0.35">
      <c r="B3178"/>
      <c r="C3178"/>
      <c r="D3178"/>
      <c r="E3178"/>
    </row>
    <row r="3179" spans="2:5" x14ac:dyDescent="0.35">
      <c r="B3179"/>
      <c r="C3179"/>
      <c r="D3179"/>
      <c r="E3179"/>
    </row>
    <row r="3180" spans="2:5" x14ac:dyDescent="0.35">
      <c r="B3180"/>
      <c r="C3180"/>
      <c r="D3180"/>
      <c r="E3180"/>
    </row>
    <row r="3181" spans="2:5" x14ac:dyDescent="0.35">
      <c r="B3181"/>
      <c r="C3181"/>
      <c r="D3181"/>
      <c r="E3181"/>
    </row>
    <row r="3182" spans="2:5" x14ac:dyDescent="0.35">
      <c r="B3182"/>
      <c r="C3182"/>
      <c r="D3182"/>
      <c r="E3182"/>
    </row>
    <row r="3183" spans="2:5" x14ac:dyDescent="0.35">
      <c r="B3183"/>
      <c r="C3183"/>
      <c r="D3183"/>
      <c r="E3183"/>
    </row>
    <row r="3184" spans="2:5" x14ac:dyDescent="0.35">
      <c r="B3184"/>
      <c r="C3184"/>
      <c r="D3184"/>
      <c r="E3184"/>
    </row>
    <row r="3185" spans="2:5" x14ac:dyDescent="0.35">
      <c r="B3185"/>
      <c r="C3185"/>
      <c r="D3185"/>
      <c r="E3185"/>
    </row>
    <row r="3186" spans="2:5" x14ac:dyDescent="0.35">
      <c r="B3186"/>
      <c r="C3186"/>
      <c r="D3186"/>
      <c r="E3186"/>
    </row>
    <row r="3187" spans="2:5" x14ac:dyDescent="0.35">
      <c r="B3187"/>
      <c r="C3187"/>
      <c r="D3187"/>
      <c r="E3187"/>
    </row>
    <row r="3188" spans="2:5" x14ac:dyDescent="0.35">
      <c r="B3188"/>
      <c r="C3188"/>
      <c r="D3188"/>
      <c r="E3188"/>
    </row>
    <row r="3189" spans="2:5" x14ac:dyDescent="0.35">
      <c r="B3189"/>
      <c r="C3189"/>
      <c r="D3189"/>
      <c r="E3189"/>
    </row>
    <row r="3190" spans="2:5" x14ac:dyDescent="0.35">
      <c r="B3190"/>
      <c r="C3190"/>
      <c r="D3190"/>
      <c r="E3190"/>
    </row>
    <row r="3191" spans="2:5" x14ac:dyDescent="0.35">
      <c r="B3191"/>
      <c r="C3191"/>
      <c r="D3191"/>
      <c r="E319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91"/>
  <sheetViews>
    <sheetView topLeftCell="I1" workbookViewId="0">
      <selection activeCell="O11" sqref="O11"/>
    </sheetView>
  </sheetViews>
  <sheetFormatPr baseColWidth="10" defaultRowHeight="14.5" x14ac:dyDescent="0.35"/>
  <cols>
    <col min="1" max="1" width="27.90625" customWidth="1"/>
    <col min="2" max="4" width="10.1796875" style="2" customWidth="1"/>
    <col min="5" max="5" width="16.7265625" style="2" bestFit="1" customWidth="1"/>
    <col min="6" max="6" width="22.6328125" customWidth="1"/>
    <col min="7" max="7" width="24" customWidth="1"/>
    <col min="8" max="8" width="26.08984375" bestFit="1" customWidth="1"/>
    <col min="9" max="9" width="21.81640625" bestFit="1" customWidth="1"/>
    <col min="10" max="10" width="22.6328125" bestFit="1" customWidth="1"/>
    <col min="11" max="11" width="24" bestFit="1" customWidth="1"/>
  </cols>
  <sheetData>
    <row r="1" spans="1:9" x14ac:dyDescent="0.35">
      <c r="A1" s="3" t="s">
        <v>137</v>
      </c>
      <c r="B1" s="8" t="s">
        <v>150</v>
      </c>
      <c r="G1" s="5" t="s">
        <v>134</v>
      </c>
      <c r="H1" s="5" t="s">
        <v>156</v>
      </c>
      <c r="I1" s="9" t="s">
        <v>157</v>
      </c>
    </row>
    <row r="2" spans="1:9" x14ac:dyDescent="0.35">
      <c r="A2" s="12" t="s">
        <v>136</v>
      </c>
      <c r="B2" s="8" t="s">
        <v>141</v>
      </c>
      <c r="G2" s="4" t="s">
        <v>71</v>
      </c>
      <c r="H2" s="8">
        <v>83252.352138750881</v>
      </c>
      <c r="I2" s="8">
        <v>66738.82509546401</v>
      </c>
    </row>
    <row r="3" spans="1:9" x14ac:dyDescent="0.35">
      <c r="B3"/>
      <c r="C3"/>
      <c r="D3"/>
      <c r="E3"/>
      <c r="G3" s="4" t="s">
        <v>90</v>
      </c>
      <c r="H3" s="8">
        <v>80211.714013971534</v>
      </c>
      <c r="I3" s="8">
        <v>82257.466465167439</v>
      </c>
    </row>
    <row r="4" spans="1:9" x14ac:dyDescent="0.35">
      <c r="A4" s="3" t="s">
        <v>134</v>
      </c>
      <c r="B4" t="s">
        <v>153</v>
      </c>
      <c r="C4" s="8" t="s">
        <v>154</v>
      </c>
      <c r="D4" s="8" t="s">
        <v>143</v>
      </c>
      <c r="E4" s="8" t="s">
        <v>142</v>
      </c>
      <c r="G4" s="4" t="s">
        <v>26</v>
      </c>
      <c r="H4" s="8">
        <v>117827.9302072752</v>
      </c>
      <c r="I4" s="8">
        <v>109694.73342674757</v>
      </c>
    </row>
    <row r="5" spans="1:9" x14ac:dyDescent="0.35">
      <c r="A5" s="4" t="s">
        <v>71</v>
      </c>
      <c r="B5" s="8">
        <v>83252.352138750881</v>
      </c>
      <c r="C5" s="8">
        <v>66738.82509546401</v>
      </c>
      <c r="D5" s="8">
        <v>180.98919265232999</v>
      </c>
      <c r="E5" s="8">
        <v>15067776</v>
      </c>
      <c r="G5" s="4" t="s">
        <v>96</v>
      </c>
      <c r="H5" s="8">
        <v>67482.291520674626</v>
      </c>
      <c r="I5" s="8">
        <v>61764.159523809525</v>
      </c>
    </row>
    <row r="6" spans="1:9" x14ac:dyDescent="0.35">
      <c r="A6" s="4" t="s">
        <v>90</v>
      </c>
      <c r="B6" s="8">
        <v>80211.714013971534</v>
      </c>
      <c r="C6" s="8">
        <v>82257.466465167439</v>
      </c>
      <c r="D6" s="8">
        <v>369.26646393369407</v>
      </c>
      <c r="E6" s="8">
        <v>29619496</v>
      </c>
      <c r="G6" s="4" t="s">
        <v>72</v>
      </c>
      <c r="H6" s="8">
        <v>89224.829495988437</v>
      </c>
      <c r="I6" s="8">
        <v>92892.37596000878</v>
      </c>
    </row>
    <row r="7" spans="1:9" x14ac:dyDescent="0.35">
      <c r="A7" s="4" t="s">
        <v>26</v>
      </c>
      <c r="B7" s="8">
        <v>117827.9302072752</v>
      </c>
      <c r="C7" s="8">
        <v>109694.73342674757</v>
      </c>
      <c r="D7" s="8">
        <v>290.78644545251012</v>
      </c>
      <c r="E7" s="8">
        <v>34262765</v>
      </c>
      <c r="G7" s="4" t="s">
        <v>38</v>
      </c>
      <c r="H7" s="8">
        <v>108719.1052109906</v>
      </c>
      <c r="I7" s="8">
        <v>105612.22501853674</v>
      </c>
    </row>
    <row r="8" spans="1:9" x14ac:dyDescent="0.35">
      <c r="A8" s="4" t="s">
        <v>96</v>
      </c>
      <c r="B8" s="8">
        <v>67482.291520674626</v>
      </c>
      <c r="C8" s="8">
        <v>61764.159523809525</v>
      </c>
      <c r="D8" s="8">
        <v>403.46297356631038</v>
      </c>
      <c r="E8" s="8">
        <v>27226606</v>
      </c>
      <c r="G8" s="4" t="s">
        <v>94</v>
      </c>
      <c r="H8" s="8">
        <v>78570.648916122926</v>
      </c>
      <c r="I8" s="8">
        <v>81696.965956391592</v>
      </c>
    </row>
    <row r="9" spans="1:9" x14ac:dyDescent="0.35">
      <c r="A9" s="4" t="s">
        <v>72</v>
      </c>
      <c r="B9" s="8">
        <v>89224.829495988437</v>
      </c>
      <c r="C9" s="8">
        <v>92892.37596000878</v>
      </c>
      <c r="D9" s="8">
        <v>293.15991017025175</v>
      </c>
      <c r="E9" s="8">
        <v>26157143</v>
      </c>
      <c r="G9" s="4" t="s">
        <v>54</v>
      </c>
      <c r="H9" s="8">
        <v>97485.632805647081</v>
      </c>
      <c r="I9" s="8">
        <v>103745.63743103926</v>
      </c>
    </row>
    <row r="10" spans="1:9" x14ac:dyDescent="0.35">
      <c r="A10" s="4" t="s">
        <v>38</v>
      </c>
      <c r="B10" s="8">
        <v>108719.1052109906</v>
      </c>
      <c r="C10" s="8">
        <v>105612.22501853674</v>
      </c>
      <c r="D10" s="8">
        <v>563.54499865591515</v>
      </c>
      <c r="E10" s="8">
        <v>61268108</v>
      </c>
      <c r="G10" s="4" t="s">
        <v>98</v>
      </c>
      <c r="H10" s="8">
        <v>75046.598896165757</v>
      </c>
      <c r="I10" s="8">
        <v>74871.553943060266</v>
      </c>
    </row>
    <row r="11" spans="1:9" x14ac:dyDescent="0.35">
      <c r="A11" s="4" t="s">
        <v>94</v>
      </c>
      <c r="B11" s="8">
        <v>78570.648916122926</v>
      </c>
      <c r="C11" s="8">
        <v>81696.965956391592</v>
      </c>
      <c r="D11" s="8">
        <v>327.62124731182905</v>
      </c>
      <c r="E11" s="8">
        <v>25741414</v>
      </c>
      <c r="G11" s="4" t="s">
        <v>85</v>
      </c>
      <c r="H11" s="8">
        <v>78638.513976535061</v>
      </c>
      <c r="I11" s="8">
        <v>75408.316191653343</v>
      </c>
    </row>
    <row r="12" spans="1:9" x14ac:dyDescent="0.35">
      <c r="A12" s="4" t="s">
        <v>54</v>
      </c>
      <c r="B12" s="8">
        <v>97485.632805647081</v>
      </c>
      <c r="C12" s="8">
        <v>103745.63743103926</v>
      </c>
      <c r="D12" s="8">
        <v>468.84988776881966</v>
      </c>
      <c r="E12" s="8">
        <v>45706128</v>
      </c>
      <c r="G12" s="4" t="s">
        <v>68</v>
      </c>
      <c r="H12" s="8">
        <v>95531.048889393482</v>
      </c>
      <c r="I12" s="8">
        <v>97669.313594082982</v>
      </c>
    </row>
    <row r="13" spans="1:9" x14ac:dyDescent="0.35">
      <c r="A13" s="4" t="s">
        <v>98</v>
      </c>
      <c r="B13" s="8">
        <v>75046.598896165757</v>
      </c>
      <c r="C13" s="8">
        <v>74871.553943060266</v>
      </c>
      <c r="D13" s="8">
        <v>270.08897535842345</v>
      </c>
      <c r="E13" s="8">
        <v>20269259</v>
      </c>
      <c r="G13" s="4" t="s">
        <v>51</v>
      </c>
      <c r="H13" s="8">
        <v>95081.421625804782</v>
      </c>
      <c r="I13" s="8">
        <v>100852.36995492977</v>
      </c>
    </row>
    <row r="14" spans="1:9" x14ac:dyDescent="0.35">
      <c r="A14" s="4" t="s">
        <v>85</v>
      </c>
      <c r="B14" s="8">
        <v>78638.513976535061</v>
      </c>
      <c r="C14" s="8">
        <v>75408.316191653343</v>
      </c>
      <c r="D14" s="8">
        <v>253.52442450716879</v>
      </c>
      <c r="E14" s="8">
        <v>19936784</v>
      </c>
      <c r="G14" s="4" t="s">
        <v>79</v>
      </c>
      <c r="H14" s="8">
        <v>90838.011194164952</v>
      </c>
      <c r="I14" s="8">
        <v>98138.027250469473</v>
      </c>
    </row>
    <row r="15" spans="1:9" x14ac:dyDescent="0.35">
      <c r="A15" s="4" t="s">
        <v>68</v>
      </c>
      <c r="B15" s="8">
        <v>95531.048889393482</v>
      </c>
      <c r="C15" s="8">
        <v>97669.313594082982</v>
      </c>
      <c r="D15" s="8">
        <v>425.17234419802963</v>
      </c>
      <c r="E15" s="8">
        <v>40617160</v>
      </c>
      <c r="G15" s="4" t="s">
        <v>97</v>
      </c>
      <c r="H15" s="8">
        <v>80330.267443015575</v>
      </c>
      <c r="I15" s="8">
        <v>63527.542035130093</v>
      </c>
    </row>
    <row r="16" spans="1:9" x14ac:dyDescent="0.35">
      <c r="A16" s="4" t="s">
        <v>51</v>
      </c>
      <c r="B16" s="8">
        <v>95081.421625804782</v>
      </c>
      <c r="C16" s="8">
        <v>100852.36995492977</v>
      </c>
      <c r="D16" s="8">
        <v>445.97501041666914</v>
      </c>
      <c r="E16" s="8">
        <v>42403938</v>
      </c>
    </row>
    <row r="17" spans="1:12" x14ac:dyDescent="0.35">
      <c r="A17" s="4" t="s">
        <v>79</v>
      </c>
      <c r="B17" s="8">
        <v>90838.011194164952</v>
      </c>
      <c r="C17" s="8">
        <v>98138.027250469473</v>
      </c>
      <c r="D17" s="8">
        <v>297.14070844534109</v>
      </c>
      <c r="E17" s="8">
        <v>26991671</v>
      </c>
      <c r="G17" s="4" t="s">
        <v>66</v>
      </c>
      <c r="H17" s="8">
        <v>86919.642654412528</v>
      </c>
      <c r="I17" s="8">
        <v>89801.23135941803</v>
      </c>
    </row>
    <row r="18" spans="1:12" x14ac:dyDescent="0.35">
      <c r="A18" s="4" t="s">
        <v>97</v>
      </c>
      <c r="B18" s="8">
        <v>80330.267443015575</v>
      </c>
      <c r="C18" s="8">
        <v>63527.542035130093</v>
      </c>
      <c r="D18" s="8">
        <v>289.92037175179263</v>
      </c>
      <c r="E18" s="8">
        <v>23289381</v>
      </c>
      <c r="G18" s="4" t="s">
        <v>75</v>
      </c>
      <c r="H18" s="8">
        <v>89187.104554425809</v>
      </c>
      <c r="I18" s="8">
        <v>91213.17531644016</v>
      </c>
      <c r="K18" s="7">
        <v>92.6</v>
      </c>
    </row>
    <row r="19" spans="1:12" x14ac:dyDescent="0.35">
      <c r="A19" s="4" t="s">
        <v>131</v>
      </c>
      <c r="B19" s="8"/>
      <c r="C19" s="8">
        <v>0</v>
      </c>
      <c r="D19" s="8"/>
      <c r="E19" s="8">
        <v>591</v>
      </c>
      <c r="G19" s="4" t="s">
        <v>60</v>
      </c>
      <c r="H19" s="8">
        <v>94032.031426565416</v>
      </c>
      <c r="I19" s="8">
        <v>98411.386814225421</v>
      </c>
      <c r="K19">
        <v>91</v>
      </c>
      <c r="L19" s="11"/>
    </row>
    <row r="20" spans="1:12" x14ac:dyDescent="0.35">
      <c r="A20" s="4" t="s">
        <v>66</v>
      </c>
      <c r="B20" s="8">
        <v>86919.642654412528</v>
      </c>
      <c r="C20" s="8">
        <v>89801.23135941803</v>
      </c>
      <c r="D20" s="8">
        <v>355.98892327509111</v>
      </c>
      <c r="E20" s="8">
        <v>30942430</v>
      </c>
      <c r="G20" s="4" t="s">
        <v>47</v>
      </c>
      <c r="H20" s="8">
        <v>98984.043689668484</v>
      </c>
      <c r="I20" s="8">
        <v>87911.251735691229</v>
      </c>
      <c r="K20" s="11">
        <f>+K18/K19-1</f>
        <v>1.758241758241752E-2</v>
      </c>
    </row>
    <row r="21" spans="1:12" x14ac:dyDescent="0.35">
      <c r="A21" s="4" t="s">
        <v>75</v>
      </c>
      <c r="B21" s="8">
        <v>89187.104554425809</v>
      </c>
      <c r="C21" s="8">
        <v>91213.17531644016</v>
      </c>
      <c r="D21" s="8">
        <v>514.52468637993036</v>
      </c>
      <c r="E21" s="8">
        <v>45888967</v>
      </c>
      <c r="G21" s="4" t="s">
        <v>115</v>
      </c>
      <c r="H21" s="8">
        <v>61671.847747524283</v>
      </c>
      <c r="I21" s="8">
        <v>68012.855973277532</v>
      </c>
    </row>
    <row r="22" spans="1:12" x14ac:dyDescent="0.35">
      <c r="A22" s="4" t="s">
        <v>60</v>
      </c>
      <c r="B22" s="8">
        <v>94032.031426565416</v>
      </c>
      <c r="C22" s="8">
        <v>98411.386814225421</v>
      </c>
      <c r="D22" s="8">
        <v>321.47088116039566</v>
      </c>
      <c r="E22" s="8">
        <v>30228560</v>
      </c>
      <c r="G22" s="4" t="s">
        <v>20</v>
      </c>
      <c r="H22" s="8">
        <v>115773.51150913812</v>
      </c>
      <c r="I22" s="8">
        <v>108988.99101588209</v>
      </c>
    </row>
    <row r="23" spans="1:12" x14ac:dyDescent="0.35">
      <c r="A23" s="4" t="s">
        <v>47</v>
      </c>
      <c r="B23" s="8">
        <v>98984.043689668484</v>
      </c>
      <c r="C23" s="8">
        <v>87911.251735691229</v>
      </c>
      <c r="D23" s="8">
        <v>228.54303741039422</v>
      </c>
      <c r="E23" s="8">
        <v>22622114</v>
      </c>
      <c r="G23" s="4" t="s">
        <v>18</v>
      </c>
      <c r="H23" s="8">
        <v>108523.8473822065</v>
      </c>
      <c r="I23" s="8">
        <v>91623.347436559867</v>
      </c>
    </row>
    <row r="24" spans="1:12" x14ac:dyDescent="0.35">
      <c r="A24" s="4" t="s">
        <v>115</v>
      </c>
      <c r="B24" s="8">
        <v>61671.847747524283</v>
      </c>
      <c r="C24" s="8">
        <v>68012.855973277532</v>
      </c>
      <c r="D24" s="8">
        <v>243.09762959229386</v>
      </c>
      <c r="E24" s="8">
        <v>14992280</v>
      </c>
      <c r="G24" s="4" t="s">
        <v>100</v>
      </c>
      <c r="H24" s="8">
        <v>73429.311626957613</v>
      </c>
      <c r="I24" s="8">
        <v>74539.935108894279</v>
      </c>
    </row>
    <row r="25" spans="1:12" x14ac:dyDescent="0.35">
      <c r="A25" s="4" t="s">
        <v>20</v>
      </c>
      <c r="B25" s="8">
        <v>115773.51150913812</v>
      </c>
      <c r="C25" s="8">
        <v>108988.99101588209</v>
      </c>
      <c r="D25" s="8">
        <v>427.90113519265407</v>
      </c>
      <c r="E25" s="8">
        <v>49539617</v>
      </c>
      <c r="G25" s="4" t="s">
        <v>81</v>
      </c>
      <c r="H25" s="8">
        <v>88105.428470081664</v>
      </c>
      <c r="I25" s="8">
        <v>88289.979421833094</v>
      </c>
    </row>
    <row r="26" spans="1:12" x14ac:dyDescent="0.35">
      <c r="A26" s="4" t="s">
        <v>18</v>
      </c>
      <c r="B26" s="8">
        <v>108523.8473822065</v>
      </c>
      <c r="C26" s="8">
        <v>91623.347436559867</v>
      </c>
      <c r="D26" s="8">
        <v>295.70884901433834</v>
      </c>
      <c r="E26" s="8">
        <v>32091462</v>
      </c>
    </row>
    <row r="27" spans="1:12" x14ac:dyDescent="0.35">
      <c r="A27" s="4" t="s">
        <v>100</v>
      </c>
      <c r="B27" s="8">
        <v>73429.311626957613</v>
      </c>
      <c r="C27" s="8">
        <v>74539.935108894279</v>
      </c>
      <c r="D27" s="8">
        <v>178.57363373655923</v>
      </c>
      <c r="E27" s="8">
        <v>13112539</v>
      </c>
      <c r="G27" s="4" t="s">
        <v>106</v>
      </c>
      <c r="H27" s="8">
        <v>72146.740719288777</v>
      </c>
      <c r="I27" s="8">
        <v>81159.888040802325</v>
      </c>
    </row>
    <row r="28" spans="1:12" x14ac:dyDescent="0.35">
      <c r="A28" s="4" t="s">
        <v>81</v>
      </c>
      <c r="B28" s="8">
        <v>88105.428470081664</v>
      </c>
      <c r="C28" s="8">
        <v>88289.979421833094</v>
      </c>
      <c r="D28" s="8">
        <v>435.65896751792303</v>
      </c>
      <c r="E28" s="8">
        <v>38383920</v>
      </c>
      <c r="G28" s="4" t="s">
        <v>107</v>
      </c>
      <c r="H28" s="8">
        <v>71421.801482209004</v>
      </c>
      <c r="I28" s="8">
        <v>70358.028303672705</v>
      </c>
    </row>
    <row r="29" spans="1:12" x14ac:dyDescent="0.35">
      <c r="A29" s="4" t="s">
        <v>105</v>
      </c>
      <c r="B29" s="8">
        <v>67953.593125049156</v>
      </c>
      <c r="C29" s="8">
        <v>0</v>
      </c>
      <c r="D29" s="8">
        <v>147.17031933243729</v>
      </c>
      <c r="E29" s="8">
        <v>10000752</v>
      </c>
      <c r="G29" s="4" t="s">
        <v>110</v>
      </c>
      <c r="H29" s="8">
        <v>60926.986981877126</v>
      </c>
      <c r="I29" s="8">
        <v>68134.522635482121</v>
      </c>
    </row>
    <row r="30" spans="1:12" x14ac:dyDescent="0.35">
      <c r="A30" s="4" t="s">
        <v>106</v>
      </c>
      <c r="B30" s="8">
        <v>72146.740719288777</v>
      </c>
      <c r="C30" s="8">
        <v>81159.888040802325</v>
      </c>
      <c r="D30" s="8">
        <v>223.30581866039449</v>
      </c>
      <c r="E30" s="8">
        <v>16110787</v>
      </c>
      <c r="G30" s="4" t="s">
        <v>82</v>
      </c>
      <c r="H30" s="8">
        <v>80285.766359189103</v>
      </c>
      <c r="I30" s="8">
        <v>92060.806436862142</v>
      </c>
    </row>
    <row r="31" spans="1:12" x14ac:dyDescent="0.35">
      <c r="A31" s="4" t="s">
        <v>107</v>
      </c>
      <c r="B31" s="8">
        <v>71421.801482209004</v>
      </c>
      <c r="C31" s="8">
        <v>70358.028303672705</v>
      </c>
      <c r="D31" s="8">
        <v>351.75335091845932</v>
      </c>
      <c r="E31" s="8">
        <v>25122858</v>
      </c>
      <c r="G31" s="4" t="s">
        <v>27</v>
      </c>
      <c r="H31" s="8">
        <v>120484.02214609459</v>
      </c>
      <c r="I31" s="8">
        <v>111490.75009003574</v>
      </c>
    </row>
    <row r="32" spans="1:12" x14ac:dyDescent="0.35">
      <c r="A32" s="4" t="s">
        <v>110</v>
      </c>
      <c r="B32" s="8">
        <v>60926.986981877126</v>
      </c>
      <c r="C32" s="8">
        <v>68134.522635482121</v>
      </c>
      <c r="D32" s="8">
        <v>172.08193806003601</v>
      </c>
      <c r="E32" s="8">
        <v>10484434</v>
      </c>
      <c r="G32" s="4" t="s">
        <v>37</v>
      </c>
      <c r="H32" s="8">
        <v>111938.42280636491</v>
      </c>
      <c r="I32" s="8">
        <v>102077.47082362355</v>
      </c>
    </row>
    <row r="33" spans="1:9" x14ac:dyDescent="0.35">
      <c r="A33" s="4" t="s">
        <v>82</v>
      </c>
      <c r="B33" s="8">
        <v>80285.766359189103</v>
      </c>
      <c r="C33" s="8">
        <v>92060.806436862142</v>
      </c>
      <c r="D33" s="8">
        <v>258.27622927867429</v>
      </c>
      <c r="E33" s="8">
        <v>20735905</v>
      </c>
      <c r="G33" s="4" t="s">
        <v>40</v>
      </c>
      <c r="H33" s="8">
        <v>101448.49005600373</v>
      </c>
      <c r="I33" s="8">
        <v>96537.997342016577</v>
      </c>
    </row>
    <row r="34" spans="1:9" x14ac:dyDescent="0.35">
      <c r="A34" s="4" t="s">
        <v>27</v>
      </c>
      <c r="B34" s="8">
        <v>120484.02214609459</v>
      </c>
      <c r="C34" s="8">
        <v>111490.75009003574</v>
      </c>
      <c r="D34" s="8">
        <v>391.5639116263452</v>
      </c>
      <c r="E34" s="8">
        <v>47177195</v>
      </c>
      <c r="G34" s="4" t="s">
        <v>108</v>
      </c>
      <c r="H34" s="8">
        <v>66573.138705997801</v>
      </c>
      <c r="I34" s="8">
        <v>72207.278919220538</v>
      </c>
    </row>
    <row r="35" spans="1:9" x14ac:dyDescent="0.35">
      <c r="A35" s="4" t="s">
        <v>37</v>
      </c>
      <c r="B35" s="8">
        <v>111938.42280636491</v>
      </c>
      <c r="C35" s="8">
        <v>102077.47082362355</v>
      </c>
      <c r="D35" s="8">
        <v>464.88086659946293</v>
      </c>
      <c r="E35" s="8">
        <v>52038031</v>
      </c>
      <c r="G35" s="4" t="s">
        <v>13</v>
      </c>
      <c r="H35" s="8">
        <v>126852.57878287336</v>
      </c>
      <c r="I35" s="8">
        <v>120854.90458613733</v>
      </c>
    </row>
    <row r="36" spans="1:9" x14ac:dyDescent="0.35">
      <c r="A36" s="4" t="s">
        <v>40</v>
      </c>
      <c r="B36" s="8">
        <v>101448.49005600373</v>
      </c>
      <c r="C36" s="8">
        <v>96537.997342016577</v>
      </c>
      <c r="D36" s="8">
        <v>331.17330757168548</v>
      </c>
      <c r="E36" s="8">
        <v>33597032</v>
      </c>
      <c r="G36" s="4" t="s">
        <v>86</v>
      </c>
      <c r="H36" s="8">
        <v>78763.499267687977</v>
      </c>
      <c r="I36" s="8">
        <v>83959.508650884687</v>
      </c>
    </row>
    <row r="37" spans="1:9" x14ac:dyDescent="0.35">
      <c r="A37" s="4" t="s">
        <v>108</v>
      </c>
      <c r="B37" s="8">
        <v>66573.138705997801</v>
      </c>
      <c r="C37" s="8">
        <v>72207.278919220538</v>
      </c>
      <c r="D37" s="8">
        <v>214.05202273745519</v>
      </c>
      <c r="E37" s="8">
        <v>14250115</v>
      </c>
      <c r="G37" s="4" t="s">
        <v>57</v>
      </c>
      <c r="H37" s="8">
        <v>93671.751760447907</v>
      </c>
      <c r="I37" s="8">
        <v>97793.087908899135</v>
      </c>
    </row>
    <row r="38" spans="1:9" x14ac:dyDescent="0.35">
      <c r="A38" s="4" t="s">
        <v>13</v>
      </c>
      <c r="B38" s="8">
        <v>126852.57878287336</v>
      </c>
      <c r="C38" s="8">
        <v>120854.90458613733</v>
      </c>
      <c r="D38" s="8">
        <v>442.87973913530755</v>
      </c>
      <c r="E38" s="8">
        <v>56180437</v>
      </c>
      <c r="G38" s="4" t="s">
        <v>64</v>
      </c>
      <c r="H38" s="8">
        <v>94399.560856597498</v>
      </c>
      <c r="I38" s="8">
        <v>87667.341797695335</v>
      </c>
    </row>
    <row r="39" spans="1:9" x14ac:dyDescent="0.35">
      <c r="A39" s="4" t="s">
        <v>86</v>
      </c>
      <c r="B39" s="8">
        <v>78763.499267687977</v>
      </c>
      <c r="C39" s="8">
        <v>83959.508650884687</v>
      </c>
      <c r="D39" s="8">
        <v>275.80166196236672</v>
      </c>
      <c r="E39" s="8">
        <v>21723104</v>
      </c>
      <c r="G39" s="4" t="s">
        <v>32</v>
      </c>
      <c r="H39" s="8">
        <v>102981.74591949876</v>
      </c>
      <c r="I39" s="8">
        <v>105931.37197501289</v>
      </c>
    </row>
    <row r="40" spans="1:9" x14ac:dyDescent="0.35">
      <c r="A40" s="4" t="s">
        <v>57</v>
      </c>
      <c r="B40" s="8">
        <v>93671.751760447907</v>
      </c>
      <c r="C40" s="8">
        <v>97793.087908899135</v>
      </c>
      <c r="D40" s="8">
        <v>333.66359027777992</v>
      </c>
      <c r="E40" s="8">
        <v>31254853</v>
      </c>
      <c r="G40" s="4" t="s">
        <v>10</v>
      </c>
      <c r="H40" s="8">
        <v>130235.89457526708</v>
      </c>
      <c r="I40" s="8">
        <v>122566.31219072331</v>
      </c>
    </row>
    <row r="41" spans="1:9" x14ac:dyDescent="0.35">
      <c r="A41" s="4" t="s">
        <v>64</v>
      </c>
      <c r="B41" s="8">
        <v>94399.560856597498</v>
      </c>
      <c r="C41" s="8">
        <v>87667.341797695335</v>
      </c>
      <c r="D41" s="8">
        <v>542.26659038978357</v>
      </c>
      <c r="E41" s="8">
        <v>51189728</v>
      </c>
      <c r="G41" s="4" t="s">
        <v>49</v>
      </c>
      <c r="H41" s="8">
        <v>97754.000249453777</v>
      </c>
      <c r="I41" s="8">
        <v>92033.738818561978</v>
      </c>
    </row>
    <row r="42" spans="1:9" x14ac:dyDescent="0.35">
      <c r="A42" s="4" t="s">
        <v>32</v>
      </c>
      <c r="B42" s="8">
        <v>102981.74591949876</v>
      </c>
      <c r="C42" s="8">
        <v>105931.37197501289</v>
      </c>
      <c r="D42" s="8">
        <v>296.2325577956999</v>
      </c>
      <c r="E42" s="8">
        <v>30506546</v>
      </c>
      <c r="G42" s="4" t="s">
        <v>58</v>
      </c>
      <c r="H42" s="8">
        <v>79599.806650006503</v>
      </c>
      <c r="I42" s="8">
        <v>79984.313672747172</v>
      </c>
    </row>
    <row r="43" spans="1:9" x14ac:dyDescent="0.35">
      <c r="A43" s="4" t="s">
        <v>10</v>
      </c>
      <c r="B43" s="8">
        <v>130235.89457526708</v>
      </c>
      <c r="C43" s="8">
        <v>122566.31219072331</v>
      </c>
      <c r="D43" s="8">
        <v>448.20555185932153</v>
      </c>
      <c r="E43" s="8">
        <v>58372451</v>
      </c>
      <c r="G43" s="4" t="s">
        <v>53</v>
      </c>
      <c r="H43" s="8">
        <v>100943.50032630075</v>
      </c>
      <c r="I43" s="8">
        <v>93540.217607286788</v>
      </c>
    </row>
    <row r="44" spans="1:9" x14ac:dyDescent="0.35">
      <c r="A44" s="4" t="s">
        <v>49</v>
      </c>
      <c r="B44" s="8">
        <v>97754.000249453777</v>
      </c>
      <c r="C44" s="8">
        <v>92033.738818561978</v>
      </c>
      <c r="D44" s="8">
        <v>309.29003337813731</v>
      </c>
      <c r="E44" s="8">
        <v>30234338</v>
      </c>
      <c r="G44" s="4" t="s">
        <v>78</v>
      </c>
      <c r="H44" s="8">
        <v>90221.833657005278</v>
      </c>
      <c r="I44" s="8">
        <v>80374.095610689546</v>
      </c>
    </row>
    <row r="45" spans="1:9" x14ac:dyDescent="0.35">
      <c r="A45" s="4" t="s">
        <v>58</v>
      </c>
      <c r="B45" s="8">
        <v>79599.806650006503</v>
      </c>
      <c r="C45" s="8">
        <v>79984.313672747172</v>
      </c>
      <c r="D45" s="8">
        <v>213.24103304211496</v>
      </c>
      <c r="E45" s="8">
        <v>16973945</v>
      </c>
      <c r="G45" s="4" t="s">
        <v>92</v>
      </c>
      <c r="H45" s="8">
        <v>75867.22907104154</v>
      </c>
      <c r="I45" s="8">
        <v>74856.972153223091</v>
      </c>
    </row>
    <row r="46" spans="1:9" x14ac:dyDescent="0.35">
      <c r="A46" s="4" t="s">
        <v>53</v>
      </c>
      <c r="B46" s="8">
        <v>100943.50032630075</v>
      </c>
      <c r="C46" s="8">
        <v>93540.217607286788</v>
      </c>
      <c r="D46" s="8">
        <v>358.29985965501976</v>
      </c>
      <c r="E46" s="8">
        <v>36168042</v>
      </c>
      <c r="G46" s="4" t="s">
        <v>130</v>
      </c>
      <c r="H46" s="8">
        <v>23937.506035654991</v>
      </c>
      <c r="I46" s="8">
        <v>22199.068896347013</v>
      </c>
    </row>
    <row r="47" spans="1:9" x14ac:dyDescent="0.35">
      <c r="A47" s="4" t="s">
        <v>78</v>
      </c>
      <c r="B47" s="8">
        <v>90221.833657005278</v>
      </c>
      <c r="C47" s="8">
        <v>80374.095610689546</v>
      </c>
      <c r="D47" s="8">
        <v>335.42856283602288</v>
      </c>
      <c r="E47" s="8">
        <v>30262980</v>
      </c>
      <c r="G47" s="4" t="s">
        <v>50</v>
      </c>
      <c r="H47" s="8">
        <v>101657.25667163699</v>
      </c>
      <c r="I47" s="8">
        <v>99556.938726549561</v>
      </c>
    </row>
    <row r="48" spans="1:9" x14ac:dyDescent="0.35">
      <c r="A48" s="4" t="s">
        <v>92</v>
      </c>
      <c r="B48" s="8">
        <v>75867.22907104154</v>
      </c>
      <c r="C48" s="8">
        <v>74856.972153223091</v>
      </c>
      <c r="D48" s="8">
        <v>260.33789874552019</v>
      </c>
      <c r="E48" s="8">
        <v>19751115</v>
      </c>
      <c r="G48" s="4" t="s">
        <v>91</v>
      </c>
      <c r="H48" s="8">
        <v>83302.677156375808</v>
      </c>
      <c r="I48" s="8">
        <v>82585.493202122743</v>
      </c>
    </row>
    <row r="49" spans="1:9" x14ac:dyDescent="0.35">
      <c r="A49" s="4" t="s">
        <v>130</v>
      </c>
      <c r="B49" s="8">
        <v>23937.506035654991</v>
      </c>
      <c r="C49" s="8">
        <v>22199.068896347013</v>
      </c>
      <c r="D49" s="8">
        <v>31.728827508960578</v>
      </c>
      <c r="E49" s="8">
        <v>759509</v>
      </c>
      <c r="G49" s="4" t="s">
        <v>74</v>
      </c>
      <c r="H49" s="8">
        <v>92818.014281948417</v>
      </c>
      <c r="I49" s="8">
        <v>91920.721752050391</v>
      </c>
    </row>
    <row r="50" spans="1:9" x14ac:dyDescent="0.35">
      <c r="A50" s="4" t="s">
        <v>50</v>
      </c>
      <c r="B50" s="8">
        <v>101657.25667163699</v>
      </c>
      <c r="C50" s="8">
        <v>99556.938726549561</v>
      </c>
      <c r="D50" s="8">
        <v>319.47804872312042</v>
      </c>
      <c r="E50" s="8">
        <v>32477262</v>
      </c>
      <c r="G50" s="4" t="s">
        <v>55</v>
      </c>
      <c r="H50" s="8">
        <v>104161.89825312924</v>
      </c>
      <c r="I50" s="8">
        <v>100326.42550351143</v>
      </c>
    </row>
    <row r="51" spans="1:9" x14ac:dyDescent="0.35">
      <c r="A51" s="4" t="s">
        <v>91</v>
      </c>
      <c r="B51" s="8">
        <v>83302.677156375808</v>
      </c>
      <c r="C51" s="8">
        <v>82585.493202122743</v>
      </c>
      <c r="D51" s="8">
        <v>261.06746796594979</v>
      </c>
      <c r="E51" s="8">
        <v>21747619</v>
      </c>
      <c r="G51" s="4" t="s">
        <v>80</v>
      </c>
      <c r="H51" s="8">
        <v>90094.807135129289</v>
      </c>
      <c r="I51" s="8">
        <v>89106.738141795111</v>
      </c>
    </row>
    <row r="52" spans="1:9" x14ac:dyDescent="0.35">
      <c r="A52" s="4" t="s">
        <v>74</v>
      </c>
      <c r="B52" s="8">
        <v>92818.014281948417</v>
      </c>
      <c r="C52" s="8">
        <v>91920.721752050391</v>
      </c>
      <c r="D52" s="8">
        <v>231.91202878584292</v>
      </c>
      <c r="E52" s="8">
        <v>21525614</v>
      </c>
      <c r="G52" s="4" t="s">
        <v>24</v>
      </c>
      <c r="H52" s="8">
        <v>116174.43653925569</v>
      </c>
      <c r="I52" s="8">
        <v>105758.74183519154</v>
      </c>
    </row>
    <row r="53" spans="1:9" x14ac:dyDescent="0.35">
      <c r="A53" s="4" t="s">
        <v>55</v>
      </c>
      <c r="B53" s="8">
        <v>104161.89825312924</v>
      </c>
      <c r="C53" s="8">
        <v>100326.42550351143</v>
      </c>
      <c r="D53" s="8">
        <v>230.45661995967748</v>
      </c>
      <c r="E53" s="8">
        <v>24004799</v>
      </c>
      <c r="G53" s="4" t="s">
        <v>29</v>
      </c>
      <c r="H53" s="8">
        <v>121033.79857226416</v>
      </c>
      <c r="I53" s="8">
        <v>136034.69704301492</v>
      </c>
    </row>
    <row r="54" spans="1:9" x14ac:dyDescent="0.35">
      <c r="A54" s="4" t="s">
        <v>80</v>
      </c>
      <c r="B54" s="8">
        <v>90094.807135129289</v>
      </c>
      <c r="C54" s="8">
        <v>89106.738141795111</v>
      </c>
      <c r="D54" s="8">
        <v>264.83970340501867</v>
      </c>
      <c r="E54" s="8">
        <v>23860682</v>
      </c>
      <c r="G54" s="4" t="s">
        <v>25</v>
      </c>
      <c r="H54" s="8">
        <v>121106.63074315281</v>
      </c>
      <c r="I54" s="8">
        <v>117655.2214804299</v>
      </c>
    </row>
    <row r="55" spans="1:9" x14ac:dyDescent="0.35">
      <c r="A55" s="4" t="s">
        <v>24</v>
      </c>
      <c r="B55" s="8">
        <v>116174.43653925569</v>
      </c>
      <c r="C55" s="8">
        <v>105758.74183519154</v>
      </c>
      <c r="D55" s="8">
        <v>497.58245206093216</v>
      </c>
      <c r="E55" s="8">
        <v>57806361</v>
      </c>
      <c r="G55" s="4" t="s">
        <v>112</v>
      </c>
      <c r="H55" s="8">
        <v>65338.50617325159</v>
      </c>
      <c r="I55" s="8">
        <v>62491.205090533709</v>
      </c>
    </row>
    <row r="56" spans="1:9" x14ac:dyDescent="0.35">
      <c r="A56" s="4" t="s">
        <v>29</v>
      </c>
      <c r="B56" s="8">
        <v>121033.79857226416</v>
      </c>
      <c r="C56" s="8">
        <v>136034.69704301492</v>
      </c>
      <c r="D56" s="8">
        <v>430.2526369847688</v>
      </c>
      <c r="E56" s="8">
        <v>52075111</v>
      </c>
      <c r="G56" s="4" t="s">
        <v>111</v>
      </c>
      <c r="H56" s="8">
        <v>66627.47654136215</v>
      </c>
      <c r="I56" s="8">
        <v>65876.19010120559</v>
      </c>
    </row>
    <row r="57" spans="1:9" x14ac:dyDescent="0.35">
      <c r="A57" s="4" t="s">
        <v>25</v>
      </c>
      <c r="B57" s="8">
        <v>121106.63074315281</v>
      </c>
      <c r="C57" s="8">
        <v>117655.2214804299</v>
      </c>
      <c r="D57" s="8">
        <v>424.21663194444614</v>
      </c>
      <c r="E57" s="8">
        <v>51375447</v>
      </c>
      <c r="G57" s="4" t="s">
        <v>121</v>
      </c>
      <c r="H57" s="8">
        <v>59618.609211586423</v>
      </c>
      <c r="I57" s="8">
        <v>62842.767567220726</v>
      </c>
    </row>
    <row r="58" spans="1:9" x14ac:dyDescent="0.35">
      <c r="A58" s="4" t="s">
        <v>112</v>
      </c>
      <c r="B58" s="8">
        <v>65338.50617325159</v>
      </c>
      <c r="C58" s="8">
        <v>62491.205090533709</v>
      </c>
      <c r="D58" s="8">
        <v>122.83450403225821</v>
      </c>
      <c r="E58" s="8">
        <v>8025823</v>
      </c>
      <c r="G58" s="4" t="s">
        <v>67</v>
      </c>
      <c r="H58" s="8">
        <v>94465.857083882394</v>
      </c>
      <c r="I58" s="8">
        <v>99142.625549297212</v>
      </c>
    </row>
    <row r="59" spans="1:9" x14ac:dyDescent="0.35">
      <c r="A59" s="4" t="s">
        <v>111</v>
      </c>
      <c r="B59" s="8">
        <v>66627.47654136215</v>
      </c>
      <c r="C59" s="8">
        <v>65876.19010120559</v>
      </c>
      <c r="D59" s="8">
        <v>190.98045822132613</v>
      </c>
      <c r="E59" s="8">
        <v>12724546</v>
      </c>
      <c r="G59" s="4" t="s">
        <v>119</v>
      </c>
      <c r="H59" s="8">
        <v>63458.430881673827</v>
      </c>
      <c r="I59" s="8">
        <v>76736.233776744702</v>
      </c>
    </row>
    <row r="60" spans="1:9" x14ac:dyDescent="0.35">
      <c r="A60" s="4" t="s">
        <v>121</v>
      </c>
      <c r="B60" s="8">
        <v>59618.609211586423</v>
      </c>
      <c r="C60" s="8">
        <v>62842.767567220726</v>
      </c>
      <c r="D60" s="8">
        <v>167.07120698924729</v>
      </c>
      <c r="E60" s="8">
        <v>9960553</v>
      </c>
      <c r="G60" s="4" t="s">
        <v>124</v>
      </c>
      <c r="H60" s="8">
        <v>52383.10585662628</v>
      </c>
      <c r="I60" s="8">
        <v>68292.440999999992</v>
      </c>
    </row>
    <row r="61" spans="1:9" x14ac:dyDescent="0.35">
      <c r="A61" s="4" t="s">
        <v>67</v>
      </c>
      <c r="B61" s="8">
        <v>94465.857083882394</v>
      </c>
      <c r="C61" s="8">
        <v>99142.625549297212</v>
      </c>
      <c r="D61" s="8">
        <v>360.20941375448245</v>
      </c>
      <c r="E61" s="8">
        <v>34027491</v>
      </c>
      <c r="G61" s="4" t="s">
        <v>120</v>
      </c>
      <c r="H61" s="8">
        <v>63819.031846726037</v>
      </c>
      <c r="I61" s="8">
        <v>77955.492512592333</v>
      </c>
    </row>
    <row r="62" spans="1:9" x14ac:dyDescent="0.35">
      <c r="A62" s="4" t="s">
        <v>119</v>
      </c>
      <c r="B62" s="8">
        <v>63458.430881673827</v>
      </c>
      <c r="C62" s="8">
        <v>76736.233776744702</v>
      </c>
      <c r="D62" s="8">
        <v>237.75739157706124</v>
      </c>
      <c r="E62" s="8">
        <v>15087711</v>
      </c>
      <c r="G62" s="4" t="s">
        <v>95</v>
      </c>
      <c r="H62" s="8">
        <v>70398.796786947336</v>
      </c>
      <c r="I62" s="8">
        <v>66732.041340850716</v>
      </c>
    </row>
    <row r="63" spans="1:9" x14ac:dyDescent="0.35">
      <c r="A63" s="4" t="s">
        <v>124</v>
      </c>
      <c r="B63" s="8">
        <v>52383.10585662628</v>
      </c>
      <c r="C63" s="8">
        <v>68292.440999999992</v>
      </c>
      <c r="D63" s="8">
        <v>65.114275761648727</v>
      </c>
      <c r="E63" s="8">
        <v>3410888</v>
      </c>
      <c r="G63" s="4" t="s">
        <v>73</v>
      </c>
      <c r="H63" s="8">
        <v>84583.000598844563</v>
      </c>
      <c r="I63" s="8">
        <v>83924.831878262601</v>
      </c>
    </row>
    <row r="64" spans="1:9" x14ac:dyDescent="0.35">
      <c r="A64" s="4" t="s">
        <v>120</v>
      </c>
      <c r="B64" s="8">
        <v>63819.031846726037</v>
      </c>
      <c r="C64" s="8">
        <v>77955.492512592333</v>
      </c>
      <c r="D64" s="8">
        <v>54.68981429211469</v>
      </c>
      <c r="E64" s="8">
        <v>3490251</v>
      </c>
      <c r="G64" s="4" t="s">
        <v>8</v>
      </c>
      <c r="H64" s="8">
        <v>129096.35894283504</v>
      </c>
      <c r="I64" s="8">
        <v>131577.02852718008</v>
      </c>
    </row>
    <row r="65" spans="1:9" x14ac:dyDescent="0.35">
      <c r="A65" s="4" t="s">
        <v>95</v>
      </c>
      <c r="B65" s="8">
        <v>70398.796786947336</v>
      </c>
      <c r="C65" s="8">
        <v>66732.041340850716</v>
      </c>
      <c r="D65" s="8">
        <v>48.13455846774194</v>
      </c>
      <c r="E65" s="8">
        <v>3388615</v>
      </c>
      <c r="G65" s="4" t="s">
        <v>84</v>
      </c>
      <c r="H65" s="8">
        <v>84477.595183967467</v>
      </c>
      <c r="I65" s="8">
        <v>90911.079293660165</v>
      </c>
    </row>
    <row r="66" spans="1:9" x14ac:dyDescent="0.35">
      <c r="A66" s="4" t="s">
        <v>73</v>
      </c>
      <c r="B66" s="8">
        <v>84583.000598844563</v>
      </c>
      <c r="C66" s="8">
        <v>83924.831878262601</v>
      </c>
      <c r="D66" s="8">
        <v>186.42267226702523</v>
      </c>
      <c r="E66" s="8">
        <v>15768189</v>
      </c>
      <c r="G66" s="4" t="s">
        <v>116</v>
      </c>
      <c r="H66" s="8">
        <v>63591.255519932332</v>
      </c>
      <c r="I66" s="8">
        <v>66137.276857041245</v>
      </c>
    </row>
    <row r="67" spans="1:9" x14ac:dyDescent="0.35">
      <c r="A67" s="4" t="s">
        <v>8</v>
      </c>
      <c r="B67" s="8">
        <v>129096.35894283504</v>
      </c>
      <c r="C67" s="8">
        <v>131577.02852718008</v>
      </c>
      <c r="D67" s="8">
        <v>64.136998655913985</v>
      </c>
      <c r="E67" s="8">
        <v>8279853</v>
      </c>
      <c r="G67" s="4" t="s">
        <v>45</v>
      </c>
      <c r="H67" s="8">
        <v>84244.676275620484</v>
      </c>
      <c r="I67" s="8">
        <v>89419.194670136596</v>
      </c>
    </row>
    <row r="68" spans="1:9" x14ac:dyDescent="0.35">
      <c r="A68" s="4" t="s">
        <v>84</v>
      </c>
      <c r="B68" s="8">
        <v>84477.595183967467</v>
      </c>
      <c r="C68" s="8">
        <v>90911.079293660165</v>
      </c>
      <c r="D68" s="8">
        <v>541.11630309139605</v>
      </c>
      <c r="E68" s="8">
        <v>45712204</v>
      </c>
      <c r="G68" s="4" t="s">
        <v>83</v>
      </c>
      <c r="H68" s="8">
        <v>88088.128968160905</v>
      </c>
      <c r="I68" s="8">
        <v>80404.273347095106</v>
      </c>
    </row>
    <row r="69" spans="1:9" x14ac:dyDescent="0.35">
      <c r="A69" s="4" t="s">
        <v>116</v>
      </c>
      <c r="B69" s="8">
        <v>63591.255519932332</v>
      </c>
      <c r="C69" s="8">
        <v>66137.276857041245</v>
      </c>
      <c r="D69" s="8">
        <v>51.082793906810046</v>
      </c>
      <c r="E69" s="8">
        <v>3248419</v>
      </c>
      <c r="G69" s="4" t="s">
        <v>44</v>
      </c>
      <c r="H69" s="8">
        <v>101609.99857451758</v>
      </c>
      <c r="I69" s="8">
        <v>93694.943392249406</v>
      </c>
    </row>
    <row r="70" spans="1:9" x14ac:dyDescent="0.35">
      <c r="A70" s="4" t="s">
        <v>45</v>
      </c>
      <c r="B70" s="8">
        <v>84244.676275620484</v>
      </c>
      <c r="C70" s="8">
        <v>89419.194670136596</v>
      </c>
      <c r="D70" s="8">
        <v>109.41861738351261</v>
      </c>
      <c r="E70" s="8">
        <v>9217936</v>
      </c>
      <c r="G70" s="4" t="s">
        <v>70</v>
      </c>
      <c r="H70" s="8">
        <v>93320.623240631074</v>
      </c>
      <c r="I70" s="8">
        <v>92606.697526364718</v>
      </c>
    </row>
    <row r="71" spans="1:9" x14ac:dyDescent="0.35">
      <c r="A71" s="4" t="s">
        <v>83</v>
      </c>
      <c r="B71" s="8">
        <v>88088.128968160905</v>
      </c>
      <c r="C71" s="8">
        <v>80404.273347095106</v>
      </c>
      <c r="D71" s="8">
        <v>218.17066868279557</v>
      </c>
      <c r="E71" s="8">
        <v>19218246</v>
      </c>
      <c r="G71" s="4" t="s">
        <v>89</v>
      </c>
      <c r="H71" s="8">
        <v>80492.60434130569</v>
      </c>
      <c r="I71" s="8">
        <v>70425.408728374328</v>
      </c>
    </row>
    <row r="72" spans="1:9" x14ac:dyDescent="0.35">
      <c r="A72" s="4" t="s">
        <v>44</v>
      </c>
      <c r="B72" s="8">
        <v>101609.99857451758</v>
      </c>
      <c r="C72" s="8">
        <v>93694.943392249406</v>
      </c>
      <c r="D72" s="8">
        <v>329.38072502240362</v>
      </c>
      <c r="E72" s="8">
        <v>33468375</v>
      </c>
      <c r="G72" s="4" t="s">
        <v>113</v>
      </c>
      <c r="H72" s="8">
        <v>63001.269826719436</v>
      </c>
      <c r="I72" s="8">
        <v>60975.209472196766</v>
      </c>
    </row>
    <row r="73" spans="1:9" x14ac:dyDescent="0.35">
      <c r="A73" s="4" t="s">
        <v>70</v>
      </c>
      <c r="B73" s="8">
        <v>93320.623240631074</v>
      </c>
      <c r="C73" s="8">
        <v>92606.697526364718</v>
      </c>
      <c r="D73" s="8">
        <v>294.28212163978566</v>
      </c>
      <c r="E73" s="8">
        <v>27462591</v>
      </c>
      <c r="G73" s="4" t="s">
        <v>109</v>
      </c>
      <c r="H73" s="8">
        <v>63290.016670450932</v>
      </c>
      <c r="I73" s="8">
        <v>58947.526006961845</v>
      </c>
    </row>
    <row r="74" spans="1:9" x14ac:dyDescent="0.35">
      <c r="A74" s="4" t="s">
        <v>89</v>
      </c>
      <c r="B74" s="8">
        <v>80492.60434130569</v>
      </c>
      <c r="C74" s="8">
        <v>70425.408728374328</v>
      </c>
      <c r="D74" s="8">
        <v>63.13337780017924</v>
      </c>
      <c r="E74" s="8">
        <v>5081770</v>
      </c>
      <c r="G74" s="4" t="s">
        <v>88</v>
      </c>
      <c r="H74" s="8">
        <v>83348.695485116361</v>
      </c>
      <c r="I74" s="8">
        <v>80018.936565416938</v>
      </c>
    </row>
    <row r="75" spans="1:9" x14ac:dyDescent="0.35">
      <c r="A75" s="4" t="s">
        <v>113</v>
      </c>
      <c r="B75" s="8">
        <v>63001.269826719436</v>
      </c>
      <c r="C75" s="8">
        <v>60975.209472196766</v>
      </c>
      <c r="D75" s="8">
        <v>48.196028561827958</v>
      </c>
      <c r="E75" s="8">
        <v>3036411</v>
      </c>
      <c r="G75" s="4" t="s">
        <v>33</v>
      </c>
      <c r="H75" s="8">
        <v>92332.64121437422</v>
      </c>
      <c r="I75" s="8">
        <v>80219.696838409538</v>
      </c>
    </row>
    <row r="76" spans="1:9" x14ac:dyDescent="0.35">
      <c r="A76" s="4" t="s">
        <v>109</v>
      </c>
      <c r="B76" s="8">
        <v>63290.016670450932</v>
      </c>
      <c r="C76" s="8">
        <v>58947.526006961845</v>
      </c>
      <c r="D76" s="8">
        <v>39.795265232974934</v>
      </c>
      <c r="E76" s="8">
        <v>2518643</v>
      </c>
      <c r="G76" s="4" t="s">
        <v>87</v>
      </c>
      <c r="H76" s="8">
        <v>84496.554526068488</v>
      </c>
      <c r="I76" s="8">
        <v>81900.143691821198</v>
      </c>
    </row>
    <row r="77" spans="1:9" x14ac:dyDescent="0.35">
      <c r="A77" s="4" t="s">
        <v>88</v>
      </c>
      <c r="B77" s="8">
        <v>83348.695485116361</v>
      </c>
      <c r="C77" s="8">
        <v>80018.936565416938</v>
      </c>
      <c r="D77" s="8">
        <v>68.83691420250895</v>
      </c>
      <c r="E77" s="8">
        <v>5737467</v>
      </c>
      <c r="G77" s="4" t="s">
        <v>114</v>
      </c>
      <c r="H77" s="8">
        <v>57238.768015564121</v>
      </c>
      <c r="I77" s="8">
        <v>65036.23490133333</v>
      </c>
    </row>
    <row r="78" spans="1:9" x14ac:dyDescent="0.35">
      <c r="A78" s="4" t="s">
        <v>33</v>
      </c>
      <c r="B78" s="8">
        <v>92332.64121437422</v>
      </c>
      <c r="C78" s="8">
        <v>80219.696838409538</v>
      </c>
      <c r="D78" s="8">
        <v>63.136047267025091</v>
      </c>
      <c r="E78" s="8">
        <v>5829518</v>
      </c>
      <c r="G78" s="4" t="s">
        <v>62</v>
      </c>
      <c r="H78" s="8">
        <v>95684.870424838271</v>
      </c>
      <c r="I78" s="8">
        <v>94082.671529596075</v>
      </c>
    </row>
    <row r="79" spans="1:9" x14ac:dyDescent="0.35">
      <c r="A79" s="4" t="s">
        <v>87</v>
      </c>
      <c r="B79" s="8">
        <v>84496.554526068488</v>
      </c>
      <c r="C79" s="8">
        <v>81900.143691821198</v>
      </c>
      <c r="D79" s="8">
        <v>52.733913530465983</v>
      </c>
      <c r="E79" s="8">
        <v>4455834</v>
      </c>
      <c r="G79" s="4" t="s">
        <v>30</v>
      </c>
      <c r="H79" s="8">
        <v>111282.84524859808</v>
      </c>
      <c r="I79" s="8">
        <v>105260.33589045437</v>
      </c>
    </row>
    <row r="80" spans="1:9" x14ac:dyDescent="0.35">
      <c r="A80" s="4" t="s">
        <v>114</v>
      </c>
      <c r="B80" s="8">
        <v>57238.768015564121</v>
      </c>
      <c r="C80" s="8">
        <v>65036.23490133333</v>
      </c>
      <c r="D80" s="8">
        <v>79.84466050627239</v>
      </c>
      <c r="E80" s="8">
        <v>4570210</v>
      </c>
      <c r="G80" s="4" t="s">
        <v>76</v>
      </c>
      <c r="H80" s="8">
        <v>95209.393837712269</v>
      </c>
      <c r="I80" s="8">
        <v>95666.555708761502</v>
      </c>
    </row>
    <row r="81" spans="1:9" x14ac:dyDescent="0.35">
      <c r="A81" s="4" t="s">
        <v>62</v>
      </c>
      <c r="B81" s="8">
        <v>95684.870424838271</v>
      </c>
      <c r="C81" s="8">
        <v>94082.671529596075</v>
      </c>
      <c r="D81" s="8">
        <v>149.13046270161283</v>
      </c>
      <c r="E81" s="8">
        <v>14269529</v>
      </c>
      <c r="G81" s="4" t="s">
        <v>28</v>
      </c>
      <c r="H81" s="8">
        <v>109556.19345754675</v>
      </c>
      <c r="I81" s="8">
        <v>127840.71471228341</v>
      </c>
    </row>
    <row r="82" spans="1:9" x14ac:dyDescent="0.35">
      <c r="A82" s="4" t="s">
        <v>30</v>
      </c>
      <c r="B82" s="8">
        <v>111282.84524859808</v>
      </c>
      <c r="C82" s="8">
        <v>105260.33589045437</v>
      </c>
      <c r="D82" s="8">
        <v>466.35234643817472</v>
      </c>
      <c r="E82" s="8">
        <v>51897016</v>
      </c>
      <c r="G82" s="4" t="s">
        <v>48</v>
      </c>
      <c r="H82" s="8">
        <v>98181.504117383403</v>
      </c>
      <c r="I82" s="8">
        <v>111064.52287665148</v>
      </c>
    </row>
    <row r="83" spans="1:9" x14ac:dyDescent="0.35">
      <c r="A83" s="4" t="s">
        <v>76</v>
      </c>
      <c r="B83" s="8">
        <v>95209.393837712269</v>
      </c>
      <c r="C83" s="8">
        <v>95666.555708761502</v>
      </c>
      <c r="D83" s="8">
        <v>345.53386671147081</v>
      </c>
      <c r="E83" s="8">
        <v>32898070</v>
      </c>
      <c r="G83" s="4" t="s">
        <v>69</v>
      </c>
      <c r="H83" s="8">
        <v>97292.158546562743</v>
      </c>
      <c r="I83" s="8">
        <v>91714.442213323287</v>
      </c>
    </row>
    <row r="84" spans="1:9" x14ac:dyDescent="0.35">
      <c r="A84" s="4" t="s">
        <v>28</v>
      </c>
      <c r="B84" s="8">
        <v>109556.19345754675</v>
      </c>
      <c r="C84" s="8">
        <v>127840.71471228341</v>
      </c>
      <c r="D84" s="8">
        <v>305.88835685484048</v>
      </c>
      <c r="E84" s="8">
        <v>33511964</v>
      </c>
      <c r="G84" s="4" t="s">
        <v>61</v>
      </c>
      <c r="H84" s="8">
        <v>101884.4589704471</v>
      </c>
      <c r="I84" s="8">
        <v>99240.027445396001</v>
      </c>
    </row>
    <row r="85" spans="1:9" x14ac:dyDescent="0.35">
      <c r="A85" s="4" t="s">
        <v>48</v>
      </c>
      <c r="B85" s="8">
        <v>98181.504117383403</v>
      </c>
      <c r="C85" s="8">
        <v>111064.52287665148</v>
      </c>
      <c r="D85" s="8">
        <v>272.19044198028746</v>
      </c>
      <c r="E85" s="8">
        <v>26724067</v>
      </c>
      <c r="G85" s="4" t="s">
        <v>46</v>
      </c>
      <c r="H85" s="8">
        <v>106997.32969215015</v>
      </c>
      <c r="I85" s="8">
        <v>102489.21409198358</v>
      </c>
    </row>
    <row r="86" spans="1:9" x14ac:dyDescent="0.35">
      <c r="A86" s="4" t="s">
        <v>69</v>
      </c>
      <c r="B86" s="8">
        <v>97292.158546562743</v>
      </c>
      <c r="C86" s="8">
        <v>91714.442213323287</v>
      </c>
      <c r="D86" s="8">
        <v>269.56079905914009</v>
      </c>
      <c r="E86" s="8">
        <v>26226152</v>
      </c>
      <c r="G86" s="4" t="s">
        <v>41</v>
      </c>
      <c r="H86" s="8">
        <v>103302.01044616132</v>
      </c>
      <c r="I86" s="8">
        <v>104131.02200771439</v>
      </c>
    </row>
    <row r="87" spans="1:9" x14ac:dyDescent="0.35">
      <c r="A87" s="4" t="s">
        <v>61</v>
      </c>
      <c r="B87" s="8">
        <v>101884.4589704471</v>
      </c>
      <c r="C87" s="8">
        <v>99240.027445396001</v>
      </c>
      <c r="D87" s="8">
        <v>457.09798599910681</v>
      </c>
      <c r="E87" s="8">
        <v>46571181</v>
      </c>
      <c r="G87" s="4" t="s">
        <v>99</v>
      </c>
      <c r="H87" s="8">
        <v>69335.717775350888</v>
      </c>
      <c r="I87" s="8">
        <v>78923.344471570294</v>
      </c>
    </row>
    <row r="88" spans="1:9" x14ac:dyDescent="0.35">
      <c r="A88" s="4" t="s">
        <v>46</v>
      </c>
      <c r="B88" s="8">
        <v>106997.32969215015</v>
      </c>
      <c r="C88" s="8">
        <v>102489.21409198358</v>
      </c>
      <c r="D88" s="8">
        <v>345.95218503584465</v>
      </c>
      <c r="E88" s="8">
        <v>37015960</v>
      </c>
      <c r="G88" s="4" t="s">
        <v>118</v>
      </c>
      <c r="H88" s="8">
        <v>64048.676841330758</v>
      </c>
      <c r="I88" s="8">
        <v>66604.462925138316</v>
      </c>
    </row>
    <row r="89" spans="1:9" x14ac:dyDescent="0.35">
      <c r="A89" s="4" t="s">
        <v>41</v>
      </c>
      <c r="B89" s="8">
        <v>103302.01044616132</v>
      </c>
      <c r="C89" s="8">
        <v>104131.02200771439</v>
      </c>
      <c r="D89" s="8">
        <v>267.15939874552112</v>
      </c>
      <c r="E89" s="8">
        <v>27598103</v>
      </c>
      <c r="G89" s="4" t="s">
        <v>65</v>
      </c>
      <c r="H89" s="8">
        <v>94587.934598431602</v>
      </c>
      <c r="I89" s="8">
        <v>93702.574747203907</v>
      </c>
    </row>
    <row r="90" spans="1:9" x14ac:dyDescent="0.35">
      <c r="A90" s="4" t="s">
        <v>99</v>
      </c>
      <c r="B90" s="8">
        <v>69335.717775350888</v>
      </c>
      <c r="C90" s="8">
        <v>78923.344471570294</v>
      </c>
      <c r="D90" s="8">
        <v>116.77676758512541</v>
      </c>
      <c r="E90" s="8">
        <v>8096801</v>
      </c>
      <c r="G90" s="4" t="s">
        <v>102</v>
      </c>
      <c r="H90" s="8">
        <v>65247.179663565519</v>
      </c>
      <c r="I90" s="8">
        <v>64699.02231666875</v>
      </c>
    </row>
    <row r="91" spans="1:9" x14ac:dyDescent="0.35">
      <c r="A91" s="4" t="s">
        <v>118</v>
      </c>
      <c r="B91" s="8">
        <v>64048.676841330758</v>
      </c>
      <c r="C91" s="8">
        <v>66604.462925138316</v>
      </c>
      <c r="D91" s="8">
        <v>91.44818111559141</v>
      </c>
      <c r="E91" s="8">
        <v>5857135</v>
      </c>
      <c r="G91" s="4" t="s">
        <v>77</v>
      </c>
      <c r="H91" s="8">
        <v>92535.333870276212</v>
      </c>
      <c r="I91" s="8">
        <v>89203.670165103234</v>
      </c>
    </row>
    <row r="92" spans="1:9" x14ac:dyDescent="0.35">
      <c r="A92" s="4" t="s">
        <v>65</v>
      </c>
      <c r="B92" s="8">
        <v>94587.934598431602</v>
      </c>
      <c r="C92" s="8">
        <v>93702.574747203907</v>
      </c>
      <c r="D92" s="8">
        <v>319.40006014785047</v>
      </c>
      <c r="E92" s="8">
        <v>30211392</v>
      </c>
      <c r="G92" s="4" t="s">
        <v>43</v>
      </c>
      <c r="H92" s="8">
        <v>106890.02412821361</v>
      </c>
      <c r="I92" s="8">
        <v>100124.84951946058</v>
      </c>
    </row>
    <row r="93" spans="1:9" x14ac:dyDescent="0.35">
      <c r="A93" s="4" t="s">
        <v>102</v>
      </c>
      <c r="B93" s="8">
        <v>65247.179663565519</v>
      </c>
      <c r="C93" s="8">
        <v>64699.02231666875</v>
      </c>
      <c r="D93" s="8">
        <v>149.24527083333342</v>
      </c>
      <c r="E93" s="8">
        <v>9737833</v>
      </c>
      <c r="G93" s="4" t="s">
        <v>23</v>
      </c>
      <c r="H93" s="8">
        <v>118676.96768282347</v>
      </c>
      <c r="I93" s="8">
        <v>112526.63907718423</v>
      </c>
    </row>
    <row r="94" spans="1:9" x14ac:dyDescent="0.35">
      <c r="A94" s="4" t="s">
        <v>77</v>
      </c>
      <c r="B94" s="8">
        <v>92535.333870276212</v>
      </c>
      <c r="C94" s="8">
        <v>89203.670165103234</v>
      </c>
      <c r="D94" s="8">
        <v>265.9029256272413</v>
      </c>
      <c r="E94" s="8">
        <v>24605416</v>
      </c>
      <c r="G94" s="4" t="s">
        <v>129</v>
      </c>
      <c r="H94" s="8">
        <v>40958.737729768349</v>
      </c>
      <c r="I94" s="8">
        <v>35517.61841096291</v>
      </c>
    </row>
    <row r="95" spans="1:9" x14ac:dyDescent="0.35">
      <c r="A95" s="4" t="s">
        <v>43</v>
      </c>
      <c r="B95" s="8">
        <v>106890.02412821361</v>
      </c>
      <c r="C95" s="8">
        <v>100124.84951946058</v>
      </c>
      <c r="D95" s="8">
        <v>360.76492932347946</v>
      </c>
      <c r="E95" s="8">
        <v>38562172</v>
      </c>
      <c r="G95" s="4" t="s">
        <v>31</v>
      </c>
      <c r="H95" s="8">
        <v>109550.42643488858</v>
      </c>
      <c r="I95" s="8">
        <v>107726.51943540889</v>
      </c>
    </row>
    <row r="96" spans="1:9" x14ac:dyDescent="0.35">
      <c r="A96" s="4" t="s">
        <v>23</v>
      </c>
      <c r="B96" s="8">
        <v>118676.96768282347</v>
      </c>
      <c r="C96" s="8">
        <v>112526.63907718423</v>
      </c>
      <c r="D96" s="8">
        <v>302.44594802867528</v>
      </c>
      <c r="E96" s="8">
        <v>35893368</v>
      </c>
      <c r="G96" s="4" t="s">
        <v>42</v>
      </c>
      <c r="H96" s="8">
        <v>109938.82608814504</v>
      </c>
      <c r="I96" s="8">
        <v>99944.627752926448</v>
      </c>
    </row>
    <row r="97" spans="1:9" x14ac:dyDescent="0.35">
      <c r="A97" s="4" t="s">
        <v>129</v>
      </c>
      <c r="B97" s="8">
        <v>40958.737729768349</v>
      </c>
      <c r="C97" s="8">
        <v>35517.61841096291</v>
      </c>
      <c r="D97" s="8">
        <v>35.450946012544811</v>
      </c>
      <c r="E97" s="8">
        <v>1452026</v>
      </c>
      <c r="G97" s="4" t="s">
        <v>59</v>
      </c>
      <c r="H97" s="8">
        <v>99600.621625454733</v>
      </c>
      <c r="I97" s="8">
        <v>93948.89966952226</v>
      </c>
    </row>
    <row r="98" spans="1:9" x14ac:dyDescent="0.35">
      <c r="A98" s="4" t="s">
        <v>31</v>
      </c>
      <c r="B98" s="8">
        <v>109550.42643488858</v>
      </c>
      <c r="C98" s="8">
        <v>107726.51943540889</v>
      </c>
      <c r="D98" s="8">
        <v>423.83215210573655</v>
      </c>
      <c r="E98" s="8">
        <v>46430993</v>
      </c>
      <c r="G98" s="4" t="s">
        <v>56</v>
      </c>
      <c r="H98" s="8">
        <v>97231.056283298632</v>
      </c>
      <c r="I98" s="8">
        <v>117637.54340594193</v>
      </c>
    </row>
    <row r="99" spans="1:9" x14ac:dyDescent="0.35">
      <c r="A99" s="4" t="s">
        <v>42</v>
      </c>
      <c r="B99" s="8">
        <v>109938.82608814504</v>
      </c>
      <c r="C99" s="8">
        <v>99944.627752926448</v>
      </c>
      <c r="D99" s="8">
        <v>264.86329749103936</v>
      </c>
      <c r="E99" s="8">
        <v>29118760</v>
      </c>
      <c r="G99" s="4" t="s">
        <v>22</v>
      </c>
      <c r="H99" s="8">
        <v>117840.74386366793</v>
      </c>
      <c r="I99" s="8">
        <v>101198.85700587655</v>
      </c>
    </row>
    <row r="100" spans="1:9" x14ac:dyDescent="0.35">
      <c r="A100" s="4" t="s">
        <v>59</v>
      </c>
      <c r="B100" s="8">
        <v>99600.621625454733</v>
      </c>
      <c r="C100" s="8">
        <v>93948.89966952226</v>
      </c>
      <c r="D100" s="8">
        <v>444.38256787634708</v>
      </c>
      <c r="E100" s="8">
        <v>44260780</v>
      </c>
      <c r="G100" s="4" t="s">
        <v>39</v>
      </c>
      <c r="H100" s="8">
        <v>106232.43182756678</v>
      </c>
      <c r="I100" s="8">
        <v>102744.34098428838</v>
      </c>
    </row>
    <row r="101" spans="1:9" x14ac:dyDescent="0.35">
      <c r="A101" s="4" t="s">
        <v>56</v>
      </c>
      <c r="B101" s="8">
        <v>97231.056283298632</v>
      </c>
      <c r="C101" s="8">
        <v>117637.54340594193</v>
      </c>
      <c r="D101" s="8">
        <v>317.26919545251127</v>
      </c>
      <c r="E101" s="8">
        <v>30848419</v>
      </c>
      <c r="G101" s="4" t="s">
        <v>36</v>
      </c>
      <c r="H101" s="8">
        <v>115367.75203510442</v>
      </c>
      <c r="I101" s="8">
        <v>124751.5748337844</v>
      </c>
    </row>
    <row r="102" spans="1:9" x14ac:dyDescent="0.35">
      <c r="A102" s="4" t="s">
        <v>22</v>
      </c>
      <c r="B102" s="8">
        <v>117840.74386366793</v>
      </c>
      <c r="C102" s="8">
        <v>101198.85700587655</v>
      </c>
      <c r="D102" s="8">
        <v>258.61503416218693</v>
      </c>
      <c r="E102" s="8">
        <v>30475388</v>
      </c>
      <c r="G102" s="4" t="s">
        <v>15</v>
      </c>
      <c r="H102" s="8">
        <v>133568.33509138747</v>
      </c>
      <c r="I102" s="8">
        <v>130774.94759931914</v>
      </c>
    </row>
    <row r="103" spans="1:9" x14ac:dyDescent="0.35">
      <c r="A103" s="4" t="s">
        <v>39</v>
      </c>
      <c r="B103" s="8">
        <v>106232.43182756678</v>
      </c>
      <c r="C103" s="8">
        <v>102744.34098428838</v>
      </c>
      <c r="D103" s="8">
        <v>426.73787298387168</v>
      </c>
      <c r="E103" s="8">
        <v>45333402</v>
      </c>
      <c r="G103" s="4" t="s">
        <v>63</v>
      </c>
      <c r="H103" s="8">
        <v>93732.628876248302</v>
      </c>
      <c r="I103" s="8">
        <v>106674.03005959385</v>
      </c>
    </row>
    <row r="104" spans="1:9" x14ac:dyDescent="0.35">
      <c r="A104" s="4" t="s">
        <v>36</v>
      </c>
      <c r="B104" s="8">
        <v>115367.75203510442</v>
      </c>
      <c r="C104" s="8">
        <v>124751.5748337844</v>
      </c>
      <c r="D104" s="8">
        <v>369.86749977598606</v>
      </c>
      <c r="E104" s="8">
        <v>42670782</v>
      </c>
      <c r="G104" s="4" t="s">
        <v>93</v>
      </c>
      <c r="H104" s="8">
        <v>77140.134794389043</v>
      </c>
      <c r="I104" s="8">
        <v>88383.335714285713</v>
      </c>
    </row>
    <row r="105" spans="1:9" x14ac:dyDescent="0.35">
      <c r="A105" s="4" t="s">
        <v>15</v>
      </c>
      <c r="B105" s="8">
        <v>133568.33509138747</v>
      </c>
      <c r="C105" s="8">
        <v>130774.94759931914</v>
      </c>
      <c r="D105" s="8">
        <v>283.03355712365715</v>
      </c>
      <c r="E105" s="8">
        <v>37804321</v>
      </c>
      <c r="G105" s="4" t="s">
        <v>117</v>
      </c>
      <c r="H105" s="8">
        <v>62821.5829358474</v>
      </c>
      <c r="I105" s="8">
        <v>59138.192584849443</v>
      </c>
    </row>
    <row r="106" spans="1:9" x14ac:dyDescent="0.35">
      <c r="A106" s="4" t="s">
        <v>63</v>
      </c>
      <c r="B106" s="8">
        <v>93732.628876248302</v>
      </c>
      <c r="C106" s="8">
        <v>106674.03005959385</v>
      </c>
      <c r="D106" s="8">
        <v>382.95054166666745</v>
      </c>
      <c r="E106" s="8">
        <v>35894961</v>
      </c>
      <c r="G106" s="4" t="s">
        <v>128</v>
      </c>
      <c r="H106" s="8">
        <v>53352.780594953692</v>
      </c>
      <c r="I106" s="8">
        <v>53435.320919743674</v>
      </c>
    </row>
    <row r="107" spans="1:9" x14ac:dyDescent="0.35">
      <c r="A107" s="4" t="s">
        <v>93</v>
      </c>
      <c r="B107" s="8">
        <v>77140.134794389043</v>
      </c>
      <c r="C107" s="8">
        <v>88383.335714285713</v>
      </c>
      <c r="D107" s="8">
        <v>399.58764762544945</v>
      </c>
      <c r="E107" s="8">
        <v>30824245</v>
      </c>
      <c r="G107" s="4" t="s">
        <v>126</v>
      </c>
      <c r="H107" s="8">
        <v>49169.24626614451</v>
      </c>
      <c r="I107" s="8">
        <v>58806.556347716483</v>
      </c>
    </row>
    <row r="108" spans="1:9" x14ac:dyDescent="0.35">
      <c r="A108" s="4" t="s">
        <v>117</v>
      </c>
      <c r="B108" s="8">
        <v>62821.5829358474</v>
      </c>
      <c r="C108" s="8">
        <v>59138.192584849443</v>
      </c>
      <c r="D108" s="8">
        <v>294.78394422043067</v>
      </c>
      <c r="E108" s="8">
        <v>18518794</v>
      </c>
      <c r="G108" s="4" t="s">
        <v>103</v>
      </c>
      <c r="H108" s="8">
        <v>69568.089703697653</v>
      </c>
      <c r="I108" s="8">
        <v>68852.657841736305</v>
      </c>
    </row>
    <row r="109" spans="1:9" x14ac:dyDescent="0.35">
      <c r="A109" s="4" t="s">
        <v>128</v>
      </c>
      <c r="B109" s="8">
        <v>53352.780594953692</v>
      </c>
      <c r="C109" s="8">
        <v>53435.320919743674</v>
      </c>
      <c r="D109" s="8">
        <v>255.15479883512558</v>
      </c>
      <c r="E109" s="8">
        <v>13613218</v>
      </c>
    </row>
    <row r="110" spans="1:9" x14ac:dyDescent="0.35">
      <c r="A110" s="4" t="s">
        <v>126</v>
      </c>
      <c r="B110" s="8">
        <v>49169.24626614451</v>
      </c>
      <c r="C110" s="8">
        <v>58806.556347716483</v>
      </c>
      <c r="D110" s="8">
        <v>294.42969130824486</v>
      </c>
      <c r="E110" s="8">
        <v>14476886</v>
      </c>
      <c r="G110" s="4" t="s">
        <v>125</v>
      </c>
      <c r="H110" s="8">
        <v>55265.545451394704</v>
      </c>
      <c r="I110" s="8">
        <v>55698.093996917458</v>
      </c>
    </row>
    <row r="111" spans="1:9" x14ac:dyDescent="0.35">
      <c r="A111" s="4" t="s">
        <v>103</v>
      </c>
      <c r="B111" s="8">
        <v>69568.089703697653</v>
      </c>
      <c r="C111" s="8">
        <v>68852.657841736305</v>
      </c>
      <c r="D111" s="8">
        <v>387.82112768817296</v>
      </c>
      <c r="E111" s="8">
        <v>26979975</v>
      </c>
      <c r="G111" s="4" t="s">
        <v>122</v>
      </c>
      <c r="H111" s="8">
        <v>45317.042694391981</v>
      </c>
      <c r="I111" s="8">
        <v>31821.084287200832</v>
      </c>
    </row>
    <row r="112" spans="1:9" x14ac:dyDescent="0.35">
      <c r="A112" s="4" t="s">
        <v>127</v>
      </c>
      <c r="B112" s="8">
        <v>37461.957817109884</v>
      </c>
      <c r="C112" s="8"/>
      <c r="D112" s="8">
        <v>178.34436290322628</v>
      </c>
      <c r="E112" s="8">
        <v>6681129</v>
      </c>
      <c r="G112" s="4" t="s">
        <v>123</v>
      </c>
      <c r="H112" s="8">
        <v>54340.133101089486</v>
      </c>
      <c r="I112" s="8">
        <v>52791.572176694965</v>
      </c>
    </row>
    <row r="113" spans="1:9" x14ac:dyDescent="0.35">
      <c r="A113" s="4" t="s">
        <v>125</v>
      </c>
      <c r="B113" s="8">
        <v>55265.545451394704</v>
      </c>
      <c r="C113" s="8">
        <v>55698.093996917458</v>
      </c>
      <c r="D113" s="8">
        <v>244.67971662186397</v>
      </c>
      <c r="E113" s="8">
        <v>13522358</v>
      </c>
      <c r="G113" s="4" t="s">
        <v>101</v>
      </c>
      <c r="H113" s="8">
        <v>60434.753180617932</v>
      </c>
      <c r="I113" s="8">
        <v>46979.687293327639</v>
      </c>
    </row>
    <row r="114" spans="1:9" x14ac:dyDescent="0.35">
      <c r="A114" s="4" t="s">
        <v>122</v>
      </c>
      <c r="B114" s="8">
        <v>45317.042694391981</v>
      </c>
      <c r="C114" s="8">
        <v>31821.084287200832</v>
      </c>
      <c r="D114" s="8">
        <v>338.15637757616491</v>
      </c>
      <c r="E114" s="8">
        <v>15324247</v>
      </c>
    </row>
    <row r="115" spans="1:9" x14ac:dyDescent="0.35">
      <c r="A115" s="4" t="s">
        <v>123</v>
      </c>
      <c r="B115" s="8">
        <v>54340.133101089486</v>
      </c>
      <c r="C115" s="8">
        <v>52791.572176694965</v>
      </c>
      <c r="D115" s="8">
        <v>47.592356742831548</v>
      </c>
      <c r="E115" s="8">
        <v>2586175</v>
      </c>
    </row>
    <row r="116" spans="1:9" x14ac:dyDescent="0.35">
      <c r="A116" s="4" t="s">
        <v>101</v>
      </c>
      <c r="B116" s="8">
        <v>60434.753180617932</v>
      </c>
      <c r="C116" s="8">
        <v>46979.687293327639</v>
      </c>
      <c r="D116" s="8">
        <v>28.349731070788529</v>
      </c>
      <c r="E116" s="8">
        <v>1713309</v>
      </c>
    </row>
    <row r="117" spans="1:9" x14ac:dyDescent="0.35">
      <c r="A117" s="4" t="s">
        <v>135</v>
      </c>
      <c r="B117" s="8">
        <v>92803.938002964176</v>
      </c>
      <c r="C117" s="8">
        <v>91337.757274337113</v>
      </c>
      <c r="D117" s="8">
        <v>30559.641034946326</v>
      </c>
      <c r="E117" s="8">
        <v>2836055032</v>
      </c>
    </row>
    <row r="118" spans="1:9" x14ac:dyDescent="0.35">
      <c r="B118"/>
      <c r="C118"/>
      <c r="D118"/>
      <c r="E118"/>
    </row>
    <row r="119" spans="1:9" x14ac:dyDescent="0.35">
      <c r="B119"/>
      <c r="C119"/>
      <c r="D119"/>
      <c r="E119"/>
    </row>
    <row r="120" spans="1:9" x14ac:dyDescent="0.35">
      <c r="B120"/>
      <c r="C120"/>
      <c r="D120"/>
      <c r="E120"/>
    </row>
    <row r="121" spans="1:9" x14ac:dyDescent="0.35">
      <c r="B121"/>
      <c r="C121"/>
      <c r="D121"/>
      <c r="E121"/>
    </row>
    <row r="122" spans="1:9" x14ac:dyDescent="0.35">
      <c r="B122"/>
      <c r="C122"/>
      <c r="D122"/>
      <c r="E122"/>
    </row>
    <row r="123" spans="1:9" x14ac:dyDescent="0.35">
      <c r="B123"/>
      <c r="C123"/>
      <c r="D123"/>
      <c r="E123"/>
    </row>
    <row r="124" spans="1:9" x14ac:dyDescent="0.35">
      <c r="B124"/>
      <c r="C124"/>
      <c r="D124"/>
      <c r="E124"/>
    </row>
    <row r="125" spans="1:9" x14ac:dyDescent="0.35">
      <c r="B125"/>
      <c r="C125"/>
      <c r="D125"/>
      <c r="E125"/>
    </row>
    <row r="126" spans="1:9" x14ac:dyDescent="0.35">
      <c r="B126"/>
      <c r="C126"/>
      <c r="D126"/>
      <c r="E126"/>
    </row>
    <row r="127" spans="1:9" x14ac:dyDescent="0.35">
      <c r="B127"/>
      <c r="C127"/>
      <c r="D127"/>
      <c r="E127"/>
    </row>
    <row r="128" spans="1:9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  <c r="D135"/>
      <c r="E135"/>
    </row>
    <row r="136" spans="2:5" x14ac:dyDescent="0.35">
      <c r="B136"/>
      <c r="C136"/>
      <c r="D136"/>
      <c r="E136"/>
    </row>
    <row r="137" spans="2:5" x14ac:dyDescent="0.35">
      <c r="B137"/>
      <c r="C137"/>
      <c r="D137"/>
      <c r="E137"/>
    </row>
    <row r="138" spans="2:5" x14ac:dyDescent="0.35">
      <c r="B138"/>
      <c r="C138"/>
      <c r="D138"/>
      <c r="E138"/>
    </row>
    <row r="139" spans="2:5" x14ac:dyDescent="0.35">
      <c r="B139"/>
      <c r="C139"/>
      <c r="D139"/>
      <c r="E139"/>
    </row>
    <row r="140" spans="2:5" x14ac:dyDescent="0.35">
      <c r="B140"/>
      <c r="C140"/>
      <c r="D140"/>
      <c r="E140"/>
    </row>
    <row r="141" spans="2:5" x14ac:dyDescent="0.35">
      <c r="B141"/>
      <c r="C141"/>
      <c r="D141"/>
      <c r="E141"/>
    </row>
    <row r="142" spans="2:5" x14ac:dyDescent="0.35">
      <c r="B142"/>
      <c r="C142"/>
      <c r="D142"/>
      <c r="E142"/>
    </row>
    <row r="143" spans="2:5" x14ac:dyDescent="0.35">
      <c r="B143"/>
      <c r="C143"/>
      <c r="D143"/>
      <c r="E143"/>
    </row>
    <row r="144" spans="2:5" x14ac:dyDescent="0.35">
      <c r="B144"/>
      <c r="C144"/>
      <c r="D144"/>
      <c r="E144"/>
    </row>
    <row r="145" spans="2:5" x14ac:dyDescent="0.35">
      <c r="B145"/>
      <c r="C145"/>
      <c r="D145"/>
      <c r="E145"/>
    </row>
    <row r="146" spans="2:5" x14ac:dyDescent="0.35">
      <c r="B146"/>
      <c r="C146"/>
      <c r="D146"/>
      <c r="E146"/>
    </row>
    <row r="147" spans="2:5" x14ac:dyDescent="0.35">
      <c r="B147"/>
      <c r="C147"/>
      <c r="D147"/>
      <c r="E147"/>
    </row>
    <row r="148" spans="2:5" x14ac:dyDescent="0.35">
      <c r="B148"/>
      <c r="C148"/>
      <c r="D148"/>
      <c r="E148"/>
    </row>
    <row r="149" spans="2:5" x14ac:dyDescent="0.35">
      <c r="B149"/>
      <c r="C149"/>
      <c r="D149"/>
      <c r="E149"/>
    </row>
    <row r="150" spans="2:5" x14ac:dyDescent="0.35">
      <c r="B150"/>
      <c r="C150"/>
      <c r="D150"/>
      <c r="E150"/>
    </row>
    <row r="151" spans="2:5" x14ac:dyDescent="0.35">
      <c r="B151"/>
      <c r="C151"/>
      <c r="D151"/>
      <c r="E151"/>
    </row>
    <row r="152" spans="2:5" x14ac:dyDescent="0.35">
      <c r="B152"/>
      <c r="C152"/>
      <c r="D152"/>
      <c r="E152"/>
    </row>
    <row r="153" spans="2:5" x14ac:dyDescent="0.35">
      <c r="B153"/>
      <c r="C153"/>
      <c r="D153"/>
      <c r="E153"/>
    </row>
    <row r="154" spans="2:5" x14ac:dyDescent="0.35">
      <c r="B154"/>
      <c r="C154"/>
      <c r="D154"/>
      <c r="E154"/>
    </row>
    <row r="155" spans="2:5" x14ac:dyDescent="0.35">
      <c r="B155"/>
      <c r="C155"/>
      <c r="D155"/>
      <c r="E155"/>
    </row>
    <row r="156" spans="2:5" x14ac:dyDescent="0.35">
      <c r="B156"/>
      <c r="C156"/>
      <c r="D156"/>
      <c r="E156"/>
    </row>
    <row r="157" spans="2:5" x14ac:dyDescent="0.35">
      <c r="B157"/>
      <c r="C157"/>
      <c r="D157"/>
      <c r="E157"/>
    </row>
    <row r="158" spans="2:5" x14ac:dyDescent="0.35">
      <c r="B158"/>
      <c r="C158"/>
      <c r="D158"/>
      <c r="E158"/>
    </row>
    <row r="159" spans="2:5" x14ac:dyDescent="0.35">
      <c r="B159"/>
      <c r="C159"/>
      <c r="D159"/>
      <c r="E159"/>
    </row>
    <row r="160" spans="2:5" x14ac:dyDescent="0.35">
      <c r="B160"/>
      <c r="C160"/>
      <c r="D160"/>
      <c r="E160"/>
    </row>
    <row r="161" spans="2:5" x14ac:dyDescent="0.35">
      <c r="B161"/>
      <c r="C161"/>
      <c r="D161"/>
      <c r="E161"/>
    </row>
    <row r="162" spans="2:5" x14ac:dyDescent="0.35">
      <c r="B162"/>
      <c r="C162"/>
      <c r="D162"/>
      <c r="E162"/>
    </row>
    <row r="163" spans="2:5" x14ac:dyDescent="0.35">
      <c r="B163"/>
      <c r="C163"/>
      <c r="D163"/>
      <c r="E163"/>
    </row>
    <row r="164" spans="2:5" x14ac:dyDescent="0.35">
      <c r="B164"/>
      <c r="C164"/>
      <c r="D164"/>
      <c r="E164"/>
    </row>
    <row r="165" spans="2:5" x14ac:dyDescent="0.35">
      <c r="B165"/>
      <c r="C165"/>
      <c r="D165"/>
      <c r="E165"/>
    </row>
    <row r="166" spans="2:5" x14ac:dyDescent="0.35">
      <c r="B166"/>
      <c r="C166"/>
      <c r="D166"/>
      <c r="E166"/>
    </row>
    <row r="167" spans="2:5" x14ac:dyDescent="0.35">
      <c r="B167"/>
      <c r="C167"/>
      <c r="D167"/>
      <c r="E167"/>
    </row>
    <row r="168" spans="2:5" x14ac:dyDescent="0.35">
      <c r="B168"/>
      <c r="C168"/>
      <c r="D168"/>
      <c r="E168"/>
    </row>
    <row r="169" spans="2:5" x14ac:dyDescent="0.35">
      <c r="B169"/>
      <c r="C169"/>
      <c r="D169"/>
      <c r="E169"/>
    </row>
    <row r="170" spans="2:5" x14ac:dyDescent="0.35">
      <c r="B170"/>
      <c r="C170"/>
      <c r="D170"/>
      <c r="E170"/>
    </row>
    <row r="171" spans="2:5" x14ac:dyDescent="0.35">
      <c r="B171"/>
      <c r="C171"/>
      <c r="D171"/>
      <c r="E171"/>
    </row>
    <row r="172" spans="2:5" x14ac:dyDescent="0.35">
      <c r="B172"/>
      <c r="C172"/>
      <c r="D172"/>
      <c r="E172"/>
    </row>
    <row r="173" spans="2:5" x14ac:dyDescent="0.35">
      <c r="B173"/>
      <c r="C173"/>
      <c r="D173"/>
      <c r="E173"/>
    </row>
    <row r="174" spans="2:5" x14ac:dyDescent="0.35">
      <c r="B174"/>
      <c r="C174"/>
      <c r="D174"/>
      <c r="E174"/>
    </row>
    <row r="175" spans="2:5" x14ac:dyDescent="0.35">
      <c r="B175"/>
      <c r="C175"/>
      <c r="D175"/>
      <c r="E175"/>
    </row>
    <row r="176" spans="2:5" x14ac:dyDescent="0.35">
      <c r="B176"/>
      <c r="C176"/>
      <c r="D176"/>
      <c r="E176"/>
    </row>
    <row r="177" spans="2:5" x14ac:dyDescent="0.35">
      <c r="B177"/>
      <c r="C177"/>
      <c r="D177"/>
      <c r="E177"/>
    </row>
    <row r="178" spans="2:5" x14ac:dyDescent="0.35">
      <c r="B178"/>
      <c r="C178"/>
      <c r="D178"/>
      <c r="E178"/>
    </row>
    <row r="179" spans="2:5" x14ac:dyDescent="0.35">
      <c r="B179"/>
      <c r="C179"/>
      <c r="D179"/>
      <c r="E179"/>
    </row>
    <row r="180" spans="2:5" x14ac:dyDescent="0.35">
      <c r="B180"/>
      <c r="C180"/>
      <c r="D180"/>
      <c r="E180"/>
    </row>
    <row r="181" spans="2:5" x14ac:dyDescent="0.35">
      <c r="B181"/>
      <c r="C181"/>
      <c r="D181"/>
      <c r="E181"/>
    </row>
    <row r="182" spans="2:5" x14ac:dyDescent="0.35">
      <c r="B182"/>
      <c r="C182"/>
      <c r="D182"/>
      <c r="E182"/>
    </row>
    <row r="183" spans="2:5" x14ac:dyDescent="0.35">
      <c r="B183"/>
      <c r="C183"/>
      <c r="D183"/>
      <c r="E183"/>
    </row>
    <row r="184" spans="2:5" x14ac:dyDescent="0.35">
      <c r="B184"/>
      <c r="C184"/>
      <c r="D184"/>
      <c r="E184"/>
    </row>
    <row r="185" spans="2:5" x14ac:dyDescent="0.35">
      <c r="B185"/>
      <c r="C185"/>
      <c r="D185"/>
      <c r="E185"/>
    </row>
    <row r="186" spans="2:5" x14ac:dyDescent="0.35">
      <c r="B186"/>
      <c r="C186"/>
      <c r="D186"/>
      <c r="E186"/>
    </row>
    <row r="187" spans="2:5" x14ac:dyDescent="0.35">
      <c r="B187"/>
      <c r="C187"/>
      <c r="D187"/>
      <c r="E187"/>
    </row>
    <row r="188" spans="2:5" x14ac:dyDescent="0.35">
      <c r="B188"/>
      <c r="C188"/>
      <c r="D188"/>
      <c r="E188"/>
    </row>
    <row r="189" spans="2:5" x14ac:dyDescent="0.35">
      <c r="B189"/>
      <c r="C189"/>
      <c r="D189"/>
      <c r="E189"/>
    </row>
    <row r="190" spans="2:5" x14ac:dyDescent="0.35">
      <c r="B190"/>
      <c r="C190"/>
      <c r="D190"/>
      <c r="E190"/>
    </row>
    <row r="191" spans="2:5" x14ac:dyDescent="0.35">
      <c r="B191"/>
      <c r="C191"/>
      <c r="D191"/>
      <c r="E191"/>
    </row>
    <row r="192" spans="2:5" x14ac:dyDescent="0.35">
      <c r="B192"/>
      <c r="C192"/>
      <c r="D192"/>
      <c r="E192"/>
    </row>
    <row r="193" spans="2:5" x14ac:dyDescent="0.35">
      <c r="B193"/>
      <c r="C193"/>
      <c r="D193"/>
      <c r="E193"/>
    </row>
    <row r="194" spans="2:5" x14ac:dyDescent="0.35">
      <c r="B194"/>
      <c r="C194"/>
      <c r="D194"/>
      <c r="E194"/>
    </row>
    <row r="195" spans="2:5" x14ac:dyDescent="0.35">
      <c r="B195"/>
      <c r="C195"/>
      <c r="D195"/>
      <c r="E195"/>
    </row>
    <row r="196" spans="2:5" x14ac:dyDescent="0.35">
      <c r="B196"/>
      <c r="C196"/>
      <c r="D196"/>
      <c r="E196"/>
    </row>
    <row r="197" spans="2:5" x14ac:dyDescent="0.35">
      <c r="B197"/>
      <c r="C197"/>
      <c r="D197"/>
      <c r="E197"/>
    </row>
    <row r="198" spans="2:5" x14ac:dyDescent="0.35">
      <c r="B198"/>
      <c r="C198"/>
      <c r="D198"/>
      <c r="E198"/>
    </row>
    <row r="199" spans="2:5" x14ac:dyDescent="0.35">
      <c r="B199"/>
      <c r="C199"/>
      <c r="D199"/>
      <c r="E199"/>
    </row>
    <row r="200" spans="2:5" x14ac:dyDescent="0.35">
      <c r="B200"/>
      <c r="C200"/>
      <c r="D200"/>
      <c r="E200"/>
    </row>
    <row r="201" spans="2:5" x14ac:dyDescent="0.35">
      <c r="B201"/>
      <c r="C201"/>
      <c r="D201"/>
      <c r="E201"/>
    </row>
    <row r="202" spans="2:5" x14ac:dyDescent="0.35">
      <c r="B202"/>
      <c r="C202"/>
      <c r="D202"/>
      <c r="E202"/>
    </row>
    <row r="203" spans="2:5" x14ac:dyDescent="0.35">
      <c r="B203"/>
      <c r="C203"/>
      <c r="D203"/>
      <c r="E203"/>
    </row>
    <row r="204" spans="2:5" x14ac:dyDescent="0.35">
      <c r="B204"/>
      <c r="C204"/>
      <c r="D204"/>
      <c r="E204"/>
    </row>
    <row r="205" spans="2:5" x14ac:dyDescent="0.35">
      <c r="B205"/>
      <c r="C205"/>
      <c r="D205"/>
      <c r="E205"/>
    </row>
    <row r="206" spans="2:5" x14ac:dyDescent="0.35">
      <c r="B206"/>
      <c r="C206"/>
      <c r="D206"/>
      <c r="E206"/>
    </row>
    <row r="207" spans="2:5" x14ac:dyDescent="0.35">
      <c r="B207"/>
      <c r="C207"/>
      <c r="D207"/>
      <c r="E207"/>
    </row>
    <row r="208" spans="2:5" x14ac:dyDescent="0.35">
      <c r="B208"/>
      <c r="C208"/>
      <c r="D208"/>
      <c r="E208"/>
    </row>
    <row r="209" spans="2:5" x14ac:dyDescent="0.35">
      <c r="B209"/>
      <c r="C209"/>
      <c r="D209"/>
      <c r="E209"/>
    </row>
    <row r="210" spans="2:5" x14ac:dyDescent="0.35">
      <c r="B210"/>
      <c r="C210"/>
      <c r="D210"/>
      <c r="E210"/>
    </row>
    <row r="211" spans="2:5" x14ac:dyDescent="0.35">
      <c r="B211"/>
      <c r="C211"/>
      <c r="D211"/>
      <c r="E211"/>
    </row>
    <row r="212" spans="2:5" x14ac:dyDescent="0.35">
      <c r="B212"/>
      <c r="C212"/>
      <c r="D212"/>
      <c r="E212"/>
    </row>
    <row r="213" spans="2:5" x14ac:dyDescent="0.35">
      <c r="B213"/>
      <c r="C213"/>
      <c r="D213"/>
      <c r="E213"/>
    </row>
    <row r="214" spans="2:5" x14ac:dyDescent="0.35">
      <c r="B214"/>
      <c r="C214"/>
      <c r="D214"/>
      <c r="E214"/>
    </row>
    <row r="215" spans="2:5" x14ac:dyDescent="0.35">
      <c r="B215"/>
      <c r="C215"/>
      <c r="D215"/>
      <c r="E215"/>
    </row>
    <row r="216" spans="2:5" x14ac:dyDescent="0.35">
      <c r="B216"/>
      <c r="C216"/>
      <c r="D216"/>
      <c r="E216"/>
    </row>
    <row r="217" spans="2:5" x14ac:dyDescent="0.35">
      <c r="B217"/>
      <c r="C217"/>
      <c r="D217"/>
      <c r="E217"/>
    </row>
    <row r="218" spans="2:5" x14ac:dyDescent="0.35">
      <c r="B218"/>
      <c r="C218"/>
      <c r="D218"/>
      <c r="E218"/>
    </row>
    <row r="219" spans="2:5" x14ac:dyDescent="0.35">
      <c r="B219"/>
      <c r="C219"/>
      <c r="D219"/>
      <c r="E219"/>
    </row>
    <row r="220" spans="2:5" x14ac:dyDescent="0.35">
      <c r="B220"/>
      <c r="C220"/>
      <c r="D220"/>
      <c r="E220"/>
    </row>
    <row r="221" spans="2:5" x14ac:dyDescent="0.35">
      <c r="B221"/>
      <c r="C221"/>
      <c r="D221"/>
      <c r="E221"/>
    </row>
    <row r="222" spans="2:5" x14ac:dyDescent="0.35">
      <c r="B222"/>
      <c r="C222"/>
      <c r="D222"/>
      <c r="E222"/>
    </row>
    <row r="223" spans="2:5" x14ac:dyDescent="0.35">
      <c r="B223"/>
      <c r="C223"/>
      <c r="D223"/>
      <c r="E223"/>
    </row>
    <row r="224" spans="2:5" x14ac:dyDescent="0.35">
      <c r="B224"/>
      <c r="C224"/>
      <c r="D224"/>
      <c r="E224"/>
    </row>
    <row r="225" spans="2:5" x14ac:dyDescent="0.35">
      <c r="B225"/>
      <c r="C225"/>
      <c r="D225"/>
      <c r="E225"/>
    </row>
    <row r="226" spans="2:5" x14ac:dyDescent="0.35">
      <c r="B226"/>
      <c r="C226"/>
      <c r="D226"/>
      <c r="E226"/>
    </row>
    <row r="227" spans="2:5" x14ac:dyDescent="0.35">
      <c r="B227"/>
      <c r="C227"/>
      <c r="D227"/>
      <c r="E227"/>
    </row>
    <row r="228" spans="2:5" x14ac:dyDescent="0.35">
      <c r="B228"/>
      <c r="C228"/>
      <c r="D228"/>
      <c r="E228"/>
    </row>
    <row r="229" spans="2:5" x14ac:dyDescent="0.35">
      <c r="B229"/>
      <c r="C229"/>
      <c r="D229"/>
      <c r="E229"/>
    </row>
    <row r="230" spans="2:5" x14ac:dyDescent="0.35">
      <c r="B230"/>
      <c r="C230"/>
      <c r="D230"/>
      <c r="E230"/>
    </row>
    <row r="231" spans="2:5" x14ac:dyDescent="0.35">
      <c r="B231"/>
      <c r="C231"/>
      <c r="D231"/>
      <c r="E231"/>
    </row>
    <row r="232" spans="2:5" x14ac:dyDescent="0.35">
      <c r="B232"/>
      <c r="C232"/>
      <c r="D232"/>
      <c r="E232"/>
    </row>
    <row r="233" spans="2:5" x14ac:dyDescent="0.35">
      <c r="B233"/>
      <c r="C233"/>
      <c r="D233"/>
      <c r="E233"/>
    </row>
    <row r="234" spans="2:5" x14ac:dyDescent="0.35">
      <c r="B234"/>
      <c r="C234"/>
      <c r="D234"/>
      <c r="E234"/>
    </row>
    <row r="235" spans="2:5" x14ac:dyDescent="0.35">
      <c r="B235"/>
      <c r="C235"/>
      <c r="D235"/>
      <c r="E235"/>
    </row>
    <row r="236" spans="2:5" x14ac:dyDescent="0.35">
      <c r="B236"/>
      <c r="C236"/>
      <c r="D236"/>
      <c r="E236"/>
    </row>
    <row r="237" spans="2:5" x14ac:dyDescent="0.35">
      <c r="B237"/>
      <c r="C237"/>
      <c r="D237"/>
      <c r="E237"/>
    </row>
    <row r="238" spans="2:5" x14ac:dyDescent="0.35">
      <c r="B238"/>
      <c r="C238"/>
      <c r="D238"/>
      <c r="E238"/>
    </row>
    <row r="239" spans="2:5" x14ac:dyDescent="0.35">
      <c r="B239"/>
      <c r="C239"/>
      <c r="D239"/>
      <c r="E239"/>
    </row>
    <row r="240" spans="2:5" x14ac:dyDescent="0.35">
      <c r="B240"/>
      <c r="C240"/>
      <c r="D240"/>
      <c r="E240"/>
    </row>
    <row r="241" spans="2:5" x14ac:dyDescent="0.35">
      <c r="B241"/>
      <c r="C241"/>
      <c r="D241"/>
      <c r="E241"/>
    </row>
    <row r="242" spans="2:5" x14ac:dyDescent="0.35">
      <c r="B242"/>
      <c r="C242"/>
      <c r="D242"/>
      <c r="E242"/>
    </row>
    <row r="243" spans="2:5" x14ac:dyDescent="0.35">
      <c r="B243"/>
      <c r="C243"/>
      <c r="D243"/>
      <c r="E243"/>
    </row>
    <row r="244" spans="2:5" x14ac:dyDescent="0.35">
      <c r="B244"/>
      <c r="C244"/>
      <c r="D244"/>
      <c r="E244"/>
    </row>
    <row r="245" spans="2:5" x14ac:dyDescent="0.35">
      <c r="B245"/>
      <c r="C245"/>
      <c r="D245"/>
      <c r="E245"/>
    </row>
    <row r="246" spans="2:5" x14ac:dyDescent="0.35">
      <c r="B246"/>
      <c r="C246"/>
      <c r="D246"/>
      <c r="E246"/>
    </row>
    <row r="247" spans="2:5" x14ac:dyDescent="0.35">
      <c r="B247"/>
      <c r="C247"/>
      <c r="D247"/>
      <c r="E247"/>
    </row>
    <row r="248" spans="2:5" x14ac:dyDescent="0.35">
      <c r="B248"/>
      <c r="C248"/>
      <c r="D248"/>
      <c r="E248"/>
    </row>
    <row r="249" spans="2:5" x14ac:dyDescent="0.35">
      <c r="B249"/>
      <c r="C249"/>
      <c r="D249"/>
      <c r="E249"/>
    </row>
    <row r="250" spans="2:5" x14ac:dyDescent="0.35">
      <c r="B250"/>
      <c r="C250"/>
      <c r="D250"/>
      <c r="E250"/>
    </row>
    <row r="251" spans="2:5" x14ac:dyDescent="0.35">
      <c r="B251"/>
      <c r="C251"/>
      <c r="D251"/>
      <c r="E251"/>
    </row>
    <row r="252" spans="2:5" x14ac:dyDescent="0.35">
      <c r="B252"/>
      <c r="C252"/>
      <c r="D252"/>
      <c r="E252"/>
    </row>
    <row r="253" spans="2:5" x14ac:dyDescent="0.35">
      <c r="B253"/>
      <c r="C253"/>
      <c r="D253"/>
      <c r="E253"/>
    </row>
    <row r="254" spans="2:5" x14ac:dyDescent="0.35">
      <c r="B254"/>
      <c r="C254"/>
      <c r="D254"/>
      <c r="E254"/>
    </row>
    <row r="255" spans="2:5" x14ac:dyDescent="0.35">
      <c r="B255"/>
      <c r="C255"/>
      <c r="D255"/>
      <c r="E255"/>
    </row>
    <row r="256" spans="2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  <row r="265" spans="2:5" x14ac:dyDescent="0.35">
      <c r="B265"/>
      <c r="C265"/>
      <c r="D265"/>
      <c r="E265"/>
    </row>
    <row r="266" spans="2:5" x14ac:dyDescent="0.35">
      <c r="B266"/>
      <c r="C266"/>
      <c r="D266"/>
      <c r="E266"/>
    </row>
    <row r="267" spans="2:5" x14ac:dyDescent="0.35">
      <c r="B267"/>
      <c r="C267"/>
      <c r="D267"/>
      <c r="E267"/>
    </row>
    <row r="268" spans="2:5" x14ac:dyDescent="0.35">
      <c r="B268"/>
      <c r="C268"/>
      <c r="D268"/>
      <c r="E268"/>
    </row>
    <row r="269" spans="2:5" x14ac:dyDescent="0.35">
      <c r="B269"/>
      <c r="C269"/>
      <c r="D269"/>
      <c r="E269"/>
    </row>
    <row r="270" spans="2:5" x14ac:dyDescent="0.35">
      <c r="B270"/>
      <c r="C270"/>
      <c r="D270"/>
      <c r="E270"/>
    </row>
    <row r="271" spans="2:5" x14ac:dyDescent="0.35">
      <c r="B271"/>
      <c r="C271"/>
      <c r="D271"/>
      <c r="E271"/>
    </row>
    <row r="272" spans="2:5" x14ac:dyDescent="0.35">
      <c r="B272"/>
      <c r="C272"/>
      <c r="D272"/>
      <c r="E272"/>
    </row>
    <row r="273" spans="2:5" x14ac:dyDescent="0.35">
      <c r="B273"/>
      <c r="C273"/>
      <c r="D273"/>
      <c r="E273"/>
    </row>
    <row r="274" spans="2:5" x14ac:dyDescent="0.35">
      <c r="B274"/>
      <c r="C274"/>
      <c r="D274"/>
      <c r="E274"/>
    </row>
    <row r="275" spans="2:5" x14ac:dyDescent="0.35">
      <c r="B275"/>
      <c r="C275"/>
      <c r="D275"/>
      <c r="E275"/>
    </row>
    <row r="276" spans="2:5" x14ac:dyDescent="0.35">
      <c r="B276"/>
      <c r="C276"/>
      <c r="D276"/>
      <c r="E276"/>
    </row>
    <row r="277" spans="2:5" x14ac:dyDescent="0.35">
      <c r="B277"/>
      <c r="C277"/>
      <c r="D277"/>
      <c r="E277"/>
    </row>
    <row r="278" spans="2:5" x14ac:dyDescent="0.35">
      <c r="B278"/>
      <c r="C278"/>
      <c r="D278"/>
      <c r="E278"/>
    </row>
    <row r="279" spans="2:5" x14ac:dyDescent="0.35">
      <c r="B279"/>
      <c r="C279"/>
      <c r="D279"/>
      <c r="E279"/>
    </row>
    <row r="280" spans="2:5" x14ac:dyDescent="0.35">
      <c r="B280"/>
      <c r="C280"/>
      <c r="D280"/>
      <c r="E280"/>
    </row>
    <row r="281" spans="2:5" x14ac:dyDescent="0.35">
      <c r="B281"/>
      <c r="C281"/>
      <c r="D281"/>
      <c r="E281"/>
    </row>
    <row r="282" spans="2:5" x14ac:dyDescent="0.35">
      <c r="B282"/>
      <c r="C282"/>
      <c r="D282"/>
      <c r="E282"/>
    </row>
    <row r="283" spans="2:5" x14ac:dyDescent="0.35">
      <c r="B283"/>
      <c r="C283"/>
      <c r="D283"/>
      <c r="E283"/>
    </row>
    <row r="284" spans="2:5" x14ac:dyDescent="0.35">
      <c r="B284"/>
      <c r="C284"/>
      <c r="D284"/>
      <c r="E284"/>
    </row>
    <row r="285" spans="2:5" x14ac:dyDescent="0.35">
      <c r="B285"/>
      <c r="C285"/>
      <c r="D285"/>
      <c r="E285"/>
    </row>
    <row r="286" spans="2:5" x14ac:dyDescent="0.35">
      <c r="B286"/>
      <c r="C286"/>
      <c r="D286"/>
      <c r="E286"/>
    </row>
    <row r="287" spans="2:5" x14ac:dyDescent="0.35">
      <c r="B287"/>
      <c r="C287"/>
      <c r="D287"/>
      <c r="E287"/>
    </row>
    <row r="288" spans="2:5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  <row r="531" spans="2:5" x14ac:dyDescent="0.35">
      <c r="B531"/>
      <c r="C531"/>
      <c r="D531"/>
      <c r="E531"/>
    </row>
    <row r="532" spans="2:5" x14ac:dyDescent="0.35">
      <c r="B532"/>
      <c r="C532"/>
      <c r="D532"/>
      <c r="E532"/>
    </row>
    <row r="533" spans="2:5" x14ac:dyDescent="0.35">
      <c r="B533"/>
      <c r="C533"/>
      <c r="D533"/>
      <c r="E533"/>
    </row>
    <row r="534" spans="2:5" x14ac:dyDescent="0.35">
      <c r="B534"/>
      <c r="C534"/>
      <c r="D534"/>
      <c r="E534"/>
    </row>
    <row r="535" spans="2:5" x14ac:dyDescent="0.35">
      <c r="B535"/>
      <c r="C535"/>
      <c r="D535"/>
      <c r="E535"/>
    </row>
    <row r="536" spans="2:5" x14ac:dyDescent="0.35">
      <c r="B536"/>
      <c r="C536"/>
      <c r="D536"/>
      <c r="E536"/>
    </row>
    <row r="537" spans="2:5" x14ac:dyDescent="0.35">
      <c r="B537"/>
      <c r="C537"/>
      <c r="D537"/>
      <c r="E537"/>
    </row>
    <row r="538" spans="2:5" x14ac:dyDescent="0.35">
      <c r="B538"/>
      <c r="C538"/>
      <c r="D538"/>
      <c r="E538"/>
    </row>
    <row r="539" spans="2:5" x14ac:dyDescent="0.35">
      <c r="B539"/>
      <c r="C539"/>
      <c r="D539"/>
      <c r="E539"/>
    </row>
    <row r="540" spans="2:5" x14ac:dyDescent="0.35">
      <c r="B540"/>
      <c r="C540"/>
      <c r="D540"/>
      <c r="E540"/>
    </row>
    <row r="541" spans="2:5" x14ac:dyDescent="0.35">
      <c r="B541"/>
      <c r="C541"/>
      <c r="D541"/>
      <c r="E541"/>
    </row>
    <row r="542" spans="2:5" x14ac:dyDescent="0.35">
      <c r="B542"/>
      <c r="C542"/>
      <c r="D542"/>
      <c r="E542"/>
    </row>
    <row r="543" spans="2:5" x14ac:dyDescent="0.35">
      <c r="B543"/>
      <c r="C543"/>
      <c r="D543"/>
      <c r="E543"/>
    </row>
    <row r="544" spans="2:5" x14ac:dyDescent="0.35">
      <c r="B544"/>
      <c r="C544"/>
      <c r="D544"/>
      <c r="E544"/>
    </row>
    <row r="545" spans="2:5" x14ac:dyDescent="0.35">
      <c r="B545"/>
      <c r="C545"/>
      <c r="D545"/>
      <c r="E545"/>
    </row>
    <row r="546" spans="2:5" x14ac:dyDescent="0.35">
      <c r="B546"/>
      <c r="C546"/>
      <c r="D546"/>
      <c r="E546"/>
    </row>
    <row r="547" spans="2:5" x14ac:dyDescent="0.35">
      <c r="B547"/>
      <c r="C547"/>
      <c r="D547"/>
      <c r="E547"/>
    </row>
    <row r="548" spans="2:5" x14ac:dyDescent="0.35">
      <c r="B548"/>
      <c r="C548"/>
      <c r="D548"/>
      <c r="E548"/>
    </row>
    <row r="549" spans="2:5" x14ac:dyDescent="0.35">
      <c r="B549"/>
      <c r="C549"/>
      <c r="D549"/>
      <c r="E549"/>
    </row>
    <row r="550" spans="2:5" x14ac:dyDescent="0.35">
      <c r="B550"/>
      <c r="C550"/>
      <c r="D550"/>
      <c r="E550"/>
    </row>
    <row r="551" spans="2:5" x14ac:dyDescent="0.35">
      <c r="B551"/>
      <c r="C551"/>
      <c r="D551"/>
      <c r="E551"/>
    </row>
    <row r="552" spans="2:5" x14ac:dyDescent="0.35">
      <c r="B552"/>
      <c r="C552"/>
      <c r="D552"/>
      <c r="E552"/>
    </row>
    <row r="553" spans="2:5" x14ac:dyDescent="0.35">
      <c r="B553"/>
      <c r="C553"/>
      <c r="D553"/>
      <c r="E553"/>
    </row>
    <row r="554" spans="2:5" x14ac:dyDescent="0.35">
      <c r="B554"/>
      <c r="C554"/>
      <c r="D554"/>
      <c r="E554"/>
    </row>
    <row r="555" spans="2:5" x14ac:dyDescent="0.35">
      <c r="B555"/>
      <c r="C555"/>
      <c r="D555"/>
      <c r="E555"/>
    </row>
    <row r="556" spans="2:5" x14ac:dyDescent="0.35">
      <c r="B556"/>
      <c r="C556"/>
      <c r="D556"/>
      <c r="E556"/>
    </row>
    <row r="557" spans="2:5" x14ac:dyDescent="0.35">
      <c r="B557"/>
      <c r="C557"/>
      <c r="D557"/>
      <c r="E557"/>
    </row>
    <row r="558" spans="2:5" x14ac:dyDescent="0.35">
      <c r="B558"/>
      <c r="C558"/>
      <c r="D558"/>
      <c r="E558"/>
    </row>
    <row r="559" spans="2:5" x14ac:dyDescent="0.35">
      <c r="B559"/>
      <c r="C559"/>
      <c r="D559"/>
      <c r="E559"/>
    </row>
    <row r="560" spans="2:5" x14ac:dyDescent="0.35">
      <c r="B560"/>
      <c r="C560"/>
      <c r="D560"/>
      <c r="E560"/>
    </row>
    <row r="561" spans="2:5" x14ac:dyDescent="0.35">
      <c r="B561"/>
      <c r="C561"/>
      <c r="D561"/>
      <c r="E561"/>
    </row>
    <row r="562" spans="2:5" x14ac:dyDescent="0.35">
      <c r="B562"/>
      <c r="C562"/>
      <c r="D562"/>
      <c r="E562"/>
    </row>
    <row r="563" spans="2:5" x14ac:dyDescent="0.35">
      <c r="B563"/>
      <c r="C563"/>
      <c r="D563"/>
      <c r="E563"/>
    </row>
    <row r="564" spans="2:5" x14ac:dyDescent="0.35">
      <c r="B564"/>
      <c r="C564"/>
      <c r="D564"/>
      <c r="E564"/>
    </row>
    <row r="565" spans="2:5" x14ac:dyDescent="0.35">
      <c r="B565"/>
      <c r="C565"/>
      <c r="D565"/>
      <c r="E565"/>
    </row>
    <row r="566" spans="2:5" x14ac:dyDescent="0.35">
      <c r="B566"/>
      <c r="C566"/>
      <c r="D566"/>
      <c r="E566"/>
    </row>
    <row r="567" spans="2:5" x14ac:dyDescent="0.35">
      <c r="B567"/>
      <c r="C567"/>
      <c r="D567"/>
      <c r="E567"/>
    </row>
    <row r="568" spans="2:5" x14ac:dyDescent="0.35">
      <c r="B568"/>
      <c r="C568"/>
      <c r="D568"/>
      <c r="E568"/>
    </row>
    <row r="569" spans="2:5" x14ac:dyDescent="0.35">
      <c r="B569"/>
      <c r="C569"/>
      <c r="D569"/>
      <c r="E569"/>
    </row>
    <row r="570" spans="2:5" x14ac:dyDescent="0.35">
      <c r="B570"/>
      <c r="C570"/>
      <c r="D570"/>
      <c r="E570"/>
    </row>
    <row r="571" spans="2:5" x14ac:dyDescent="0.35">
      <c r="B571"/>
      <c r="C571"/>
      <c r="D571"/>
      <c r="E571"/>
    </row>
    <row r="572" spans="2:5" x14ac:dyDescent="0.35">
      <c r="B572"/>
      <c r="C572"/>
      <c r="D572"/>
      <c r="E572"/>
    </row>
    <row r="573" spans="2:5" x14ac:dyDescent="0.35">
      <c r="B573"/>
      <c r="C573"/>
      <c r="D573"/>
      <c r="E573"/>
    </row>
    <row r="574" spans="2:5" x14ac:dyDescent="0.35">
      <c r="B574"/>
      <c r="C574"/>
      <c r="D574"/>
      <c r="E574"/>
    </row>
    <row r="575" spans="2:5" x14ac:dyDescent="0.35">
      <c r="B575"/>
      <c r="C575"/>
      <c r="D575"/>
      <c r="E575"/>
    </row>
    <row r="576" spans="2:5" x14ac:dyDescent="0.35">
      <c r="B576"/>
      <c r="C576"/>
      <c r="D576"/>
      <c r="E576"/>
    </row>
    <row r="577" spans="2:5" x14ac:dyDescent="0.35">
      <c r="B577"/>
      <c r="C577"/>
      <c r="D577"/>
      <c r="E577"/>
    </row>
    <row r="578" spans="2:5" x14ac:dyDescent="0.35">
      <c r="B578"/>
      <c r="C578"/>
      <c r="D578"/>
      <c r="E578"/>
    </row>
    <row r="579" spans="2:5" x14ac:dyDescent="0.35">
      <c r="B579"/>
      <c r="C579"/>
      <c r="D579"/>
      <c r="E579"/>
    </row>
    <row r="580" spans="2:5" x14ac:dyDescent="0.35">
      <c r="B580"/>
      <c r="C580"/>
      <c r="D580"/>
      <c r="E580"/>
    </row>
    <row r="581" spans="2:5" x14ac:dyDescent="0.35">
      <c r="B581"/>
      <c r="C581"/>
      <c r="D581"/>
      <c r="E581"/>
    </row>
    <row r="582" spans="2:5" x14ac:dyDescent="0.35">
      <c r="B582"/>
      <c r="C582"/>
      <c r="D582"/>
      <c r="E582"/>
    </row>
    <row r="583" spans="2:5" x14ac:dyDescent="0.35">
      <c r="B583"/>
      <c r="C583"/>
      <c r="D583"/>
      <c r="E583"/>
    </row>
    <row r="584" spans="2:5" x14ac:dyDescent="0.35">
      <c r="B584"/>
      <c r="C584"/>
      <c r="D584"/>
      <c r="E584"/>
    </row>
    <row r="585" spans="2:5" x14ac:dyDescent="0.35">
      <c r="B585"/>
      <c r="C585"/>
      <c r="D585"/>
      <c r="E585"/>
    </row>
    <row r="586" spans="2:5" x14ac:dyDescent="0.35">
      <c r="B586"/>
      <c r="C586"/>
      <c r="D586"/>
      <c r="E586"/>
    </row>
    <row r="587" spans="2:5" x14ac:dyDescent="0.35">
      <c r="B587"/>
      <c r="C587"/>
      <c r="D587"/>
      <c r="E587"/>
    </row>
    <row r="588" spans="2:5" x14ac:dyDescent="0.35">
      <c r="B588"/>
      <c r="C588"/>
      <c r="D588"/>
      <c r="E588"/>
    </row>
    <row r="589" spans="2:5" x14ac:dyDescent="0.35">
      <c r="B589"/>
      <c r="C589"/>
      <c r="D589"/>
      <c r="E589"/>
    </row>
    <row r="590" spans="2:5" x14ac:dyDescent="0.35">
      <c r="B590"/>
      <c r="C590"/>
      <c r="D590"/>
      <c r="E590"/>
    </row>
    <row r="591" spans="2:5" x14ac:dyDescent="0.35">
      <c r="B591"/>
      <c r="C591"/>
      <c r="D591"/>
      <c r="E591"/>
    </row>
    <row r="592" spans="2:5" x14ac:dyDescent="0.35">
      <c r="B592"/>
      <c r="C592"/>
      <c r="D592"/>
      <c r="E592"/>
    </row>
    <row r="593" spans="2:5" x14ac:dyDescent="0.35">
      <c r="B593"/>
      <c r="C593"/>
      <c r="D593"/>
      <c r="E593"/>
    </row>
    <row r="594" spans="2:5" x14ac:dyDescent="0.35">
      <c r="B594"/>
      <c r="C594"/>
      <c r="D594"/>
      <c r="E594"/>
    </row>
    <row r="595" spans="2:5" x14ac:dyDescent="0.35">
      <c r="B595"/>
      <c r="C595"/>
      <c r="D595"/>
      <c r="E595"/>
    </row>
    <row r="596" spans="2:5" x14ac:dyDescent="0.35">
      <c r="B596"/>
      <c r="C596"/>
      <c r="D596"/>
      <c r="E596"/>
    </row>
    <row r="597" spans="2:5" x14ac:dyDescent="0.35">
      <c r="B597"/>
      <c r="C597"/>
      <c r="D597"/>
      <c r="E597"/>
    </row>
    <row r="598" spans="2:5" x14ac:dyDescent="0.35">
      <c r="B598"/>
      <c r="C598"/>
      <c r="D598"/>
      <c r="E598"/>
    </row>
    <row r="599" spans="2:5" x14ac:dyDescent="0.35">
      <c r="B599"/>
      <c r="C599"/>
      <c r="D599"/>
      <c r="E599"/>
    </row>
    <row r="600" spans="2:5" x14ac:dyDescent="0.35">
      <c r="B600"/>
      <c r="C600"/>
      <c r="D600"/>
      <c r="E600"/>
    </row>
    <row r="601" spans="2:5" x14ac:dyDescent="0.35">
      <c r="B601"/>
      <c r="C601"/>
      <c r="D601"/>
      <c r="E601"/>
    </row>
    <row r="602" spans="2:5" x14ac:dyDescent="0.35">
      <c r="B602"/>
      <c r="C602"/>
      <c r="D602"/>
      <c r="E602"/>
    </row>
    <row r="603" spans="2:5" x14ac:dyDescent="0.35">
      <c r="B603"/>
      <c r="C603"/>
      <c r="D603"/>
      <c r="E603"/>
    </row>
    <row r="604" spans="2:5" x14ac:dyDescent="0.35">
      <c r="B604"/>
      <c r="C604"/>
      <c r="D604"/>
      <c r="E604"/>
    </row>
    <row r="605" spans="2:5" x14ac:dyDescent="0.35">
      <c r="B605"/>
      <c r="C605"/>
      <c r="D605"/>
      <c r="E605"/>
    </row>
    <row r="606" spans="2:5" x14ac:dyDescent="0.35">
      <c r="B606"/>
      <c r="C606"/>
      <c r="D606"/>
      <c r="E606"/>
    </row>
    <row r="607" spans="2:5" x14ac:dyDescent="0.35">
      <c r="B607"/>
      <c r="C607"/>
      <c r="D607"/>
      <c r="E607"/>
    </row>
    <row r="608" spans="2:5" x14ac:dyDescent="0.35">
      <c r="B608"/>
      <c r="C608"/>
      <c r="D608"/>
      <c r="E608"/>
    </row>
    <row r="609" spans="2:5" x14ac:dyDescent="0.35">
      <c r="B609"/>
      <c r="C609"/>
      <c r="D609"/>
      <c r="E609"/>
    </row>
    <row r="610" spans="2:5" x14ac:dyDescent="0.35">
      <c r="B610"/>
      <c r="C610"/>
      <c r="D610"/>
      <c r="E610"/>
    </row>
    <row r="611" spans="2:5" x14ac:dyDescent="0.35">
      <c r="B611"/>
      <c r="C611"/>
      <c r="D611"/>
      <c r="E611"/>
    </row>
    <row r="612" spans="2:5" x14ac:dyDescent="0.35">
      <c r="B612"/>
      <c r="C612"/>
      <c r="D612"/>
      <c r="E612"/>
    </row>
    <row r="613" spans="2:5" x14ac:dyDescent="0.35">
      <c r="B613"/>
      <c r="C613"/>
      <c r="D613"/>
      <c r="E613"/>
    </row>
    <row r="614" spans="2:5" x14ac:dyDescent="0.35">
      <c r="B614"/>
      <c r="C614"/>
      <c r="D614"/>
      <c r="E614"/>
    </row>
    <row r="615" spans="2:5" x14ac:dyDescent="0.35">
      <c r="B615"/>
      <c r="C615"/>
      <c r="D615"/>
      <c r="E615"/>
    </row>
    <row r="616" spans="2:5" x14ac:dyDescent="0.35">
      <c r="B616"/>
      <c r="C616"/>
      <c r="D616"/>
      <c r="E616"/>
    </row>
    <row r="617" spans="2:5" x14ac:dyDescent="0.35">
      <c r="B617"/>
      <c r="C617"/>
      <c r="D617"/>
      <c r="E617"/>
    </row>
    <row r="618" spans="2:5" x14ac:dyDescent="0.35">
      <c r="B618"/>
      <c r="C618"/>
      <c r="D618"/>
      <c r="E618"/>
    </row>
    <row r="619" spans="2:5" x14ac:dyDescent="0.35">
      <c r="B619"/>
      <c r="C619"/>
      <c r="D619"/>
      <c r="E619"/>
    </row>
    <row r="620" spans="2:5" x14ac:dyDescent="0.35">
      <c r="B620"/>
      <c r="C620"/>
      <c r="D620"/>
      <c r="E620"/>
    </row>
    <row r="621" spans="2:5" x14ac:dyDescent="0.35">
      <c r="B621"/>
      <c r="C621"/>
      <c r="D621"/>
      <c r="E621"/>
    </row>
    <row r="622" spans="2:5" x14ac:dyDescent="0.35">
      <c r="B622"/>
      <c r="C622"/>
      <c r="D622"/>
      <c r="E622"/>
    </row>
    <row r="623" spans="2:5" x14ac:dyDescent="0.35">
      <c r="B623"/>
      <c r="C623"/>
      <c r="D623"/>
      <c r="E623"/>
    </row>
    <row r="624" spans="2:5" x14ac:dyDescent="0.35">
      <c r="B624"/>
      <c r="C624"/>
      <c r="D624"/>
      <c r="E624"/>
    </row>
    <row r="625" spans="2:5" x14ac:dyDescent="0.35">
      <c r="B625"/>
      <c r="C625"/>
      <c r="D625"/>
      <c r="E625"/>
    </row>
    <row r="626" spans="2:5" x14ac:dyDescent="0.35">
      <c r="B626"/>
      <c r="C626"/>
      <c r="D626"/>
      <c r="E626"/>
    </row>
    <row r="627" spans="2:5" x14ac:dyDescent="0.35">
      <c r="B627"/>
      <c r="C627"/>
      <c r="D627"/>
      <c r="E627"/>
    </row>
    <row r="628" spans="2:5" x14ac:dyDescent="0.35">
      <c r="B628"/>
      <c r="C628"/>
      <c r="D628"/>
      <c r="E628"/>
    </row>
    <row r="629" spans="2:5" x14ac:dyDescent="0.35">
      <c r="B629"/>
      <c r="C629"/>
      <c r="D629"/>
      <c r="E629"/>
    </row>
    <row r="630" spans="2:5" x14ac:dyDescent="0.35">
      <c r="B630"/>
      <c r="C630"/>
      <c r="D630"/>
      <c r="E630"/>
    </row>
    <row r="631" spans="2:5" x14ac:dyDescent="0.35">
      <c r="B631"/>
      <c r="C631"/>
      <c r="D631"/>
      <c r="E631"/>
    </row>
    <row r="632" spans="2:5" x14ac:dyDescent="0.35">
      <c r="B632"/>
      <c r="C632"/>
      <c r="D632"/>
      <c r="E632"/>
    </row>
    <row r="633" spans="2:5" x14ac:dyDescent="0.35">
      <c r="B633"/>
      <c r="C633"/>
      <c r="D633"/>
      <c r="E633"/>
    </row>
    <row r="634" spans="2:5" x14ac:dyDescent="0.35">
      <c r="B634"/>
      <c r="C634"/>
      <c r="D634"/>
      <c r="E634"/>
    </row>
    <row r="635" spans="2:5" x14ac:dyDescent="0.35">
      <c r="B635"/>
      <c r="C635"/>
      <c r="D635"/>
      <c r="E635"/>
    </row>
    <row r="636" spans="2:5" x14ac:dyDescent="0.35">
      <c r="B636"/>
      <c r="C636"/>
      <c r="D636"/>
      <c r="E636"/>
    </row>
    <row r="637" spans="2:5" x14ac:dyDescent="0.35">
      <c r="B637"/>
      <c r="C637"/>
      <c r="D637"/>
      <c r="E637"/>
    </row>
    <row r="638" spans="2:5" x14ac:dyDescent="0.35">
      <c r="B638"/>
      <c r="C638"/>
      <c r="D638"/>
      <c r="E638"/>
    </row>
    <row r="639" spans="2:5" x14ac:dyDescent="0.35">
      <c r="B639"/>
      <c r="C639"/>
      <c r="D639"/>
      <c r="E639"/>
    </row>
    <row r="640" spans="2:5" x14ac:dyDescent="0.35">
      <c r="B640"/>
      <c r="C640"/>
      <c r="D640"/>
      <c r="E640"/>
    </row>
    <row r="641" spans="2:5" x14ac:dyDescent="0.35">
      <c r="B641"/>
      <c r="C641"/>
      <c r="D641"/>
      <c r="E641"/>
    </row>
    <row r="642" spans="2:5" x14ac:dyDescent="0.35">
      <c r="B642"/>
      <c r="C642"/>
      <c r="D642"/>
      <c r="E642"/>
    </row>
    <row r="643" spans="2:5" x14ac:dyDescent="0.35">
      <c r="B643"/>
      <c r="C643"/>
      <c r="D643"/>
      <c r="E643"/>
    </row>
    <row r="644" spans="2:5" x14ac:dyDescent="0.35">
      <c r="B644"/>
      <c r="C644"/>
      <c r="D644"/>
      <c r="E644"/>
    </row>
    <row r="645" spans="2:5" x14ac:dyDescent="0.35">
      <c r="B645"/>
      <c r="C645"/>
      <c r="D645"/>
      <c r="E645"/>
    </row>
    <row r="646" spans="2:5" x14ac:dyDescent="0.35">
      <c r="B646"/>
      <c r="C646"/>
      <c r="D646"/>
      <c r="E646"/>
    </row>
    <row r="647" spans="2:5" x14ac:dyDescent="0.35">
      <c r="B647"/>
      <c r="C647"/>
      <c r="D647"/>
      <c r="E647"/>
    </row>
    <row r="648" spans="2:5" x14ac:dyDescent="0.35">
      <c r="B648"/>
      <c r="C648"/>
      <c r="D648"/>
      <c r="E648"/>
    </row>
    <row r="649" spans="2:5" x14ac:dyDescent="0.35">
      <c r="B649"/>
      <c r="C649"/>
      <c r="D649"/>
      <c r="E649"/>
    </row>
    <row r="650" spans="2:5" x14ac:dyDescent="0.35">
      <c r="B650"/>
      <c r="C650"/>
      <c r="D650"/>
      <c r="E650"/>
    </row>
    <row r="651" spans="2:5" x14ac:dyDescent="0.35">
      <c r="B651"/>
      <c r="C651"/>
      <c r="D651"/>
      <c r="E651"/>
    </row>
    <row r="652" spans="2:5" x14ac:dyDescent="0.35">
      <c r="B652"/>
      <c r="C652"/>
      <c r="D652"/>
      <c r="E652"/>
    </row>
    <row r="653" spans="2:5" x14ac:dyDescent="0.35">
      <c r="B653"/>
      <c r="C653"/>
      <c r="D653"/>
      <c r="E653"/>
    </row>
    <row r="654" spans="2:5" x14ac:dyDescent="0.35">
      <c r="B654"/>
      <c r="C654"/>
      <c r="D654"/>
      <c r="E654"/>
    </row>
    <row r="655" spans="2:5" x14ac:dyDescent="0.35">
      <c r="B655"/>
      <c r="C655"/>
      <c r="D655"/>
      <c r="E655"/>
    </row>
    <row r="656" spans="2:5" x14ac:dyDescent="0.35">
      <c r="B656"/>
      <c r="C656"/>
      <c r="D656"/>
      <c r="E656"/>
    </row>
    <row r="657" spans="2:5" x14ac:dyDescent="0.35">
      <c r="B657"/>
      <c r="C657"/>
      <c r="D657"/>
      <c r="E657"/>
    </row>
    <row r="658" spans="2:5" x14ac:dyDescent="0.35">
      <c r="B658"/>
      <c r="C658"/>
      <c r="D658"/>
      <c r="E658"/>
    </row>
    <row r="659" spans="2:5" x14ac:dyDescent="0.35">
      <c r="B659"/>
      <c r="C659"/>
      <c r="D659"/>
      <c r="E659"/>
    </row>
    <row r="660" spans="2:5" x14ac:dyDescent="0.35">
      <c r="B660"/>
      <c r="C660"/>
      <c r="D660"/>
      <c r="E660"/>
    </row>
    <row r="661" spans="2:5" x14ac:dyDescent="0.35">
      <c r="B661"/>
      <c r="C661"/>
      <c r="D661"/>
      <c r="E661"/>
    </row>
    <row r="662" spans="2:5" x14ac:dyDescent="0.35">
      <c r="B662"/>
      <c r="C662"/>
      <c r="D662"/>
      <c r="E662"/>
    </row>
    <row r="663" spans="2:5" x14ac:dyDescent="0.35">
      <c r="B663"/>
      <c r="C663"/>
      <c r="D663"/>
      <c r="E663"/>
    </row>
    <row r="664" spans="2:5" x14ac:dyDescent="0.35">
      <c r="B664"/>
      <c r="C664"/>
      <c r="D664"/>
      <c r="E664"/>
    </row>
    <row r="665" spans="2:5" x14ac:dyDescent="0.35">
      <c r="B665"/>
      <c r="C665"/>
      <c r="D665"/>
      <c r="E665"/>
    </row>
    <row r="666" spans="2:5" x14ac:dyDescent="0.35">
      <c r="B666"/>
      <c r="C666"/>
      <c r="D666"/>
      <c r="E666"/>
    </row>
    <row r="667" spans="2:5" x14ac:dyDescent="0.35">
      <c r="B667"/>
      <c r="C667"/>
      <c r="D667"/>
      <c r="E667"/>
    </row>
    <row r="668" spans="2:5" x14ac:dyDescent="0.35">
      <c r="B668"/>
      <c r="C668"/>
      <c r="D668"/>
      <c r="E668"/>
    </row>
    <row r="669" spans="2:5" x14ac:dyDescent="0.35">
      <c r="B669"/>
      <c r="C669"/>
      <c r="D669"/>
      <c r="E669"/>
    </row>
    <row r="670" spans="2:5" x14ac:dyDescent="0.35">
      <c r="B670"/>
      <c r="C670"/>
      <c r="D670"/>
      <c r="E670"/>
    </row>
    <row r="671" spans="2:5" x14ac:dyDescent="0.35">
      <c r="B671"/>
      <c r="C671"/>
      <c r="D671"/>
      <c r="E671"/>
    </row>
    <row r="672" spans="2:5" x14ac:dyDescent="0.35">
      <c r="B672"/>
      <c r="C672"/>
      <c r="D672"/>
      <c r="E672"/>
    </row>
    <row r="673" spans="2:5" x14ac:dyDescent="0.35">
      <c r="B673"/>
      <c r="C673"/>
      <c r="D673"/>
      <c r="E673"/>
    </row>
    <row r="674" spans="2:5" x14ac:dyDescent="0.35">
      <c r="B674"/>
      <c r="C674"/>
      <c r="D674"/>
      <c r="E674"/>
    </row>
    <row r="675" spans="2:5" x14ac:dyDescent="0.35">
      <c r="B675"/>
      <c r="C675"/>
      <c r="D675"/>
      <c r="E675"/>
    </row>
    <row r="676" spans="2:5" x14ac:dyDescent="0.35">
      <c r="B676"/>
      <c r="C676"/>
      <c r="D676"/>
      <c r="E676"/>
    </row>
    <row r="677" spans="2:5" x14ac:dyDescent="0.35">
      <c r="B677"/>
      <c r="C677"/>
      <c r="D677"/>
      <c r="E677"/>
    </row>
    <row r="678" spans="2:5" x14ac:dyDescent="0.35">
      <c r="B678"/>
      <c r="C678"/>
      <c r="D678"/>
      <c r="E678"/>
    </row>
    <row r="679" spans="2:5" x14ac:dyDescent="0.35">
      <c r="B679"/>
      <c r="C679"/>
      <c r="D679"/>
      <c r="E679"/>
    </row>
    <row r="680" spans="2:5" x14ac:dyDescent="0.35">
      <c r="B680"/>
      <c r="C680"/>
      <c r="D680"/>
      <c r="E680"/>
    </row>
    <row r="681" spans="2:5" x14ac:dyDescent="0.35">
      <c r="B681"/>
      <c r="C681"/>
      <c r="D681"/>
      <c r="E681"/>
    </row>
    <row r="682" spans="2:5" x14ac:dyDescent="0.35">
      <c r="B682"/>
      <c r="C682"/>
      <c r="D682"/>
      <c r="E682"/>
    </row>
    <row r="683" spans="2:5" x14ac:dyDescent="0.35">
      <c r="B683"/>
      <c r="C683"/>
      <c r="D683"/>
      <c r="E683"/>
    </row>
    <row r="684" spans="2:5" x14ac:dyDescent="0.35">
      <c r="B684"/>
      <c r="C684"/>
      <c r="D684"/>
      <c r="E684"/>
    </row>
    <row r="685" spans="2:5" x14ac:dyDescent="0.35">
      <c r="B685"/>
      <c r="C685"/>
      <c r="D685"/>
      <c r="E685"/>
    </row>
    <row r="686" spans="2:5" x14ac:dyDescent="0.35">
      <c r="B686"/>
      <c r="C686"/>
      <c r="D686"/>
      <c r="E686"/>
    </row>
    <row r="687" spans="2:5" x14ac:dyDescent="0.35">
      <c r="B687"/>
      <c r="C687"/>
      <c r="D687"/>
      <c r="E687"/>
    </row>
    <row r="688" spans="2:5" x14ac:dyDescent="0.35">
      <c r="B688"/>
      <c r="C688"/>
      <c r="D688"/>
      <c r="E688"/>
    </row>
    <row r="689" spans="2:5" x14ac:dyDescent="0.35">
      <c r="B689"/>
      <c r="C689"/>
      <c r="D689"/>
      <c r="E689"/>
    </row>
    <row r="690" spans="2:5" x14ac:dyDescent="0.35">
      <c r="B690"/>
      <c r="C690"/>
      <c r="D690"/>
      <c r="E690"/>
    </row>
    <row r="691" spans="2:5" x14ac:dyDescent="0.35">
      <c r="B691"/>
      <c r="C691"/>
      <c r="D691"/>
      <c r="E691"/>
    </row>
    <row r="692" spans="2:5" x14ac:dyDescent="0.35">
      <c r="B692"/>
      <c r="C692"/>
      <c r="D692"/>
      <c r="E692"/>
    </row>
    <row r="693" spans="2:5" x14ac:dyDescent="0.35">
      <c r="B693"/>
      <c r="C693"/>
      <c r="D693"/>
      <c r="E693"/>
    </row>
    <row r="694" spans="2:5" x14ac:dyDescent="0.35">
      <c r="B694"/>
      <c r="C694"/>
      <c r="D694"/>
      <c r="E694"/>
    </row>
    <row r="695" spans="2:5" x14ac:dyDescent="0.35">
      <c r="B695"/>
      <c r="C695"/>
      <c r="D695"/>
      <c r="E695"/>
    </row>
    <row r="696" spans="2:5" x14ac:dyDescent="0.35">
      <c r="B696"/>
      <c r="C696"/>
      <c r="D696"/>
      <c r="E696"/>
    </row>
    <row r="697" spans="2:5" x14ac:dyDescent="0.35">
      <c r="B697"/>
      <c r="C697"/>
      <c r="D697"/>
      <c r="E697"/>
    </row>
    <row r="698" spans="2:5" x14ac:dyDescent="0.35">
      <c r="B698"/>
      <c r="C698"/>
      <c r="D698"/>
      <c r="E698"/>
    </row>
    <row r="699" spans="2:5" x14ac:dyDescent="0.35">
      <c r="B699"/>
      <c r="C699"/>
      <c r="D699"/>
      <c r="E699"/>
    </row>
    <row r="700" spans="2:5" x14ac:dyDescent="0.35">
      <c r="B700"/>
      <c r="C700"/>
      <c r="D700"/>
      <c r="E700"/>
    </row>
    <row r="701" spans="2:5" x14ac:dyDescent="0.35">
      <c r="B701"/>
      <c r="C701"/>
      <c r="D701"/>
      <c r="E701"/>
    </row>
    <row r="702" spans="2:5" x14ac:dyDescent="0.35">
      <c r="B702"/>
      <c r="C702"/>
      <c r="D702"/>
      <c r="E702"/>
    </row>
    <row r="703" spans="2:5" x14ac:dyDescent="0.35">
      <c r="B703"/>
      <c r="C703"/>
      <c r="D703"/>
      <c r="E703"/>
    </row>
    <row r="704" spans="2:5" x14ac:dyDescent="0.35">
      <c r="B704"/>
      <c r="C704"/>
      <c r="D704"/>
      <c r="E704"/>
    </row>
    <row r="705" spans="2:5" x14ac:dyDescent="0.35">
      <c r="B705"/>
      <c r="C705"/>
      <c r="D705"/>
      <c r="E705"/>
    </row>
    <row r="706" spans="2:5" x14ac:dyDescent="0.35">
      <c r="B706"/>
      <c r="C706"/>
      <c r="D706"/>
      <c r="E706"/>
    </row>
    <row r="707" spans="2:5" x14ac:dyDescent="0.35">
      <c r="B707"/>
      <c r="C707"/>
      <c r="D707"/>
      <c r="E707"/>
    </row>
    <row r="708" spans="2:5" x14ac:dyDescent="0.35">
      <c r="B708"/>
      <c r="C708"/>
      <c r="D708"/>
      <c r="E708"/>
    </row>
    <row r="709" spans="2:5" x14ac:dyDescent="0.35">
      <c r="B709"/>
      <c r="C709"/>
      <c r="D709"/>
      <c r="E709"/>
    </row>
    <row r="710" spans="2:5" x14ac:dyDescent="0.35">
      <c r="B710"/>
      <c r="C710"/>
      <c r="D710"/>
      <c r="E710"/>
    </row>
    <row r="711" spans="2:5" x14ac:dyDescent="0.35">
      <c r="B711"/>
      <c r="C711"/>
      <c r="D711"/>
      <c r="E711"/>
    </row>
    <row r="712" spans="2:5" x14ac:dyDescent="0.35">
      <c r="B712"/>
      <c r="C712"/>
      <c r="D712"/>
      <c r="E712"/>
    </row>
    <row r="713" spans="2:5" x14ac:dyDescent="0.35">
      <c r="B713"/>
      <c r="C713"/>
      <c r="D713"/>
      <c r="E713"/>
    </row>
    <row r="714" spans="2:5" x14ac:dyDescent="0.35">
      <c r="B714"/>
      <c r="C714"/>
      <c r="D714"/>
      <c r="E714"/>
    </row>
    <row r="715" spans="2:5" x14ac:dyDescent="0.35">
      <c r="B715"/>
      <c r="C715"/>
      <c r="D715"/>
      <c r="E715"/>
    </row>
    <row r="716" spans="2:5" x14ac:dyDescent="0.35">
      <c r="B716"/>
      <c r="C716"/>
      <c r="D716"/>
      <c r="E716"/>
    </row>
    <row r="717" spans="2:5" x14ac:dyDescent="0.35">
      <c r="B717"/>
      <c r="C717"/>
      <c r="D717"/>
      <c r="E717"/>
    </row>
    <row r="718" spans="2:5" x14ac:dyDescent="0.35">
      <c r="B718"/>
      <c r="C718"/>
      <c r="D718"/>
      <c r="E718"/>
    </row>
    <row r="719" spans="2:5" x14ac:dyDescent="0.35">
      <c r="B719"/>
      <c r="C719"/>
      <c r="D719"/>
      <c r="E719"/>
    </row>
    <row r="720" spans="2:5" x14ac:dyDescent="0.35">
      <c r="B720"/>
      <c r="C720"/>
      <c r="D720"/>
      <c r="E720"/>
    </row>
    <row r="721" spans="2:5" x14ac:dyDescent="0.35">
      <c r="B721"/>
      <c r="C721"/>
      <c r="D721"/>
      <c r="E721"/>
    </row>
    <row r="722" spans="2:5" x14ac:dyDescent="0.35">
      <c r="B722"/>
      <c r="C722"/>
      <c r="D722"/>
      <c r="E722"/>
    </row>
    <row r="723" spans="2:5" x14ac:dyDescent="0.35">
      <c r="B723"/>
      <c r="C723"/>
      <c r="D723"/>
      <c r="E723"/>
    </row>
    <row r="724" spans="2:5" x14ac:dyDescent="0.35">
      <c r="B724"/>
      <c r="C724"/>
      <c r="D724"/>
      <c r="E724"/>
    </row>
    <row r="725" spans="2:5" x14ac:dyDescent="0.35">
      <c r="B725"/>
      <c r="C725"/>
      <c r="D725"/>
      <c r="E725"/>
    </row>
    <row r="726" spans="2:5" x14ac:dyDescent="0.35">
      <c r="B726"/>
      <c r="C726"/>
      <c r="D726"/>
      <c r="E726"/>
    </row>
    <row r="727" spans="2:5" x14ac:dyDescent="0.35">
      <c r="B727"/>
      <c r="C727"/>
      <c r="D727"/>
      <c r="E727"/>
    </row>
    <row r="728" spans="2:5" x14ac:dyDescent="0.35">
      <c r="B728"/>
      <c r="C728"/>
      <c r="D728"/>
      <c r="E728"/>
    </row>
    <row r="729" spans="2:5" x14ac:dyDescent="0.35">
      <c r="B729"/>
      <c r="C729"/>
      <c r="D729"/>
      <c r="E729"/>
    </row>
    <row r="730" spans="2:5" x14ac:dyDescent="0.35">
      <c r="B730"/>
      <c r="C730"/>
      <c r="D730"/>
      <c r="E730"/>
    </row>
    <row r="731" spans="2:5" x14ac:dyDescent="0.35">
      <c r="B731"/>
      <c r="C731"/>
      <c r="D731"/>
      <c r="E731"/>
    </row>
    <row r="732" spans="2:5" x14ac:dyDescent="0.35">
      <c r="B732"/>
      <c r="C732"/>
      <c r="D732"/>
      <c r="E732"/>
    </row>
    <row r="733" spans="2:5" x14ac:dyDescent="0.35">
      <c r="B733"/>
      <c r="C733"/>
      <c r="D733"/>
      <c r="E733"/>
    </row>
    <row r="734" spans="2:5" x14ac:dyDescent="0.35">
      <c r="B734"/>
      <c r="C734"/>
      <c r="D734"/>
      <c r="E734"/>
    </row>
    <row r="735" spans="2:5" x14ac:dyDescent="0.35">
      <c r="B735"/>
      <c r="C735"/>
      <c r="D735"/>
      <c r="E735"/>
    </row>
    <row r="736" spans="2:5" x14ac:dyDescent="0.35">
      <c r="B736"/>
      <c r="C736"/>
      <c r="D736"/>
      <c r="E736"/>
    </row>
    <row r="737" spans="2:5" x14ac:dyDescent="0.35">
      <c r="B737"/>
      <c r="C737"/>
      <c r="D737"/>
      <c r="E737"/>
    </row>
    <row r="738" spans="2:5" x14ac:dyDescent="0.35">
      <c r="B738"/>
      <c r="C738"/>
      <c r="D738"/>
      <c r="E738"/>
    </row>
    <row r="739" spans="2:5" x14ac:dyDescent="0.35">
      <c r="B739"/>
      <c r="C739"/>
      <c r="D739"/>
      <c r="E739"/>
    </row>
    <row r="740" spans="2:5" x14ac:dyDescent="0.35">
      <c r="B740"/>
      <c r="C740"/>
      <c r="D740"/>
      <c r="E740"/>
    </row>
    <row r="741" spans="2:5" x14ac:dyDescent="0.35">
      <c r="B741"/>
      <c r="C741"/>
      <c r="D741"/>
      <c r="E741"/>
    </row>
    <row r="742" spans="2:5" x14ac:dyDescent="0.35">
      <c r="B742"/>
      <c r="C742"/>
      <c r="D742"/>
      <c r="E742"/>
    </row>
    <row r="743" spans="2:5" x14ac:dyDescent="0.35">
      <c r="B743"/>
      <c r="C743"/>
      <c r="D743"/>
      <c r="E743"/>
    </row>
    <row r="744" spans="2:5" x14ac:dyDescent="0.35">
      <c r="B744"/>
      <c r="C744"/>
      <c r="D744"/>
      <c r="E744"/>
    </row>
    <row r="745" spans="2:5" x14ac:dyDescent="0.35">
      <c r="B745"/>
      <c r="C745"/>
      <c r="D745"/>
      <c r="E745"/>
    </row>
    <row r="746" spans="2:5" x14ac:dyDescent="0.35">
      <c r="B746"/>
      <c r="C746"/>
      <c r="D746"/>
      <c r="E746"/>
    </row>
    <row r="747" spans="2:5" x14ac:dyDescent="0.35">
      <c r="B747"/>
      <c r="C747"/>
      <c r="D747"/>
      <c r="E747"/>
    </row>
    <row r="748" spans="2:5" x14ac:dyDescent="0.35">
      <c r="B748"/>
      <c r="C748"/>
      <c r="D748"/>
      <c r="E748"/>
    </row>
    <row r="749" spans="2:5" x14ac:dyDescent="0.35">
      <c r="B749"/>
      <c r="C749"/>
      <c r="D749"/>
      <c r="E749"/>
    </row>
    <row r="750" spans="2:5" x14ac:dyDescent="0.35">
      <c r="B750"/>
      <c r="C750"/>
      <c r="D750"/>
      <c r="E750"/>
    </row>
    <row r="751" spans="2:5" x14ac:dyDescent="0.35">
      <c r="B751"/>
      <c r="C751"/>
      <c r="D751"/>
      <c r="E751"/>
    </row>
    <row r="752" spans="2:5" x14ac:dyDescent="0.35">
      <c r="B752"/>
      <c r="C752"/>
      <c r="D752"/>
      <c r="E752"/>
    </row>
    <row r="753" spans="2:5" x14ac:dyDescent="0.35">
      <c r="B753"/>
      <c r="C753"/>
      <c r="D753"/>
      <c r="E753"/>
    </row>
    <row r="754" spans="2:5" x14ac:dyDescent="0.35">
      <c r="B754"/>
      <c r="C754"/>
      <c r="D754"/>
      <c r="E754"/>
    </row>
    <row r="755" spans="2:5" x14ac:dyDescent="0.35">
      <c r="B755"/>
      <c r="C755"/>
      <c r="D755"/>
      <c r="E755"/>
    </row>
    <row r="756" spans="2:5" x14ac:dyDescent="0.35">
      <c r="B756"/>
      <c r="C756"/>
      <c r="D756"/>
      <c r="E756"/>
    </row>
    <row r="757" spans="2:5" x14ac:dyDescent="0.35">
      <c r="B757"/>
      <c r="C757"/>
      <c r="D757"/>
      <c r="E757"/>
    </row>
    <row r="758" spans="2:5" x14ac:dyDescent="0.35">
      <c r="B758"/>
      <c r="C758"/>
      <c r="D758"/>
      <c r="E758"/>
    </row>
    <row r="759" spans="2:5" x14ac:dyDescent="0.35">
      <c r="B759"/>
      <c r="C759"/>
      <c r="D759"/>
      <c r="E759"/>
    </row>
    <row r="760" spans="2:5" x14ac:dyDescent="0.35">
      <c r="B760"/>
      <c r="C760"/>
      <c r="D760"/>
      <c r="E760"/>
    </row>
    <row r="761" spans="2:5" x14ac:dyDescent="0.35">
      <c r="B761"/>
      <c r="C761"/>
      <c r="D761"/>
      <c r="E761"/>
    </row>
    <row r="762" spans="2:5" x14ac:dyDescent="0.35">
      <c r="B762"/>
      <c r="C762"/>
      <c r="D762"/>
      <c r="E762"/>
    </row>
    <row r="763" spans="2:5" x14ac:dyDescent="0.35">
      <c r="B763"/>
      <c r="C763"/>
      <c r="D763"/>
      <c r="E763"/>
    </row>
    <row r="764" spans="2:5" x14ac:dyDescent="0.35">
      <c r="B764"/>
      <c r="C764"/>
      <c r="D764"/>
      <c r="E764"/>
    </row>
    <row r="765" spans="2:5" x14ac:dyDescent="0.35">
      <c r="B765"/>
      <c r="C765"/>
      <c r="D765"/>
      <c r="E765"/>
    </row>
    <row r="766" spans="2:5" x14ac:dyDescent="0.35">
      <c r="B766"/>
      <c r="C766"/>
      <c r="D766"/>
      <c r="E766"/>
    </row>
    <row r="767" spans="2:5" x14ac:dyDescent="0.35">
      <c r="B767"/>
      <c r="C767"/>
      <c r="D767"/>
      <c r="E767"/>
    </row>
    <row r="768" spans="2:5" x14ac:dyDescent="0.35">
      <c r="B768"/>
      <c r="C768"/>
      <c r="D768"/>
      <c r="E768"/>
    </row>
    <row r="769" spans="2:5" x14ac:dyDescent="0.35">
      <c r="B769"/>
      <c r="C769"/>
      <c r="D769"/>
      <c r="E769"/>
    </row>
    <row r="770" spans="2:5" x14ac:dyDescent="0.35">
      <c r="B770"/>
      <c r="C770"/>
      <c r="D770"/>
      <c r="E770"/>
    </row>
    <row r="771" spans="2:5" x14ac:dyDescent="0.35">
      <c r="B771"/>
      <c r="C771"/>
      <c r="D771"/>
      <c r="E771"/>
    </row>
    <row r="772" spans="2:5" x14ac:dyDescent="0.35">
      <c r="B772"/>
      <c r="C772"/>
      <c r="D772"/>
      <c r="E772"/>
    </row>
    <row r="773" spans="2:5" x14ac:dyDescent="0.35">
      <c r="B773"/>
      <c r="C773"/>
      <c r="D773"/>
      <c r="E773"/>
    </row>
    <row r="774" spans="2:5" x14ac:dyDescent="0.35">
      <c r="B774"/>
      <c r="C774"/>
      <c r="D774"/>
      <c r="E774"/>
    </row>
    <row r="775" spans="2:5" x14ac:dyDescent="0.35">
      <c r="B775"/>
      <c r="C775"/>
      <c r="D775"/>
      <c r="E775"/>
    </row>
    <row r="776" spans="2:5" x14ac:dyDescent="0.35">
      <c r="B776"/>
      <c r="C776"/>
      <c r="D776"/>
      <c r="E776"/>
    </row>
    <row r="777" spans="2:5" x14ac:dyDescent="0.35">
      <c r="B777"/>
      <c r="C777"/>
      <c r="D777"/>
      <c r="E777"/>
    </row>
    <row r="778" spans="2:5" x14ac:dyDescent="0.35">
      <c r="B778"/>
      <c r="C778"/>
      <c r="D778"/>
      <c r="E778"/>
    </row>
    <row r="779" spans="2:5" x14ac:dyDescent="0.35">
      <c r="B779"/>
      <c r="C779"/>
      <c r="D779"/>
      <c r="E779"/>
    </row>
    <row r="780" spans="2:5" x14ac:dyDescent="0.35">
      <c r="B780"/>
      <c r="C780"/>
      <c r="D780"/>
      <c r="E780"/>
    </row>
    <row r="781" spans="2:5" x14ac:dyDescent="0.35">
      <c r="B781"/>
      <c r="C781"/>
      <c r="D781"/>
      <c r="E781"/>
    </row>
    <row r="782" spans="2:5" x14ac:dyDescent="0.35">
      <c r="B782"/>
      <c r="C782"/>
      <c r="D782"/>
      <c r="E782"/>
    </row>
    <row r="783" spans="2:5" x14ac:dyDescent="0.35">
      <c r="B783"/>
      <c r="C783"/>
      <c r="D783"/>
      <c r="E783"/>
    </row>
    <row r="784" spans="2:5" x14ac:dyDescent="0.35">
      <c r="B784"/>
      <c r="C784"/>
      <c r="D784"/>
      <c r="E784"/>
    </row>
    <row r="785" spans="2:5" x14ac:dyDescent="0.35">
      <c r="B785"/>
      <c r="C785"/>
      <c r="D785"/>
      <c r="E785"/>
    </row>
    <row r="786" spans="2:5" x14ac:dyDescent="0.35">
      <c r="B786"/>
      <c r="C786"/>
      <c r="D786"/>
      <c r="E786"/>
    </row>
    <row r="787" spans="2:5" x14ac:dyDescent="0.35">
      <c r="B787"/>
      <c r="C787"/>
      <c r="D787"/>
      <c r="E787"/>
    </row>
    <row r="788" spans="2:5" x14ac:dyDescent="0.35">
      <c r="B788"/>
      <c r="C788"/>
      <c r="D788"/>
      <c r="E788"/>
    </row>
    <row r="789" spans="2:5" x14ac:dyDescent="0.35">
      <c r="B789"/>
      <c r="C789"/>
      <c r="D789"/>
      <c r="E789"/>
    </row>
    <row r="790" spans="2:5" x14ac:dyDescent="0.35">
      <c r="B790"/>
      <c r="C790"/>
      <c r="D790"/>
      <c r="E790"/>
    </row>
    <row r="791" spans="2:5" x14ac:dyDescent="0.35">
      <c r="B791"/>
      <c r="C791"/>
      <c r="D791"/>
      <c r="E791"/>
    </row>
    <row r="792" spans="2:5" x14ac:dyDescent="0.35">
      <c r="B792"/>
      <c r="C792"/>
      <c r="D792"/>
      <c r="E792"/>
    </row>
    <row r="793" spans="2:5" x14ac:dyDescent="0.35">
      <c r="B793"/>
      <c r="C793"/>
      <c r="D793"/>
      <c r="E793"/>
    </row>
    <row r="794" spans="2:5" x14ac:dyDescent="0.35">
      <c r="B794"/>
      <c r="C794"/>
      <c r="D794"/>
      <c r="E794"/>
    </row>
    <row r="795" spans="2:5" x14ac:dyDescent="0.35">
      <c r="B795"/>
      <c r="C795"/>
      <c r="D795"/>
      <c r="E795"/>
    </row>
    <row r="796" spans="2:5" x14ac:dyDescent="0.35">
      <c r="B796"/>
      <c r="C796"/>
      <c r="D796"/>
      <c r="E796"/>
    </row>
    <row r="797" spans="2:5" x14ac:dyDescent="0.35">
      <c r="B797"/>
      <c r="C797"/>
      <c r="D797"/>
      <c r="E797"/>
    </row>
    <row r="798" spans="2:5" x14ac:dyDescent="0.35">
      <c r="B798"/>
      <c r="C798"/>
      <c r="D798"/>
      <c r="E798"/>
    </row>
    <row r="799" spans="2:5" x14ac:dyDescent="0.35">
      <c r="B799"/>
      <c r="C799"/>
      <c r="D799"/>
      <c r="E799"/>
    </row>
    <row r="800" spans="2:5" x14ac:dyDescent="0.35">
      <c r="B800"/>
      <c r="C800"/>
      <c r="D800"/>
      <c r="E800"/>
    </row>
    <row r="801" spans="2:5" x14ac:dyDescent="0.35">
      <c r="B801"/>
      <c r="C801"/>
      <c r="D801"/>
      <c r="E801"/>
    </row>
    <row r="802" spans="2:5" x14ac:dyDescent="0.35">
      <c r="B802"/>
      <c r="C802"/>
      <c r="D802"/>
      <c r="E802"/>
    </row>
    <row r="803" spans="2:5" x14ac:dyDescent="0.35">
      <c r="B803"/>
      <c r="C803"/>
      <c r="D803"/>
      <c r="E803"/>
    </row>
    <row r="804" spans="2:5" x14ac:dyDescent="0.35">
      <c r="B804"/>
      <c r="C804"/>
      <c r="D804"/>
      <c r="E804"/>
    </row>
    <row r="805" spans="2:5" x14ac:dyDescent="0.35">
      <c r="B805"/>
      <c r="C805"/>
      <c r="D805"/>
      <c r="E805"/>
    </row>
    <row r="806" spans="2:5" x14ac:dyDescent="0.35">
      <c r="B806"/>
      <c r="C806"/>
      <c r="D806"/>
      <c r="E806"/>
    </row>
    <row r="807" spans="2:5" x14ac:dyDescent="0.35">
      <c r="B807"/>
      <c r="C807"/>
      <c r="D807"/>
      <c r="E807"/>
    </row>
    <row r="808" spans="2:5" x14ac:dyDescent="0.35">
      <c r="B808"/>
      <c r="C808"/>
      <c r="D808"/>
      <c r="E808"/>
    </row>
    <row r="809" spans="2:5" x14ac:dyDescent="0.35">
      <c r="B809"/>
      <c r="C809"/>
      <c r="D809"/>
      <c r="E809"/>
    </row>
    <row r="810" spans="2:5" x14ac:dyDescent="0.35">
      <c r="B810"/>
      <c r="C810"/>
      <c r="D810"/>
      <c r="E810"/>
    </row>
    <row r="811" spans="2:5" x14ac:dyDescent="0.35">
      <c r="B811"/>
      <c r="C811"/>
      <c r="D811"/>
      <c r="E811"/>
    </row>
    <row r="812" spans="2:5" x14ac:dyDescent="0.35">
      <c r="B812"/>
      <c r="C812"/>
      <c r="D812"/>
      <c r="E812"/>
    </row>
    <row r="813" spans="2:5" x14ac:dyDescent="0.35">
      <c r="B813"/>
      <c r="C813"/>
      <c r="D813"/>
      <c r="E813"/>
    </row>
    <row r="814" spans="2:5" x14ac:dyDescent="0.35">
      <c r="B814"/>
      <c r="C814"/>
      <c r="D814"/>
      <c r="E814"/>
    </row>
    <row r="815" spans="2:5" x14ac:dyDescent="0.35">
      <c r="B815"/>
      <c r="C815"/>
      <c r="D815"/>
      <c r="E815"/>
    </row>
    <row r="816" spans="2:5" x14ac:dyDescent="0.35">
      <c r="B816"/>
      <c r="C816"/>
      <c r="D816"/>
      <c r="E816"/>
    </row>
    <row r="817" spans="2:5" x14ac:dyDescent="0.35">
      <c r="B817"/>
      <c r="C817"/>
      <c r="D817"/>
      <c r="E817"/>
    </row>
    <row r="818" spans="2:5" x14ac:dyDescent="0.35">
      <c r="B818"/>
      <c r="C818"/>
      <c r="D818"/>
      <c r="E818"/>
    </row>
    <row r="819" spans="2:5" x14ac:dyDescent="0.35">
      <c r="B819"/>
      <c r="C819"/>
      <c r="D819"/>
      <c r="E819"/>
    </row>
    <row r="820" spans="2:5" x14ac:dyDescent="0.35">
      <c r="B820"/>
      <c r="C820"/>
      <c r="D820"/>
      <c r="E820"/>
    </row>
    <row r="821" spans="2:5" x14ac:dyDescent="0.35">
      <c r="B821"/>
      <c r="C821"/>
      <c r="D821"/>
      <c r="E821"/>
    </row>
    <row r="822" spans="2:5" x14ac:dyDescent="0.35">
      <c r="B822"/>
      <c r="C822"/>
      <c r="D822"/>
      <c r="E822"/>
    </row>
    <row r="823" spans="2:5" x14ac:dyDescent="0.35">
      <c r="B823"/>
      <c r="C823"/>
      <c r="D823"/>
      <c r="E823"/>
    </row>
    <row r="824" spans="2:5" x14ac:dyDescent="0.35">
      <c r="B824"/>
      <c r="C824"/>
      <c r="D824"/>
      <c r="E824"/>
    </row>
    <row r="825" spans="2:5" x14ac:dyDescent="0.35">
      <c r="B825"/>
      <c r="C825"/>
      <c r="D825"/>
      <c r="E825"/>
    </row>
    <row r="826" spans="2:5" x14ac:dyDescent="0.35">
      <c r="B826"/>
      <c r="C826"/>
      <c r="D826"/>
      <c r="E826"/>
    </row>
    <row r="827" spans="2:5" x14ac:dyDescent="0.35">
      <c r="B827"/>
      <c r="C827"/>
      <c r="D827"/>
      <c r="E827"/>
    </row>
    <row r="828" spans="2:5" x14ac:dyDescent="0.35">
      <c r="B828"/>
      <c r="C828"/>
      <c r="D828"/>
      <c r="E828"/>
    </row>
    <row r="829" spans="2:5" x14ac:dyDescent="0.35">
      <c r="B829"/>
      <c r="C829"/>
      <c r="D829"/>
      <c r="E829"/>
    </row>
    <row r="830" spans="2:5" x14ac:dyDescent="0.35">
      <c r="B830"/>
      <c r="C830"/>
      <c r="D830"/>
      <c r="E830"/>
    </row>
    <row r="831" spans="2:5" x14ac:dyDescent="0.35">
      <c r="B831"/>
      <c r="C831"/>
      <c r="D831"/>
      <c r="E831"/>
    </row>
    <row r="832" spans="2:5" x14ac:dyDescent="0.35">
      <c r="B832"/>
      <c r="C832"/>
      <c r="D832"/>
      <c r="E832"/>
    </row>
    <row r="833" spans="2:5" x14ac:dyDescent="0.35">
      <c r="B833"/>
      <c r="C833"/>
      <c r="D833"/>
      <c r="E833"/>
    </row>
    <row r="834" spans="2:5" x14ac:dyDescent="0.35">
      <c r="B834"/>
      <c r="C834"/>
      <c r="D834"/>
      <c r="E834"/>
    </row>
    <row r="835" spans="2:5" x14ac:dyDescent="0.35">
      <c r="B835"/>
      <c r="C835"/>
      <c r="D835"/>
      <c r="E835"/>
    </row>
    <row r="836" spans="2:5" x14ac:dyDescent="0.35">
      <c r="B836"/>
      <c r="C836"/>
      <c r="D836"/>
      <c r="E836"/>
    </row>
    <row r="837" spans="2:5" x14ac:dyDescent="0.35">
      <c r="B837"/>
      <c r="C837"/>
      <c r="D837"/>
      <c r="E837"/>
    </row>
    <row r="838" spans="2:5" x14ac:dyDescent="0.35">
      <c r="B838"/>
      <c r="C838"/>
      <c r="D838"/>
      <c r="E838"/>
    </row>
    <row r="839" spans="2:5" x14ac:dyDescent="0.35">
      <c r="B839"/>
      <c r="C839"/>
      <c r="D839"/>
      <c r="E839"/>
    </row>
    <row r="840" spans="2:5" x14ac:dyDescent="0.35">
      <c r="B840"/>
      <c r="C840"/>
      <c r="D840"/>
      <c r="E840"/>
    </row>
    <row r="841" spans="2:5" x14ac:dyDescent="0.35">
      <c r="B841"/>
      <c r="C841"/>
      <c r="D841"/>
      <c r="E841"/>
    </row>
    <row r="842" spans="2:5" x14ac:dyDescent="0.35">
      <c r="B842"/>
      <c r="C842"/>
      <c r="D842"/>
      <c r="E842"/>
    </row>
    <row r="843" spans="2:5" x14ac:dyDescent="0.35">
      <c r="B843"/>
      <c r="C843"/>
      <c r="D843"/>
      <c r="E843"/>
    </row>
    <row r="844" spans="2:5" x14ac:dyDescent="0.35">
      <c r="B844"/>
      <c r="C844"/>
      <c r="D844"/>
      <c r="E844"/>
    </row>
    <row r="845" spans="2:5" x14ac:dyDescent="0.35">
      <c r="B845"/>
      <c r="C845"/>
      <c r="D845"/>
      <c r="E845"/>
    </row>
    <row r="846" spans="2:5" x14ac:dyDescent="0.35">
      <c r="B846"/>
      <c r="C846"/>
      <c r="D846"/>
      <c r="E846"/>
    </row>
    <row r="847" spans="2:5" x14ac:dyDescent="0.35">
      <c r="B847"/>
      <c r="C847"/>
      <c r="D847"/>
      <c r="E847"/>
    </row>
    <row r="848" spans="2:5" x14ac:dyDescent="0.35">
      <c r="B848"/>
      <c r="C848"/>
      <c r="D848"/>
      <c r="E848"/>
    </row>
    <row r="849" spans="2:5" x14ac:dyDescent="0.35">
      <c r="B849"/>
      <c r="C849"/>
      <c r="D849"/>
      <c r="E849"/>
    </row>
    <row r="850" spans="2:5" x14ac:dyDescent="0.35">
      <c r="B850"/>
      <c r="C850"/>
      <c r="D850"/>
      <c r="E850"/>
    </row>
    <row r="851" spans="2:5" x14ac:dyDescent="0.35">
      <c r="B851"/>
      <c r="C851"/>
      <c r="D851"/>
      <c r="E851"/>
    </row>
    <row r="852" spans="2:5" x14ac:dyDescent="0.35">
      <c r="B852"/>
      <c r="C852"/>
      <c r="D852"/>
      <c r="E852"/>
    </row>
    <row r="853" spans="2:5" x14ac:dyDescent="0.35">
      <c r="B853"/>
      <c r="C853"/>
      <c r="D853"/>
      <c r="E853"/>
    </row>
    <row r="854" spans="2:5" x14ac:dyDescent="0.35">
      <c r="B854"/>
      <c r="C854"/>
      <c r="D854"/>
      <c r="E854"/>
    </row>
    <row r="855" spans="2:5" x14ac:dyDescent="0.35">
      <c r="B855"/>
      <c r="C855"/>
      <c r="D855"/>
      <c r="E855"/>
    </row>
    <row r="856" spans="2:5" x14ac:dyDescent="0.35">
      <c r="B856"/>
      <c r="C856"/>
      <c r="D856"/>
      <c r="E856"/>
    </row>
    <row r="857" spans="2:5" x14ac:dyDescent="0.35">
      <c r="B857"/>
      <c r="C857"/>
      <c r="D857"/>
      <c r="E857"/>
    </row>
    <row r="858" spans="2:5" x14ac:dyDescent="0.35">
      <c r="B858"/>
      <c r="C858"/>
      <c r="D858"/>
      <c r="E858"/>
    </row>
    <row r="859" spans="2:5" x14ac:dyDescent="0.35">
      <c r="B859"/>
      <c r="C859"/>
      <c r="D859"/>
      <c r="E859"/>
    </row>
    <row r="860" spans="2:5" x14ac:dyDescent="0.35">
      <c r="B860"/>
      <c r="C860"/>
      <c r="D860"/>
      <c r="E860"/>
    </row>
    <row r="861" spans="2:5" x14ac:dyDescent="0.35">
      <c r="B861"/>
      <c r="C861"/>
      <c r="D861"/>
      <c r="E861"/>
    </row>
    <row r="862" spans="2:5" x14ac:dyDescent="0.35">
      <c r="B862"/>
      <c r="C862"/>
      <c r="D862"/>
      <c r="E862"/>
    </row>
    <row r="863" spans="2:5" x14ac:dyDescent="0.35">
      <c r="B863"/>
      <c r="C863"/>
      <c r="D863"/>
      <c r="E863"/>
    </row>
    <row r="864" spans="2:5" x14ac:dyDescent="0.35">
      <c r="B864"/>
      <c r="C864"/>
      <c r="D864"/>
      <c r="E864"/>
    </row>
    <row r="865" spans="2:5" x14ac:dyDescent="0.35">
      <c r="B865"/>
      <c r="C865"/>
      <c r="D865"/>
      <c r="E865"/>
    </row>
    <row r="866" spans="2:5" x14ac:dyDescent="0.35">
      <c r="B866"/>
      <c r="C866"/>
      <c r="D866"/>
      <c r="E866"/>
    </row>
    <row r="867" spans="2:5" x14ac:dyDescent="0.35">
      <c r="B867"/>
      <c r="C867"/>
      <c r="D867"/>
      <c r="E867"/>
    </row>
    <row r="868" spans="2:5" x14ac:dyDescent="0.35">
      <c r="B868"/>
      <c r="C868"/>
      <c r="D868"/>
      <c r="E868"/>
    </row>
    <row r="869" spans="2:5" x14ac:dyDescent="0.35">
      <c r="B869"/>
      <c r="C869"/>
      <c r="D869"/>
      <c r="E869"/>
    </row>
    <row r="870" spans="2:5" x14ac:dyDescent="0.35">
      <c r="B870"/>
      <c r="C870"/>
      <c r="D870"/>
      <c r="E870"/>
    </row>
    <row r="871" spans="2:5" x14ac:dyDescent="0.35">
      <c r="B871"/>
      <c r="C871"/>
      <c r="D871"/>
      <c r="E871"/>
    </row>
    <row r="872" spans="2:5" x14ac:dyDescent="0.35">
      <c r="B872"/>
      <c r="C872"/>
      <c r="D872"/>
      <c r="E872"/>
    </row>
    <row r="873" spans="2:5" x14ac:dyDescent="0.35">
      <c r="B873"/>
      <c r="C873"/>
      <c r="D873"/>
      <c r="E873"/>
    </row>
    <row r="874" spans="2:5" x14ac:dyDescent="0.35">
      <c r="B874"/>
      <c r="C874"/>
      <c r="D874"/>
      <c r="E874"/>
    </row>
    <row r="875" spans="2:5" x14ac:dyDescent="0.35">
      <c r="B875"/>
      <c r="C875"/>
      <c r="D875"/>
      <c r="E875"/>
    </row>
    <row r="876" spans="2:5" x14ac:dyDescent="0.35">
      <c r="B876"/>
      <c r="C876"/>
      <c r="D876"/>
      <c r="E876"/>
    </row>
    <row r="877" spans="2:5" x14ac:dyDescent="0.35">
      <c r="B877"/>
      <c r="C877"/>
      <c r="D877"/>
      <c r="E877"/>
    </row>
    <row r="878" spans="2:5" x14ac:dyDescent="0.35">
      <c r="B878"/>
      <c r="C878"/>
      <c r="D878"/>
      <c r="E878"/>
    </row>
    <row r="879" spans="2:5" x14ac:dyDescent="0.35">
      <c r="B879"/>
      <c r="C879"/>
      <c r="D879"/>
      <c r="E879"/>
    </row>
    <row r="880" spans="2:5" x14ac:dyDescent="0.35">
      <c r="B880"/>
      <c r="C880"/>
      <c r="D880"/>
      <c r="E880"/>
    </row>
    <row r="881" spans="2:5" x14ac:dyDescent="0.35">
      <c r="B881"/>
      <c r="C881"/>
      <c r="D881"/>
      <c r="E881"/>
    </row>
    <row r="882" spans="2:5" x14ac:dyDescent="0.35">
      <c r="B882"/>
      <c r="C882"/>
      <c r="D882"/>
      <c r="E882"/>
    </row>
    <row r="883" spans="2:5" x14ac:dyDescent="0.35">
      <c r="B883"/>
      <c r="C883"/>
      <c r="D883"/>
      <c r="E883"/>
    </row>
    <row r="884" spans="2:5" x14ac:dyDescent="0.35">
      <c r="B884"/>
      <c r="C884"/>
      <c r="D884"/>
      <c r="E884"/>
    </row>
    <row r="885" spans="2:5" x14ac:dyDescent="0.35">
      <c r="B885"/>
      <c r="C885"/>
      <c r="D885"/>
      <c r="E885"/>
    </row>
    <row r="886" spans="2:5" x14ac:dyDescent="0.35">
      <c r="B886"/>
      <c r="C886"/>
      <c r="D886"/>
      <c r="E886"/>
    </row>
    <row r="887" spans="2:5" x14ac:dyDescent="0.35">
      <c r="B887"/>
      <c r="C887"/>
      <c r="D887"/>
      <c r="E887"/>
    </row>
    <row r="888" spans="2:5" x14ac:dyDescent="0.35">
      <c r="B888"/>
      <c r="C888"/>
      <c r="D888"/>
      <c r="E888"/>
    </row>
    <row r="889" spans="2:5" x14ac:dyDescent="0.35">
      <c r="B889"/>
      <c r="C889"/>
      <c r="D889"/>
      <c r="E889"/>
    </row>
    <row r="890" spans="2:5" x14ac:dyDescent="0.35">
      <c r="B890"/>
      <c r="C890"/>
      <c r="D890"/>
      <c r="E890"/>
    </row>
    <row r="891" spans="2:5" x14ac:dyDescent="0.35">
      <c r="B891"/>
      <c r="C891"/>
      <c r="D891"/>
      <c r="E891"/>
    </row>
    <row r="892" spans="2:5" x14ac:dyDescent="0.35">
      <c r="B892"/>
      <c r="C892"/>
      <c r="D892"/>
      <c r="E892"/>
    </row>
    <row r="893" spans="2:5" x14ac:dyDescent="0.35">
      <c r="B893"/>
      <c r="C893"/>
      <c r="D893"/>
      <c r="E893"/>
    </row>
    <row r="894" spans="2:5" x14ac:dyDescent="0.35">
      <c r="B894"/>
      <c r="C894"/>
      <c r="D894"/>
      <c r="E894"/>
    </row>
    <row r="895" spans="2:5" x14ac:dyDescent="0.35">
      <c r="B895"/>
      <c r="C895"/>
      <c r="D895"/>
      <c r="E895"/>
    </row>
    <row r="896" spans="2:5" x14ac:dyDescent="0.35">
      <c r="B896"/>
      <c r="C896"/>
      <c r="D896"/>
      <c r="E896"/>
    </row>
    <row r="897" spans="2:5" x14ac:dyDescent="0.35">
      <c r="B897"/>
      <c r="C897"/>
      <c r="D897"/>
      <c r="E897"/>
    </row>
    <row r="898" spans="2:5" x14ac:dyDescent="0.35">
      <c r="B898"/>
      <c r="C898"/>
      <c r="D898"/>
      <c r="E898"/>
    </row>
    <row r="899" spans="2:5" x14ac:dyDescent="0.35">
      <c r="B899"/>
      <c r="C899"/>
      <c r="D899"/>
      <c r="E899"/>
    </row>
    <row r="900" spans="2:5" x14ac:dyDescent="0.35">
      <c r="B900"/>
      <c r="C900"/>
      <c r="D900"/>
      <c r="E900"/>
    </row>
    <row r="901" spans="2:5" x14ac:dyDescent="0.35">
      <c r="B901"/>
      <c r="C901"/>
      <c r="D901"/>
      <c r="E901"/>
    </row>
    <row r="902" spans="2:5" x14ac:dyDescent="0.35">
      <c r="B902"/>
      <c r="C902"/>
      <c r="D902"/>
      <c r="E902"/>
    </row>
    <row r="903" spans="2:5" x14ac:dyDescent="0.35">
      <c r="B903"/>
      <c r="C903"/>
      <c r="D903"/>
      <c r="E903"/>
    </row>
    <row r="904" spans="2:5" x14ac:dyDescent="0.35">
      <c r="B904"/>
      <c r="C904"/>
      <c r="D904"/>
      <c r="E904"/>
    </row>
    <row r="905" spans="2:5" x14ac:dyDescent="0.35">
      <c r="B905"/>
      <c r="C905"/>
      <c r="D905"/>
      <c r="E905"/>
    </row>
    <row r="906" spans="2:5" x14ac:dyDescent="0.35">
      <c r="B906"/>
      <c r="C906"/>
      <c r="D906"/>
      <c r="E906"/>
    </row>
    <row r="907" spans="2:5" x14ac:dyDescent="0.35">
      <c r="B907"/>
      <c r="C907"/>
      <c r="D907"/>
      <c r="E907"/>
    </row>
    <row r="908" spans="2:5" x14ac:dyDescent="0.35">
      <c r="B908"/>
      <c r="C908"/>
      <c r="D908"/>
      <c r="E908"/>
    </row>
    <row r="909" spans="2:5" x14ac:dyDescent="0.35">
      <c r="B909"/>
      <c r="C909"/>
      <c r="D909"/>
      <c r="E909"/>
    </row>
    <row r="910" spans="2:5" x14ac:dyDescent="0.35">
      <c r="B910"/>
      <c r="C910"/>
      <c r="D910"/>
      <c r="E910"/>
    </row>
    <row r="911" spans="2:5" x14ac:dyDescent="0.35">
      <c r="B911"/>
      <c r="C911"/>
      <c r="D911"/>
      <c r="E911"/>
    </row>
    <row r="912" spans="2:5" x14ac:dyDescent="0.35">
      <c r="B912"/>
      <c r="C912"/>
      <c r="D912"/>
      <c r="E912"/>
    </row>
    <row r="913" spans="2:5" x14ac:dyDescent="0.35">
      <c r="B913"/>
      <c r="C913"/>
      <c r="D913"/>
      <c r="E913"/>
    </row>
    <row r="914" spans="2:5" x14ac:dyDescent="0.35">
      <c r="B914"/>
      <c r="C914"/>
      <c r="D914"/>
      <c r="E914"/>
    </row>
    <row r="915" spans="2:5" x14ac:dyDescent="0.35">
      <c r="B915"/>
      <c r="C915"/>
      <c r="D915"/>
      <c r="E915"/>
    </row>
    <row r="916" spans="2:5" x14ac:dyDescent="0.35">
      <c r="B916"/>
      <c r="C916"/>
      <c r="D916"/>
      <c r="E916"/>
    </row>
    <row r="917" spans="2:5" x14ac:dyDescent="0.35">
      <c r="B917"/>
      <c r="C917"/>
      <c r="D917"/>
      <c r="E917"/>
    </row>
    <row r="918" spans="2:5" x14ac:dyDescent="0.35">
      <c r="B918"/>
      <c r="C918"/>
      <c r="D918"/>
      <c r="E918"/>
    </row>
    <row r="919" spans="2:5" x14ac:dyDescent="0.35">
      <c r="B919"/>
      <c r="C919"/>
      <c r="D919"/>
      <c r="E919"/>
    </row>
    <row r="920" spans="2:5" x14ac:dyDescent="0.35">
      <c r="B920"/>
      <c r="C920"/>
      <c r="D920"/>
      <c r="E920"/>
    </row>
    <row r="921" spans="2:5" x14ac:dyDescent="0.35">
      <c r="B921"/>
      <c r="C921"/>
      <c r="D921"/>
      <c r="E921"/>
    </row>
    <row r="922" spans="2:5" x14ac:dyDescent="0.35">
      <c r="B922"/>
      <c r="C922"/>
      <c r="D922"/>
      <c r="E922"/>
    </row>
    <row r="923" spans="2:5" x14ac:dyDescent="0.35">
      <c r="B923"/>
      <c r="C923"/>
      <c r="D923"/>
      <c r="E923"/>
    </row>
    <row r="924" spans="2:5" x14ac:dyDescent="0.35">
      <c r="B924"/>
      <c r="C924"/>
      <c r="D924"/>
      <c r="E924"/>
    </row>
    <row r="925" spans="2:5" x14ac:dyDescent="0.35">
      <c r="B925"/>
      <c r="C925"/>
      <c r="D925"/>
      <c r="E925"/>
    </row>
    <row r="926" spans="2:5" x14ac:dyDescent="0.35">
      <c r="B926"/>
      <c r="C926"/>
      <c r="D926"/>
      <c r="E926"/>
    </row>
    <row r="927" spans="2:5" x14ac:dyDescent="0.35">
      <c r="B927"/>
      <c r="C927"/>
      <c r="D927"/>
      <c r="E927"/>
    </row>
    <row r="928" spans="2:5" x14ac:dyDescent="0.35">
      <c r="B928"/>
      <c r="C928"/>
      <c r="D928"/>
      <c r="E928"/>
    </row>
    <row r="929" spans="2:5" x14ac:dyDescent="0.35">
      <c r="B929"/>
      <c r="C929"/>
      <c r="D929"/>
      <c r="E929"/>
    </row>
    <row r="930" spans="2:5" x14ac:dyDescent="0.35">
      <c r="B930"/>
      <c r="C930"/>
      <c r="D930"/>
      <c r="E930"/>
    </row>
    <row r="931" spans="2:5" x14ac:dyDescent="0.35">
      <c r="B931"/>
      <c r="C931"/>
      <c r="D931"/>
      <c r="E931"/>
    </row>
    <row r="932" spans="2:5" x14ac:dyDescent="0.35">
      <c r="B932"/>
      <c r="C932"/>
      <c r="D932"/>
      <c r="E932"/>
    </row>
    <row r="933" spans="2:5" x14ac:dyDescent="0.35">
      <c r="B933"/>
      <c r="C933"/>
      <c r="D933"/>
      <c r="E933"/>
    </row>
    <row r="934" spans="2:5" x14ac:dyDescent="0.35">
      <c r="B934"/>
      <c r="C934"/>
      <c r="D934"/>
      <c r="E934"/>
    </row>
    <row r="935" spans="2:5" x14ac:dyDescent="0.35">
      <c r="B935"/>
      <c r="C935"/>
      <c r="D935"/>
      <c r="E935"/>
    </row>
    <row r="936" spans="2:5" x14ac:dyDescent="0.35">
      <c r="B936"/>
      <c r="C936"/>
      <c r="D936"/>
      <c r="E936"/>
    </row>
    <row r="937" spans="2:5" x14ac:dyDescent="0.35">
      <c r="B937"/>
      <c r="C937"/>
      <c r="D937"/>
      <c r="E937"/>
    </row>
    <row r="938" spans="2:5" x14ac:dyDescent="0.35">
      <c r="B938"/>
      <c r="C938"/>
      <c r="D938"/>
      <c r="E938"/>
    </row>
    <row r="939" spans="2:5" x14ac:dyDescent="0.35">
      <c r="B939"/>
      <c r="C939"/>
      <c r="D939"/>
      <c r="E939"/>
    </row>
    <row r="940" spans="2:5" x14ac:dyDescent="0.35">
      <c r="B940"/>
      <c r="C940"/>
      <c r="D940"/>
      <c r="E940"/>
    </row>
    <row r="941" spans="2:5" x14ac:dyDescent="0.35">
      <c r="B941"/>
      <c r="C941"/>
      <c r="D941"/>
      <c r="E941"/>
    </row>
    <row r="942" spans="2:5" x14ac:dyDescent="0.35">
      <c r="B942"/>
      <c r="C942"/>
      <c r="D942"/>
      <c r="E942"/>
    </row>
    <row r="943" spans="2:5" x14ac:dyDescent="0.35">
      <c r="B943"/>
      <c r="C943"/>
      <c r="D943"/>
      <c r="E943"/>
    </row>
    <row r="944" spans="2:5" x14ac:dyDescent="0.35">
      <c r="B944"/>
      <c r="C944"/>
      <c r="D944"/>
      <c r="E944"/>
    </row>
    <row r="945" spans="2:5" x14ac:dyDescent="0.35">
      <c r="B945"/>
      <c r="C945"/>
      <c r="D945"/>
      <c r="E945"/>
    </row>
    <row r="946" spans="2:5" x14ac:dyDescent="0.35">
      <c r="B946"/>
      <c r="C946"/>
      <c r="D946"/>
      <c r="E946"/>
    </row>
    <row r="947" spans="2:5" x14ac:dyDescent="0.35">
      <c r="B947"/>
      <c r="C947"/>
      <c r="D947"/>
      <c r="E947"/>
    </row>
    <row r="948" spans="2:5" x14ac:dyDescent="0.35">
      <c r="B948"/>
      <c r="C948"/>
      <c r="D948"/>
      <c r="E948"/>
    </row>
    <row r="949" spans="2:5" x14ac:dyDescent="0.35">
      <c r="B949"/>
      <c r="C949"/>
      <c r="D949"/>
      <c r="E949"/>
    </row>
    <row r="950" spans="2:5" x14ac:dyDescent="0.35">
      <c r="B950"/>
      <c r="C950"/>
      <c r="D950"/>
      <c r="E950"/>
    </row>
    <row r="951" spans="2:5" x14ac:dyDescent="0.35">
      <c r="B951"/>
      <c r="C951"/>
      <c r="D951"/>
      <c r="E951"/>
    </row>
    <row r="952" spans="2:5" x14ac:dyDescent="0.35">
      <c r="B952"/>
      <c r="C952"/>
      <c r="D952"/>
      <c r="E952"/>
    </row>
    <row r="953" spans="2:5" x14ac:dyDescent="0.35">
      <c r="B953"/>
      <c r="C953"/>
      <c r="D953"/>
      <c r="E953"/>
    </row>
    <row r="954" spans="2:5" x14ac:dyDescent="0.35">
      <c r="B954"/>
      <c r="C954"/>
      <c r="D954"/>
      <c r="E954"/>
    </row>
    <row r="955" spans="2:5" x14ac:dyDescent="0.35">
      <c r="B955"/>
      <c r="C955"/>
      <c r="D955"/>
      <c r="E955"/>
    </row>
    <row r="956" spans="2:5" x14ac:dyDescent="0.35">
      <c r="B956"/>
      <c r="C956"/>
      <c r="D956"/>
      <c r="E956"/>
    </row>
    <row r="957" spans="2:5" x14ac:dyDescent="0.35">
      <c r="B957"/>
      <c r="C957"/>
      <c r="D957"/>
      <c r="E957"/>
    </row>
    <row r="958" spans="2:5" x14ac:dyDescent="0.35">
      <c r="B958"/>
      <c r="C958"/>
      <c r="D958"/>
      <c r="E958"/>
    </row>
    <row r="959" spans="2:5" x14ac:dyDescent="0.35">
      <c r="B959"/>
      <c r="C959"/>
      <c r="D959"/>
      <c r="E959"/>
    </row>
    <row r="960" spans="2:5" x14ac:dyDescent="0.35">
      <c r="B960"/>
      <c r="C960"/>
      <c r="D960"/>
      <c r="E960"/>
    </row>
    <row r="961" spans="2:5" x14ac:dyDescent="0.35">
      <c r="B961"/>
      <c r="C961"/>
      <c r="D961"/>
      <c r="E961"/>
    </row>
    <row r="962" spans="2:5" x14ac:dyDescent="0.35">
      <c r="B962"/>
      <c r="C962"/>
      <c r="D962"/>
      <c r="E962"/>
    </row>
    <row r="963" spans="2:5" x14ac:dyDescent="0.35">
      <c r="B963"/>
      <c r="C963"/>
      <c r="D963"/>
      <c r="E963"/>
    </row>
    <row r="964" spans="2:5" x14ac:dyDescent="0.35">
      <c r="B964"/>
      <c r="C964"/>
      <c r="D964"/>
      <c r="E964"/>
    </row>
    <row r="965" spans="2:5" x14ac:dyDescent="0.35">
      <c r="B965"/>
      <c r="C965"/>
      <c r="D965"/>
      <c r="E965"/>
    </row>
    <row r="966" spans="2:5" x14ac:dyDescent="0.35">
      <c r="B966"/>
      <c r="C966"/>
      <c r="D966"/>
      <c r="E966"/>
    </row>
    <row r="967" spans="2:5" x14ac:dyDescent="0.35">
      <c r="B967"/>
      <c r="C967"/>
      <c r="D967"/>
      <c r="E967"/>
    </row>
    <row r="968" spans="2:5" x14ac:dyDescent="0.35">
      <c r="B968"/>
      <c r="C968"/>
      <c r="D968"/>
      <c r="E968"/>
    </row>
    <row r="969" spans="2:5" x14ac:dyDescent="0.35">
      <c r="B969"/>
      <c r="C969"/>
      <c r="D969"/>
      <c r="E969"/>
    </row>
    <row r="970" spans="2:5" x14ac:dyDescent="0.35">
      <c r="B970"/>
      <c r="C970"/>
      <c r="D970"/>
      <c r="E970"/>
    </row>
    <row r="971" spans="2:5" x14ac:dyDescent="0.35">
      <c r="B971"/>
      <c r="C971"/>
      <c r="D971"/>
      <c r="E971"/>
    </row>
    <row r="972" spans="2:5" x14ac:dyDescent="0.35">
      <c r="B972"/>
      <c r="C972"/>
      <c r="D972"/>
      <c r="E972"/>
    </row>
    <row r="973" spans="2:5" x14ac:dyDescent="0.35">
      <c r="B973"/>
      <c r="C973"/>
      <c r="D973"/>
      <c r="E973"/>
    </row>
    <row r="974" spans="2:5" x14ac:dyDescent="0.35">
      <c r="B974"/>
      <c r="C974"/>
      <c r="D974"/>
      <c r="E974"/>
    </row>
    <row r="975" spans="2:5" x14ac:dyDescent="0.35">
      <c r="B975"/>
      <c r="C975"/>
      <c r="D975"/>
      <c r="E975"/>
    </row>
    <row r="976" spans="2:5" x14ac:dyDescent="0.35">
      <c r="B976"/>
      <c r="C976"/>
      <c r="D976"/>
      <c r="E976"/>
    </row>
    <row r="977" spans="2:5" x14ac:dyDescent="0.35">
      <c r="B977"/>
      <c r="C977"/>
      <c r="D977"/>
      <c r="E977"/>
    </row>
    <row r="978" spans="2:5" x14ac:dyDescent="0.35">
      <c r="B978"/>
      <c r="C978"/>
      <c r="D978"/>
      <c r="E978"/>
    </row>
    <row r="979" spans="2:5" x14ac:dyDescent="0.35">
      <c r="B979"/>
      <c r="C979"/>
      <c r="D979"/>
      <c r="E979"/>
    </row>
    <row r="980" spans="2:5" x14ac:dyDescent="0.35">
      <c r="B980"/>
      <c r="C980"/>
      <c r="D980"/>
      <c r="E980"/>
    </row>
    <row r="981" spans="2:5" x14ac:dyDescent="0.35">
      <c r="B981"/>
      <c r="C981"/>
      <c r="D981"/>
      <c r="E981"/>
    </row>
    <row r="982" spans="2:5" x14ac:dyDescent="0.35">
      <c r="B982"/>
      <c r="C982"/>
      <c r="D982"/>
      <c r="E982"/>
    </row>
    <row r="983" spans="2:5" x14ac:dyDescent="0.35">
      <c r="B983"/>
      <c r="C983"/>
      <c r="D983"/>
      <c r="E983"/>
    </row>
    <row r="984" spans="2:5" x14ac:dyDescent="0.35">
      <c r="B984"/>
      <c r="C984"/>
      <c r="D984"/>
      <c r="E984"/>
    </row>
    <row r="985" spans="2:5" x14ac:dyDescent="0.35">
      <c r="B985"/>
      <c r="C985"/>
      <c r="D985"/>
      <c r="E985"/>
    </row>
    <row r="986" spans="2:5" x14ac:dyDescent="0.35">
      <c r="B986"/>
      <c r="C986"/>
      <c r="D986"/>
      <c r="E986"/>
    </row>
    <row r="987" spans="2:5" x14ac:dyDescent="0.35">
      <c r="B987"/>
      <c r="C987"/>
      <c r="D987"/>
      <c r="E987"/>
    </row>
    <row r="988" spans="2:5" x14ac:dyDescent="0.35">
      <c r="B988"/>
      <c r="C988"/>
      <c r="D988"/>
      <c r="E988"/>
    </row>
    <row r="989" spans="2:5" x14ac:dyDescent="0.35">
      <c r="B989"/>
      <c r="C989"/>
      <c r="D989"/>
      <c r="E989"/>
    </row>
    <row r="990" spans="2:5" x14ac:dyDescent="0.35">
      <c r="B990"/>
      <c r="C990"/>
      <c r="D990"/>
      <c r="E990"/>
    </row>
    <row r="991" spans="2:5" x14ac:dyDescent="0.35">
      <c r="B991"/>
      <c r="C991"/>
      <c r="D991"/>
      <c r="E991"/>
    </row>
    <row r="992" spans="2:5" x14ac:dyDescent="0.35">
      <c r="B992"/>
      <c r="C992"/>
      <c r="D992"/>
      <c r="E992"/>
    </row>
    <row r="993" spans="2:5" x14ac:dyDescent="0.35">
      <c r="B993"/>
      <c r="C993"/>
      <c r="D993"/>
      <c r="E993"/>
    </row>
    <row r="994" spans="2:5" x14ac:dyDescent="0.35">
      <c r="B994"/>
      <c r="C994"/>
      <c r="D994"/>
      <c r="E994"/>
    </row>
    <row r="995" spans="2:5" x14ac:dyDescent="0.35">
      <c r="B995"/>
      <c r="C995"/>
      <c r="D995"/>
      <c r="E995"/>
    </row>
    <row r="996" spans="2:5" x14ac:dyDescent="0.35">
      <c r="B996"/>
      <c r="C996"/>
      <c r="D996"/>
      <c r="E996"/>
    </row>
    <row r="997" spans="2:5" x14ac:dyDescent="0.35">
      <c r="B997"/>
      <c r="C997"/>
      <c r="D997"/>
      <c r="E997"/>
    </row>
    <row r="998" spans="2:5" x14ac:dyDescent="0.35">
      <c r="B998"/>
      <c r="C998"/>
      <c r="D998"/>
      <c r="E998"/>
    </row>
    <row r="999" spans="2:5" x14ac:dyDescent="0.35">
      <c r="B999"/>
      <c r="C999"/>
      <c r="D999"/>
      <c r="E999"/>
    </row>
    <row r="1000" spans="2:5" x14ac:dyDescent="0.35">
      <c r="B1000"/>
      <c r="C1000"/>
      <c r="D1000"/>
      <c r="E1000"/>
    </row>
    <row r="1001" spans="2:5" x14ac:dyDescent="0.35">
      <c r="B1001"/>
      <c r="C1001"/>
      <c r="D1001"/>
      <c r="E1001"/>
    </row>
    <row r="1002" spans="2:5" x14ac:dyDescent="0.35">
      <c r="B1002"/>
      <c r="C1002"/>
      <c r="D1002"/>
      <c r="E1002"/>
    </row>
    <row r="1003" spans="2:5" x14ac:dyDescent="0.35">
      <c r="B1003"/>
      <c r="C1003"/>
      <c r="D1003"/>
      <c r="E1003"/>
    </row>
    <row r="1004" spans="2:5" x14ac:dyDescent="0.35">
      <c r="B1004"/>
      <c r="C1004"/>
      <c r="D1004"/>
      <c r="E1004"/>
    </row>
    <row r="1005" spans="2:5" x14ac:dyDescent="0.35">
      <c r="B1005"/>
      <c r="C1005"/>
      <c r="D1005"/>
      <c r="E1005"/>
    </row>
    <row r="1006" spans="2:5" x14ac:dyDescent="0.35">
      <c r="B1006"/>
      <c r="C1006"/>
      <c r="D1006"/>
      <c r="E1006"/>
    </row>
    <row r="1007" spans="2:5" x14ac:dyDescent="0.35">
      <c r="B1007"/>
      <c r="C1007"/>
      <c r="D1007"/>
      <c r="E1007"/>
    </row>
    <row r="1008" spans="2:5" x14ac:dyDescent="0.35">
      <c r="B1008"/>
      <c r="C1008"/>
      <c r="D1008"/>
      <c r="E1008"/>
    </row>
    <row r="1009" spans="2:5" x14ac:dyDescent="0.35">
      <c r="B1009"/>
      <c r="C1009"/>
      <c r="D1009"/>
      <c r="E1009"/>
    </row>
    <row r="1010" spans="2:5" x14ac:dyDescent="0.35">
      <c r="B1010"/>
      <c r="C1010"/>
      <c r="D1010"/>
      <c r="E1010"/>
    </row>
    <row r="1011" spans="2:5" x14ac:dyDescent="0.35">
      <c r="B1011"/>
      <c r="C1011"/>
      <c r="D1011"/>
      <c r="E1011"/>
    </row>
    <row r="1012" spans="2:5" x14ac:dyDescent="0.35">
      <c r="B1012"/>
      <c r="C1012"/>
      <c r="D1012"/>
      <c r="E1012"/>
    </row>
    <row r="1013" spans="2:5" x14ac:dyDescent="0.35">
      <c r="B1013"/>
      <c r="C1013"/>
      <c r="D1013"/>
      <c r="E1013"/>
    </row>
    <row r="1014" spans="2:5" x14ac:dyDescent="0.35">
      <c r="B1014"/>
      <c r="C1014"/>
      <c r="D1014"/>
      <c r="E1014"/>
    </row>
    <row r="1015" spans="2:5" x14ac:dyDescent="0.35">
      <c r="B1015"/>
      <c r="C1015"/>
      <c r="D1015"/>
      <c r="E1015"/>
    </row>
    <row r="1016" spans="2:5" x14ac:dyDescent="0.35">
      <c r="B1016"/>
      <c r="C1016"/>
      <c r="D1016"/>
      <c r="E1016"/>
    </row>
    <row r="1017" spans="2:5" x14ac:dyDescent="0.35">
      <c r="B1017"/>
      <c r="C1017"/>
      <c r="D1017"/>
      <c r="E1017"/>
    </row>
    <row r="1018" spans="2:5" x14ac:dyDescent="0.35">
      <c r="B1018"/>
      <c r="C1018"/>
      <c r="D1018"/>
      <c r="E1018"/>
    </row>
    <row r="1019" spans="2:5" x14ac:dyDescent="0.35">
      <c r="B1019"/>
      <c r="C1019"/>
      <c r="D1019"/>
      <c r="E1019"/>
    </row>
    <row r="1020" spans="2:5" x14ac:dyDescent="0.35">
      <c r="B1020"/>
      <c r="C1020"/>
      <c r="D1020"/>
      <c r="E1020"/>
    </row>
    <row r="1021" spans="2:5" x14ac:dyDescent="0.35">
      <c r="B1021"/>
      <c r="C1021"/>
      <c r="D1021"/>
      <c r="E1021"/>
    </row>
    <row r="1022" spans="2:5" x14ac:dyDescent="0.35">
      <c r="B1022"/>
      <c r="C1022"/>
      <c r="D1022"/>
      <c r="E1022"/>
    </row>
    <row r="1023" spans="2:5" x14ac:dyDescent="0.35">
      <c r="B1023"/>
      <c r="C1023"/>
      <c r="D1023"/>
      <c r="E1023"/>
    </row>
    <row r="1024" spans="2:5" x14ac:dyDescent="0.35">
      <c r="B1024"/>
      <c r="C1024"/>
      <c r="D1024"/>
      <c r="E1024"/>
    </row>
    <row r="1025" spans="2:5" x14ac:dyDescent="0.35">
      <c r="B1025"/>
      <c r="C1025"/>
      <c r="D1025"/>
      <c r="E1025"/>
    </row>
    <row r="1026" spans="2:5" x14ac:dyDescent="0.35">
      <c r="B1026"/>
      <c r="C1026"/>
      <c r="D1026"/>
      <c r="E1026"/>
    </row>
    <row r="1027" spans="2:5" x14ac:dyDescent="0.35">
      <c r="B1027"/>
      <c r="C1027"/>
      <c r="D1027"/>
      <c r="E1027"/>
    </row>
    <row r="1028" spans="2:5" x14ac:dyDescent="0.35">
      <c r="B1028"/>
      <c r="C1028"/>
      <c r="D1028"/>
      <c r="E1028"/>
    </row>
    <row r="1029" spans="2:5" x14ac:dyDescent="0.35">
      <c r="B1029"/>
      <c r="C1029"/>
      <c r="D1029"/>
      <c r="E1029"/>
    </row>
    <row r="1030" spans="2:5" x14ac:dyDescent="0.35">
      <c r="B1030"/>
      <c r="C1030"/>
      <c r="D1030"/>
      <c r="E1030"/>
    </row>
    <row r="1031" spans="2:5" x14ac:dyDescent="0.35">
      <c r="B1031"/>
      <c r="C1031"/>
      <c r="D1031"/>
      <c r="E1031"/>
    </row>
    <row r="1032" spans="2:5" x14ac:dyDescent="0.35">
      <c r="B1032"/>
      <c r="C1032"/>
      <c r="D1032"/>
      <c r="E1032"/>
    </row>
    <row r="1033" spans="2:5" x14ac:dyDescent="0.35">
      <c r="B1033"/>
      <c r="C1033"/>
      <c r="D1033"/>
      <c r="E1033"/>
    </row>
    <row r="1034" spans="2:5" x14ac:dyDescent="0.35">
      <c r="B1034"/>
      <c r="C1034"/>
      <c r="D1034"/>
      <c r="E1034"/>
    </row>
    <row r="1035" spans="2:5" x14ac:dyDescent="0.35">
      <c r="B1035"/>
      <c r="C1035"/>
      <c r="D1035"/>
      <c r="E1035"/>
    </row>
    <row r="1036" spans="2:5" x14ac:dyDescent="0.35">
      <c r="B1036"/>
      <c r="C1036"/>
      <c r="D1036"/>
      <c r="E1036"/>
    </row>
    <row r="1037" spans="2:5" x14ac:dyDescent="0.35">
      <c r="B1037"/>
      <c r="C1037"/>
      <c r="D1037"/>
      <c r="E1037"/>
    </row>
    <row r="1038" spans="2:5" x14ac:dyDescent="0.35">
      <c r="B1038"/>
      <c r="C1038"/>
      <c r="D1038"/>
      <c r="E1038"/>
    </row>
    <row r="1039" spans="2:5" x14ac:dyDescent="0.35">
      <c r="B1039"/>
      <c r="C1039"/>
      <c r="D1039"/>
      <c r="E1039"/>
    </row>
    <row r="1040" spans="2:5" x14ac:dyDescent="0.35">
      <c r="B1040"/>
      <c r="C1040"/>
      <c r="D1040"/>
      <c r="E1040"/>
    </row>
    <row r="1041" spans="2:5" x14ac:dyDescent="0.35">
      <c r="B1041"/>
      <c r="C1041"/>
      <c r="D1041"/>
      <c r="E1041"/>
    </row>
    <row r="1042" spans="2:5" x14ac:dyDescent="0.35">
      <c r="B1042"/>
      <c r="C1042"/>
      <c r="D1042"/>
      <c r="E1042"/>
    </row>
    <row r="1043" spans="2:5" x14ac:dyDescent="0.35">
      <c r="B1043"/>
      <c r="C1043"/>
      <c r="D1043"/>
      <c r="E1043"/>
    </row>
    <row r="1044" spans="2:5" x14ac:dyDescent="0.35">
      <c r="B1044"/>
      <c r="C1044"/>
      <c r="D1044"/>
      <c r="E1044"/>
    </row>
    <row r="1045" spans="2:5" x14ac:dyDescent="0.35">
      <c r="B1045"/>
      <c r="C1045"/>
      <c r="D1045"/>
      <c r="E1045"/>
    </row>
    <row r="1046" spans="2:5" x14ac:dyDescent="0.35">
      <c r="B1046"/>
      <c r="C1046"/>
      <c r="D1046"/>
      <c r="E1046"/>
    </row>
    <row r="1047" spans="2:5" x14ac:dyDescent="0.35">
      <c r="B1047"/>
      <c r="C1047"/>
      <c r="D1047"/>
      <c r="E1047"/>
    </row>
    <row r="1048" spans="2:5" x14ac:dyDescent="0.35">
      <c r="B1048"/>
      <c r="C1048"/>
      <c r="D1048"/>
      <c r="E1048"/>
    </row>
    <row r="1049" spans="2:5" x14ac:dyDescent="0.35">
      <c r="B1049"/>
      <c r="C1049"/>
      <c r="D1049"/>
      <c r="E1049"/>
    </row>
    <row r="1050" spans="2:5" x14ac:dyDescent="0.35">
      <c r="B1050"/>
      <c r="C1050"/>
      <c r="D1050"/>
      <c r="E1050"/>
    </row>
    <row r="1051" spans="2:5" x14ac:dyDescent="0.35">
      <c r="B1051"/>
      <c r="C1051"/>
      <c r="D1051"/>
      <c r="E1051"/>
    </row>
    <row r="1052" spans="2:5" x14ac:dyDescent="0.35">
      <c r="B1052"/>
      <c r="C1052"/>
      <c r="D1052"/>
      <c r="E1052"/>
    </row>
    <row r="1053" spans="2:5" x14ac:dyDescent="0.35">
      <c r="B1053"/>
      <c r="C1053"/>
      <c r="D1053"/>
      <c r="E1053"/>
    </row>
    <row r="1054" spans="2:5" x14ac:dyDescent="0.35">
      <c r="B1054"/>
      <c r="C1054"/>
      <c r="D1054"/>
      <c r="E1054"/>
    </row>
    <row r="1055" spans="2:5" x14ac:dyDescent="0.35">
      <c r="B1055"/>
      <c r="C1055"/>
      <c r="D1055"/>
      <c r="E1055"/>
    </row>
    <row r="1056" spans="2:5" x14ac:dyDescent="0.35">
      <c r="B1056"/>
      <c r="C1056"/>
      <c r="D1056"/>
      <c r="E1056"/>
    </row>
    <row r="1057" spans="2:5" x14ac:dyDescent="0.35">
      <c r="B1057"/>
      <c r="C1057"/>
      <c r="D1057"/>
      <c r="E1057"/>
    </row>
    <row r="1058" spans="2:5" x14ac:dyDescent="0.35">
      <c r="B1058"/>
      <c r="C1058"/>
      <c r="D1058"/>
      <c r="E1058"/>
    </row>
    <row r="1059" spans="2:5" x14ac:dyDescent="0.35">
      <c r="B1059"/>
      <c r="C1059"/>
      <c r="D1059"/>
      <c r="E1059"/>
    </row>
    <row r="1060" spans="2:5" x14ac:dyDescent="0.35">
      <c r="B1060"/>
      <c r="C1060"/>
      <c r="D1060"/>
      <c r="E1060"/>
    </row>
    <row r="1061" spans="2:5" x14ac:dyDescent="0.35">
      <c r="B1061"/>
      <c r="C1061"/>
      <c r="D1061"/>
      <c r="E1061"/>
    </row>
    <row r="1062" spans="2:5" x14ac:dyDescent="0.35">
      <c r="B1062"/>
      <c r="C1062"/>
      <c r="D1062"/>
      <c r="E1062"/>
    </row>
    <row r="1063" spans="2:5" x14ac:dyDescent="0.35">
      <c r="B1063"/>
      <c r="C1063"/>
      <c r="D1063"/>
      <c r="E1063"/>
    </row>
    <row r="1064" spans="2:5" x14ac:dyDescent="0.35">
      <c r="B1064"/>
      <c r="C1064"/>
      <c r="D1064"/>
      <c r="E1064"/>
    </row>
    <row r="1065" spans="2:5" x14ac:dyDescent="0.35">
      <c r="B1065"/>
      <c r="C1065"/>
      <c r="D1065"/>
      <c r="E1065"/>
    </row>
    <row r="1066" spans="2:5" x14ac:dyDescent="0.35">
      <c r="B1066"/>
      <c r="C1066"/>
      <c r="D1066"/>
      <c r="E1066"/>
    </row>
    <row r="1067" spans="2:5" x14ac:dyDescent="0.35">
      <c r="B1067"/>
      <c r="C1067"/>
      <c r="D1067"/>
      <c r="E1067"/>
    </row>
    <row r="1068" spans="2:5" x14ac:dyDescent="0.35">
      <c r="B1068"/>
      <c r="C1068"/>
      <c r="D1068"/>
      <c r="E1068"/>
    </row>
    <row r="1069" spans="2:5" x14ac:dyDescent="0.35">
      <c r="B1069"/>
      <c r="C1069"/>
      <c r="D1069"/>
      <c r="E1069"/>
    </row>
    <row r="1070" spans="2:5" x14ac:dyDescent="0.35">
      <c r="B1070"/>
      <c r="C1070"/>
      <c r="D1070"/>
      <c r="E1070"/>
    </row>
    <row r="1071" spans="2:5" x14ac:dyDescent="0.35">
      <c r="B1071"/>
      <c r="C1071"/>
      <c r="D1071"/>
      <c r="E1071"/>
    </row>
    <row r="1072" spans="2:5" x14ac:dyDescent="0.35">
      <c r="B1072"/>
      <c r="C1072"/>
      <c r="D1072"/>
      <c r="E1072"/>
    </row>
    <row r="1073" spans="2:5" x14ac:dyDescent="0.35">
      <c r="B1073"/>
      <c r="C1073"/>
      <c r="D1073"/>
      <c r="E1073"/>
    </row>
    <row r="1074" spans="2:5" x14ac:dyDescent="0.35">
      <c r="B1074"/>
      <c r="C1074"/>
      <c r="D1074"/>
      <c r="E1074"/>
    </row>
    <row r="1075" spans="2:5" x14ac:dyDescent="0.35">
      <c r="B1075"/>
      <c r="C1075"/>
      <c r="D1075"/>
      <c r="E1075"/>
    </row>
    <row r="1076" spans="2:5" x14ac:dyDescent="0.35">
      <c r="B1076"/>
      <c r="C1076"/>
      <c r="D1076"/>
      <c r="E1076"/>
    </row>
    <row r="1077" spans="2:5" x14ac:dyDescent="0.35">
      <c r="B1077"/>
      <c r="C1077"/>
      <c r="D1077"/>
      <c r="E1077"/>
    </row>
    <row r="1078" spans="2:5" x14ac:dyDescent="0.35">
      <c r="B1078"/>
      <c r="C1078"/>
      <c r="D1078"/>
      <c r="E1078"/>
    </row>
    <row r="1079" spans="2:5" x14ac:dyDescent="0.35">
      <c r="B1079"/>
      <c r="C1079"/>
      <c r="D1079"/>
      <c r="E1079"/>
    </row>
    <row r="1080" spans="2:5" x14ac:dyDescent="0.35">
      <c r="B1080"/>
      <c r="C1080"/>
      <c r="D1080"/>
      <c r="E1080"/>
    </row>
    <row r="1081" spans="2:5" x14ac:dyDescent="0.35">
      <c r="B1081"/>
      <c r="C1081"/>
      <c r="D1081"/>
      <c r="E1081"/>
    </row>
    <row r="1082" spans="2:5" x14ac:dyDescent="0.35">
      <c r="B1082"/>
      <c r="C1082"/>
      <c r="D1082"/>
      <c r="E1082"/>
    </row>
    <row r="1083" spans="2:5" x14ac:dyDescent="0.35">
      <c r="B1083"/>
      <c r="C1083"/>
      <c r="D1083"/>
      <c r="E1083"/>
    </row>
    <row r="1084" spans="2:5" x14ac:dyDescent="0.35">
      <c r="B1084"/>
      <c r="C1084"/>
      <c r="D1084"/>
      <c r="E1084"/>
    </row>
    <row r="1085" spans="2:5" x14ac:dyDescent="0.35">
      <c r="B1085"/>
      <c r="C1085"/>
      <c r="D1085"/>
      <c r="E1085"/>
    </row>
    <row r="1086" spans="2:5" x14ac:dyDescent="0.35">
      <c r="B1086"/>
      <c r="C1086"/>
      <c r="D1086"/>
      <c r="E1086"/>
    </row>
    <row r="1087" spans="2:5" x14ac:dyDescent="0.35">
      <c r="B1087"/>
      <c r="C1087"/>
      <c r="D1087"/>
      <c r="E1087"/>
    </row>
    <row r="1088" spans="2:5" x14ac:dyDescent="0.35">
      <c r="B1088"/>
      <c r="C1088"/>
      <c r="D1088"/>
      <c r="E1088"/>
    </row>
    <row r="1089" spans="2:5" x14ac:dyDescent="0.35">
      <c r="B1089"/>
      <c r="C1089"/>
      <c r="D1089"/>
      <c r="E1089"/>
    </row>
    <row r="1090" spans="2:5" x14ac:dyDescent="0.35">
      <c r="B1090"/>
      <c r="C1090"/>
      <c r="D1090"/>
      <c r="E1090"/>
    </row>
    <row r="1091" spans="2:5" x14ac:dyDescent="0.35">
      <c r="B1091"/>
      <c r="C1091"/>
      <c r="D1091"/>
      <c r="E1091"/>
    </row>
    <row r="1092" spans="2:5" x14ac:dyDescent="0.35">
      <c r="B1092"/>
      <c r="C1092"/>
      <c r="D1092"/>
      <c r="E1092"/>
    </row>
    <row r="1093" spans="2:5" x14ac:dyDescent="0.35">
      <c r="B1093"/>
      <c r="C1093"/>
      <c r="D1093"/>
      <c r="E1093"/>
    </row>
    <row r="1094" spans="2:5" x14ac:dyDescent="0.35">
      <c r="B1094"/>
      <c r="C1094"/>
      <c r="D1094"/>
      <c r="E1094"/>
    </row>
    <row r="1095" spans="2:5" x14ac:dyDescent="0.35">
      <c r="B1095"/>
      <c r="C1095"/>
      <c r="D1095"/>
      <c r="E1095"/>
    </row>
    <row r="1096" spans="2:5" x14ac:dyDescent="0.35">
      <c r="B1096"/>
      <c r="C1096"/>
      <c r="D1096"/>
      <c r="E1096"/>
    </row>
    <row r="1097" spans="2:5" x14ac:dyDescent="0.35">
      <c r="B1097"/>
      <c r="C1097"/>
      <c r="D1097"/>
      <c r="E1097"/>
    </row>
    <row r="1098" spans="2:5" x14ac:dyDescent="0.35">
      <c r="B1098"/>
      <c r="C1098"/>
      <c r="D1098"/>
      <c r="E1098"/>
    </row>
    <row r="1099" spans="2:5" x14ac:dyDescent="0.35">
      <c r="B1099"/>
      <c r="C1099"/>
      <c r="D1099"/>
      <c r="E1099"/>
    </row>
    <row r="1100" spans="2:5" x14ac:dyDescent="0.35">
      <c r="B1100"/>
      <c r="C1100"/>
      <c r="D1100"/>
      <c r="E1100"/>
    </row>
    <row r="1101" spans="2:5" x14ac:dyDescent="0.35">
      <c r="B1101"/>
      <c r="C1101"/>
      <c r="D1101"/>
      <c r="E1101"/>
    </row>
    <row r="1102" spans="2:5" x14ac:dyDescent="0.35">
      <c r="B1102"/>
      <c r="C1102"/>
      <c r="D1102"/>
      <c r="E1102"/>
    </row>
    <row r="1103" spans="2:5" x14ac:dyDescent="0.35">
      <c r="B1103"/>
      <c r="C1103"/>
      <c r="D1103"/>
      <c r="E1103"/>
    </row>
    <row r="1104" spans="2:5" x14ac:dyDescent="0.35">
      <c r="B1104"/>
      <c r="C1104"/>
      <c r="D1104"/>
      <c r="E1104"/>
    </row>
    <row r="1105" spans="2:5" x14ac:dyDescent="0.35">
      <c r="B1105"/>
      <c r="C1105"/>
      <c r="D1105"/>
      <c r="E1105"/>
    </row>
    <row r="1106" spans="2:5" x14ac:dyDescent="0.35">
      <c r="B1106"/>
      <c r="C1106"/>
      <c r="D1106"/>
      <c r="E1106"/>
    </row>
    <row r="1107" spans="2:5" x14ac:dyDescent="0.35">
      <c r="B1107"/>
      <c r="C1107"/>
      <c r="D1107"/>
      <c r="E1107"/>
    </row>
    <row r="1108" spans="2:5" x14ac:dyDescent="0.35">
      <c r="B1108"/>
      <c r="C1108"/>
      <c r="D1108"/>
      <c r="E1108"/>
    </row>
    <row r="1109" spans="2:5" x14ac:dyDescent="0.35">
      <c r="B1109"/>
      <c r="C1109"/>
      <c r="D1109"/>
      <c r="E1109"/>
    </row>
    <row r="1110" spans="2:5" x14ac:dyDescent="0.35">
      <c r="B1110"/>
      <c r="C1110"/>
      <c r="D1110"/>
      <c r="E1110"/>
    </row>
    <row r="1111" spans="2:5" x14ac:dyDescent="0.35">
      <c r="B1111"/>
      <c r="C1111"/>
      <c r="D1111"/>
      <c r="E1111"/>
    </row>
    <row r="1112" spans="2:5" x14ac:dyDescent="0.35">
      <c r="B1112"/>
      <c r="C1112"/>
      <c r="D1112"/>
      <c r="E1112"/>
    </row>
    <row r="1113" spans="2:5" x14ac:dyDescent="0.35">
      <c r="B1113"/>
      <c r="C1113"/>
      <c r="D1113"/>
      <c r="E1113"/>
    </row>
    <row r="1114" spans="2:5" x14ac:dyDescent="0.35">
      <c r="B1114"/>
      <c r="C1114"/>
      <c r="D1114"/>
      <c r="E1114"/>
    </row>
    <row r="1115" spans="2:5" x14ac:dyDescent="0.35">
      <c r="B1115"/>
      <c r="C1115"/>
      <c r="D1115"/>
      <c r="E1115"/>
    </row>
    <row r="1116" spans="2:5" x14ac:dyDescent="0.35">
      <c r="B1116"/>
      <c r="C1116"/>
      <c r="D1116"/>
      <c r="E1116"/>
    </row>
    <row r="1117" spans="2:5" x14ac:dyDescent="0.35">
      <c r="B1117"/>
      <c r="C1117"/>
      <c r="D1117"/>
      <c r="E1117"/>
    </row>
    <row r="1118" spans="2:5" x14ac:dyDescent="0.35">
      <c r="B1118"/>
      <c r="C1118"/>
      <c r="D1118"/>
      <c r="E1118"/>
    </row>
    <row r="1119" spans="2:5" x14ac:dyDescent="0.35">
      <c r="B1119"/>
      <c r="C1119"/>
      <c r="D1119"/>
      <c r="E1119"/>
    </row>
    <row r="1120" spans="2:5" x14ac:dyDescent="0.35">
      <c r="B1120"/>
      <c r="C1120"/>
      <c r="D1120"/>
      <c r="E1120"/>
    </row>
    <row r="1121" spans="2:5" x14ac:dyDescent="0.35">
      <c r="B1121"/>
      <c r="C1121"/>
      <c r="D1121"/>
      <c r="E1121"/>
    </row>
    <row r="1122" spans="2:5" x14ac:dyDescent="0.35">
      <c r="B1122"/>
      <c r="C1122"/>
      <c r="D1122"/>
      <c r="E1122"/>
    </row>
    <row r="1123" spans="2:5" x14ac:dyDescent="0.35">
      <c r="B1123"/>
      <c r="C1123"/>
      <c r="D1123"/>
      <c r="E1123"/>
    </row>
    <row r="1124" spans="2:5" x14ac:dyDescent="0.35">
      <c r="B1124"/>
      <c r="C1124"/>
      <c r="D1124"/>
      <c r="E1124"/>
    </row>
    <row r="1125" spans="2:5" x14ac:dyDescent="0.35">
      <c r="B1125"/>
      <c r="C1125"/>
      <c r="D1125"/>
      <c r="E1125"/>
    </row>
    <row r="1126" spans="2:5" x14ac:dyDescent="0.35">
      <c r="B1126"/>
      <c r="C1126"/>
      <c r="D1126"/>
      <c r="E1126"/>
    </row>
    <row r="1127" spans="2:5" x14ac:dyDescent="0.35">
      <c r="B1127"/>
      <c r="C1127"/>
      <c r="D1127"/>
      <c r="E1127"/>
    </row>
    <row r="1128" spans="2:5" x14ac:dyDescent="0.35">
      <c r="B1128"/>
      <c r="C1128"/>
      <c r="D1128"/>
      <c r="E1128"/>
    </row>
    <row r="1129" spans="2:5" x14ac:dyDescent="0.35">
      <c r="B1129"/>
      <c r="C1129"/>
      <c r="D1129"/>
      <c r="E1129"/>
    </row>
    <row r="1130" spans="2:5" x14ac:dyDescent="0.35">
      <c r="B1130"/>
      <c r="C1130"/>
      <c r="D1130"/>
      <c r="E1130"/>
    </row>
    <row r="1131" spans="2:5" x14ac:dyDescent="0.35">
      <c r="B1131"/>
      <c r="C1131"/>
      <c r="D1131"/>
      <c r="E1131"/>
    </row>
    <row r="1132" spans="2:5" x14ac:dyDescent="0.35">
      <c r="B1132"/>
      <c r="C1132"/>
      <c r="D1132"/>
      <c r="E1132"/>
    </row>
    <row r="1133" spans="2:5" x14ac:dyDescent="0.35">
      <c r="B1133"/>
      <c r="C1133"/>
      <c r="D1133"/>
      <c r="E1133"/>
    </row>
    <row r="1134" spans="2:5" x14ac:dyDescent="0.35">
      <c r="B1134"/>
      <c r="C1134"/>
      <c r="D1134"/>
      <c r="E1134"/>
    </row>
    <row r="1135" spans="2:5" x14ac:dyDescent="0.35">
      <c r="B1135"/>
      <c r="C1135"/>
      <c r="D1135"/>
      <c r="E1135"/>
    </row>
    <row r="1136" spans="2:5" x14ac:dyDescent="0.35">
      <c r="B1136"/>
      <c r="C1136"/>
      <c r="D1136"/>
      <c r="E1136"/>
    </row>
    <row r="1137" spans="2:5" x14ac:dyDescent="0.35">
      <c r="B1137"/>
      <c r="C1137"/>
      <c r="D1137"/>
      <c r="E1137"/>
    </row>
    <row r="1138" spans="2:5" x14ac:dyDescent="0.35">
      <c r="B1138"/>
      <c r="C1138"/>
      <c r="D1138"/>
      <c r="E1138"/>
    </row>
    <row r="1139" spans="2:5" x14ac:dyDescent="0.35">
      <c r="B1139"/>
      <c r="C1139"/>
      <c r="D1139"/>
      <c r="E1139"/>
    </row>
    <row r="1140" spans="2:5" x14ac:dyDescent="0.35">
      <c r="B1140"/>
      <c r="C1140"/>
      <c r="D1140"/>
      <c r="E1140"/>
    </row>
    <row r="1141" spans="2:5" x14ac:dyDescent="0.35">
      <c r="B1141"/>
      <c r="C1141"/>
      <c r="D1141"/>
      <c r="E1141"/>
    </row>
    <row r="1142" spans="2:5" x14ac:dyDescent="0.35">
      <c r="B1142"/>
      <c r="C1142"/>
      <c r="D1142"/>
      <c r="E1142"/>
    </row>
    <row r="1143" spans="2:5" x14ac:dyDescent="0.35">
      <c r="B1143"/>
      <c r="C1143"/>
      <c r="D1143"/>
      <c r="E1143"/>
    </row>
    <row r="1144" spans="2:5" x14ac:dyDescent="0.35">
      <c r="B1144"/>
      <c r="C1144"/>
      <c r="D1144"/>
      <c r="E1144"/>
    </row>
    <row r="1145" spans="2:5" x14ac:dyDescent="0.35">
      <c r="B1145"/>
      <c r="C1145"/>
      <c r="D1145"/>
      <c r="E1145"/>
    </row>
    <row r="1146" spans="2:5" x14ac:dyDescent="0.35">
      <c r="B1146"/>
      <c r="C1146"/>
      <c r="D1146"/>
      <c r="E1146"/>
    </row>
    <row r="1147" spans="2:5" x14ac:dyDescent="0.35">
      <c r="B1147"/>
      <c r="C1147"/>
      <c r="D1147"/>
      <c r="E1147"/>
    </row>
    <row r="1148" spans="2:5" x14ac:dyDescent="0.35">
      <c r="B1148"/>
      <c r="C1148"/>
      <c r="D1148"/>
      <c r="E1148"/>
    </row>
    <row r="1149" spans="2:5" x14ac:dyDescent="0.35">
      <c r="B1149"/>
      <c r="C1149"/>
      <c r="D1149"/>
      <c r="E1149"/>
    </row>
    <row r="1150" spans="2:5" x14ac:dyDescent="0.35">
      <c r="B1150"/>
      <c r="C1150"/>
      <c r="D1150"/>
      <c r="E1150"/>
    </row>
    <row r="1151" spans="2:5" x14ac:dyDescent="0.35">
      <c r="B1151"/>
      <c r="C1151"/>
      <c r="D1151"/>
      <c r="E1151"/>
    </row>
    <row r="1152" spans="2:5" x14ac:dyDescent="0.35">
      <c r="B1152"/>
      <c r="C1152"/>
      <c r="D1152"/>
      <c r="E1152"/>
    </row>
    <row r="1153" spans="2:5" x14ac:dyDescent="0.35">
      <c r="B1153"/>
      <c r="C1153"/>
      <c r="D1153"/>
      <c r="E1153"/>
    </row>
    <row r="1154" spans="2:5" x14ac:dyDescent="0.35">
      <c r="B1154"/>
      <c r="C1154"/>
      <c r="D1154"/>
      <c r="E1154"/>
    </row>
    <row r="1155" spans="2:5" x14ac:dyDescent="0.35">
      <c r="B1155"/>
      <c r="C1155"/>
      <c r="D1155"/>
      <c r="E1155"/>
    </row>
    <row r="1156" spans="2:5" x14ac:dyDescent="0.35">
      <c r="B1156"/>
      <c r="C1156"/>
      <c r="D1156"/>
      <c r="E1156"/>
    </row>
    <row r="1157" spans="2:5" x14ac:dyDescent="0.35">
      <c r="B1157"/>
      <c r="C1157"/>
      <c r="D1157"/>
      <c r="E1157"/>
    </row>
    <row r="1158" spans="2:5" x14ac:dyDescent="0.35">
      <c r="B1158"/>
      <c r="C1158"/>
      <c r="D1158"/>
      <c r="E1158"/>
    </row>
    <row r="1159" spans="2:5" x14ac:dyDescent="0.35">
      <c r="B1159"/>
      <c r="C1159"/>
      <c r="D1159"/>
      <c r="E1159"/>
    </row>
    <row r="1160" spans="2:5" x14ac:dyDescent="0.35">
      <c r="B1160"/>
      <c r="C1160"/>
      <c r="D1160"/>
      <c r="E1160"/>
    </row>
    <row r="1161" spans="2:5" x14ac:dyDescent="0.35">
      <c r="B1161"/>
      <c r="C1161"/>
      <c r="D1161"/>
      <c r="E1161"/>
    </row>
    <row r="1162" spans="2:5" x14ac:dyDescent="0.35">
      <c r="B1162"/>
      <c r="C1162"/>
      <c r="D1162"/>
      <c r="E1162"/>
    </row>
    <row r="1163" spans="2:5" x14ac:dyDescent="0.35">
      <c r="B1163"/>
      <c r="C1163"/>
      <c r="D1163"/>
      <c r="E1163"/>
    </row>
    <row r="1164" spans="2:5" x14ac:dyDescent="0.35">
      <c r="B1164"/>
      <c r="C1164"/>
      <c r="D1164"/>
      <c r="E1164"/>
    </row>
    <row r="1165" spans="2:5" x14ac:dyDescent="0.35">
      <c r="B1165"/>
      <c r="C1165"/>
      <c r="D1165"/>
      <c r="E1165"/>
    </row>
    <row r="1166" spans="2:5" x14ac:dyDescent="0.35">
      <c r="B1166"/>
      <c r="C1166"/>
      <c r="D1166"/>
      <c r="E1166"/>
    </row>
    <row r="1167" spans="2:5" x14ac:dyDescent="0.35">
      <c r="B1167"/>
      <c r="C1167"/>
      <c r="D1167"/>
      <c r="E1167"/>
    </row>
    <row r="1168" spans="2:5" x14ac:dyDescent="0.35">
      <c r="B1168"/>
      <c r="C1168"/>
      <c r="D1168"/>
      <c r="E1168"/>
    </row>
    <row r="1169" spans="2:5" x14ac:dyDescent="0.35">
      <c r="B1169"/>
      <c r="C1169"/>
      <c r="D1169"/>
      <c r="E1169"/>
    </row>
    <row r="1170" spans="2:5" x14ac:dyDescent="0.35">
      <c r="B1170"/>
      <c r="C1170"/>
      <c r="D1170"/>
      <c r="E1170"/>
    </row>
    <row r="1171" spans="2:5" x14ac:dyDescent="0.35">
      <c r="B1171"/>
      <c r="C1171"/>
      <c r="D1171"/>
      <c r="E1171"/>
    </row>
    <row r="1172" spans="2:5" x14ac:dyDescent="0.35">
      <c r="B1172"/>
      <c r="C1172"/>
      <c r="D1172"/>
      <c r="E1172"/>
    </row>
    <row r="1173" spans="2:5" x14ac:dyDescent="0.35">
      <c r="B1173"/>
      <c r="C1173"/>
      <c r="D1173"/>
      <c r="E1173"/>
    </row>
    <row r="1174" spans="2:5" x14ac:dyDescent="0.35">
      <c r="B1174"/>
      <c r="C1174"/>
      <c r="D1174"/>
      <c r="E1174"/>
    </row>
    <row r="1175" spans="2:5" x14ac:dyDescent="0.35">
      <c r="B1175"/>
      <c r="C1175"/>
      <c r="D1175"/>
      <c r="E1175"/>
    </row>
    <row r="1176" spans="2:5" x14ac:dyDescent="0.35">
      <c r="B1176"/>
      <c r="C1176"/>
      <c r="D1176"/>
      <c r="E1176"/>
    </row>
    <row r="1177" spans="2:5" x14ac:dyDescent="0.35">
      <c r="B1177"/>
      <c r="C1177"/>
      <c r="D1177"/>
      <c r="E1177"/>
    </row>
    <row r="1178" spans="2:5" x14ac:dyDescent="0.35">
      <c r="B1178"/>
      <c r="C1178"/>
      <c r="D1178"/>
      <c r="E1178"/>
    </row>
    <row r="1179" spans="2:5" x14ac:dyDescent="0.35">
      <c r="B1179"/>
      <c r="C1179"/>
      <c r="D1179"/>
      <c r="E1179"/>
    </row>
    <row r="1180" spans="2:5" x14ac:dyDescent="0.35">
      <c r="B1180"/>
      <c r="C1180"/>
      <c r="D1180"/>
      <c r="E1180"/>
    </row>
    <row r="1181" spans="2:5" x14ac:dyDescent="0.35">
      <c r="B1181"/>
      <c r="C1181"/>
      <c r="D1181"/>
      <c r="E1181"/>
    </row>
    <row r="1182" spans="2:5" x14ac:dyDescent="0.35">
      <c r="B1182"/>
      <c r="C1182"/>
      <c r="D1182"/>
      <c r="E1182"/>
    </row>
    <row r="1183" spans="2:5" x14ac:dyDescent="0.35">
      <c r="B1183"/>
      <c r="C1183"/>
      <c r="D1183"/>
      <c r="E1183"/>
    </row>
    <row r="1184" spans="2:5" x14ac:dyDescent="0.35">
      <c r="B1184"/>
      <c r="C1184"/>
      <c r="D1184"/>
      <c r="E1184"/>
    </row>
    <row r="1185" spans="2:5" x14ac:dyDescent="0.35">
      <c r="B1185"/>
      <c r="C1185"/>
      <c r="D1185"/>
      <c r="E1185"/>
    </row>
    <row r="1186" spans="2:5" x14ac:dyDescent="0.35">
      <c r="B1186"/>
      <c r="C1186"/>
      <c r="D1186"/>
      <c r="E1186"/>
    </row>
    <row r="1187" spans="2:5" x14ac:dyDescent="0.35">
      <c r="B1187"/>
      <c r="C1187"/>
      <c r="D1187"/>
      <c r="E1187"/>
    </row>
    <row r="1188" spans="2:5" x14ac:dyDescent="0.35">
      <c r="B1188"/>
      <c r="C1188"/>
      <c r="D1188"/>
      <c r="E1188"/>
    </row>
    <row r="1189" spans="2:5" x14ac:dyDescent="0.35">
      <c r="B1189"/>
      <c r="C1189"/>
      <c r="D1189"/>
      <c r="E1189"/>
    </row>
    <row r="1190" spans="2:5" x14ac:dyDescent="0.35">
      <c r="B1190"/>
      <c r="C1190"/>
      <c r="D1190"/>
      <c r="E1190"/>
    </row>
    <row r="1191" spans="2:5" x14ac:dyDescent="0.35">
      <c r="B1191"/>
      <c r="C1191"/>
      <c r="D1191"/>
      <c r="E1191"/>
    </row>
    <row r="1192" spans="2:5" x14ac:dyDescent="0.35">
      <c r="B1192"/>
      <c r="C1192"/>
      <c r="D1192"/>
      <c r="E1192"/>
    </row>
    <row r="1193" spans="2:5" x14ac:dyDescent="0.35">
      <c r="B1193"/>
      <c r="C1193"/>
      <c r="D1193"/>
      <c r="E1193"/>
    </row>
    <row r="1194" spans="2:5" x14ac:dyDescent="0.35">
      <c r="B1194"/>
      <c r="C1194"/>
      <c r="D1194"/>
      <c r="E1194"/>
    </row>
    <row r="1195" spans="2:5" x14ac:dyDescent="0.35">
      <c r="B1195"/>
      <c r="C1195"/>
      <c r="D1195"/>
      <c r="E1195"/>
    </row>
    <row r="1196" spans="2:5" x14ac:dyDescent="0.35">
      <c r="B1196"/>
      <c r="C1196"/>
      <c r="D1196"/>
      <c r="E1196"/>
    </row>
    <row r="1197" spans="2:5" x14ac:dyDescent="0.35">
      <c r="B1197"/>
      <c r="C1197"/>
      <c r="D1197"/>
      <c r="E1197"/>
    </row>
    <row r="1198" spans="2:5" x14ac:dyDescent="0.35">
      <c r="B1198"/>
      <c r="C1198"/>
      <c r="D1198"/>
      <c r="E1198"/>
    </row>
    <row r="1199" spans="2:5" x14ac:dyDescent="0.35">
      <c r="B1199"/>
      <c r="C1199"/>
      <c r="D1199"/>
      <c r="E1199"/>
    </row>
    <row r="1200" spans="2:5" x14ac:dyDescent="0.35">
      <c r="B1200"/>
      <c r="C1200"/>
      <c r="D1200"/>
      <c r="E1200"/>
    </row>
    <row r="1201" spans="2:5" x14ac:dyDescent="0.35">
      <c r="B1201"/>
      <c r="C1201"/>
      <c r="D1201"/>
      <c r="E1201"/>
    </row>
    <row r="1202" spans="2:5" x14ac:dyDescent="0.35">
      <c r="B1202"/>
      <c r="C1202"/>
      <c r="D1202"/>
      <c r="E1202"/>
    </row>
    <row r="1203" spans="2:5" x14ac:dyDescent="0.35">
      <c r="B1203"/>
      <c r="C1203"/>
      <c r="D1203"/>
      <c r="E1203"/>
    </row>
    <row r="1204" spans="2:5" x14ac:dyDescent="0.35">
      <c r="B1204"/>
      <c r="C1204"/>
      <c r="D1204"/>
      <c r="E1204"/>
    </row>
    <row r="1205" spans="2:5" x14ac:dyDescent="0.35">
      <c r="B1205"/>
      <c r="C1205"/>
      <c r="D1205"/>
      <c r="E1205"/>
    </row>
    <row r="1206" spans="2:5" x14ac:dyDescent="0.35">
      <c r="B1206"/>
      <c r="C1206"/>
      <c r="D1206"/>
      <c r="E1206"/>
    </row>
    <row r="1207" spans="2:5" x14ac:dyDescent="0.35">
      <c r="B1207"/>
      <c r="C1207"/>
      <c r="D1207"/>
      <c r="E1207"/>
    </row>
    <row r="1208" spans="2:5" x14ac:dyDescent="0.35">
      <c r="B1208"/>
      <c r="C1208"/>
      <c r="D1208"/>
      <c r="E1208"/>
    </row>
    <row r="1209" spans="2:5" x14ac:dyDescent="0.35">
      <c r="B1209"/>
      <c r="C1209"/>
      <c r="D1209"/>
      <c r="E1209"/>
    </row>
    <row r="1210" spans="2:5" x14ac:dyDescent="0.35">
      <c r="B1210"/>
      <c r="C1210"/>
      <c r="D1210"/>
      <c r="E1210"/>
    </row>
    <row r="1211" spans="2:5" x14ac:dyDescent="0.35">
      <c r="B1211"/>
      <c r="C1211"/>
      <c r="D1211"/>
      <c r="E1211"/>
    </row>
    <row r="1212" spans="2:5" x14ac:dyDescent="0.35">
      <c r="B1212"/>
      <c r="C1212"/>
      <c r="D1212"/>
      <c r="E1212"/>
    </row>
    <row r="1213" spans="2:5" x14ac:dyDescent="0.35">
      <c r="B1213"/>
      <c r="C1213"/>
      <c r="D1213"/>
      <c r="E1213"/>
    </row>
    <row r="1214" spans="2:5" x14ac:dyDescent="0.35">
      <c r="B1214"/>
      <c r="C1214"/>
      <c r="D1214"/>
      <c r="E1214"/>
    </row>
    <row r="1215" spans="2:5" x14ac:dyDescent="0.35">
      <c r="B1215"/>
      <c r="C1215"/>
      <c r="D1215"/>
      <c r="E1215"/>
    </row>
    <row r="1216" spans="2:5" x14ac:dyDescent="0.35">
      <c r="B1216"/>
      <c r="C1216"/>
      <c r="D1216"/>
      <c r="E1216"/>
    </row>
    <row r="1217" spans="2:5" x14ac:dyDescent="0.35">
      <c r="B1217"/>
      <c r="C1217"/>
      <c r="D1217"/>
      <c r="E1217"/>
    </row>
    <row r="1218" spans="2:5" x14ac:dyDescent="0.35">
      <c r="B1218"/>
      <c r="C1218"/>
      <c r="D1218"/>
      <c r="E1218"/>
    </row>
    <row r="1219" spans="2:5" x14ac:dyDescent="0.35">
      <c r="B1219"/>
      <c r="C1219"/>
      <c r="D1219"/>
      <c r="E1219"/>
    </row>
    <row r="1220" spans="2:5" x14ac:dyDescent="0.35">
      <c r="B1220"/>
      <c r="C1220"/>
      <c r="D1220"/>
      <c r="E1220"/>
    </row>
    <row r="1221" spans="2:5" x14ac:dyDescent="0.35">
      <c r="B1221"/>
      <c r="C1221"/>
      <c r="D1221"/>
      <c r="E1221"/>
    </row>
    <row r="1222" spans="2:5" x14ac:dyDescent="0.35">
      <c r="B1222"/>
      <c r="C1222"/>
      <c r="D1222"/>
      <c r="E1222"/>
    </row>
    <row r="1223" spans="2:5" x14ac:dyDescent="0.35">
      <c r="B1223"/>
      <c r="C1223"/>
      <c r="D1223"/>
      <c r="E1223"/>
    </row>
    <row r="1224" spans="2:5" x14ac:dyDescent="0.35">
      <c r="B1224"/>
      <c r="C1224"/>
      <c r="D1224"/>
      <c r="E1224"/>
    </row>
    <row r="1225" spans="2:5" x14ac:dyDescent="0.35">
      <c r="B1225"/>
      <c r="C1225"/>
      <c r="D1225"/>
      <c r="E1225"/>
    </row>
    <row r="1226" spans="2:5" x14ac:dyDescent="0.35">
      <c r="B1226"/>
      <c r="C1226"/>
      <c r="D1226"/>
      <c r="E1226"/>
    </row>
    <row r="1227" spans="2:5" x14ac:dyDescent="0.35">
      <c r="B1227"/>
      <c r="C1227"/>
      <c r="D1227"/>
      <c r="E1227"/>
    </row>
    <row r="1228" spans="2:5" x14ac:dyDescent="0.35">
      <c r="B1228"/>
      <c r="C1228"/>
      <c r="D1228"/>
      <c r="E1228"/>
    </row>
    <row r="1229" spans="2:5" x14ac:dyDescent="0.35">
      <c r="B1229"/>
      <c r="C1229"/>
      <c r="D1229"/>
      <c r="E1229"/>
    </row>
    <row r="1230" spans="2:5" x14ac:dyDescent="0.35">
      <c r="B1230"/>
      <c r="C1230"/>
      <c r="D1230"/>
      <c r="E1230"/>
    </row>
    <row r="1231" spans="2:5" x14ac:dyDescent="0.35">
      <c r="B1231"/>
      <c r="C1231"/>
      <c r="D1231"/>
      <c r="E1231"/>
    </row>
    <row r="1232" spans="2:5" x14ac:dyDescent="0.35">
      <c r="B1232"/>
      <c r="C1232"/>
      <c r="D1232"/>
      <c r="E1232"/>
    </row>
    <row r="1233" spans="2:5" x14ac:dyDescent="0.35">
      <c r="B1233"/>
      <c r="C1233"/>
      <c r="D1233"/>
      <c r="E1233"/>
    </row>
    <row r="1234" spans="2:5" x14ac:dyDescent="0.35">
      <c r="B1234"/>
      <c r="C1234"/>
      <c r="D1234"/>
      <c r="E1234"/>
    </row>
    <row r="1235" spans="2:5" x14ac:dyDescent="0.35">
      <c r="B1235"/>
      <c r="C1235"/>
      <c r="D1235"/>
      <c r="E1235"/>
    </row>
    <row r="1236" spans="2:5" x14ac:dyDescent="0.35">
      <c r="B1236"/>
      <c r="C1236"/>
      <c r="D1236"/>
      <c r="E1236"/>
    </row>
    <row r="1237" spans="2:5" x14ac:dyDescent="0.35">
      <c r="B1237"/>
      <c r="C1237"/>
      <c r="D1237"/>
      <c r="E1237"/>
    </row>
    <row r="1238" spans="2:5" x14ac:dyDescent="0.35">
      <c r="B1238"/>
      <c r="C1238"/>
      <c r="D1238"/>
      <c r="E1238"/>
    </row>
    <row r="1239" spans="2:5" x14ac:dyDescent="0.35">
      <c r="B1239"/>
      <c r="C1239"/>
      <c r="D1239"/>
      <c r="E1239"/>
    </row>
    <row r="1240" spans="2:5" x14ac:dyDescent="0.35">
      <c r="B1240"/>
      <c r="C1240"/>
      <c r="D1240"/>
      <c r="E1240"/>
    </row>
    <row r="1241" spans="2:5" x14ac:dyDescent="0.35">
      <c r="B1241"/>
      <c r="C1241"/>
      <c r="D1241"/>
      <c r="E1241"/>
    </row>
    <row r="1242" spans="2:5" x14ac:dyDescent="0.35">
      <c r="B1242"/>
      <c r="C1242"/>
      <c r="D1242"/>
      <c r="E1242"/>
    </row>
    <row r="1243" spans="2:5" x14ac:dyDescent="0.35">
      <c r="B1243"/>
      <c r="C1243"/>
      <c r="D1243"/>
      <c r="E1243"/>
    </row>
    <row r="1244" spans="2:5" x14ac:dyDescent="0.35">
      <c r="B1244"/>
      <c r="C1244"/>
      <c r="D1244"/>
      <c r="E1244"/>
    </row>
    <row r="1245" spans="2:5" x14ac:dyDescent="0.35">
      <c r="B1245"/>
      <c r="C1245"/>
      <c r="D1245"/>
      <c r="E1245"/>
    </row>
    <row r="1246" spans="2:5" x14ac:dyDescent="0.35">
      <c r="B1246"/>
      <c r="C1246"/>
      <c r="D1246"/>
      <c r="E1246"/>
    </row>
    <row r="1247" spans="2:5" x14ac:dyDescent="0.35">
      <c r="B1247"/>
      <c r="C1247"/>
      <c r="D1247"/>
      <c r="E1247"/>
    </row>
    <row r="1248" spans="2:5" x14ac:dyDescent="0.35">
      <c r="B1248"/>
      <c r="C1248"/>
      <c r="D1248"/>
      <c r="E1248"/>
    </row>
    <row r="1249" spans="2:5" x14ac:dyDescent="0.35">
      <c r="B1249"/>
      <c r="C1249"/>
      <c r="D1249"/>
      <c r="E1249"/>
    </row>
    <row r="1250" spans="2:5" x14ac:dyDescent="0.35">
      <c r="B1250"/>
      <c r="C1250"/>
      <c r="D1250"/>
      <c r="E1250"/>
    </row>
    <row r="1251" spans="2:5" x14ac:dyDescent="0.35">
      <c r="B1251"/>
      <c r="C1251"/>
      <c r="D1251"/>
      <c r="E1251"/>
    </row>
    <row r="1252" spans="2:5" x14ac:dyDescent="0.35">
      <c r="B1252"/>
      <c r="C1252"/>
      <c r="D1252"/>
      <c r="E1252"/>
    </row>
    <row r="1253" spans="2:5" x14ac:dyDescent="0.35">
      <c r="B1253"/>
      <c r="C1253"/>
      <c r="D1253"/>
      <c r="E1253"/>
    </row>
    <row r="1254" spans="2:5" x14ac:dyDescent="0.35">
      <c r="B1254"/>
      <c r="C1254"/>
      <c r="D1254"/>
      <c r="E1254"/>
    </row>
    <row r="1255" spans="2:5" x14ac:dyDescent="0.35">
      <c r="B1255"/>
      <c r="C1255"/>
      <c r="D1255"/>
      <c r="E1255"/>
    </row>
    <row r="1256" spans="2:5" x14ac:dyDescent="0.35">
      <c r="B1256"/>
      <c r="C1256"/>
      <c r="D1256"/>
      <c r="E1256"/>
    </row>
    <row r="1257" spans="2:5" x14ac:dyDescent="0.35">
      <c r="B1257"/>
      <c r="C1257"/>
      <c r="D1257"/>
      <c r="E1257"/>
    </row>
    <row r="1258" spans="2:5" x14ac:dyDescent="0.35">
      <c r="B1258"/>
      <c r="C1258"/>
      <c r="D1258"/>
      <c r="E1258"/>
    </row>
    <row r="1259" spans="2:5" x14ac:dyDescent="0.35">
      <c r="B1259"/>
      <c r="C1259"/>
      <c r="D1259"/>
      <c r="E1259"/>
    </row>
    <row r="1260" spans="2:5" x14ac:dyDescent="0.35">
      <c r="B1260"/>
      <c r="C1260"/>
      <c r="D1260"/>
      <c r="E1260"/>
    </row>
    <row r="1261" spans="2:5" x14ac:dyDescent="0.35">
      <c r="B1261"/>
      <c r="C1261"/>
      <c r="D1261"/>
      <c r="E1261"/>
    </row>
    <row r="1262" spans="2:5" x14ac:dyDescent="0.35">
      <c r="B1262"/>
      <c r="C1262"/>
      <c r="D1262"/>
      <c r="E1262"/>
    </row>
    <row r="1263" spans="2:5" x14ac:dyDescent="0.35">
      <c r="B1263"/>
      <c r="C1263"/>
      <c r="D1263"/>
      <c r="E1263"/>
    </row>
    <row r="1264" spans="2:5" x14ac:dyDescent="0.35">
      <c r="B1264"/>
      <c r="C1264"/>
      <c r="D1264"/>
      <c r="E1264"/>
    </row>
    <row r="1265" spans="2:5" x14ac:dyDescent="0.35">
      <c r="B1265"/>
      <c r="C1265"/>
      <c r="D1265"/>
      <c r="E1265"/>
    </row>
    <row r="1266" spans="2:5" x14ac:dyDescent="0.35">
      <c r="B1266"/>
      <c r="C1266"/>
      <c r="D1266"/>
      <c r="E1266"/>
    </row>
    <row r="1267" spans="2:5" x14ac:dyDescent="0.35">
      <c r="B1267"/>
      <c r="C1267"/>
      <c r="D1267"/>
      <c r="E1267"/>
    </row>
    <row r="1268" spans="2:5" x14ac:dyDescent="0.35">
      <c r="B1268"/>
      <c r="C1268"/>
      <c r="D1268"/>
      <c r="E1268"/>
    </row>
    <row r="1269" spans="2:5" x14ac:dyDescent="0.35">
      <c r="B1269"/>
      <c r="C1269"/>
      <c r="D1269"/>
      <c r="E1269"/>
    </row>
    <row r="1270" spans="2:5" x14ac:dyDescent="0.35">
      <c r="B1270"/>
      <c r="C1270"/>
      <c r="D1270"/>
      <c r="E1270"/>
    </row>
    <row r="1271" spans="2:5" x14ac:dyDescent="0.35">
      <c r="B1271"/>
      <c r="C1271"/>
      <c r="D1271"/>
      <c r="E1271"/>
    </row>
    <row r="1272" spans="2:5" x14ac:dyDescent="0.35">
      <c r="B1272"/>
      <c r="C1272"/>
      <c r="D1272"/>
      <c r="E1272"/>
    </row>
    <row r="1273" spans="2:5" x14ac:dyDescent="0.35">
      <c r="B1273"/>
      <c r="C1273"/>
      <c r="D1273"/>
      <c r="E1273"/>
    </row>
    <row r="1274" spans="2:5" x14ac:dyDescent="0.35">
      <c r="B1274"/>
      <c r="C1274"/>
      <c r="D1274"/>
      <c r="E1274"/>
    </row>
    <row r="1275" spans="2:5" x14ac:dyDescent="0.35">
      <c r="B1275"/>
      <c r="C1275"/>
      <c r="D1275"/>
      <c r="E1275"/>
    </row>
    <row r="1276" spans="2:5" x14ac:dyDescent="0.35">
      <c r="B1276"/>
      <c r="C1276"/>
      <c r="D1276"/>
      <c r="E1276"/>
    </row>
    <row r="1277" spans="2:5" x14ac:dyDescent="0.35">
      <c r="B1277"/>
      <c r="C1277"/>
      <c r="D1277"/>
      <c r="E1277"/>
    </row>
    <row r="1278" spans="2:5" x14ac:dyDescent="0.35">
      <c r="B1278"/>
      <c r="C1278"/>
      <c r="D1278"/>
      <c r="E1278"/>
    </row>
    <row r="1279" spans="2:5" x14ac:dyDescent="0.35">
      <c r="B1279"/>
      <c r="C1279"/>
      <c r="D1279"/>
      <c r="E1279"/>
    </row>
    <row r="1280" spans="2:5" x14ac:dyDescent="0.35">
      <c r="B1280"/>
      <c r="C1280"/>
      <c r="D1280"/>
      <c r="E1280"/>
    </row>
    <row r="1281" spans="2:5" x14ac:dyDescent="0.35">
      <c r="B1281"/>
      <c r="C1281"/>
      <c r="D1281"/>
      <c r="E1281"/>
    </row>
    <row r="1282" spans="2:5" x14ac:dyDescent="0.35">
      <c r="B1282"/>
      <c r="C1282"/>
      <c r="D1282"/>
      <c r="E1282"/>
    </row>
    <row r="1283" spans="2:5" x14ac:dyDescent="0.35">
      <c r="B1283"/>
      <c r="C1283"/>
      <c r="D1283"/>
      <c r="E1283"/>
    </row>
    <row r="1284" spans="2:5" x14ac:dyDescent="0.35">
      <c r="B1284"/>
      <c r="C1284"/>
      <c r="D1284"/>
      <c r="E1284"/>
    </row>
    <row r="1285" spans="2:5" x14ac:dyDescent="0.35">
      <c r="B1285"/>
      <c r="C1285"/>
      <c r="D1285"/>
      <c r="E1285"/>
    </row>
    <row r="1286" spans="2:5" x14ac:dyDescent="0.35">
      <c r="B1286"/>
      <c r="C1286"/>
      <c r="D1286"/>
      <c r="E1286"/>
    </row>
    <row r="1287" spans="2:5" x14ac:dyDescent="0.35">
      <c r="B1287"/>
      <c r="C1287"/>
      <c r="D1287"/>
      <c r="E1287"/>
    </row>
    <row r="1288" spans="2:5" x14ac:dyDescent="0.35">
      <c r="B1288"/>
      <c r="C1288"/>
      <c r="D1288"/>
      <c r="E1288"/>
    </row>
    <row r="1289" spans="2:5" x14ac:dyDescent="0.35">
      <c r="B1289"/>
      <c r="C1289"/>
      <c r="D1289"/>
      <c r="E1289"/>
    </row>
    <row r="1290" spans="2:5" x14ac:dyDescent="0.35">
      <c r="B1290"/>
      <c r="C1290"/>
      <c r="D1290"/>
      <c r="E1290"/>
    </row>
    <row r="1291" spans="2:5" x14ac:dyDescent="0.35">
      <c r="B1291"/>
      <c r="C1291"/>
      <c r="D1291"/>
      <c r="E1291"/>
    </row>
    <row r="1292" spans="2:5" x14ac:dyDescent="0.35">
      <c r="B1292"/>
      <c r="C1292"/>
      <c r="D1292"/>
      <c r="E1292"/>
    </row>
    <row r="1293" spans="2:5" x14ac:dyDescent="0.35">
      <c r="B1293"/>
      <c r="C1293"/>
      <c r="D1293"/>
      <c r="E1293"/>
    </row>
    <row r="1294" spans="2:5" x14ac:dyDescent="0.35">
      <c r="B1294"/>
      <c r="C1294"/>
      <c r="D1294"/>
      <c r="E1294"/>
    </row>
    <row r="1295" spans="2:5" x14ac:dyDescent="0.35">
      <c r="B1295"/>
      <c r="C1295"/>
      <c r="D1295"/>
      <c r="E1295"/>
    </row>
    <row r="1296" spans="2:5" x14ac:dyDescent="0.35">
      <c r="B1296"/>
      <c r="C1296"/>
      <c r="D1296"/>
      <c r="E1296"/>
    </row>
    <row r="1297" spans="2:5" x14ac:dyDescent="0.35">
      <c r="B1297"/>
      <c r="C1297"/>
      <c r="D1297"/>
      <c r="E1297"/>
    </row>
    <row r="1298" spans="2:5" x14ac:dyDescent="0.35">
      <c r="B1298"/>
      <c r="C1298"/>
      <c r="D1298"/>
      <c r="E1298"/>
    </row>
    <row r="1299" spans="2:5" x14ac:dyDescent="0.35">
      <c r="B1299"/>
      <c r="C1299"/>
      <c r="D1299"/>
      <c r="E1299"/>
    </row>
    <row r="1300" spans="2:5" x14ac:dyDescent="0.35">
      <c r="B1300"/>
      <c r="C1300"/>
      <c r="D1300"/>
      <c r="E1300"/>
    </row>
    <row r="1301" spans="2:5" x14ac:dyDescent="0.35">
      <c r="B1301"/>
      <c r="C1301"/>
      <c r="D1301"/>
      <c r="E1301"/>
    </row>
    <row r="1302" spans="2:5" x14ac:dyDescent="0.35">
      <c r="B1302"/>
      <c r="C1302"/>
      <c r="D1302"/>
      <c r="E1302"/>
    </row>
    <row r="1303" spans="2:5" x14ac:dyDescent="0.35">
      <c r="B1303"/>
      <c r="C1303"/>
      <c r="D1303"/>
      <c r="E1303"/>
    </row>
    <row r="1304" spans="2:5" x14ac:dyDescent="0.35">
      <c r="B1304"/>
      <c r="C1304"/>
      <c r="D1304"/>
      <c r="E1304"/>
    </row>
    <row r="1305" spans="2:5" x14ac:dyDescent="0.35">
      <c r="B1305"/>
      <c r="C1305"/>
      <c r="D1305"/>
      <c r="E1305"/>
    </row>
    <row r="1306" spans="2:5" x14ac:dyDescent="0.35">
      <c r="B1306"/>
      <c r="C1306"/>
      <c r="D1306"/>
      <c r="E1306"/>
    </row>
    <row r="1307" spans="2:5" x14ac:dyDescent="0.35">
      <c r="B1307"/>
      <c r="C1307"/>
      <c r="D1307"/>
      <c r="E1307"/>
    </row>
    <row r="1308" spans="2:5" x14ac:dyDescent="0.35">
      <c r="B1308"/>
      <c r="C1308"/>
      <c r="D1308"/>
      <c r="E1308"/>
    </row>
    <row r="1309" spans="2:5" x14ac:dyDescent="0.35">
      <c r="B1309"/>
      <c r="C1309"/>
      <c r="D1309"/>
      <c r="E1309"/>
    </row>
    <row r="1310" spans="2:5" x14ac:dyDescent="0.35">
      <c r="B1310"/>
      <c r="C1310"/>
      <c r="D1310"/>
      <c r="E1310"/>
    </row>
    <row r="1311" spans="2:5" x14ac:dyDescent="0.35">
      <c r="B1311"/>
      <c r="C1311"/>
      <c r="D1311"/>
      <c r="E1311"/>
    </row>
    <row r="1312" spans="2:5" x14ac:dyDescent="0.35">
      <c r="B1312"/>
      <c r="C1312"/>
      <c r="D1312"/>
      <c r="E1312"/>
    </row>
    <row r="1313" spans="2:5" x14ac:dyDescent="0.35">
      <c r="B1313"/>
      <c r="C1313"/>
      <c r="D1313"/>
      <c r="E1313"/>
    </row>
    <row r="1314" spans="2:5" x14ac:dyDescent="0.35">
      <c r="B1314"/>
      <c r="C1314"/>
      <c r="D1314"/>
      <c r="E1314"/>
    </row>
    <row r="1315" spans="2:5" x14ac:dyDescent="0.35">
      <c r="B1315"/>
      <c r="C1315"/>
      <c r="D1315"/>
      <c r="E1315"/>
    </row>
    <row r="1316" spans="2:5" x14ac:dyDescent="0.35">
      <c r="B1316"/>
      <c r="C1316"/>
      <c r="D1316"/>
      <c r="E1316"/>
    </row>
    <row r="1317" spans="2:5" x14ac:dyDescent="0.35">
      <c r="B1317"/>
      <c r="C1317"/>
      <c r="D1317"/>
      <c r="E1317"/>
    </row>
    <row r="1318" spans="2:5" x14ac:dyDescent="0.35">
      <c r="B1318"/>
      <c r="C1318"/>
      <c r="D1318"/>
      <c r="E1318"/>
    </row>
    <row r="1319" spans="2:5" x14ac:dyDescent="0.35">
      <c r="B1319"/>
      <c r="C1319"/>
      <c r="D1319"/>
      <c r="E1319"/>
    </row>
    <row r="1320" spans="2:5" x14ac:dyDescent="0.35">
      <c r="B1320"/>
      <c r="C1320"/>
      <c r="D1320"/>
      <c r="E1320"/>
    </row>
    <row r="1321" spans="2:5" x14ac:dyDescent="0.35">
      <c r="B1321"/>
      <c r="C1321"/>
      <c r="D1321"/>
      <c r="E1321"/>
    </row>
    <row r="1322" spans="2:5" x14ac:dyDescent="0.35">
      <c r="B1322"/>
      <c r="C1322"/>
      <c r="D1322"/>
      <c r="E1322"/>
    </row>
    <row r="1323" spans="2:5" x14ac:dyDescent="0.35">
      <c r="B1323"/>
      <c r="C1323"/>
      <c r="D1323"/>
      <c r="E1323"/>
    </row>
    <row r="1324" spans="2:5" x14ac:dyDescent="0.35">
      <c r="B1324"/>
      <c r="C1324"/>
      <c r="D1324"/>
      <c r="E1324"/>
    </row>
    <row r="1325" spans="2:5" x14ac:dyDescent="0.35">
      <c r="B1325"/>
      <c r="C1325"/>
      <c r="D1325"/>
      <c r="E1325"/>
    </row>
    <row r="1326" spans="2:5" x14ac:dyDescent="0.35">
      <c r="B1326"/>
      <c r="C1326"/>
      <c r="D1326"/>
      <c r="E1326"/>
    </row>
    <row r="1327" spans="2:5" x14ac:dyDescent="0.35">
      <c r="B1327"/>
      <c r="C1327"/>
      <c r="D1327"/>
      <c r="E1327"/>
    </row>
    <row r="1328" spans="2:5" x14ac:dyDescent="0.35">
      <c r="B1328"/>
      <c r="C1328"/>
      <c r="D1328"/>
      <c r="E1328"/>
    </row>
    <row r="1329" spans="2:5" x14ac:dyDescent="0.35">
      <c r="B1329"/>
      <c r="C1329"/>
      <c r="D1329"/>
      <c r="E1329"/>
    </row>
    <row r="1330" spans="2:5" x14ac:dyDescent="0.35">
      <c r="B1330"/>
      <c r="C1330"/>
      <c r="D1330"/>
      <c r="E1330"/>
    </row>
    <row r="1331" spans="2:5" x14ac:dyDescent="0.35">
      <c r="B1331"/>
      <c r="C1331"/>
      <c r="D1331"/>
      <c r="E1331"/>
    </row>
    <row r="1332" spans="2:5" x14ac:dyDescent="0.35">
      <c r="B1332"/>
      <c r="C1332"/>
      <c r="D1332"/>
      <c r="E1332"/>
    </row>
    <row r="1333" spans="2:5" x14ac:dyDescent="0.35">
      <c r="B1333"/>
      <c r="C1333"/>
      <c r="D1333"/>
      <c r="E1333"/>
    </row>
    <row r="1334" spans="2:5" x14ac:dyDescent="0.35">
      <c r="B1334"/>
      <c r="C1334"/>
      <c r="D1334"/>
      <c r="E1334"/>
    </row>
    <row r="1335" spans="2:5" x14ac:dyDescent="0.35">
      <c r="B1335"/>
      <c r="C1335"/>
      <c r="D1335"/>
      <c r="E1335"/>
    </row>
    <row r="1336" spans="2:5" x14ac:dyDescent="0.35">
      <c r="B1336"/>
      <c r="C1336"/>
      <c r="D1336"/>
      <c r="E1336"/>
    </row>
    <row r="1337" spans="2:5" x14ac:dyDescent="0.35">
      <c r="B1337"/>
      <c r="C1337"/>
      <c r="D1337"/>
      <c r="E1337"/>
    </row>
    <row r="1338" spans="2:5" x14ac:dyDescent="0.35">
      <c r="B1338"/>
      <c r="C1338"/>
      <c r="D1338"/>
      <c r="E1338"/>
    </row>
    <row r="1339" spans="2:5" x14ac:dyDescent="0.35">
      <c r="B1339"/>
      <c r="C1339"/>
      <c r="D1339"/>
      <c r="E1339"/>
    </row>
    <row r="1340" spans="2:5" x14ac:dyDescent="0.35">
      <c r="B1340"/>
      <c r="C1340"/>
      <c r="D1340"/>
      <c r="E1340"/>
    </row>
    <row r="1341" spans="2:5" x14ac:dyDescent="0.35">
      <c r="B1341"/>
      <c r="C1341"/>
      <c r="D1341"/>
      <c r="E1341"/>
    </row>
    <row r="1342" spans="2:5" x14ac:dyDescent="0.35">
      <c r="B1342"/>
      <c r="C1342"/>
      <c r="D1342"/>
      <c r="E1342"/>
    </row>
    <row r="1343" spans="2:5" x14ac:dyDescent="0.35">
      <c r="B1343"/>
      <c r="C1343"/>
      <c r="D1343"/>
      <c r="E1343"/>
    </row>
    <row r="1344" spans="2:5" x14ac:dyDescent="0.35">
      <c r="B1344"/>
      <c r="C1344"/>
      <c r="D1344"/>
      <c r="E1344"/>
    </row>
    <row r="1345" spans="2:5" x14ac:dyDescent="0.35">
      <c r="B1345"/>
      <c r="C1345"/>
      <c r="D1345"/>
      <c r="E1345"/>
    </row>
    <row r="1346" spans="2:5" x14ac:dyDescent="0.35">
      <c r="B1346"/>
      <c r="C1346"/>
      <c r="D1346"/>
      <c r="E1346"/>
    </row>
    <row r="1347" spans="2:5" x14ac:dyDescent="0.35">
      <c r="B1347"/>
      <c r="C1347"/>
      <c r="D1347"/>
      <c r="E1347"/>
    </row>
    <row r="1348" spans="2:5" x14ac:dyDescent="0.35">
      <c r="B1348"/>
      <c r="C1348"/>
      <c r="D1348"/>
      <c r="E1348"/>
    </row>
    <row r="1349" spans="2:5" x14ac:dyDescent="0.35">
      <c r="B1349"/>
      <c r="C1349"/>
      <c r="D1349"/>
      <c r="E1349"/>
    </row>
    <row r="1350" spans="2:5" x14ac:dyDescent="0.35">
      <c r="B1350"/>
      <c r="C1350"/>
      <c r="D1350"/>
      <c r="E1350"/>
    </row>
    <row r="1351" spans="2:5" x14ac:dyDescent="0.35">
      <c r="B1351"/>
      <c r="C1351"/>
      <c r="D1351"/>
      <c r="E1351"/>
    </row>
    <row r="1352" spans="2:5" x14ac:dyDescent="0.35">
      <c r="B1352"/>
      <c r="C1352"/>
      <c r="D1352"/>
      <c r="E1352"/>
    </row>
    <row r="1353" spans="2:5" x14ac:dyDescent="0.35">
      <c r="B1353"/>
      <c r="C1353"/>
      <c r="D1353"/>
      <c r="E1353"/>
    </row>
    <row r="1354" spans="2:5" x14ac:dyDescent="0.35">
      <c r="B1354"/>
      <c r="C1354"/>
      <c r="D1354"/>
      <c r="E1354"/>
    </row>
    <row r="1355" spans="2:5" x14ac:dyDescent="0.35">
      <c r="B1355"/>
      <c r="C1355"/>
      <c r="D1355"/>
      <c r="E1355"/>
    </row>
    <row r="1356" spans="2:5" x14ac:dyDescent="0.35">
      <c r="B1356"/>
      <c r="C1356"/>
      <c r="D1356"/>
      <c r="E1356"/>
    </row>
    <row r="1357" spans="2:5" x14ac:dyDescent="0.35">
      <c r="B1357"/>
      <c r="C1357"/>
      <c r="D1357"/>
      <c r="E1357"/>
    </row>
    <row r="1358" spans="2:5" x14ac:dyDescent="0.35">
      <c r="B1358"/>
      <c r="C1358"/>
      <c r="D1358"/>
      <c r="E1358"/>
    </row>
    <row r="1359" spans="2:5" x14ac:dyDescent="0.35">
      <c r="B1359"/>
      <c r="C1359"/>
      <c r="D1359"/>
      <c r="E1359"/>
    </row>
    <row r="1360" spans="2:5" x14ac:dyDescent="0.35">
      <c r="B1360"/>
      <c r="C1360"/>
      <c r="D1360"/>
      <c r="E1360"/>
    </row>
    <row r="1361" spans="2:5" x14ac:dyDescent="0.35">
      <c r="B1361"/>
      <c r="C1361"/>
      <c r="D1361"/>
      <c r="E1361"/>
    </row>
    <row r="1362" spans="2:5" x14ac:dyDescent="0.35">
      <c r="B1362"/>
      <c r="C1362"/>
      <c r="D1362"/>
      <c r="E1362"/>
    </row>
    <row r="1363" spans="2:5" x14ac:dyDescent="0.35">
      <c r="B1363"/>
      <c r="C1363"/>
      <c r="D1363"/>
      <c r="E1363"/>
    </row>
    <row r="1364" spans="2:5" x14ac:dyDescent="0.35">
      <c r="B1364"/>
      <c r="C1364"/>
      <c r="D1364"/>
      <c r="E1364"/>
    </row>
    <row r="1365" spans="2:5" x14ac:dyDescent="0.35">
      <c r="B1365"/>
      <c r="C1365"/>
      <c r="D1365"/>
      <c r="E1365"/>
    </row>
    <row r="1366" spans="2:5" x14ac:dyDescent="0.35">
      <c r="B1366"/>
      <c r="C1366"/>
      <c r="D1366"/>
      <c r="E1366"/>
    </row>
    <row r="1367" spans="2:5" x14ac:dyDescent="0.35">
      <c r="B1367"/>
      <c r="C1367"/>
      <c r="D1367"/>
      <c r="E1367"/>
    </row>
    <row r="1368" spans="2:5" x14ac:dyDescent="0.35">
      <c r="B1368"/>
      <c r="C1368"/>
      <c r="D1368"/>
      <c r="E1368"/>
    </row>
    <row r="1369" spans="2:5" x14ac:dyDescent="0.35">
      <c r="B1369"/>
      <c r="C1369"/>
      <c r="D1369"/>
      <c r="E1369"/>
    </row>
    <row r="1370" spans="2:5" x14ac:dyDescent="0.35">
      <c r="B1370"/>
      <c r="C1370"/>
      <c r="D1370"/>
      <c r="E1370"/>
    </row>
    <row r="1371" spans="2:5" x14ac:dyDescent="0.35">
      <c r="B1371"/>
      <c r="C1371"/>
      <c r="D1371"/>
      <c r="E1371"/>
    </row>
    <row r="1372" spans="2:5" x14ac:dyDescent="0.35">
      <c r="B1372"/>
      <c r="C1372"/>
      <c r="D1372"/>
      <c r="E1372"/>
    </row>
    <row r="1373" spans="2:5" x14ac:dyDescent="0.35">
      <c r="B1373"/>
      <c r="C1373"/>
      <c r="D1373"/>
      <c r="E1373"/>
    </row>
    <row r="1374" spans="2:5" x14ac:dyDescent="0.35">
      <c r="B1374"/>
      <c r="C1374"/>
      <c r="D1374"/>
      <c r="E1374"/>
    </row>
    <row r="1375" spans="2:5" x14ac:dyDescent="0.35">
      <c r="B1375"/>
      <c r="C1375"/>
      <c r="D1375"/>
      <c r="E1375"/>
    </row>
    <row r="1376" spans="2:5" x14ac:dyDescent="0.35">
      <c r="B1376"/>
      <c r="C1376"/>
      <c r="D1376"/>
      <c r="E1376"/>
    </row>
    <row r="1377" spans="2:5" x14ac:dyDescent="0.35">
      <c r="B1377"/>
      <c r="C1377"/>
      <c r="D1377"/>
      <c r="E1377"/>
    </row>
    <row r="1378" spans="2:5" x14ac:dyDescent="0.35">
      <c r="B1378"/>
      <c r="C1378"/>
      <c r="D1378"/>
      <c r="E1378"/>
    </row>
    <row r="1379" spans="2:5" x14ac:dyDescent="0.35">
      <c r="B1379"/>
      <c r="C1379"/>
      <c r="D1379"/>
      <c r="E1379"/>
    </row>
    <row r="1380" spans="2:5" x14ac:dyDescent="0.35">
      <c r="B1380"/>
      <c r="C1380"/>
      <c r="D1380"/>
      <c r="E1380"/>
    </row>
    <row r="1381" spans="2:5" x14ac:dyDescent="0.35">
      <c r="B1381"/>
      <c r="C1381"/>
      <c r="D1381"/>
      <c r="E1381"/>
    </row>
    <row r="1382" spans="2:5" x14ac:dyDescent="0.35">
      <c r="B1382"/>
      <c r="C1382"/>
      <c r="D1382"/>
      <c r="E1382"/>
    </row>
    <row r="1383" spans="2:5" x14ac:dyDescent="0.35">
      <c r="B1383"/>
      <c r="C1383"/>
      <c r="D1383"/>
      <c r="E1383"/>
    </row>
    <row r="1384" spans="2:5" x14ac:dyDescent="0.35">
      <c r="B1384"/>
      <c r="C1384"/>
      <c r="D1384"/>
      <c r="E1384"/>
    </row>
    <row r="1385" spans="2:5" x14ac:dyDescent="0.35">
      <c r="B1385"/>
      <c r="C1385"/>
      <c r="D1385"/>
      <c r="E1385"/>
    </row>
    <row r="1386" spans="2:5" x14ac:dyDescent="0.35">
      <c r="B1386"/>
      <c r="C1386"/>
      <c r="D1386"/>
      <c r="E1386"/>
    </row>
    <row r="1387" spans="2:5" x14ac:dyDescent="0.35">
      <c r="B1387"/>
      <c r="C1387"/>
      <c r="D1387"/>
      <c r="E1387"/>
    </row>
    <row r="1388" spans="2:5" x14ac:dyDescent="0.35">
      <c r="B1388"/>
      <c r="C1388"/>
      <c r="D1388"/>
      <c r="E1388"/>
    </row>
    <row r="1389" spans="2:5" x14ac:dyDescent="0.35">
      <c r="B1389"/>
      <c r="C1389"/>
      <c r="D1389"/>
      <c r="E1389"/>
    </row>
    <row r="1390" spans="2:5" x14ac:dyDescent="0.35">
      <c r="B1390"/>
      <c r="C1390"/>
      <c r="D1390"/>
      <c r="E1390"/>
    </row>
    <row r="1391" spans="2:5" x14ac:dyDescent="0.35">
      <c r="B1391"/>
      <c r="C1391"/>
      <c r="D1391"/>
      <c r="E1391"/>
    </row>
    <row r="1392" spans="2:5" x14ac:dyDescent="0.35">
      <c r="B1392"/>
      <c r="C1392"/>
      <c r="D1392"/>
      <c r="E1392"/>
    </row>
    <row r="1393" spans="2:5" x14ac:dyDescent="0.35">
      <c r="B1393"/>
      <c r="C1393"/>
      <c r="D1393"/>
      <c r="E1393"/>
    </row>
    <row r="1394" spans="2:5" x14ac:dyDescent="0.35">
      <c r="B1394"/>
      <c r="C1394"/>
      <c r="D1394"/>
      <c r="E1394"/>
    </row>
    <row r="1395" spans="2:5" x14ac:dyDescent="0.35">
      <c r="B1395"/>
      <c r="C1395"/>
      <c r="D1395"/>
      <c r="E1395"/>
    </row>
    <row r="1396" spans="2:5" x14ac:dyDescent="0.35">
      <c r="B1396"/>
      <c r="C1396"/>
      <c r="D1396"/>
      <c r="E1396"/>
    </row>
    <row r="1397" spans="2:5" x14ac:dyDescent="0.35">
      <c r="B1397"/>
      <c r="C1397"/>
      <c r="D1397"/>
      <c r="E1397"/>
    </row>
    <row r="1398" spans="2:5" x14ac:dyDescent="0.35">
      <c r="B1398"/>
      <c r="C1398"/>
      <c r="D1398"/>
      <c r="E1398"/>
    </row>
    <row r="1399" spans="2:5" x14ac:dyDescent="0.35">
      <c r="B1399"/>
      <c r="C1399"/>
      <c r="D1399"/>
      <c r="E1399"/>
    </row>
    <row r="1400" spans="2:5" x14ac:dyDescent="0.35">
      <c r="B1400"/>
      <c r="C1400"/>
      <c r="D1400"/>
      <c r="E1400"/>
    </row>
    <row r="1401" spans="2:5" x14ac:dyDescent="0.35">
      <c r="B1401"/>
      <c r="C1401"/>
      <c r="D1401"/>
      <c r="E1401"/>
    </row>
    <row r="1402" spans="2:5" x14ac:dyDescent="0.35">
      <c r="B1402"/>
      <c r="C1402"/>
      <c r="D1402"/>
      <c r="E1402"/>
    </row>
    <row r="1403" spans="2:5" x14ac:dyDescent="0.35">
      <c r="B1403"/>
      <c r="C1403"/>
      <c r="D1403"/>
      <c r="E1403"/>
    </row>
    <row r="1404" spans="2:5" x14ac:dyDescent="0.35">
      <c r="B1404"/>
      <c r="C1404"/>
      <c r="D1404"/>
      <c r="E1404"/>
    </row>
    <row r="1405" spans="2:5" x14ac:dyDescent="0.35">
      <c r="B1405"/>
      <c r="C1405"/>
      <c r="D1405"/>
      <c r="E1405"/>
    </row>
    <row r="1406" spans="2:5" x14ac:dyDescent="0.35">
      <c r="B1406"/>
      <c r="C1406"/>
      <c r="D1406"/>
      <c r="E1406"/>
    </row>
    <row r="1407" spans="2:5" x14ac:dyDescent="0.35">
      <c r="B1407"/>
      <c r="C1407"/>
      <c r="D1407"/>
      <c r="E1407"/>
    </row>
    <row r="1408" spans="2:5" x14ac:dyDescent="0.35">
      <c r="B1408"/>
      <c r="C1408"/>
      <c r="D1408"/>
      <c r="E1408"/>
    </row>
    <row r="1409" spans="2:5" x14ac:dyDescent="0.35">
      <c r="B1409"/>
      <c r="C1409"/>
      <c r="D1409"/>
      <c r="E1409"/>
    </row>
    <row r="1410" spans="2:5" x14ac:dyDescent="0.35">
      <c r="B1410"/>
      <c r="C1410"/>
      <c r="D1410"/>
      <c r="E1410"/>
    </row>
    <row r="1411" spans="2:5" x14ac:dyDescent="0.35">
      <c r="B1411"/>
      <c r="C1411"/>
      <c r="D1411"/>
      <c r="E1411"/>
    </row>
    <row r="1412" spans="2:5" x14ac:dyDescent="0.35">
      <c r="B1412"/>
      <c r="C1412"/>
      <c r="D1412"/>
      <c r="E1412"/>
    </row>
    <row r="1413" spans="2:5" x14ac:dyDescent="0.35">
      <c r="B1413"/>
      <c r="C1413"/>
      <c r="D1413"/>
      <c r="E1413"/>
    </row>
    <row r="1414" spans="2:5" x14ac:dyDescent="0.35">
      <c r="B1414"/>
      <c r="C1414"/>
      <c r="D1414"/>
      <c r="E1414"/>
    </row>
    <row r="1415" spans="2:5" x14ac:dyDescent="0.35">
      <c r="B1415"/>
      <c r="C1415"/>
      <c r="D1415"/>
      <c r="E1415"/>
    </row>
    <row r="1416" spans="2:5" x14ac:dyDescent="0.35">
      <c r="B1416"/>
      <c r="C1416"/>
      <c r="D1416"/>
      <c r="E1416"/>
    </row>
    <row r="1417" spans="2:5" x14ac:dyDescent="0.35">
      <c r="B1417"/>
      <c r="C1417"/>
      <c r="D1417"/>
      <c r="E1417"/>
    </row>
    <row r="1418" spans="2:5" x14ac:dyDescent="0.35">
      <c r="B1418"/>
      <c r="C1418"/>
      <c r="D1418"/>
      <c r="E1418"/>
    </row>
    <row r="1419" spans="2:5" x14ac:dyDescent="0.35">
      <c r="B1419"/>
      <c r="C1419"/>
      <c r="D1419"/>
      <c r="E1419"/>
    </row>
    <row r="1420" spans="2:5" x14ac:dyDescent="0.35">
      <c r="B1420"/>
      <c r="C1420"/>
      <c r="D1420"/>
      <c r="E1420"/>
    </row>
    <row r="1421" spans="2:5" x14ac:dyDescent="0.35">
      <c r="B1421"/>
      <c r="C1421"/>
      <c r="D1421"/>
      <c r="E1421"/>
    </row>
    <row r="1422" spans="2:5" x14ac:dyDescent="0.35">
      <c r="B1422"/>
      <c r="C1422"/>
      <c r="D1422"/>
      <c r="E1422"/>
    </row>
    <row r="1423" spans="2:5" x14ac:dyDescent="0.35">
      <c r="B1423"/>
      <c r="C1423"/>
      <c r="D1423"/>
      <c r="E1423"/>
    </row>
    <row r="1424" spans="2:5" x14ac:dyDescent="0.35">
      <c r="B1424"/>
      <c r="C1424"/>
      <c r="D1424"/>
      <c r="E1424"/>
    </row>
    <row r="1425" spans="2:5" x14ac:dyDescent="0.35">
      <c r="B1425"/>
      <c r="C1425"/>
      <c r="D1425"/>
      <c r="E1425"/>
    </row>
    <row r="1426" spans="2:5" x14ac:dyDescent="0.35">
      <c r="B1426"/>
      <c r="C1426"/>
      <c r="D1426"/>
      <c r="E1426"/>
    </row>
    <row r="1427" spans="2:5" x14ac:dyDescent="0.35">
      <c r="B1427"/>
      <c r="C1427"/>
      <c r="D1427"/>
      <c r="E1427"/>
    </row>
    <row r="1428" spans="2:5" x14ac:dyDescent="0.35">
      <c r="B1428"/>
      <c r="C1428"/>
      <c r="D1428"/>
      <c r="E1428"/>
    </row>
    <row r="1429" spans="2:5" x14ac:dyDescent="0.35">
      <c r="B1429"/>
      <c r="C1429"/>
      <c r="D1429"/>
      <c r="E1429"/>
    </row>
    <row r="1430" spans="2:5" x14ac:dyDescent="0.35">
      <c r="B1430"/>
      <c r="C1430"/>
      <c r="D1430"/>
      <c r="E1430"/>
    </row>
    <row r="1431" spans="2:5" x14ac:dyDescent="0.35">
      <c r="B1431"/>
      <c r="C1431"/>
      <c r="D1431"/>
      <c r="E1431"/>
    </row>
    <row r="1432" spans="2:5" x14ac:dyDescent="0.35">
      <c r="B1432"/>
      <c r="C1432"/>
      <c r="D1432"/>
      <c r="E1432"/>
    </row>
    <row r="1433" spans="2:5" x14ac:dyDescent="0.35">
      <c r="B1433"/>
      <c r="C1433"/>
      <c r="D1433"/>
      <c r="E1433"/>
    </row>
    <row r="1434" spans="2:5" x14ac:dyDescent="0.35">
      <c r="B1434"/>
      <c r="C1434"/>
      <c r="D1434"/>
      <c r="E1434"/>
    </row>
    <row r="1435" spans="2:5" x14ac:dyDescent="0.35">
      <c r="B1435"/>
      <c r="C1435"/>
      <c r="D1435"/>
      <c r="E1435"/>
    </row>
    <row r="1436" spans="2:5" x14ac:dyDescent="0.35">
      <c r="B1436"/>
      <c r="C1436"/>
      <c r="D1436"/>
      <c r="E1436"/>
    </row>
    <row r="1437" spans="2:5" x14ac:dyDescent="0.35">
      <c r="B1437"/>
      <c r="C1437"/>
      <c r="D1437"/>
      <c r="E1437"/>
    </row>
    <row r="1438" spans="2:5" x14ac:dyDescent="0.35">
      <c r="B1438"/>
      <c r="C1438"/>
      <c r="D1438"/>
      <c r="E1438"/>
    </row>
    <row r="1439" spans="2:5" x14ac:dyDescent="0.35">
      <c r="B1439"/>
      <c r="C1439"/>
      <c r="D1439"/>
      <c r="E1439"/>
    </row>
    <row r="1440" spans="2:5" x14ac:dyDescent="0.35">
      <c r="B1440"/>
      <c r="C1440"/>
      <c r="D1440"/>
      <c r="E1440"/>
    </row>
    <row r="1441" spans="2:5" x14ac:dyDescent="0.35">
      <c r="B1441"/>
      <c r="C1441"/>
      <c r="D1441"/>
      <c r="E1441"/>
    </row>
    <row r="1442" spans="2:5" x14ac:dyDescent="0.35">
      <c r="B1442"/>
      <c r="C1442"/>
      <c r="D1442"/>
      <c r="E1442"/>
    </row>
    <row r="1443" spans="2:5" x14ac:dyDescent="0.35">
      <c r="B1443"/>
      <c r="C1443"/>
      <c r="D1443"/>
      <c r="E1443"/>
    </row>
    <row r="1444" spans="2:5" x14ac:dyDescent="0.35">
      <c r="B1444"/>
      <c r="C1444"/>
      <c r="D1444"/>
      <c r="E1444"/>
    </row>
    <row r="1445" spans="2:5" x14ac:dyDescent="0.35">
      <c r="B1445"/>
      <c r="C1445"/>
      <c r="D1445"/>
      <c r="E1445"/>
    </row>
    <row r="1446" spans="2:5" x14ac:dyDescent="0.35">
      <c r="B1446"/>
      <c r="C1446"/>
      <c r="D1446"/>
      <c r="E1446"/>
    </row>
    <row r="1447" spans="2:5" x14ac:dyDescent="0.35">
      <c r="B1447"/>
      <c r="C1447"/>
      <c r="D1447"/>
      <c r="E1447"/>
    </row>
    <row r="1448" spans="2:5" x14ac:dyDescent="0.35">
      <c r="B1448"/>
      <c r="C1448"/>
      <c r="D1448"/>
      <c r="E1448"/>
    </row>
    <row r="1449" spans="2:5" x14ac:dyDescent="0.35">
      <c r="B1449"/>
      <c r="C1449"/>
      <c r="D1449"/>
      <c r="E1449"/>
    </row>
    <row r="1450" spans="2:5" x14ac:dyDescent="0.35">
      <c r="B1450"/>
      <c r="C1450"/>
      <c r="D1450"/>
      <c r="E1450"/>
    </row>
    <row r="1451" spans="2:5" x14ac:dyDescent="0.35">
      <c r="B1451"/>
      <c r="C1451"/>
      <c r="D1451"/>
      <c r="E1451"/>
    </row>
    <row r="1452" spans="2:5" x14ac:dyDescent="0.35">
      <c r="B1452"/>
      <c r="C1452"/>
      <c r="D1452"/>
      <c r="E1452"/>
    </row>
    <row r="1453" spans="2:5" x14ac:dyDescent="0.35">
      <c r="B1453"/>
      <c r="C1453"/>
      <c r="D1453"/>
      <c r="E1453"/>
    </row>
    <row r="1454" spans="2:5" x14ac:dyDescent="0.35">
      <c r="B1454"/>
      <c r="C1454"/>
      <c r="D1454"/>
      <c r="E1454"/>
    </row>
    <row r="1455" spans="2:5" x14ac:dyDescent="0.35">
      <c r="B1455"/>
      <c r="C1455"/>
      <c r="D1455"/>
      <c r="E1455"/>
    </row>
    <row r="1456" spans="2:5" x14ac:dyDescent="0.35">
      <c r="B1456"/>
      <c r="C1456"/>
      <c r="D1456"/>
      <c r="E1456"/>
    </row>
    <row r="1457" spans="2:5" x14ac:dyDescent="0.35">
      <c r="B1457"/>
      <c r="C1457"/>
      <c r="D1457"/>
      <c r="E1457"/>
    </row>
    <row r="1458" spans="2:5" x14ac:dyDescent="0.35">
      <c r="B1458"/>
      <c r="C1458"/>
      <c r="D1458"/>
      <c r="E1458"/>
    </row>
    <row r="1459" spans="2:5" x14ac:dyDescent="0.35">
      <c r="B1459"/>
      <c r="C1459"/>
      <c r="D1459"/>
      <c r="E1459"/>
    </row>
    <row r="1460" spans="2:5" x14ac:dyDescent="0.35">
      <c r="B1460"/>
      <c r="C1460"/>
      <c r="D1460"/>
      <c r="E1460"/>
    </row>
    <row r="1461" spans="2:5" x14ac:dyDescent="0.35">
      <c r="B1461"/>
      <c r="C1461"/>
      <c r="D1461"/>
      <c r="E1461"/>
    </row>
    <row r="1462" spans="2:5" x14ac:dyDescent="0.35">
      <c r="B1462"/>
      <c r="C1462"/>
      <c r="D1462"/>
      <c r="E1462"/>
    </row>
    <row r="1463" spans="2:5" x14ac:dyDescent="0.35">
      <c r="B1463"/>
      <c r="C1463"/>
      <c r="D1463"/>
      <c r="E1463"/>
    </row>
    <row r="1464" spans="2:5" x14ac:dyDescent="0.35">
      <c r="B1464"/>
      <c r="C1464"/>
      <c r="D1464"/>
      <c r="E1464"/>
    </row>
    <row r="1465" spans="2:5" x14ac:dyDescent="0.35">
      <c r="B1465"/>
      <c r="C1465"/>
      <c r="D1465"/>
      <c r="E1465"/>
    </row>
    <row r="1466" spans="2:5" x14ac:dyDescent="0.35">
      <c r="B1466"/>
      <c r="C1466"/>
      <c r="D1466"/>
      <c r="E1466"/>
    </row>
    <row r="1467" spans="2:5" x14ac:dyDescent="0.35">
      <c r="B1467"/>
      <c r="C1467"/>
      <c r="D1467"/>
      <c r="E1467"/>
    </row>
    <row r="1468" spans="2:5" x14ac:dyDescent="0.35">
      <c r="B1468"/>
      <c r="C1468"/>
      <c r="D1468"/>
      <c r="E1468"/>
    </row>
    <row r="1469" spans="2:5" x14ac:dyDescent="0.35">
      <c r="B1469"/>
      <c r="C1469"/>
      <c r="D1469"/>
      <c r="E1469"/>
    </row>
    <row r="1470" spans="2:5" x14ac:dyDescent="0.35">
      <c r="B1470"/>
      <c r="C1470"/>
      <c r="D1470"/>
      <c r="E1470"/>
    </row>
    <row r="1471" spans="2:5" x14ac:dyDescent="0.35">
      <c r="B1471"/>
      <c r="C1471"/>
      <c r="D1471"/>
      <c r="E1471"/>
    </row>
    <row r="1472" spans="2:5" x14ac:dyDescent="0.35">
      <c r="B1472"/>
      <c r="C1472"/>
      <c r="D1472"/>
      <c r="E1472"/>
    </row>
    <row r="1473" spans="2:5" x14ac:dyDescent="0.35">
      <c r="B1473"/>
      <c r="C1473"/>
      <c r="D1473"/>
      <c r="E1473"/>
    </row>
    <row r="1474" spans="2:5" x14ac:dyDescent="0.35">
      <c r="B1474"/>
      <c r="C1474"/>
      <c r="D1474"/>
      <c r="E1474"/>
    </row>
    <row r="1475" spans="2:5" x14ac:dyDescent="0.35">
      <c r="B1475"/>
      <c r="C1475"/>
      <c r="D1475"/>
      <c r="E1475"/>
    </row>
    <row r="1476" spans="2:5" x14ac:dyDescent="0.35">
      <c r="B1476"/>
      <c r="C1476"/>
      <c r="D1476"/>
      <c r="E1476"/>
    </row>
    <row r="1477" spans="2:5" x14ac:dyDescent="0.35">
      <c r="B1477"/>
      <c r="C1477"/>
      <c r="D1477"/>
      <c r="E1477"/>
    </row>
    <row r="1478" spans="2:5" x14ac:dyDescent="0.35">
      <c r="B1478"/>
      <c r="C1478"/>
      <c r="D1478"/>
      <c r="E1478"/>
    </row>
    <row r="1479" spans="2:5" x14ac:dyDescent="0.35">
      <c r="B1479"/>
      <c r="C1479"/>
      <c r="D1479"/>
      <c r="E1479"/>
    </row>
    <row r="1480" spans="2:5" x14ac:dyDescent="0.35">
      <c r="B1480"/>
      <c r="C1480"/>
      <c r="D1480"/>
      <c r="E1480"/>
    </row>
    <row r="1481" spans="2:5" x14ac:dyDescent="0.35">
      <c r="B1481"/>
      <c r="C1481"/>
      <c r="D1481"/>
      <c r="E1481"/>
    </row>
    <row r="1482" spans="2:5" x14ac:dyDescent="0.35">
      <c r="B1482"/>
      <c r="C1482"/>
      <c r="D1482"/>
      <c r="E1482"/>
    </row>
    <row r="1483" spans="2:5" x14ac:dyDescent="0.35">
      <c r="B1483"/>
      <c r="C1483"/>
      <c r="D1483"/>
      <c r="E1483"/>
    </row>
    <row r="1484" spans="2:5" x14ac:dyDescent="0.35">
      <c r="B1484"/>
      <c r="C1484"/>
      <c r="D1484"/>
      <c r="E1484"/>
    </row>
    <row r="1485" spans="2:5" x14ac:dyDescent="0.35">
      <c r="B1485"/>
      <c r="C1485"/>
      <c r="D1485"/>
      <c r="E1485"/>
    </row>
    <row r="1486" spans="2:5" x14ac:dyDescent="0.35">
      <c r="B1486"/>
      <c r="C1486"/>
      <c r="D1486"/>
      <c r="E1486"/>
    </row>
    <row r="1487" spans="2:5" x14ac:dyDescent="0.35">
      <c r="B1487"/>
      <c r="C1487"/>
      <c r="D1487"/>
      <c r="E1487"/>
    </row>
    <row r="1488" spans="2:5" x14ac:dyDescent="0.35">
      <c r="B1488"/>
      <c r="C1488"/>
      <c r="D1488"/>
      <c r="E1488"/>
    </row>
    <row r="1489" spans="2:5" x14ac:dyDescent="0.35">
      <c r="B1489"/>
      <c r="C1489"/>
      <c r="D1489"/>
      <c r="E1489"/>
    </row>
    <row r="1490" spans="2:5" x14ac:dyDescent="0.35">
      <c r="B1490"/>
      <c r="C1490"/>
      <c r="D1490"/>
      <c r="E1490"/>
    </row>
    <row r="1491" spans="2:5" x14ac:dyDescent="0.35">
      <c r="B1491"/>
      <c r="C1491"/>
      <c r="D1491"/>
      <c r="E1491"/>
    </row>
    <row r="1492" spans="2:5" x14ac:dyDescent="0.35">
      <c r="B1492"/>
      <c r="C1492"/>
      <c r="D1492"/>
      <c r="E1492"/>
    </row>
    <row r="1493" spans="2:5" x14ac:dyDescent="0.35">
      <c r="B1493"/>
      <c r="C1493"/>
      <c r="D1493"/>
      <c r="E1493"/>
    </row>
    <row r="1494" spans="2:5" x14ac:dyDescent="0.35">
      <c r="B1494"/>
      <c r="C1494"/>
      <c r="D1494"/>
      <c r="E1494"/>
    </row>
    <row r="1495" spans="2:5" x14ac:dyDescent="0.35">
      <c r="B1495"/>
      <c r="C1495"/>
      <c r="D1495"/>
      <c r="E1495"/>
    </row>
    <row r="1496" spans="2:5" x14ac:dyDescent="0.35">
      <c r="B1496"/>
      <c r="C1496"/>
      <c r="D1496"/>
      <c r="E1496"/>
    </row>
    <row r="1497" spans="2:5" x14ac:dyDescent="0.35">
      <c r="B1497"/>
      <c r="C1497"/>
      <c r="D1497"/>
      <c r="E1497"/>
    </row>
    <row r="1498" spans="2:5" x14ac:dyDescent="0.35">
      <c r="B1498"/>
      <c r="C1498"/>
      <c r="D1498"/>
      <c r="E1498"/>
    </row>
    <row r="1499" spans="2:5" x14ac:dyDescent="0.35">
      <c r="B1499"/>
      <c r="C1499"/>
      <c r="D1499"/>
      <c r="E1499"/>
    </row>
    <row r="1500" spans="2:5" x14ac:dyDescent="0.35">
      <c r="B1500"/>
      <c r="C1500"/>
      <c r="D1500"/>
      <c r="E1500"/>
    </row>
    <row r="1501" spans="2:5" x14ac:dyDescent="0.35">
      <c r="B1501"/>
      <c r="C1501"/>
      <c r="D1501"/>
      <c r="E1501"/>
    </row>
    <row r="1502" spans="2:5" x14ac:dyDescent="0.35">
      <c r="B1502"/>
      <c r="C1502"/>
      <c r="D1502"/>
      <c r="E1502"/>
    </row>
    <row r="1503" spans="2:5" x14ac:dyDescent="0.35">
      <c r="B1503"/>
      <c r="C1503"/>
      <c r="D1503"/>
      <c r="E1503"/>
    </row>
    <row r="1504" spans="2:5" x14ac:dyDescent="0.35">
      <c r="B1504"/>
      <c r="C1504"/>
      <c r="D1504"/>
      <c r="E1504"/>
    </row>
    <row r="1505" spans="2:5" x14ac:dyDescent="0.35">
      <c r="B1505"/>
      <c r="C1505"/>
      <c r="D1505"/>
      <c r="E1505"/>
    </row>
    <row r="1506" spans="2:5" x14ac:dyDescent="0.35">
      <c r="B1506"/>
      <c r="C1506"/>
      <c r="D1506"/>
      <c r="E1506"/>
    </row>
    <row r="1507" spans="2:5" x14ac:dyDescent="0.35">
      <c r="B1507"/>
      <c r="C1507"/>
      <c r="D1507"/>
      <c r="E1507"/>
    </row>
    <row r="1508" spans="2:5" x14ac:dyDescent="0.35">
      <c r="B1508"/>
      <c r="C1508"/>
      <c r="D1508"/>
      <c r="E1508"/>
    </row>
    <row r="1509" spans="2:5" x14ac:dyDescent="0.35">
      <c r="B1509"/>
      <c r="C1509"/>
      <c r="D1509"/>
      <c r="E1509"/>
    </row>
    <row r="1510" spans="2:5" x14ac:dyDescent="0.35">
      <c r="B1510"/>
      <c r="C1510"/>
      <c r="D1510"/>
      <c r="E1510"/>
    </row>
    <row r="1511" spans="2:5" x14ac:dyDescent="0.35">
      <c r="B1511"/>
      <c r="C1511"/>
      <c r="D1511"/>
      <c r="E1511"/>
    </row>
    <row r="1512" spans="2:5" x14ac:dyDescent="0.35">
      <c r="B1512"/>
      <c r="C1512"/>
      <c r="D1512"/>
      <c r="E1512"/>
    </row>
    <row r="1513" spans="2:5" x14ac:dyDescent="0.35">
      <c r="B1513"/>
      <c r="C1513"/>
      <c r="D1513"/>
      <c r="E1513"/>
    </row>
    <row r="1514" spans="2:5" x14ac:dyDescent="0.35">
      <c r="B1514"/>
      <c r="C1514"/>
      <c r="D1514"/>
      <c r="E1514"/>
    </row>
    <row r="1515" spans="2:5" x14ac:dyDescent="0.35">
      <c r="B1515"/>
      <c r="C1515"/>
      <c r="D1515"/>
      <c r="E1515"/>
    </row>
    <row r="1516" spans="2:5" x14ac:dyDescent="0.35">
      <c r="B1516"/>
      <c r="C1516"/>
      <c r="D1516"/>
      <c r="E1516"/>
    </row>
    <row r="1517" spans="2:5" x14ac:dyDescent="0.35">
      <c r="B1517"/>
      <c r="C1517"/>
      <c r="D1517"/>
      <c r="E1517"/>
    </row>
    <row r="1518" spans="2:5" x14ac:dyDescent="0.35">
      <c r="B1518"/>
      <c r="C1518"/>
      <c r="D1518"/>
      <c r="E1518"/>
    </row>
    <row r="1519" spans="2:5" x14ac:dyDescent="0.35">
      <c r="B1519"/>
      <c r="C1519"/>
      <c r="D1519"/>
      <c r="E1519"/>
    </row>
    <row r="1520" spans="2:5" x14ac:dyDescent="0.35">
      <c r="B1520"/>
      <c r="C1520"/>
      <c r="D1520"/>
      <c r="E1520"/>
    </row>
    <row r="1521" spans="2:5" x14ac:dyDescent="0.35">
      <c r="B1521"/>
      <c r="C1521"/>
      <c r="D1521"/>
      <c r="E1521"/>
    </row>
    <row r="1522" spans="2:5" x14ac:dyDescent="0.35">
      <c r="B1522"/>
      <c r="C1522"/>
      <c r="D1522"/>
      <c r="E1522"/>
    </row>
    <row r="1523" spans="2:5" x14ac:dyDescent="0.35">
      <c r="B1523"/>
      <c r="C1523"/>
      <c r="D1523"/>
      <c r="E1523"/>
    </row>
    <row r="1524" spans="2:5" x14ac:dyDescent="0.35">
      <c r="B1524"/>
      <c r="C1524"/>
      <c r="D1524"/>
      <c r="E1524"/>
    </row>
    <row r="1525" spans="2:5" x14ac:dyDescent="0.35">
      <c r="B1525"/>
      <c r="C1525"/>
      <c r="D1525"/>
      <c r="E1525"/>
    </row>
    <row r="1526" spans="2:5" x14ac:dyDescent="0.35">
      <c r="B1526"/>
      <c r="C1526"/>
      <c r="D1526"/>
      <c r="E1526"/>
    </row>
    <row r="1527" spans="2:5" x14ac:dyDescent="0.35">
      <c r="B1527"/>
      <c r="C1527"/>
      <c r="D1527"/>
      <c r="E1527"/>
    </row>
    <row r="1528" spans="2:5" x14ac:dyDescent="0.35">
      <c r="B1528"/>
      <c r="C1528"/>
      <c r="D1528"/>
      <c r="E1528"/>
    </row>
    <row r="1529" spans="2:5" x14ac:dyDescent="0.35">
      <c r="B1529"/>
      <c r="C1529"/>
      <c r="D1529"/>
      <c r="E1529"/>
    </row>
    <row r="1530" spans="2:5" x14ac:dyDescent="0.35">
      <c r="B1530"/>
      <c r="C1530"/>
      <c r="D1530"/>
      <c r="E1530"/>
    </row>
    <row r="1531" spans="2:5" x14ac:dyDescent="0.35">
      <c r="B1531"/>
      <c r="C1531"/>
      <c r="D1531"/>
      <c r="E1531"/>
    </row>
    <row r="1532" spans="2:5" x14ac:dyDescent="0.35">
      <c r="B1532"/>
      <c r="C1532"/>
      <c r="D1532"/>
      <c r="E1532"/>
    </row>
    <row r="1533" spans="2:5" x14ac:dyDescent="0.35">
      <c r="B1533"/>
      <c r="C1533"/>
      <c r="D1533"/>
      <c r="E1533"/>
    </row>
    <row r="1534" spans="2:5" x14ac:dyDescent="0.35">
      <c r="B1534"/>
      <c r="C1534"/>
      <c r="D1534"/>
      <c r="E1534"/>
    </row>
    <row r="1535" spans="2:5" x14ac:dyDescent="0.35">
      <c r="B1535"/>
      <c r="C1535"/>
      <c r="D1535"/>
      <c r="E1535"/>
    </row>
    <row r="1536" spans="2:5" x14ac:dyDescent="0.35">
      <c r="B1536"/>
      <c r="C1536"/>
      <c r="D1536"/>
      <c r="E1536"/>
    </row>
    <row r="1537" spans="2:5" x14ac:dyDescent="0.35">
      <c r="B1537"/>
      <c r="C1537"/>
      <c r="D1537"/>
      <c r="E1537"/>
    </row>
    <row r="1538" spans="2:5" x14ac:dyDescent="0.35">
      <c r="B1538"/>
      <c r="C1538"/>
      <c r="D1538"/>
      <c r="E1538"/>
    </row>
    <row r="1539" spans="2:5" x14ac:dyDescent="0.35">
      <c r="B1539"/>
      <c r="C1539"/>
      <c r="D1539"/>
      <c r="E1539"/>
    </row>
    <row r="1540" spans="2:5" x14ac:dyDescent="0.35">
      <c r="B1540"/>
      <c r="C1540"/>
      <c r="D1540"/>
      <c r="E1540"/>
    </row>
    <row r="1541" spans="2:5" x14ac:dyDescent="0.35">
      <c r="B1541"/>
      <c r="C1541"/>
      <c r="D1541"/>
      <c r="E1541"/>
    </row>
    <row r="1542" spans="2:5" x14ac:dyDescent="0.35">
      <c r="B1542"/>
      <c r="C1542"/>
      <c r="D1542"/>
      <c r="E1542"/>
    </row>
    <row r="1543" spans="2:5" x14ac:dyDescent="0.35">
      <c r="B1543"/>
      <c r="C1543"/>
      <c r="D1543"/>
      <c r="E1543"/>
    </row>
    <row r="1544" spans="2:5" x14ac:dyDescent="0.35">
      <c r="B1544"/>
      <c r="C1544"/>
      <c r="D1544"/>
      <c r="E1544"/>
    </row>
    <row r="1545" spans="2:5" x14ac:dyDescent="0.35">
      <c r="B1545"/>
      <c r="C1545"/>
      <c r="D1545"/>
      <c r="E1545"/>
    </row>
    <row r="1546" spans="2:5" x14ac:dyDescent="0.35">
      <c r="B1546"/>
      <c r="C1546"/>
      <c r="D1546"/>
      <c r="E1546"/>
    </row>
    <row r="1547" spans="2:5" x14ac:dyDescent="0.35">
      <c r="B1547"/>
      <c r="C1547"/>
      <c r="D1547"/>
      <c r="E1547"/>
    </row>
    <row r="1548" spans="2:5" x14ac:dyDescent="0.35">
      <c r="B1548"/>
      <c r="C1548"/>
      <c r="D1548"/>
      <c r="E1548"/>
    </row>
    <row r="1549" spans="2:5" x14ac:dyDescent="0.35">
      <c r="B1549"/>
      <c r="C1549"/>
      <c r="D1549"/>
      <c r="E1549"/>
    </row>
    <row r="1550" spans="2:5" x14ac:dyDescent="0.35">
      <c r="B1550"/>
      <c r="C1550"/>
      <c r="D1550"/>
      <c r="E1550"/>
    </row>
    <row r="1551" spans="2:5" x14ac:dyDescent="0.35">
      <c r="B1551"/>
      <c r="C1551"/>
      <c r="D1551"/>
      <c r="E1551"/>
    </row>
    <row r="1552" spans="2:5" x14ac:dyDescent="0.35">
      <c r="B1552"/>
      <c r="C1552"/>
      <c r="D1552"/>
      <c r="E1552"/>
    </row>
    <row r="1553" spans="2:5" x14ac:dyDescent="0.35">
      <c r="B1553"/>
      <c r="C1553"/>
      <c r="D1553"/>
      <c r="E1553"/>
    </row>
    <row r="1554" spans="2:5" x14ac:dyDescent="0.35">
      <c r="B1554"/>
      <c r="C1554"/>
      <c r="D1554"/>
      <c r="E1554"/>
    </row>
    <row r="1555" spans="2:5" x14ac:dyDescent="0.35">
      <c r="B1555"/>
      <c r="C1555"/>
      <c r="D1555"/>
      <c r="E1555"/>
    </row>
    <row r="1556" spans="2:5" x14ac:dyDescent="0.35">
      <c r="B1556"/>
      <c r="C1556"/>
      <c r="D1556"/>
      <c r="E1556"/>
    </row>
    <row r="1557" spans="2:5" x14ac:dyDescent="0.35">
      <c r="B1557"/>
      <c r="C1557"/>
      <c r="D1557"/>
      <c r="E1557"/>
    </row>
    <row r="1558" spans="2:5" x14ac:dyDescent="0.35">
      <c r="B1558"/>
      <c r="C1558"/>
      <c r="D1558"/>
      <c r="E1558"/>
    </row>
    <row r="1559" spans="2:5" x14ac:dyDescent="0.35">
      <c r="B1559"/>
      <c r="C1559"/>
      <c r="D1559"/>
      <c r="E1559"/>
    </row>
    <row r="1560" spans="2:5" x14ac:dyDescent="0.35">
      <c r="B1560"/>
      <c r="C1560"/>
      <c r="D1560"/>
      <c r="E1560"/>
    </row>
    <row r="1561" spans="2:5" x14ac:dyDescent="0.35">
      <c r="B1561"/>
      <c r="C1561"/>
      <c r="D1561"/>
      <c r="E1561"/>
    </row>
    <row r="1562" spans="2:5" x14ac:dyDescent="0.35">
      <c r="B1562"/>
      <c r="C1562"/>
      <c r="D1562"/>
      <c r="E1562"/>
    </row>
    <row r="1563" spans="2:5" x14ac:dyDescent="0.35">
      <c r="B1563"/>
      <c r="C1563"/>
      <c r="D1563"/>
      <c r="E1563"/>
    </row>
    <row r="1564" spans="2:5" x14ac:dyDescent="0.35">
      <c r="B1564"/>
      <c r="C1564"/>
      <c r="D1564"/>
      <c r="E1564"/>
    </row>
    <row r="1565" spans="2:5" x14ac:dyDescent="0.35">
      <c r="B1565"/>
      <c r="C1565"/>
      <c r="D1565"/>
      <c r="E1565"/>
    </row>
    <row r="1566" spans="2:5" x14ac:dyDescent="0.35">
      <c r="B1566"/>
      <c r="C1566"/>
      <c r="D1566"/>
      <c r="E1566"/>
    </row>
    <row r="1567" spans="2:5" x14ac:dyDescent="0.35">
      <c r="B1567"/>
      <c r="C1567"/>
      <c r="D1567"/>
      <c r="E1567"/>
    </row>
    <row r="1568" spans="2:5" x14ac:dyDescent="0.35">
      <c r="B1568"/>
      <c r="C1568"/>
      <c r="D1568"/>
      <c r="E1568"/>
    </row>
    <row r="1569" spans="2:5" x14ac:dyDescent="0.35">
      <c r="B1569"/>
      <c r="C1569"/>
      <c r="D1569"/>
      <c r="E1569"/>
    </row>
    <row r="1570" spans="2:5" x14ac:dyDescent="0.35">
      <c r="B1570"/>
      <c r="C1570"/>
      <c r="D1570"/>
      <c r="E1570"/>
    </row>
    <row r="1571" spans="2:5" x14ac:dyDescent="0.35">
      <c r="B1571"/>
      <c r="C1571"/>
      <c r="D1571"/>
      <c r="E1571"/>
    </row>
    <row r="1572" spans="2:5" x14ac:dyDescent="0.35">
      <c r="B1572"/>
      <c r="C1572"/>
      <c r="D1572"/>
      <c r="E1572"/>
    </row>
    <row r="1573" spans="2:5" x14ac:dyDescent="0.35">
      <c r="B1573"/>
      <c r="C1573"/>
      <c r="D1573"/>
      <c r="E1573"/>
    </row>
    <row r="1574" spans="2:5" x14ac:dyDescent="0.35">
      <c r="B1574"/>
      <c r="C1574"/>
      <c r="D1574"/>
      <c r="E1574"/>
    </row>
    <row r="1575" spans="2:5" x14ac:dyDescent="0.35">
      <c r="B1575"/>
      <c r="C1575"/>
      <c r="D1575"/>
      <c r="E1575"/>
    </row>
    <row r="1576" spans="2:5" x14ac:dyDescent="0.35">
      <c r="B1576"/>
      <c r="C1576"/>
      <c r="D1576"/>
      <c r="E1576"/>
    </row>
    <row r="1577" spans="2:5" x14ac:dyDescent="0.35">
      <c r="B1577"/>
      <c r="C1577"/>
      <c r="D1577"/>
      <c r="E1577"/>
    </row>
    <row r="1578" spans="2:5" x14ac:dyDescent="0.35">
      <c r="B1578"/>
      <c r="C1578"/>
      <c r="D1578"/>
      <c r="E1578"/>
    </row>
    <row r="1579" spans="2:5" x14ac:dyDescent="0.35">
      <c r="B1579"/>
      <c r="C1579"/>
      <c r="D1579"/>
      <c r="E1579"/>
    </row>
    <row r="1580" spans="2:5" x14ac:dyDescent="0.35">
      <c r="B1580"/>
      <c r="C1580"/>
      <c r="D1580"/>
      <c r="E1580"/>
    </row>
    <row r="1581" spans="2:5" x14ac:dyDescent="0.35">
      <c r="B1581"/>
      <c r="C1581"/>
      <c r="D1581"/>
      <c r="E1581"/>
    </row>
    <row r="1582" spans="2:5" x14ac:dyDescent="0.35">
      <c r="B1582"/>
      <c r="C1582"/>
      <c r="D1582"/>
      <c r="E1582"/>
    </row>
    <row r="1583" spans="2:5" x14ac:dyDescent="0.35">
      <c r="B1583"/>
      <c r="C1583"/>
      <c r="D1583"/>
      <c r="E1583"/>
    </row>
    <row r="1584" spans="2:5" x14ac:dyDescent="0.35">
      <c r="B1584"/>
      <c r="C1584"/>
      <c r="D1584"/>
      <c r="E1584"/>
    </row>
    <row r="1585" spans="2:5" x14ac:dyDescent="0.35">
      <c r="B1585"/>
      <c r="C1585"/>
      <c r="D1585"/>
      <c r="E1585"/>
    </row>
    <row r="1586" spans="2:5" x14ac:dyDescent="0.35">
      <c r="B1586"/>
      <c r="C1586"/>
      <c r="D1586"/>
      <c r="E1586"/>
    </row>
    <row r="1587" spans="2:5" x14ac:dyDescent="0.35">
      <c r="B1587"/>
      <c r="C1587"/>
      <c r="D1587"/>
      <c r="E1587"/>
    </row>
    <row r="1588" spans="2:5" x14ac:dyDescent="0.35">
      <c r="B1588"/>
      <c r="C1588"/>
      <c r="D1588"/>
      <c r="E1588"/>
    </row>
    <row r="1589" spans="2:5" x14ac:dyDescent="0.35">
      <c r="B1589"/>
      <c r="C1589"/>
      <c r="D1589"/>
      <c r="E1589"/>
    </row>
    <row r="1590" spans="2:5" x14ac:dyDescent="0.35">
      <c r="B1590"/>
      <c r="C1590"/>
      <c r="D1590"/>
      <c r="E1590"/>
    </row>
    <row r="1591" spans="2:5" x14ac:dyDescent="0.35">
      <c r="B1591"/>
      <c r="C1591"/>
      <c r="D1591"/>
      <c r="E1591"/>
    </row>
    <row r="1592" spans="2:5" x14ac:dyDescent="0.35">
      <c r="B1592"/>
      <c r="C1592"/>
      <c r="D1592"/>
      <c r="E1592"/>
    </row>
    <row r="1593" spans="2:5" x14ac:dyDescent="0.35">
      <c r="B1593"/>
      <c r="C1593"/>
      <c r="D1593"/>
      <c r="E1593"/>
    </row>
    <row r="1594" spans="2:5" x14ac:dyDescent="0.35">
      <c r="B1594"/>
      <c r="C1594"/>
      <c r="D1594"/>
      <c r="E1594"/>
    </row>
    <row r="1595" spans="2:5" x14ac:dyDescent="0.35">
      <c r="B1595"/>
      <c r="C1595"/>
      <c r="D1595"/>
      <c r="E1595"/>
    </row>
    <row r="1596" spans="2:5" x14ac:dyDescent="0.35">
      <c r="B1596"/>
      <c r="C1596"/>
      <c r="D1596"/>
      <c r="E1596"/>
    </row>
    <row r="1597" spans="2:5" x14ac:dyDescent="0.35">
      <c r="B1597"/>
      <c r="C1597"/>
      <c r="D1597"/>
      <c r="E1597"/>
    </row>
    <row r="1598" spans="2:5" x14ac:dyDescent="0.35">
      <c r="B1598"/>
      <c r="C1598"/>
      <c r="D1598"/>
      <c r="E1598"/>
    </row>
    <row r="1599" spans="2:5" x14ac:dyDescent="0.35">
      <c r="B1599"/>
      <c r="C1599"/>
      <c r="D1599"/>
      <c r="E1599"/>
    </row>
    <row r="1600" spans="2:5" x14ac:dyDescent="0.35">
      <c r="B1600"/>
      <c r="C1600"/>
      <c r="D1600"/>
      <c r="E1600"/>
    </row>
    <row r="1601" spans="2:5" x14ac:dyDescent="0.35">
      <c r="B1601"/>
      <c r="C1601"/>
      <c r="D1601"/>
      <c r="E1601"/>
    </row>
    <row r="1602" spans="2:5" x14ac:dyDescent="0.35">
      <c r="B1602"/>
      <c r="C1602"/>
      <c r="D1602"/>
      <c r="E1602"/>
    </row>
    <row r="1603" spans="2:5" x14ac:dyDescent="0.35">
      <c r="B1603"/>
      <c r="C1603"/>
      <c r="D1603"/>
      <c r="E1603"/>
    </row>
    <row r="1604" spans="2:5" x14ac:dyDescent="0.35">
      <c r="B1604"/>
      <c r="C1604"/>
      <c r="D1604"/>
      <c r="E1604"/>
    </row>
    <row r="1605" spans="2:5" x14ac:dyDescent="0.35">
      <c r="B1605"/>
      <c r="C1605"/>
      <c r="D1605"/>
      <c r="E1605"/>
    </row>
    <row r="1606" spans="2:5" x14ac:dyDescent="0.35">
      <c r="B1606"/>
      <c r="C1606"/>
      <c r="D1606"/>
      <c r="E1606"/>
    </row>
    <row r="1607" spans="2:5" x14ac:dyDescent="0.35">
      <c r="B1607"/>
      <c r="C1607"/>
      <c r="D1607"/>
      <c r="E1607"/>
    </row>
    <row r="1608" spans="2:5" x14ac:dyDescent="0.35">
      <c r="B1608"/>
      <c r="C1608"/>
      <c r="D1608"/>
      <c r="E1608"/>
    </row>
    <row r="1609" spans="2:5" x14ac:dyDescent="0.35">
      <c r="B1609"/>
      <c r="C1609"/>
      <c r="D1609"/>
      <c r="E1609"/>
    </row>
    <row r="1610" spans="2:5" x14ac:dyDescent="0.35">
      <c r="B1610"/>
      <c r="C1610"/>
      <c r="D1610"/>
      <c r="E1610"/>
    </row>
    <row r="1611" spans="2:5" x14ac:dyDescent="0.35">
      <c r="B1611"/>
      <c r="C1611"/>
      <c r="D1611"/>
      <c r="E1611"/>
    </row>
    <row r="1612" spans="2:5" x14ac:dyDescent="0.35">
      <c r="B1612"/>
      <c r="C1612"/>
      <c r="D1612"/>
      <c r="E1612"/>
    </row>
    <row r="1613" spans="2:5" x14ac:dyDescent="0.35">
      <c r="B1613"/>
      <c r="C1613"/>
      <c r="D1613"/>
      <c r="E1613"/>
    </row>
    <row r="1614" spans="2:5" x14ac:dyDescent="0.35">
      <c r="B1614"/>
      <c r="C1614"/>
      <c r="D1614"/>
      <c r="E1614"/>
    </row>
    <row r="1615" spans="2:5" x14ac:dyDescent="0.35">
      <c r="B1615"/>
      <c r="C1615"/>
      <c r="D1615"/>
      <c r="E1615"/>
    </row>
    <row r="1616" spans="2:5" x14ac:dyDescent="0.35">
      <c r="B1616"/>
      <c r="C1616"/>
      <c r="D1616"/>
      <c r="E1616"/>
    </row>
    <row r="1617" spans="2:5" x14ac:dyDescent="0.35">
      <c r="B1617"/>
      <c r="C1617"/>
      <c r="D1617"/>
      <c r="E1617"/>
    </row>
    <row r="1618" spans="2:5" x14ac:dyDescent="0.35">
      <c r="B1618"/>
      <c r="C1618"/>
      <c r="D1618"/>
      <c r="E1618"/>
    </row>
    <row r="1619" spans="2:5" x14ac:dyDescent="0.35">
      <c r="B1619"/>
      <c r="C1619"/>
      <c r="D1619"/>
      <c r="E1619"/>
    </row>
    <row r="1620" spans="2:5" x14ac:dyDescent="0.35">
      <c r="B1620"/>
      <c r="C1620"/>
      <c r="D1620"/>
      <c r="E1620"/>
    </row>
    <row r="1621" spans="2:5" x14ac:dyDescent="0.35">
      <c r="B1621"/>
      <c r="C1621"/>
      <c r="D1621"/>
      <c r="E1621"/>
    </row>
    <row r="1622" spans="2:5" x14ac:dyDescent="0.35">
      <c r="B1622"/>
      <c r="C1622"/>
      <c r="D1622"/>
      <c r="E1622"/>
    </row>
    <row r="1623" spans="2:5" x14ac:dyDescent="0.35">
      <c r="B1623"/>
      <c r="C1623"/>
      <c r="D1623"/>
      <c r="E1623"/>
    </row>
    <row r="1624" spans="2:5" x14ac:dyDescent="0.35">
      <c r="B1624"/>
      <c r="C1624"/>
      <c r="D1624"/>
      <c r="E1624"/>
    </row>
    <row r="1625" spans="2:5" x14ac:dyDescent="0.35">
      <c r="B1625"/>
      <c r="C1625"/>
      <c r="D1625"/>
      <c r="E1625"/>
    </row>
    <row r="1626" spans="2:5" x14ac:dyDescent="0.35">
      <c r="B1626"/>
      <c r="C1626"/>
      <c r="D1626"/>
      <c r="E1626"/>
    </row>
    <row r="1627" spans="2:5" x14ac:dyDescent="0.35">
      <c r="B1627"/>
      <c r="C1627"/>
      <c r="D1627"/>
      <c r="E1627"/>
    </row>
    <row r="1628" spans="2:5" x14ac:dyDescent="0.35">
      <c r="B1628"/>
      <c r="C1628"/>
      <c r="D1628"/>
      <c r="E1628"/>
    </row>
    <row r="1629" spans="2:5" x14ac:dyDescent="0.35">
      <c r="B1629"/>
      <c r="C1629"/>
      <c r="D1629"/>
      <c r="E1629"/>
    </row>
    <row r="1630" spans="2:5" x14ac:dyDescent="0.35">
      <c r="B1630"/>
      <c r="C1630"/>
      <c r="D1630"/>
      <c r="E1630"/>
    </row>
    <row r="1631" spans="2:5" x14ac:dyDescent="0.35">
      <c r="B1631"/>
      <c r="C1631"/>
      <c r="D1631"/>
      <c r="E1631"/>
    </row>
    <row r="1632" spans="2:5" x14ac:dyDescent="0.35">
      <c r="B1632"/>
      <c r="C1632"/>
      <c r="D1632"/>
      <c r="E1632"/>
    </row>
    <row r="1633" spans="2:5" x14ac:dyDescent="0.35">
      <c r="B1633"/>
      <c r="C1633"/>
      <c r="D1633"/>
      <c r="E1633"/>
    </row>
    <row r="1634" spans="2:5" x14ac:dyDescent="0.35">
      <c r="B1634"/>
      <c r="C1634"/>
      <c r="D1634"/>
      <c r="E1634"/>
    </row>
    <row r="1635" spans="2:5" x14ac:dyDescent="0.35">
      <c r="B1635"/>
      <c r="C1635"/>
      <c r="D1635"/>
      <c r="E1635"/>
    </row>
    <row r="1636" spans="2:5" x14ac:dyDescent="0.35">
      <c r="B1636"/>
      <c r="C1636"/>
      <c r="D1636"/>
      <c r="E1636"/>
    </row>
    <row r="1637" spans="2:5" x14ac:dyDescent="0.35">
      <c r="B1637"/>
      <c r="C1637"/>
      <c r="D1637"/>
      <c r="E1637"/>
    </row>
    <row r="1638" spans="2:5" x14ac:dyDescent="0.35">
      <c r="B1638"/>
      <c r="C1638"/>
      <c r="D1638"/>
      <c r="E1638"/>
    </row>
    <row r="1639" spans="2:5" x14ac:dyDescent="0.35">
      <c r="B1639"/>
      <c r="C1639"/>
      <c r="D1639"/>
      <c r="E1639"/>
    </row>
    <row r="1640" spans="2:5" x14ac:dyDescent="0.35">
      <c r="B1640"/>
      <c r="C1640"/>
      <c r="D1640"/>
      <c r="E1640"/>
    </row>
    <row r="1641" spans="2:5" x14ac:dyDescent="0.35">
      <c r="B1641"/>
      <c r="C1641"/>
      <c r="D1641"/>
      <c r="E1641"/>
    </row>
    <row r="1642" spans="2:5" x14ac:dyDescent="0.35">
      <c r="B1642"/>
      <c r="C1642"/>
      <c r="D1642"/>
      <c r="E1642"/>
    </row>
    <row r="1643" spans="2:5" x14ac:dyDescent="0.35">
      <c r="B1643"/>
      <c r="C1643"/>
      <c r="D1643"/>
      <c r="E1643"/>
    </row>
    <row r="1644" spans="2:5" x14ac:dyDescent="0.35">
      <c r="B1644"/>
      <c r="C1644"/>
      <c r="D1644"/>
      <c r="E1644"/>
    </row>
    <row r="1645" spans="2:5" x14ac:dyDescent="0.35">
      <c r="B1645"/>
      <c r="C1645"/>
      <c r="D1645"/>
      <c r="E1645"/>
    </row>
    <row r="1646" spans="2:5" x14ac:dyDescent="0.35">
      <c r="B1646"/>
      <c r="C1646"/>
      <c r="D1646"/>
      <c r="E1646"/>
    </row>
    <row r="1647" spans="2:5" x14ac:dyDescent="0.35">
      <c r="B1647"/>
      <c r="C1647"/>
      <c r="D1647"/>
      <c r="E1647"/>
    </row>
    <row r="1648" spans="2:5" x14ac:dyDescent="0.35">
      <c r="B1648"/>
      <c r="C1648"/>
      <c r="D1648"/>
      <c r="E1648"/>
    </row>
    <row r="1649" spans="2:5" x14ac:dyDescent="0.35">
      <c r="B1649"/>
      <c r="C1649"/>
      <c r="D1649"/>
      <c r="E1649"/>
    </row>
    <row r="1650" spans="2:5" x14ac:dyDescent="0.35">
      <c r="B1650"/>
      <c r="C1650"/>
      <c r="D1650"/>
      <c r="E1650"/>
    </row>
    <row r="1651" spans="2:5" x14ac:dyDescent="0.35">
      <c r="B1651"/>
      <c r="C1651"/>
      <c r="D1651"/>
      <c r="E1651"/>
    </row>
    <row r="1652" spans="2:5" x14ac:dyDescent="0.35">
      <c r="B1652"/>
      <c r="C1652"/>
      <c r="D1652"/>
      <c r="E1652"/>
    </row>
    <row r="1653" spans="2:5" x14ac:dyDescent="0.35">
      <c r="B1653"/>
      <c r="C1653"/>
      <c r="D1653"/>
      <c r="E1653"/>
    </row>
    <row r="1654" spans="2:5" x14ac:dyDescent="0.35">
      <c r="B1654"/>
      <c r="C1654"/>
      <c r="D1654"/>
      <c r="E1654"/>
    </row>
    <row r="1655" spans="2:5" x14ac:dyDescent="0.35">
      <c r="B1655"/>
      <c r="C1655"/>
      <c r="D1655"/>
      <c r="E1655"/>
    </row>
    <row r="1656" spans="2:5" x14ac:dyDescent="0.35">
      <c r="B1656"/>
      <c r="C1656"/>
      <c r="D1656"/>
      <c r="E1656"/>
    </row>
    <row r="1657" spans="2:5" x14ac:dyDescent="0.35">
      <c r="B1657"/>
      <c r="C1657"/>
      <c r="D1657"/>
      <c r="E1657"/>
    </row>
    <row r="1658" spans="2:5" x14ac:dyDescent="0.35">
      <c r="B1658"/>
      <c r="C1658"/>
      <c r="D1658"/>
      <c r="E1658"/>
    </row>
    <row r="1659" spans="2:5" x14ac:dyDescent="0.35">
      <c r="B1659"/>
      <c r="C1659"/>
      <c r="D1659"/>
      <c r="E1659"/>
    </row>
    <row r="1660" spans="2:5" x14ac:dyDescent="0.35">
      <c r="B1660"/>
      <c r="C1660"/>
      <c r="D1660"/>
      <c r="E1660"/>
    </row>
    <row r="1661" spans="2:5" x14ac:dyDescent="0.35">
      <c r="B1661"/>
      <c r="C1661"/>
      <c r="D1661"/>
      <c r="E1661"/>
    </row>
    <row r="1662" spans="2:5" x14ac:dyDescent="0.35">
      <c r="B1662"/>
      <c r="C1662"/>
      <c r="D1662"/>
      <c r="E1662"/>
    </row>
    <row r="1663" spans="2:5" x14ac:dyDescent="0.35">
      <c r="B1663"/>
      <c r="C1663"/>
      <c r="D1663"/>
      <c r="E1663"/>
    </row>
    <row r="1664" spans="2:5" x14ac:dyDescent="0.35">
      <c r="B1664"/>
      <c r="C1664"/>
      <c r="D1664"/>
      <c r="E1664"/>
    </row>
    <row r="1665" spans="2:5" x14ac:dyDescent="0.35">
      <c r="B1665"/>
      <c r="C1665"/>
      <c r="D1665"/>
      <c r="E1665"/>
    </row>
    <row r="1666" spans="2:5" x14ac:dyDescent="0.35">
      <c r="B1666"/>
      <c r="C1666"/>
      <c r="D1666"/>
      <c r="E1666"/>
    </row>
    <row r="1667" spans="2:5" x14ac:dyDescent="0.35">
      <c r="B1667"/>
      <c r="C1667"/>
      <c r="D1667"/>
      <c r="E1667"/>
    </row>
    <row r="1668" spans="2:5" x14ac:dyDescent="0.35">
      <c r="B1668"/>
      <c r="C1668"/>
      <c r="D1668"/>
      <c r="E1668"/>
    </row>
    <row r="1669" spans="2:5" x14ac:dyDescent="0.35">
      <c r="B1669"/>
      <c r="C1669"/>
      <c r="D1669"/>
      <c r="E1669"/>
    </row>
    <row r="1670" spans="2:5" x14ac:dyDescent="0.35">
      <c r="B1670"/>
      <c r="C1670"/>
      <c r="D1670"/>
      <c r="E1670"/>
    </row>
    <row r="1671" spans="2:5" x14ac:dyDescent="0.35">
      <c r="B1671"/>
      <c r="C1671"/>
      <c r="D1671"/>
      <c r="E1671"/>
    </row>
    <row r="1672" spans="2:5" x14ac:dyDescent="0.35">
      <c r="B1672"/>
      <c r="C1672"/>
      <c r="D1672"/>
      <c r="E1672"/>
    </row>
    <row r="1673" spans="2:5" x14ac:dyDescent="0.35">
      <c r="B1673"/>
      <c r="C1673"/>
      <c r="D1673"/>
      <c r="E1673"/>
    </row>
    <row r="1674" spans="2:5" x14ac:dyDescent="0.35">
      <c r="B1674"/>
      <c r="C1674"/>
      <c r="D1674"/>
      <c r="E1674"/>
    </row>
    <row r="1675" spans="2:5" x14ac:dyDescent="0.35">
      <c r="B1675"/>
      <c r="C1675"/>
      <c r="D1675"/>
      <c r="E1675"/>
    </row>
    <row r="1676" spans="2:5" x14ac:dyDescent="0.35">
      <c r="B1676"/>
      <c r="C1676"/>
      <c r="D1676"/>
      <c r="E1676"/>
    </row>
    <row r="1677" spans="2:5" x14ac:dyDescent="0.35">
      <c r="B1677"/>
      <c r="C1677"/>
      <c r="D1677"/>
      <c r="E1677"/>
    </row>
    <row r="1678" spans="2:5" x14ac:dyDescent="0.35">
      <c r="B1678"/>
      <c r="C1678"/>
      <c r="D1678"/>
      <c r="E1678"/>
    </row>
    <row r="1679" spans="2:5" x14ac:dyDescent="0.35">
      <c r="B1679"/>
      <c r="C1679"/>
      <c r="D1679"/>
      <c r="E1679"/>
    </row>
    <row r="1680" spans="2:5" x14ac:dyDescent="0.35">
      <c r="B1680"/>
      <c r="C1680"/>
      <c r="D1680"/>
      <c r="E1680"/>
    </row>
    <row r="1681" spans="2:5" x14ac:dyDescent="0.35">
      <c r="B1681"/>
      <c r="C1681"/>
      <c r="D1681"/>
      <c r="E1681"/>
    </row>
    <row r="1682" spans="2:5" x14ac:dyDescent="0.35">
      <c r="B1682"/>
      <c r="C1682"/>
      <c r="D1682"/>
      <c r="E1682"/>
    </row>
    <row r="1683" spans="2:5" x14ac:dyDescent="0.35">
      <c r="B1683"/>
      <c r="C1683"/>
      <c r="D1683"/>
      <c r="E1683"/>
    </row>
    <row r="1684" spans="2:5" x14ac:dyDescent="0.35">
      <c r="B1684"/>
      <c r="C1684"/>
      <c r="D1684"/>
      <c r="E1684"/>
    </row>
    <row r="1685" spans="2:5" x14ac:dyDescent="0.35">
      <c r="B1685"/>
      <c r="C1685"/>
      <c r="D1685"/>
      <c r="E1685"/>
    </row>
    <row r="1686" spans="2:5" x14ac:dyDescent="0.35">
      <c r="B1686"/>
      <c r="C1686"/>
      <c r="D1686"/>
      <c r="E1686"/>
    </row>
    <row r="1687" spans="2:5" x14ac:dyDescent="0.35">
      <c r="B1687"/>
      <c r="C1687"/>
      <c r="D1687"/>
      <c r="E1687"/>
    </row>
    <row r="1688" spans="2:5" x14ac:dyDescent="0.35">
      <c r="B1688"/>
      <c r="C1688"/>
      <c r="D1688"/>
      <c r="E1688"/>
    </row>
    <row r="1689" spans="2:5" x14ac:dyDescent="0.35">
      <c r="B1689"/>
      <c r="C1689"/>
      <c r="D1689"/>
      <c r="E1689"/>
    </row>
    <row r="1690" spans="2:5" x14ac:dyDescent="0.35">
      <c r="B1690"/>
      <c r="C1690"/>
      <c r="D1690"/>
      <c r="E1690"/>
    </row>
    <row r="1691" spans="2:5" x14ac:dyDescent="0.35">
      <c r="B1691"/>
      <c r="C1691"/>
      <c r="D1691"/>
      <c r="E1691"/>
    </row>
    <row r="1692" spans="2:5" x14ac:dyDescent="0.35">
      <c r="B1692"/>
      <c r="C1692"/>
      <c r="D1692"/>
      <c r="E1692"/>
    </row>
    <row r="1693" spans="2:5" x14ac:dyDescent="0.35">
      <c r="B1693"/>
      <c r="C1693"/>
      <c r="D1693"/>
      <c r="E1693"/>
    </row>
    <row r="1694" spans="2:5" x14ac:dyDescent="0.35">
      <c r="B1694"/>
      <c r="C1694"/>
      <c r="D1694"/>
      <c r="E1694"/>
    </row>
    <row r="1695" spans="2:5" x14ac:dyDescent="0.35">
      <c r="B1695"/>
      <c r="C1695"/>
      <c r="D1695"/>
      <c r="E1695"/>
    </row>
    <row r="1696" spans="2:5" x14ac:dyDescent="0.35">
      <c r="B1696"/>
      <c r="C1696"/>
      <c r="D1696"/>
      <c r="E1696"/>
    </row>
    <row r="1697" spans="2:5" x14ac:dyDescent="0.35">
      <c r="B1697"/>
      <c r="C1697"/>
      <c r="D1697"/>
      <c r="E1697"/>
    </row>
    <row r="1698" spans="2:5" x14ac:dyDescent="0.35">
      <c r="B1698"/>
      <c r="C1698"/>
      <c r="D1698"/>
      <c r="E1698"/>
    </row>
    <row r="1699" spans="2:5" x14ac:dyDescent="0.35">
      <c r="B1699"/>
      <c r="C1699"/>
      <c r="D1699"/>
      <c r="E1699"/>
    </row>
    <row r="1700" spans="2:5" x14ac:dyDescent="0.35">
      <c r="B1700"/>
      <c r="C1700"/>
      <c r="D1700"/>
      <c r="E1700"/>
    </row>
    <row r="1701" spans="2:5" x14ac:dyDescent="0.35">
      <c r="B1701"/>
      <c r="C1701"/>
      <c r="D1701"/>
      <c r="E1701"/>
    </row>
    <row r="1702" spans="2:5" x14ac:dyDescent="0.35">
      <c r="B1702"/>
      <c r="C1702"/>
      <c r="D1702"/>
      <c r="E1702"/>
    </row>
    <row r="1703" spans="2:5" x14ac:dyDescent="0.35">
      <c r="B1703"/>
      <c r="C1703"/>
      <c r="D1703"/>
      <c r="E1703"/>
    </row>
    <row r="1704" spans="2:5" x14ac:dyDescent="0.35">
      <c r="B1704"/>
      <c r="C1704"/>
      <c r="D1704"/>
      <c r="E1704"/>
    </row>
    <row r="1705" spans="2:5" x14ac:dyDescent="0.35">
      <c r="B1705"/>
      <c r="C1705"/>
      <c r="D1705"/>
      <c r="E1705"/>
    </row>
    <row r="1706" spans="2:5" x14ac:dyDescent="0.35">
      <c r="B1706"/>
      <c r="C1706"/>
      <c r="D1706"/>
      <c r="E1706"/>
    </row>
    <row r="1707" spans="2:5" x14ac:dyDescent="0.35">
      <c r="B1707"/>
      <c r="C1707"/>
      <c r="D1707"/>
      <c r="E1707"/>
    </row>
    <row r="1708" spans="2:5" x14ac:dyDescent="0.35">
      <c r="B1708"/>
      <c r="C1708"/>
      <c r="D1708"/>
      <c r="E1708"/>
    </row>
    <row r="1709" spans="2:5" x14ac:dyDescent="0.35">
      <c r="B1709"/>
      <c r="C1709"/>
      <c r="D1709"/>
      <c r="E1709"/>
    </row>
    <row r="1710" spans="2:5" x14ac:dyDescent="0.35">
      <c r="B1710"/>
      <c r="C1710"/>
      <c r="D1710"/>
      <c r="E1710"/>
    </row>
    <row r="1711" spans="2:5" x14ac:dyDescent="0.35">
      <c r="B1711"/>
      <c r="C1711"/>
      <c r="D1711"/>
      <c r="E1711"/>
    </row>
    <row r="1712" spans="2:5" x14ac:dyDescent="0.35">
      <c r="B1712"/>
      <c r="C1712"/>
      <c r="D1712"/>
      <c r="E1712"/>
    </row>
    <row r="1713" spans="2:5" x14ac:dyDescent="0.35">
      <c r="B1713"/>
      <c r="C1713"/>
      <c r="D1713"/>
      <c r="E1713"/>
    </row>
    <row r="1714" spans="2:5" x14ac:dyDescent="0.35">
      <c r="B1714"/>
      <c r="C1714"/>
      <c r="D1714"/>
      <c r="E1714"/>
    </row>
    <row r="1715" spans="2:5" x14ac:dyDescent="0.35">
      <c r="B1715"/>
      <c r="C1715"/>
      <c r="D1715"/>
      <c r="E1715"/>
    </row>
    <row r="1716" spans="2:5" x14ac:dyDescent="0.35">
      <c r="B1716"/>
      <c r="C1716"/>
      <c r="D1716"/>
      <c r="E1716"/>
    </row>
    <row r="1717" spans="2:5" x14ac:dyDescent="0.35">
      <c r="B1717"/>
      <c r="C1717"/>
      <c r="D1717"/>
      <c r="E1717"/>
    </row>
    <row r="1718" spans="2:5" x14ac:dyDescent="0.35">
      <c r="B1718"/>
      <c r="C1718"/>
      <c r="D1718"/>
      <c r="E1718"/>
    </row>
    <row r="1719" spans="2:5" x14ac:dyDescent="0.35">
      <c r="B1719"/>
      <c r="C1719"/>
      <c r="D1719"/>
      <c r="E1719"/>
    </row>
    <row r="1720" spans="2:5" x14ac:dyDescent="0.35">
      <c r="B1720"/>
      <c r="C1720"/>
      <c r="D1720"/>
      <c r="E1720"/>
    </row>
    <row r="1721" spans="2:5" x14ac:dyDescent="0.35">
      <c r="B1721"/>
      <c r="C1721"/>
      <c r="D1721"/>
      <c r="E1721"/>
    </row>
    <row r="1722" spans="2:5" x14ac:dyDescent="0.35">
      <c r="B1722"/>
      <c r="C1722"/>
      <c r="D1722"/>
      <c r="E1722"/>
    </row>
    <row r="1723" spans="2:5" x14ac:dyDescent="0.35">
      <c r="B1723"/>
      <c r="C1723"/>
      <c r="D1723"/>
      <c r="E1723"/>
    </row>
    <row r="1724" spans="2:5" x14ac:dyDescent="0.35">
      <c r="B1724"/>
      <c r="C1724"/>
      <c r="D1724"/>
      <c r="E1724"/>
    </row>
    <row r="1725" spans="2:5" x14ac:dyDescent="0.35">
      <c r="B1725"/>
      <c r="C1725"/>
      <c r="D1725"/>
      <c r="E1725"/>
    </row>
    <row r="1726" spans="2:5" x14ac:dyDescent="0.35">
      <c r="B1726"/>
      <c r="C1726"/>
      <c r="D1726"/>
      <c r="E1726"/>
    </row>
    <row r="1727" spans="2:5" x14ac:dyDescent="0.35">
      <c r="B1727"/>
      <c r="C1727"/>
      <c r="D1727"/>
      <c r="E1727"/>
    </row>
    <row r="1728" spans="2:5" x14ac:dyDescent="0.35">
      <c r="B1728"/>
      <c r="C1728"/>
      <c r="D1728"/>
      <c r="E1728"/>
    </row>
    <row r="1729" spans="2:5" x14ac:dyDescent="0.35">
      <c r="B1729"/>
      <c r="C1729"/>
      <c r="D1729"/>
      <c r="E1729"/>
    </row>
    <row r="1730" spans="2:5" x14ac:dyDescent="0.35">
      <c r="B1730"/>
      <c r="C1730"/>
      <c r="D1730"/>
      <c r="E1730"/>
    </row>
    <row r="1731" spans="2:5" x14ac:dyDescent="0.35">
      <c r="B1731"/>
      <c r="C1731"/>
      <c r="D1731"/>
      <c r="E1731"/>
    </row>
    <row r="1732" spans="2:5" x14ac:dyDescent="0.35">
      <c r="B1732"/>
      <c r="C1732"/>
      <c r="D1732"/>
      <c r="E1732"/>
    </row>
    <row r="1733" spans="2:5" x14ac:dyDescent="0.35">
      <c r="B1733"/>
      <c r="C1733"/>
      <c r="D1733"/>
      <c r="E1733"/>
    </row>
    <row r="1734" spans="2:5" x14ac:dyDescent="0.35">
      <c r="B1734"/>
      <c r="C1734"/>
      <c r="D1734"/>
      <c r="E1734"/>
    </row>
    <row r="1735" spans="2:5" x14ac:dyDescent="0.35">
      <c r="B1735"/>
      <c r="C1735"/>
      <c r="D1735"/>
      <c r="E1735"/>
    </row>
    <row r="1736" spans="2:5" x14ac:dyDescent="0.35">
      <c r="B1736"/>
      <c r="C1736"/>
      <c r="D1736"/>
      <c r="E1736"/>
    </row>
    <row r="1737" spans="2:5" x14ac:dyDescent="0.35">
      <c r="B1737"/>
      <c r="C1737"/>
      <c r="D1737"/>
      <c r="E1737"/>
    </row>
    <row r="1738" spans="2:5" x14ac:dyDescent="0.35">
      <c r="B1738"/>
      <c r="C1738"/>
      <c r="D1738"/>
      <c r="E1738"/>
    </row>
    <row r="1739" spans="2:5" x14ac:dyDescent="0.35">
      <c r="B1739"/>
      <c r="C1739"/>
      <c r="D1739"/>
      <c r="E1739"/>
    </row>
    <row r="1740" spans="2:5" x14ac:dyDescent="0.35">
      <c r="B1740"/>
      <c r="C1740"/>
      <c r="D1740"/>
      <c r="E1740"/>
    </row>
    <row r="1741" spans="2:5" x14ac:dyDescent="0.35">
      <c r="B1741"/>
      <c r="C1741"/>
      <c r="D1741"/>
      <c r="E1741"/>
    </row>
    <row r="1742" spans="2:5" x14ac:dyDescent="0.35">
      <c r="B1742"/>
      <c r="C1742"/>
      <c r="D1742"/>
      <c r="E1742"/>
    </row>
    <row r="1743" spans="2:5" x14ac:dyDescent="0.35">
      <c r="B1743"/>
      <c r="C1743"/>
      <c r="D1743"/>
      <c r="E1743"/>
    </row>
    <row r="1744" spans="2:5" x14ac:dyDescent="0.35">
      <c r="B1744"/>
      <c r="C1744"/>
      <c r="D1744"/>
      <c r="E1744"/>
    </row>
    <row r="1745" spans="2:5" x14ac:dyDescent="0.35">
      <c r="B1745"/>
      <c r="C1745"/>
      <c r="D1745"/>
      <c r="E1745"/>
    </row>
    <row r="1746" spans="2:5" x14ac:dyDescent="0.35">
      <c r="B1746"/>
      <c r="C1746"/>
      <c r="D1746"/>
      <c r="E1746"/>
    </row>
    <row r="1747" spans="2:5" x14ac:dyDescent="0.35">
      <c r="B1747"/>
      <c r="C1747"/>
      <c r="D1747"/>
      <c r="E1747"/>
    </row>
    <row r="1748" spans="2:5" x14ac:dyDescent="0.35">
      <c r="B1748"/>
      <c r="C1748"/>
      <c r="D1748"/>
      <c r="E1748"/>
    </row>
    <row r="1749" spans="2:5" x14ac:dyDescent="0.35">
      <c r="B1749"/>
      <c r="C1749"/>
      <c r="D1749"/>
      <c r="E1749"/>
    </row>
    <row r="1750" spans="2:5" x14ac:dyDescent="0.35">
      <c r="B1750"/>
      <c r="C1750"/>
      <c r="D1750"/>
      <c r="E1750"/>
    </row>
    <row r="1751" spans="2:5" x14ac:dyDescent="0.35">
      <c r="B1751"/>
      <c r="C1751"/>
      <c r="D1751"/>
      <c r="E1751"/>
    </row>
    <row r="1752" spans="2:5" x14ac:dyDescent="0.35">
      <c r="B1752"/>
      <c r="C1752"/>
      <c r="D1752"/>
      <c r="E1752"/>
    </row>
    <row r="1753" spans="2:5" x14ac:dyDescent="0.35">
      <c r="B1753"/>
      <c r="C1753"/>
      <c r="D1753"/>
      <c r="E1753"/>
    </row>
    <row r="1754" spans="2:5" x14ac:dyDescent="0.35">
      <c r="B1754"/>
      <c r="C1754"/>
      <c r="D1754"/>
      <c r="E1754"/>
    </row>
    <row r="1755" spans="2:5" x14ac:dyDescent="0.35">
      <c r="B1755"/>
      <c r="C1755"/>
      <c r="D1755"/>
      <c r="E1755"/>
    </row>
    <row r="1756" spans="2:5" x14ac:dyDescent="0.35">
      <c r="B1756"/>
      <c r="C1756"/>
      <c r="D1756"/>
      <c r="E1756"/>
    </row>
    <row r="1757" spans="2:5" x14ac:dyDescent="0.35">
      <c r="B1757"/>
      <c r="C1757"/>
      <c r="D1757"/>
      <c r="E1757"/>
    </row>
    <row r="1758" spans="2:5" x14ac:dyDescent="0.35">
      <c r="B1758"/>
      <c r="C1758"/>
      <c r="D1758"/>
      <c r="E1758"/>
    </row>
    <row r="1759" spans="2:5" x14ac:dyDescent="0.35">
      <c r="B1759"/>
      <c r="C1759"/>
      <c r="D1759"/>
      <c r="E1759"/>
    </row>
    <row r="1760" spans="2:5" x14ac:dyDescent="0.35">
      <c r="B1760"/>
      <c r="C1760"/>
      <c r="D1760"/>
      <c r="E1760"/>
    </row>
    <row r="1761" spans="2:5" x14ac:dyDescent="0.35">
      <c r="B1761"/>
      <c r="C1761"/>
      <c r="D1761"/>
      <c r="E1761"/>
    </row>
    <row r="1762" spans="2:5" x14ac:dyDescent="0.35">
      <c r="B1762"/>
      <c r="C1762"/>
      <c r="D1762"/>
      <c r="E1762"/>
    </row>
    <row r="1763" spans="2:5" x14ac:dyDescent="0.35">
      <c r="B1763"/>
      <c r="C1763"/>
      <c r="D1763"/>
      <c r="E1763"/>
    </row>
    <row r="1764" spans="2:5" x14ac:dyDescent="0.35">
      <c r="B1764"/>
      <c r="C1764"/>
      <c r="D1764"/>
      <c r="E1764"/>
    </row>
    <row r="1765" spans="2:5" x14ac:dyDescent="0.35">
      <c r="B1765"/>
      <c r="C1765"/>
      <c r="D1765"/>
      <c r="E1765"/>
    </row>
    <row r="1766" spans="2:5" x14ac:dyDescent="0.35">
      <c r="B1766"/>
      <c r="C1766"/>
      <c r="D1766"/>
      <c r="E1766"/>
    </row>
    <row r="1767" spans="2:5" x14ac:dyDescent="0.35">
      <c r="B1767"/>
      <c r="C1767"/>
      <c r="D1767"/>
      <c r="E1767"/>
    </row>
    <row r="1768" spans="2:5" x14ac:dyDescent="0.35">
      <c r="B1768"/>
      <c r="C1768"/>
      <c r="D1768"/>
      <c r="E1768"/>
    </row>
    <row r="1769" spans="2:5" x14ac:dyDescent="0.35">
      <c r="B1769"/>
      <c r="C1769"/>
      <c r="D1769"/>
      <c r="E1769"/>
    </row>
    <row r="1770" spans="2:5" x14ac:dyDescent="0.35">
      <c r="B1770"/>
      <c r="C1770"/>
      <c r="D1770"/>
      <c r="E1770"/>
    </row>
    <row r="1771" spans="2:5" x14ac:dyDescent="0.35">
      <c r="B1771"/>
      <c r="C1771"/>
      <c r="D1771"/>
      <c r="E1771"/>
    </row>
    <row r="1772" spans="2:5" x14ac:dyDescent="0.35">
      <c r="B1772"/>
      <c r="C1772"/>
      <c r="D1772"/>
      <c r="E1772"/>
    </row>
    <row r="1773" spans="2:5" x14ac:dyDescent="0.35">
      <c r="B1773"/>
      <c r="C1773"/>
      <c r="D1773"/>
      <c r="E1773"/>
    </row>
    <row r="1774" spans="2:5" x14ac:dyDescent="0.35">
      <c r="B1774"/>
      <c r="C1774"/>
      <c r="D1774"/>
      <c r="E1774"/>
    </row>
    <row r="1775" spans="2:5" x14ac:dyDescent="0.35">
      <c r="B1775"/>
      <c r="C1775"/>
      <c r="D1775"/>
      <c r="E1775"/>
    </row>
    <row r="1776" spans="2:5" x14ac:dyDescent="0.35">
      <c r="B1776"/>
      <c r="C1776"/>
      <c r="D1776"/>
      <c r="E1776"/>
    </row>
    <row r="1777" spans="2:5" x14ac:dyDescent="0.35">
      <c r="B1777"/>
      <c r="C1777"/>
      <c r="D1777"/>
      <c r="E1777"/>
    </row>
    <row r="1778" spans="2:5" x14ac:dyDescent="0.35">
      <c r="B1778"/>
      <c r="C1778"/>
      <c r="D1778"/>
      <c r="E1778"/>
    </row>
    <row r="1779" spans="2:5" x14ac:dyDescent="0.35">
      <c r="B1779"/>
      <c r="C1779"/>
      <c r="D1779"/>
      <c r="E1779"/>
    </row>
    <row r="1780" spans="2:5" x14ac:dyDescent="0.35">
      <c r="B1780"/>
      <c r="C1780"/>
      <c r="D1780"/>
      <c r="E1780"/>
    </row>
    <row r="1781" spans="2:5" x14ac:dyDescent="0.35">
      <c r="B1781"/>
      <c r="C1781"/>
      <c r="D1781"/>
      <c r="E1781"/>
    </row>
    <row r="1782" spans="2:5" x14ac:dyDescent="0.35">
      <c r="B1782"/>
      <c r="C1782"/>
      <c r="D1782"/>
      <c r="E1782"/>
    </row>
    <row r="1783" spans="2:5" x14ac:dyDescent="0.35">
      <c r="B1783"/>
      <c r="C1783"/>
      <c r="D1783"/>
      <c r="E1783"/>
    </row>
    <row r="1784" spans="2:5" x14ac:dyDescent="0.35">
      <c r="B1784"/>
      <c r="C1784"/>
      <c r="D1784"/>
      <c r="E1784"/>
    </row>
    <row r="1785" spans="2:5" x14ac:dyDescent="0.35">
      <c r="B1785"/>
      <c r="C1785"/>
      <c r="D1785"/>
      <c r="E1785"/>
    </row>
    <row r="1786" spans="2:5" x14ac:dyDescent="0.35">
      <c r="B1786"/>
      <c r="C1786"/>
      <c r="D1786"/>
      <c r="E1786"/>
    </row>
    <row r="1787" spans="2:5" x14ac:dyDescent="0.35">
      <c r="B1787"/>
      <c r="C1787"/>
      <c r="D1787"/>
      <c r="E1787"/>
    </row>
    <row r="1788" spans="2:5" x14ac:dyDescent="0.35">
      <c r="B1788"/>
      <c r="C1788"/>
      <c r="D1788"/>
      <c r="E1788"/>
    </row>
    <row r="1789" spans="2:5" x14ac:dyDescent="0.35">
      <c r="B1789"/>
      <c r="C1789"/>
      <c r="D1789"/>
      <c r="E1789"/>
    </row>
    <row r="1790" spans="2:5" x14ac:dyDescent="0.35">
      <c r="B1790"/>
      <c r="C1790"/>
      <c r="D1790"/>
      <c r="E1790"/>
    </row>
    <row r="1791" spans="2:5" x14ac:dyDescent="0.35">
      <c r="B1791"/>
      <c r="C1791"/>
      <c r="D1791"/>
      <c r="E1791"/>
    </row>
    <row r="1792" spans="2:5" x14ac:dyDescent="0.35">
      <c r="B1792"/>
      <c r="C1792"/>
      <c r="D1792"/>
      <c r="E1792"/>
    </row>
    <row r="1793" spans="2:5" x14ac:dyDescent="0.35">
      <c r="B1793"/>
      <c r="C1793"/>
      <c r="D1793"/>
      <c r="E1793"/>
    </row>
    <row r="1794" spans="2:5" x14ac:dyDescent="0.35">
      <c r="B1794"/>
      <c r="C1794"/>
      <c r="D1794"/>
      <c r="E1794"/>
    </row>
    <row r="1795" spans="2:5" x14ac:dyDescent="0.35">
      <c r="B1795"/>
      <c r="C1795"/>
      <c r="D1795"/>
      <c r="E1795"/>
    </row>
    <row r="1796" spans="2:5" x14ac:dyDescent="0.35">
      <c r="B1796"/>
      <c r="C1796"/>
      <c r="D1796"/>
      <c r="E1796"/>
    </row>
    <row r="1797" spans="2:5" x14ac:dyDescent="0.35">
      <c r="B1797"/>
      <c r="C1797"/>
      <c r="D1797"/>
      <c r="E1797"/>
    </row>
    <row r="1798" spans="2:5" x14ac:dyDescent="0.35">
      <c r="B1798"/>
      <c r="C1798"/>
      <c r="D1798"/>
      <c r="E1798"/>
    </row>
    <row r="1799" spans="2:5" x14ac:dyDescent="0.35">
      <c r="B1799"/>
      <c r="C1799"/>
      <c r="D1799"/>
      <c r="E1799"/>
    </row>
    <row r="1800" spans="2:5" x14ac:dyDescent="0.35">
      <c r="B1800"/>
      <c r="C1800"/>
      <c r="D1800"/>
      <c r="E1800"/>
    </row>
    <row r="1801" spans="2:5" x14ac:dyDescent="0.35">
      <c r="B1801"/>
      <c r="C1801"/>
      <c r="D1801"/>
      <c r="E1801"/>
    </row>
    <row r="1802" spans="2:5" x14ac:dyDescent="0.35">
      <c r="B1802"/>
      <c r="C1802"/>
      <c r="D1802"/>
      <c r="E1802"/>
    </row>
    <row r="1803" spans="2:5" x14ac:dyDescent="0.35">
      <c r="B1803"/>
      <c r="C1803"/>
      <c r="D1803"/>
      <c r="E1803"/>
    </row>
    <row r="1804" spans="2:5" x14ac:dyDescent="0.35">
      <c r="B1804"/>
      <c r="C1804"/>
      <c r="D1804"/>
      <c r="E1804"/>
    </row>
    <row r="1805" spans="2:5" x14ac:dyDescent="0.35">
      <c r="B1805"/>
      <c r="C1805"/>
      <c r="D1805"/>
      <c r="E1805"/>
    </row>
    <row r="1806" spans="2:5" x14ac:dyDescent="0.35">
      <c r="B1806"/>
      <c r="C1806"/>
      <c r="D1806"/>
      <c r="E1806"/>
    </row>
    <row r="1807" spans="2:5" x14ac:dyDescent="0.35">
      <c r="B1807"/>
      <c r="C1807"/>
      <c r="D1807"/>
      <c r="E1807"/>
    </row>
    <row r="1808" spans="2:5" x14ac:dyDescent="0.35">
      <c r="B1808"/>
      <c r="C1808"/>
      <c r="D1808"/>
      <c r="E1808"/>
    </row>
    <row r="1809" spans="2:5" x14ac:dyDescent="0.35">
      <c r="B1809"/>
      <c r="C1809"/>
      <c r="D1809"/>
      <c r="E1809"/>
    </row>
    <row r="1810" spans="2:5" x14ac:dyDescent="0.35">
      <c r="B1810"/>
      <c r="C1810"/>
      <c r="D1810"/>
      <c r="E1810"/>
    </row>
    <row r="1811" spans="2:5" x14ac:dyDescent="0.35">
      <c r="B1811"/>
      <c r="C1811"/>
      <c r="D1811"/>
      <c r="E1811"/>
    </row>
    <row r="1812" spans="2:5" x14ac:dyDescent="0.35">
      <c r="B1812"/>
      <c r="C1812"/>
      <c r="D1812"/>
      <c r="E1812"/>
    </row>
    <row r="1813" spans="2:5" x14ac:dyDescent="0.35">
      <c r="B1813"/>
      <c r="C1813"/>
      <c r="D1813"/>
      <c r="E1813"/>
    </row>
    <row r="1814" spans="2:5" x14ac:dyDescent="0.35">
      <c r="B1814"/>
      <c r="C1814"/>
      <c r="D1814"/>
      <c r="E1814"/>
    </row>
    <row r="1815" spans="2:5" x14ac:dyDescent="0.35">
      <c r="B1815"/>
      <c r="C1815"/>
      <c r="D1815"/>
      <c r="E1815"/>
    </row>
    <row r="1816" spans="2:5" x14ac:dyDescent="0.35">
      <c r="B1816"/>
      <c r="C1816"/>
      <c r="D1816"/>
      <c r="E1816"/>
    </row>
    <row r="1817" spans="2:5" x14ac:dyDescent="0.35">
      <c r="B1817"/>
      <c r="C1817"/>
      <c r="D1817"/>
      <c r="E1817"/>
    </row>
    <row r="1818" spans="2:5" x14ac:dyDescent="0.35">
      <c r="B1818"/>
      <c r="C1818"/>
      <c r="D1818"/>
      <c r="E1818"/>
    </row>
    <row r="1819" spans="2:5" x14ac:dyDescent="0.35">
      <c r="B1819"/>
      <c r="C1819"/>
      <c r="D1819"/>
      <c r="E1819"/>
    </row>
    <row r="1820" spans="2:5" x14ac:dyDescent="0.35">
      <c r="B1820"/>
      <c r="C1820"/>
      <c r="D1820"/>
      <c r="E1820"/>
    </row>
    <row r="1821" spans="2:5" x14ac:dyDescent="0.35">
      <c r="B1821"/>
      <c r="C1821"/>
      <c r="D1821"/>
      <c r="E1821"/>
    </row>
    <row r="1822" spans="2:5" x14ac:dyDescent="0.35">
      <c r="B1822"/>
      <c r="C1822"/>
      <c r="D1822"/>
      <c r="E1822"/>
    </row>
    <row r="1823" spans="2:5" x14ac:dyDescent="0.35">
      <c r="B1823"/>
      <c r="C1823"/>
      <c r="D1823"/>
      <c r="E1823"/>
    </row>
    <row r="1824" spans="2:5" x14ac:dyDescent="0.35">
      <c r="B1824"/>
      <c r="C1824"/>
      <c r="D1824"/>
      <c r="E1824"/>
    </row>
    <row r="1825" spans="2:5" x14ac:dyDescent="0.35">
      <c r="B1825"/>
      <c r="C1825"/>
      <c r="D1825"/>
      <c r="E1825"/>
    </row>
    <row r="1826" spans="2:5" x14ac:dyDescent="0.35">
      <c r="B1826"/>
      <c r="C1826"/>
      <c r="D1826"/>
      <c r="E1826"/>
    </row>
    <row r="1827" spans="2:5" x14ac:dyDescent="0.35">
      <c r="B1827"/>
      <c r="C1827"/>
      <c r="D1827"/>
      <c r="E1827"/>
    </row>
    <row r="1828" spans="2:5" x14ac:dyDescent="0.35">
      <c r="B1828"/>
      <c r="C1828"/>
      <c r="D1828"/>
      <c r="E1828"/>
    </row>
    <row r="1829" spans="2:5" x14ac:dyDescent="0.35">
      <c r="B1829"/>
      <c r="C1829"/>
      <c r="D1829"/>
      <c r="E1829"/>
    </row>
    <row r="1830" spans="2:5" x14ac:dyDescent="0.35">
      <c r="B1830"/>
      <c r="C1830"/>
      <c r="D1830"/>
      <c r="E1830"/>
    </row>
    <row r="1831" spans="2:5" x14ac:dyDescent="0.35">
      <c r="B1831"/>
      <c r="C1831"/>
      <c r="D1831"/>
      <c r="E1831"/>
    </row>
    <row r="1832" spans="2:5" x14ac:dyDescent="0.35">
      <c r="B1832"/>
      <c r="C1832"/>
      <c r="D1832"/>
      <c r="E1832"/>
    </row>
    <row r="1833" spans="2:5" x14ac:dyDescent="0.35">
      <c r="B1833"/>
      <c r="C1833"/>
      <c r="D1833"/>
      <c r="E1833"/>
    </row>
    <row r="1834" spans="2:5" x14ac:dyDescent="0.35">
      <c r="B1834"/>
      <c r="C1834"/>
      <c r="D1834"/>
      <c r="E1834"/>
    </row>
    <row r="1835" spans="2:5" x14ac:dyDescent="0.35">
      <c r="B1835"/>
      <c r="C1835"/>
      <c r="D1835"/>
      <c r="E1835"/>
    </row>
    <row r="1836" spans="2:5" x14ac:dyDescent="0.35">
      <c r="B1836"/>
      <c r="C1836"/>
      <c r="D1836"/>
      <c r="E1836"/>
    </row>
    <row r="1837" spans="2:5" x14ac:dyDescent="0.35">
      <c r="B1837"/>
      <c r="C1837"/>
      <c r="D1837"/>
      <c r="E1837"/>
    </row>
    <row r="1838" spans="2:5" x14ac:dyDescent="0.35">
      <c r="B1838"/>
      <c r="C1838"/>
      <c r="D1838"/>
      <c r="E1838"/>
    </row>
    <row r="1839" spans="2:5" x14ac:dyDescent="0.35">
      <c r="B1839"/>
      <c r="C1839"/>
      <c r="D1839"/>
      <c r="E1839"/>
    </row>
    <row r="1840" spans="2:5" x14ac:dyDescent="0.35">
      <c r="B1840"/>
      <c r="C1840"/>
      <c r="D1840"/>
      <c r="E1840"/>
    </row>
    <row r="1841" spans="2:5" x14ac:dyDescent="0.35">
      <c r="B1841"/>
      <c r="C1841"/>
      <c r="D1841"/>
      <c r="E1841"/>
    </row>
    <row r="1842" spans="2:5" x14ac:dyDescent="0.35">
      <c r="B1842"/>
      <c r="C1842"/>
      <c r="D1842"/>
      <c r="E1842"/>
    </row>
    <row r="1843" spans="2:5" x14ac:dyDescent="0.35">
      <c r="B1843"/>
      <c r="C1843"/>
      <c r="D1843"/>
      <c r="E1843"/>
    </row>
    <row r="1844" spans="2:5" x14ac:dyDescent="0.35">
      <c r="B1844"/>
      <c r="C1844"/>
      <c r="D1844"/>
      <c r="E1844"/>
    </row>
    <row r="1845" spans="2:5" x14ac:dyDescent="0.35">
      <c r="B1845"/>
      <c r="C1845"/>
      <c r="D1845"/>
      <c r="E1845"/>
    </row>
    <row r="1846" spans="2:5" x14ac:dyDescent="0.35">
      <c r="B1846"/>
      <c r="C1846"/>
      <c r="D1846"/>
      <c r="E1846"/>
    </row>
    <row r="1847" spans="2:5" x14ac:dyDescent="0.35">
      <c r="B1847"/>
      <c r="C1847"/>
      <c r="D1847"/>
      <c r="E1847"/>
    </row>
    <row r="1848" spans="2:5" x14ac:dyDescent="0.35">
      <c r="B1848"/>
      <c r="C1848"/>
      <c r="D1848"/>
      <c r="E1848"/>
    </row>
    <row r="1849" spans="2:5" x14ac:dyDescent="0.35">
      <c r="B1849"/>
      <c r="C1849"/>
      <c r="D1849"/>
      <c r="E1849"/>
    </row>
    <row r="1850" spans="2:5" x14ac:dyDescent="0.35">
      <c r="B1850"/>
      <c r="C1850"/>
      <c r="D1850"/>
      <c r="E1850"/>
    </row>
    <row r="1851" spans="2:5" x14ac:dyDescent="0.35">
      <c r="B1851"/>
      <c r="C1851"/>
      <c r="D1851"/>
      <c r="E1851"/>
    </row>
    <row r="1852" spans="2:5" x14ac:dyDescent="0.35">
      <c r="B1852"/>
      <c r="C1852"/>
      <c r="D1852"/>
      <c r="E1852"/>
    </row>
    <row r="1853" spans="2:5" x14ac:dyDescent="0.35">
      <c r="B1853"/>
      <c r="C1853"/>
      <c r="D1853"/>
      <c r="E1853"/>
    </row>
    <row r="1854" spans="2:5" x14ac:dyDescent="0.35">
      <c r="B1854"/>
      <c r="C1854"/>
      <c r="D1854"/>
      <c r="E1854"/>
    </row>
    <row r="1855" spans="2:5" x14ac:dyDescent="0.35">
      <c r="B1855"/>
      <c r="C1855"/>
      <c r="D1855"/>
      <c r="E1855"/>
    </row>
    <row r="1856" spans="2:5" x14ac:dyDescent="0.35">
      <c r="B1856"/>
      <c r="C1856"/>
      <c r="D1856"/>
      <c r="E1856"/>
    </row>
    <row r="1857" spans="2:5" x14ac:dyDescent="0.35">
      <c r="B1857"/>
      <c r="C1857"/>
      <c r="D1857"/>
      <c r="E1857"/>
    </row>
    <row r="1858" spans="2:5" x14ac:dyDescent="0.35">
      <c r="B1858"/>
      <c r="C1858"/>
      <c r="D1858"/>
      <c r="E1858"/>
    </row>
    <row r="1859" spans="2:5" x14ac:dyDescent="0.35">
      <c r="B1859"/>
      <c r="C1859"/>
      <c r="D1859"/>
      <c r="E1859"/>
    </row>
    <row r="1860" spans="2:5" x14ac:dyDescent="0.35">
      <c r="B1860"/>
      <c r="C1860"/>
      <c r="D1860"/>
      <c r="E1860"/>
    </row>
    <row r="1861" spans="2:5" x14ac:dyDescent="0.35">
      <c r="B1861"/>
      <c r="C1861"/>
      <c r="D1861"/>
      <c r="E1861"/>
    </row>
    <row r="1862" spans="2:5" x14ac:dyDescent="0.35">
      <c r="B1862"/>
      <c r="C1862"/>
      <c r="D1862"/>
      <c r="E1862"/>
    </row>
    <row r="1863" spans="2:5" x14ac:dyDescent="0.35">
      <c r="B1863"/>
      <c r="C1863"/>
      <c r="D1863"/>
      <c r="E1863"/>
    </row>
    <row r="1864" spans="2:5" x14ac:dyDescent="0.35">
      <c r="B1864"/>
      <c r="C1864"/>
      <c r="D1864"/>
      <c r="E1864"/>
    </row>
    <row r="1865" spans="2:5" x14ac:dyDescent="0.35">
      <c r="B1865"/>
      <c r="C1865"/>
      <c r="D1865"/>
      <c r="E1865"/>
    </row>
    <row r="1866" spans="2:5" x14ac:dyDescent="0.35">
      <c r="B1866"/>
      <c r="C1866"/>
      <c r="D1866"/>
      <c r="E1866"/>
    </row>
    <row r="1867" spans="2:5" x14ac:dyDescent="0.35">
      <c r="B1867"/>
      <c r="C1867"/>
      <c r="D1867"/>
      <c r="E1867"/>
    </row>
    <row r="1868" spans="2:5" x14ac:dyDescent="0.35">
      <c r="B1868"/>
      <c r="C1868"/>
      <c r="D1868"/>
      <c r="E1868"/>
    </row>
    <row r="1869" spans="2:5" x14ac:dyDescent="0.35">
      <c r="B1869"/>
      <c r="C1869"/>
      <c r="D1869"/>
      <c r="E1869"/>
    </row>
    <row r="1870" spans="2:5" x14ac:dyDescent="0.35">
      <c r="B1870"/>
      <c r="C1870"/>
      <c r="D1870"/>
      <c r="E1870"/>
    </row>
    <row r="1871" spans="2:5" x14ac:dyDescent="0.35">
      <c r="B1871"/>
      <c r="C1871"/>
      <c r="D1871"/>
      <c r="E1871"/>
    </row>
    <row r="1872" spans="2:5" x14ac:dyDescent="0.35">
      <c r="B1872"/>
      <c r="C1872"/>
      <c r="D1872"/>
      <c r="E1872"/>
    </row>
    <row r="1873" spans="2:5" x14ac:dyDescent="0.35">
      <c r="B1873"/>
      <c r="C1873"/>
      <c r="D1873"/>
      <c r="E1873"/>
    </row>
    <row r="1874" spans="2:5" x14ac:dyDescent="0.35">
      <c r="B1874"/>
      <c r="C1874"/>
      <c r="D1874"/>
      <c r="E1874"/>
    </row>
    <row r="1875" spans="2:5" x14ac:dyDescent="0.35">
      <c r="B1875"/>
      <c r="C1875"/>
      <c r="D1875"/>
      <c r="E1875"/>
    </row>
    <row r="1876" spans="2:5" x14ac:dyDescent="0.35">
      <c r="B1876"/>
      <c r="C1876"/>
      <c r="D1876"/>
      <c r="E1876"/>
    </row>
    <row r="1877" spans="2:5" x14ac:dyDescent="0.35">
      <c r="B1877"/>
      <c r="C1877"/>
      <c r="D1877"/>
      <c r="E1877"/>
    </row>
    <row r="1878" spans="2:5" x14ac:dyDescent="0.35">
      <c r="B1878"/>
      <c r="C1878"/>
      <c r="D1878"/>
      <c r="E1878"/>
    </row>
    <row r="1879" spans="2:5" x14ac:dyDescent="0.35">
      <c r="B1879"/>
      <c r="C1879"/>
      <c r="D1879"/>
      <c r="E1879"/>
    </row>
    <row r="1880" spans="2:5" x14ac:dyDescent="0.35">
      <c r="B1880"/>
      <c r="C1880"/>
      <c r="D1880"/>
      <c r="E1880"/>
    </row>
    <row r="1881" spans="2:5" x14ac:dyDescent="0.35">
      <c r="B1881"/>
      <c r="C1881"/>
      <c r="D1881"/>
      <c r="E1881"/>
    </row>
    <row r="1882" spans="2:5" x14ac:dyDescent="0.35">
      <c r="B1882"/>
      <c r="C1882"/>
      <c r="D1882"/>
      <c r="E1882"/>
    </row>
    <row r="1883" spans="2:5" x14ac:dyDescent="0.35">
      <c r="B1883"/>
      <c r="C1883"/>
      <c r="D1883"/>
      <c r="E1883"/>
    </row>
    <row r="1884" spans="2:5" x14ac:dyDescent="0.35">
      <c r="B1884"/>
      <c r="C1884"/>
      <c r="D1884"/>
      <c r="E1884"/>
    </row>
    <row r="1885" spans="2:5" x14ac:dyDescent="0.35">
      <c r="B1885"/>
      <c r="C1885"/>
      <c r="D1885"/>
      <c r="E1885"/>
    </row>
    <row r="1886" spans="2:5" x14ac:dyDescent="0.35">
      <c r="B1886"/>
      <c r="C1886"/>
      <c r="D1886"/>
      <c r="E1886"/>
    </row>
    <row r="1887" spans="2:5" x14ac:dyDescent="0.35">
      <c r="B1887"/>
      <c r="C1887"/>
      <c r="D1887"/>
      <c r="E1887"/>
    </row>
    <row r="1888" spans="2:5" x14ac:dyDescent="0.35">
      <c r="B1888"/>
      <c r="C1888"/>
      <c r="D1888"/>
      <c r="E1888"/>
    </row>
    <row r="1889" spans="2:5" x14ac:dyDescent="0.35">
      <c r="B1889"/>
      <c r="C1889"/>
      <c r="D1889"/>
      <c r="E1889"/>
    </row>
    <row r="1890" spans="2:5" x14ac:dyDescent="0.35">
      <c r="B1890"/>
      <c r="C1890"/>
      <c r="D1890"/>
      <c r="E1890"/>
    </row>
    <row r="1891" spans="2:5" x14ac:dyDescent="0.35">
      <c r="B1891"/>
      <c r="C1891"/>
      <c r="D1891"/>
      <c r="E1891"/>
    </row>
    <row r="1892" spans="2:5" x14ac:dyDescent="0.35">
      <c r="B1892"/>
      <c r="C1892"/>
      <c r="D1892"/>
      <c r="E1892"/>
    </row>
    <row r="1893" spans="2:5" x14ac:dyDescent="0.35">
      <c r="B1893"/>
      <c r="C1893"/>
      <c r="D1893"/>
      <c r="E1893"/>
    </row>
    <row r="1894" spans="2:5" x14ac:dyDescent="0.35">
      <c r="B1894"/>
      <c r="C1894"/>
      <c r="D1894"/>
      <c r="E1894"/>
    </row>
    <row r="1895" spans="2:5" x14ac:dyDescent="0.35">
      <c r="B1895"/>
      <c r="C1895"/>
      <c r="D1895"/>
      <c r="E1895"/>
    </row>
    <row r="1896" spans="2:5" x14ac:dyDescent="0.35">
      <c r="B1896"/>
      <c r="C1896"/>
      <c r="D1896"/>
      <c r="E1896"/>
    </row>
    <row r="1897" spans="2:5" x14ac:dyDescent="0.35">
      <c r="B1897"/>
      <c r="C1897"/>
      <c r="D1897"/>
      <c r="E1897"/>
    </row>
    <row r="1898" spans="2:5" x14ac:dyDescent="0.35">
      <c r="B1898"/>
      <c r="C1898"/>
      <c r="D1898"/>
      <c r="E1898"/>
    </row>
    <row r="1899" spans="2:5" x14ac:dyDescent="0.35">
      <c r="B1899"/>
      <c r="C1899"/>
      <c r="D1899"/>
      <c r="E1899"/>
    </row>
    <row r="1900" spans="2:5" x14ac:dyDescent="0.35">
      <c r="B1900"/>
      <c r="C1900"/>
      <c r="D1900"/>
      <c r="E1900"/>
    </row>
    <row r="1901" spans="2:5" x14ac:dyDescent="0.35">
      <c r="B1901"/>
      <c r="C1901"/>
      <c r="D1901"/>
      <c r="E1901"/>
    </row>
    <row r="1902" spans="2:5" x14ac:dyDescent="0.35">
      <c r="B1902"/>
      <c r="C1902"/>
      <c r="D1902"/>
      <c r="E1902"/>
    </row>
    <row r="1903" spans="2:5" x14ac:dyDescent="0.35">
      <c r="B1903"/>
      <c r="C1903"/>
      <c r="D1903"/>
      <c r="E1903"/>
    </row>
    <row r="1904" spans="2:5" x14ac:dyDescent="0.35">
      <c r="B1904"/>
      <c r="C1904"/>
      <c r="D1904"/>
      <c r="E1904"/>
    </row>
    <row r="1905" spans="2:5" x14ac:dyDescent="0.35">
      <c r="B1905"/>
      <c r="C1905"/>
      <c r="D1905"/>
      <c r="E1905"/>
    </row>
    <row r="1906" spans="2:5" x14ac:dyDescent="0.35">
      <c r="B1906"/>
      <c r="C1906"/>
      <c r="D1906"/>
      <c r="E1906"/>
    </row>
    <row r="1907" spans="2:5" x14ac:dyDescent="0.35">
      <c r="B1907"/>
      <c r="C1907"/>
      <c r="D1907"/>
      <c r="E1907"/>
    </row>
    <row r="1908" spans="2:5" x14ac:dyDescent="0.35">
      <c r="B1908"/>
      <c r="C1908"/>
      <c r="D1908"/>
      <c r="E1908"/>
    </row>
    <row r="1909" spans="2:5" x14ac:dyDescent="0.35">
      <c r="B1909"/>
      <c r="C1909"/>
      <c r="D1909"/>
      <c r="E1909"/>
    </row>
    <row r="1910" spans="2:5" x14ac:dyDescent="0.35">
      <c r="B1910"/>
      <c r="C1910"/>
      <c r="D1910"/>
      <c r="E1910"/>
    </row>
    <row r="1911" spans="2:5" x14ac:dyDescent="0.35">
      <c r="B1911"/>
      <c r="C1911"/>
      <c r="D1911"/>
      <c r="E1911"/>
    </row>
    <row r="1912" spans="2:5" x14ac:dyDescent="0.35">
      <c r="B1912"/>
      <c r="C1912"/>
      <c r="D1912"/>
      <c r="E1912"/>
    </row>
    <row r="1913" spans="2:5" x14ac:dyDescent="0.35">
      <c r="B1913"/>
      <c r="C1913"/>
      <c r="D1913"/>
      <c r="E1913"/>
    </row>
    <row r="1914" spans="2:5" x14ac:dyDescent="0.35">
      <c r="B1914"/>
      <c r="C1914"/>
      <c r="D1914"/>
      <c r="E1914"/>
    </row>
    <row r="1915" spans="2:5" x14ac:dyDescent="0.35">
      <c r="B1915"/>
      <c r="C1915"/>
      <c r="D1915"/>
      <c r="E1915"/>
    </row>
    <row r="1916" spans="2:5" x14ac:dyDescent="0.35">
      <c r="B1916"/>
      <c r="C1916"/>
      <c r="D1916"/>
      <c r="E1916"/>
    </row>
    <row r="1917" spans="2:5" x14ac:dyDescent="0.35">
      <c r="B1917"/>
      <c r="C1917"/>
      <c r="D1917"/>
      <c r="E1917"/>
    </row>
    <row r="1918" spans="2:5" x14ac:dyDescent="0.35">
      <c r="B1918"/>
      <c r="C1918"/>
      <c r="D1918"/>
      <c r="E1918"/>
    </row>
    <row r="1919" spans="2:5" x14ac:dyDescent="0.35">
      <c r="B1919"/>
      <c r="C1919"/>
      <c r="D1919"/>
      <c r="E1919"/>
    </row>
    <row r="1920" spans="2:5" x14ac:dyDescent="0.35">
      <c r="B1920"/>
      <c r="C1920"/>
      <c r="D1920"/>
      <c r="E1920"/>
    </row>
    <row r="1921" spans="2:5" x14ac:dyDescent="0.35">
      <c r="B1921"/>
      <c r="C1921"/>
      <c r="D1921"/>
      <c r="E1921"/>
    </row>
    <row r="1922" spans="2:5" x14ac:dyDescent="0.35">
      <c r="B1922"/>
      <c r="C1922"/>
      <c r="D1922"/>
      <c r="E1922"/>
    </row>
    <row r="1923" spans="2:5" x14ac:dyDescent="0.35">
      <c r="B1923"/>
      <c r="C1923"/>
      <c r="D1923"/>
      <c r="E1923"/>
    </row>
    <row r="1924" spans="2:5" x14ac:dyDescent="0.35">
      <c r="B1924"/>
      <c r="C1924"/>
      <c r="D1924"/>
      <c r="E1924"/>
    </row>
    <row r="1925" spans="2:5" x14ac:dyDescent="0.35">
      <c r="B1925"/>
      <c r="C1925"/>
      <c r="D1925"/>
      <c r="E1925"/>
    </row>
    <row r="1926" spans="2:5" x14ac:dyDescent="0.35">
      <c r="B1926"/>
      <c r="C1926"/>
      <c r="D1926"/>
      <c r="E1926"/>
    </row>
    <row r="1927" spans="2:5" x14ac:dyDescent="0.35">
      <c r="B1927"/>
      <c r="C1927"/>
      <c r="D1927"/>
      <c r="E1927"/>
    </row>
    <row r="1928" spans="2:5" x14ac:dyDescent="0.35">
      <c r="B1928"/>
      <c r="C1928"/>
      <c r="D1928"/>
      <c r="E1928"/>
    </row>
    <row r="1929" spans="2:5" x14ac:dyDescent="0.35">
      <c r="B1929"/>
      <c r="C1929"/>
      <c r="D1929"/>
      <c r="E1929"/>
    </row>
    <row r="1930" spans="2:5" x14ac:dyDescent="0.35">
      <c r="B1930"/>
      <c r="C1930"/>
      <c r="D1930"/>
      <c r="E1930"/>
    </row>
    <row r="1931" spans="2:5" x14ac:dyDescent="0.35">
      <c r="B1931"/>
      <c r="C1931"/>
      <c r="D1931"/>
      <c r="E1931"/>
    </row>
    <row r="1932" spans="2:5" x14ac:dyDescent="0.35">
      <c r="B1932"/>
      <c r="C1932"/>
      <c r="D1932"/>
      <c r="E1932"/>
    </row>
    <row r="1933" spans="2:5" x14ac:dyDescent="0.35">
      <c r="B1933"/>
      <c r="C1933"/>
      <c r="D1933"/>
      <c r="E1933"/>
    </row>
    <row r="1934" spans="2:5" x14ac:dyDescent="0.35">
      <c r="B1934"/>
      <c r="C1934"/>
      <c r="D1934"/>
      <c r="E1934"/>
    </row>
    <row r="1935" spans="2:5" x14ac:dyDescent="0.35">
      <c r="B1935"/>
      <c r="C1935"/>
      <c r="D1935"/>
      <c r="E1935"/>
    </row>
    <row r="1936" spans="2:5" x14ac:dyDescent="0.35">
      <c r="B1936"/>
      <c r="C1936"/>
      <c r="D1936"/>
      <c r="E1936"/>
    </row>
    <row r="1937" spans="2:5" x14ac:dyDescent="0.35">
      <c r="B1937"/>
      <c r="C1937"/>
      <c r="D1937"/>
      <c r="E1937"/>
    </row>
    <row r="1938" spans="2:5" x14ac:dyDescent="0.35">
      <c r="B1938"/>
      <c r="C1938"/>
      <c r="D1938"/>
      <c r="E1938"/>
    </row>
    <row r="1939" spans="2:5" x14ac:dyDescent="0.35">
      <c r="B1939"/>
      <c r="C1939"/>
      <c r="D1939"/>
      <c r="E1939"/>
    </row>
    <row r="1940" spans="2:5" x14ac:dyDescent="0.35">
      <c r="B1940"/>
      <c r="C1940"/>
      <c r="D1940"/>
      <c r="E1940"/>
    </row>
    <row r="1941" spans="2:5" x14ac:dyDescent="0.35">
      <c r="B1941"/>
      <c r="C1941"/>
      <c r="D1941"/>
      <c r="E1941"/>
    </row>
    <row r="1942" spans="2:5" x14ac:dyDescent="0.35">
      <c r="B1942"/>
      <c r="C1942"/>
      <c r="D1942"/>
      <c r="E1942"/>
    </row>
    <row r="1943" spans="2:5" x14ac:dyDescent="0.35">
      <c r="B1943"/>
      <c r="C1943"/>
      <c r="D1943"/>
      <c r="E1943"/>
    </row>
    <row r="1944" spans="2:5" x14ac:dyDescent="0.35">
      <c r="B1944"/>
      <c r="C1944"/>
      <c r="D1944"/>
      <c r="E1944"/>
    </row>
    <row r="1945" spans="2:5" x14ac:dyDescent="0.35">
      <c r="B1945"/>
      <c r="C1945"/>
      <c r="D1945"/>
      <c r="E1945"/>
    </row>
    <row r="1946" spans="2:5" x14ac:dyDescent="0.35">
      <c r="B1946"/>
      <c r="C1946"/>
      <c r="D1946"/>
      <c r="E1946"/>
    </row>
    <row r="1947" spans="2:5" x14ac:dyDescent="0.35">
      <c r="B1947"/>
      <c r="C1947"/>
      <c r="D1947"/>
      <c r="E1947"/>
    </row>
    <row r="1948" spans="2:5" x14ac:dyDescent="0.35">
      <c r="B1948"/>
      <c r="C1948"/>
      <c r="D1948"/>
      <c r="E1948"/>
    </row>
    <row r="1949" spans="2:5" x14ac:dyDescent="0.35">
      <c r="B1949"/>
      <c r="C1949"/>
      <c r="D1949"/>
      <c r="E1949"/>
    </row>
    <row r="1950" spans="2:5" x14ac:dyDescent="0.35">
      <c r="B1950"/>
      <c r="C1950"/>
      <c r="D1950"/>
      <c r="E1950"/>
    </row>
    <row r="1951" spans="2:5" x14ac:dyDescent="0.35">
      <c r="B1951"/>
      <c r="C1951"/>
      <c r="D1951"/>
      <c r="E1951"/>
    </row>
    <row r="1952" spans="2:5" x14ac:dyDescent="0.35">
      <c r="B1952"/>
      <c r="C1952"/>
      <c r="D1952"/>
      <c r="E1952"/>
    </row>
    <row r="1953" spans="2:5" x14ac:dyDescent="0.35">
      <c r="B1953"/>
      <c r="C1953"/>
      <c r="D1953"/>
      <c r="E1953"/>
    </row>
    <row r="1954" spans="2:5" x14ac:dyDescent="0.35">
      <c r="B1954"/>
      <c r="C1954"/>
      <c r="D1954"/>
      <c r="E1954"/>
    </row>
    <row r="1955" spans="2:5" x14ac:dyDescent="0.35">
      <c r="B1955"/>
      <c r="C1955"/>
      <c r="D1955"/>
      <c r="E1955"/>
    </row>
    <row r="1956" spans="2:5" x14ac:dyDescent="0.35">
      <c r="B1956"/>
      <c r="C1956"/>
      <c r="D1956"/>
      <c r="E1956"/>
    </row>
    <row r="1957" spans="2:5" x14ac:dyDescent="0.35">
      <c r="B1957"/>
      <c r="C1957"/>
      <c r="D1957"/>
      <c r="E1957"/>
    </row>
    <row r="1958" spans="2:5" x14ac:dyDescent="0.35">
      <c r="B1958"/>
      <c r="C1958"/>
      <c r="D1958"/>
      <c r="E1958"/>
    </row>
    <row r="1959" spans="2:5" x14ac:dyDescent="0.35">
      <c r="B1959"/>
      <c r="C1959"/>
      <c r="D1959"/>
      <c r="E1959"/>
    </row>
    <row r="1960" spans="2:5" x14ac:dyDescent="0.35">
      <c r="B1960"/>
      <c r="C1960"/>
      <c r="D1960"/>
      <c r="E1960"/>
    </row>
    <row r="1961" spans="2:5" x14ac:dyDescent="0.35">
      <c r="B1961"/>
      <c r="C1961"/>
      <c r="D1961"/>
      <c r="E1961"/>
    </row>
    <row r="1962" spans="2:5" x14ac:dyDescent="0.35">
      <c r="B1962"/>
      <c r="C1962"/>
      <c r="D1962"/>
      <c r="E1962"/>
    </row>
    <row r="1963" spans="2:5" x14ac:dyDescent="0.35">
      <c r="B1963"/>
      <c r="C1963"/>
      <c r="D1963"/>
      <c r="E1963"/>
    </row>
    <row r="1964" spans="2:5" x14ac:dyDescent="0.35">
      <c r="B1964"/>
      <c r="C1964"/>
      <c r="D1964"/>
      <c r="E1964"/>
    </row>
    <row r="1965" spans="2:5" x14ac:dyDescent="0.35">
      <c r="B1965"/>
      <c r="C1965"/>
      <c r="D1965"/>
      <c r="E1965"/>
    </row>
    <row r="1966" spans="2:5" x14ac:dyDescent="0.35">
      <c r="B1966"/>
      <c r="C1966"/>
      <c r="D1966"/>
      <c r="E1966"/>
    </row>
    <row r="1967" spans="2:5" x14ac:dyDescent="0.35">
      <c r="B1967"/>
      <c r="C1967"/>
      <c r="D1967"/>
      <c r="E1967"/>
    </row>
    <row r="1968" spans="2:5" x14ac:dyDescent="0.35">
      <c r="B1968"/>
      <c r="C1968"/>
      <c r="D1968"/>
      <c r="E1968"/>
    </row>
    <row r="1969" spans="2:5" x14ac:dyDescent="0.35">
      <c r="B1969"/>
      <c r="C1969"/>
      <c r="D1969"/>
      <c r="E1969"/>
    </row>
    <row r="1970" spans="2:5" x14ac:dyDescent="0.35">
      <c r="B1970"/>
      <c r="C1970"/>
      <c r="D1970"/>
      <c r="E1970"/>
    </row>
    <row r="1971" spans="2:5" x14ac:dyDescent="0.35">
      <c r="B1971"/>
      <c r="C1971"/>
      <c r="D1971"/>
      <c r="E1971"/>
    </row>
    <row r="1972" spans="2:5" x14ac:dyDescent="0.35">
      <c r="B1972"/>
      <c r="C1972"/>
      <c r="D1972"/>
      <c r="E1972"/>
    </row>
    <row r="1973" spans="2:5" x14ac:dyDescent="0.35">
      <c r="B1973"/>
      <c r="C1973"/>
      <c r="D1973"/>
      <c r="E1973"/>
    </row>
    <row r="1974" spans="2:5" x14ac:dyDescent="0.35">
      <c r="B1974"/>
      <c r="C1974"/>
      <c r="D1974"/>
      <c r="E1974"/>
    </row>
    <row r="1975" spans="2:5" x14ac:dyDescent="0.35">
      <c r="B1975"/>
      <c r="C1975"/>
      <c r="D1975"/>
      <c r="E1975"/>
    </row>
    <row r="1976" spans="2:5" x14ac:dyDescent="0.35">
      <c r="B1976"/>
      <c r="C1976"/>
      <c r="D1976"/>
      <c r="E1976"/>
    </row>
    <row r="1977" spans="2:5" x14ac:dyDescent="0.35">
      <c r="B1977"/>
      <c r="C1977"/>
      <c r="D1977"/>
      <c r="E1977"/>
    </row>
    <row r="1978" spans="2:5" x14ac:dyDescent="0.35">
      <c r="B1978"/>
      <c r="C1978"/>
      <c r="D1978"/>
      <c r="E1978"/>
    </row>
    <row r="1979" spans="2:5" x14ac:dyDescent="0.35">
      <c r="B1979"/>
      <c r="C1979"/>
      <c r="D1979"/>
      <c r="E1979"/>
    </row>
    <row r="1980" spans="2:5" x14ac:dyDescent="0.35">
      <c r="B1980"/>
      <c r="C1980"/>
      <c r="D1980"/>
      <c r="E1980"/>
    </row>
    <row r="1981" spans="2:5" x14ac:dyDescent="0.35">
      <c r="B1981"/>
      <c r="C1981"/>
      <c r="D1981"/>
      <c r="E1981"/>
    </row>
    <row r="1982" spans="2:5" x14ac:dyDescent="0.35">
      <c r="B1982"/>
      <c r="C1982"/>
      <c r="D1982"/>
      <c r="E1982"/>
    </row>
    <row r="1983" spans="2:5" x14ac:dyDescent="0.35">
      <c r="B1983"/>
      <c r="C1983"/>
      <c r="D1983"/>
      <c r="E1983"/>
    </row>
    <row r="1984" spans="2:5" x14ac:dyDescent="0.35">
      <c r="B1984"/>
      <c r="C1984"/>
      <c r="D1984"/>
      <c r="E1984"/>
    </row>
    <row r="1985" spans="2:5" x14ac:dyDescent="0.35">
      <c r="B1985"/>
      <c r="C1985"/>
      <c r="D1985"/>
      <c r="E1985"/>
    </row>
    <row r="1986" spans="2:5" x14ac:dyDescent="0.35">
      <c r="B1986"/>
      <c r="C1986"/>
      <c r="D1986"/>
      <c r="E1986"/>
    </row>
    <row r="1987" spans="2:5" x14ac:dyDescent="0.35">
      <c r="B1987"/>
      <c r="C1987"/>
      <c r="D1987"/>
      <c r="E1987"/>
    </row>
    <row r="1988" spans="2:5" x14ac:dyDescent="0.35">
      <c r="B1988"/>
      <c r="C1988"/>
      <c r="D1988"/>
      <c r="E1988"/>
    </row>
    <row r="1989" spans="2:5" x14ac:dyDescent="0.35">
      <c r="B1989"/>
      <c r="C1989"/>
      <c r="D1989"/>
      <c r="E1989"/>
    </row>
    <row r="1990" spans="2:5" x14ac:dyDescent="0.35">
      <c r="B1990"/>
      <c r="C1990"/>
      <c r="D1990"/>
      <c r="E1990"/>
    </row>
    <row r="1991" spans="2:5" x14ac:dyDescent="0.35">
      <c r="B1991"/>
      <c r="C1991"/>
      <c r="D1991"/>
      <c r="E1991"/>
    </row>
    <row r="1992" spans="2:5" x14ac:dyDescent="0.35">
      <c r="B1992"/>
      <c r="C1992"/>
      <c r="D1992"/>
      <c r="E1992"/>
    </row>
    <row r="1993" spans="2:5" x14ac:dyDescent="0.35">
      <c r="B1993"/>
      <c r="C1993"/>
      <c r="D1993"/>
      <c r="E1993"/>
    </row>
    <row r="1994" spans="2:5" x14ac:dyDescent="0.35">
      <c r="B1994"/>
      <c r="C1994"/>
      <c r="D1994"/>
      <c r="E1994"/>
    </row>
    <row r="1995" spans="2:5" x14ac:dyDescent="0.35">
      <c r="B1995"/>
      <c r="C1995"/>
      <c r="D1995"/>
      <c r="E1995"/>
    </row>
    <row r="1996" spans="2:5" x14ac:dyDescent="0.35">
      <c r="B1996"/>
      <c r="C1996"/>
      <c r="D1996"/>
      <c r="E1996"/>
    </row>
    <row r="1997" spans="2:5" x14ac:dyDescent="0.35">
      <c r="B1997"/>
      <c r="C1997"/>
      <c r="D1997"/>
      <c r="E1997"/>
    </row>
    <row r="1998" spans="2:5" x14ac:dyDescent="0.35">
      <c r="B1998"/>
      <c r="C1998"/>
      <c r="D1998"/>
      <c r="E1998"/>
    </row>
    <row r="1999" spans="2:5" x14ac:dyDescent="0.35">
      <c r="B1999"/>
      <c r="C1999"/>
      <c r="D1999"/>
      <c r="E1999"/>
    </row>
    <row r="2000" spans="2:5" x14ac:dyDescent="0.35">
      <c r="B2000"/>
      <c r="C2000"/>
      <c r="D2000"/>
      <c r="E2000"/>
    </row>
    <row r="2001" spans="2:5" x14ac:dyDescent="0.35">
      <c r="B2001"/>
      <c r="C2001"/>
      <c r="D2001"/>
      <c r="E2001"/>
    </row>
    <row r="2002" spans="2:5" x14ac:dyDescent="0.35">
      <c r="B2002"/>
      <c r="C2002"/>
      <c r="D2002"/>
      <c r="E2002"/>
    </row>
    <row r="2003" spans="2:5" x14ac:dyDescent="0.35">
      <c r="B2003"/>
      <c r="C2003"/>
      <c r="D2003"/>
      <c r="E2003"/>
    </row>
    <row r="2004" spans="2:5" x14ac:dyDescent="0.35">
      <c r="B2004"/>
      <c r="C2004"/>
      <c r="D2004"/>
      <c r="E2004"/>
    </row>
    <row r="2005" spans="2:5" x14ac:dyDescent="0.35">
      <c r="B2005"/>
      <c r="C2005"/>
      <c r="D2005"/>
      <c r="E2005"/>
    </row>
    <row r="2006" spans="2:5" x14ac:dyDescent="0.35">
      <c r="B2006"/>
      <c r="C2006"/>
      <c r="D2006"/>
      <c r="E2006"/>
    </row>
    <row r="2007" spans="2:5" x14ac:dyDescent="0.35">
      <c r="B2007"/>
      <c r="C2007"/>
      <c r="D2007"/>
      <c r="E2007"/>
    </row>
    <row r="2008" spans="2:5" x14ac:dyDescent="0.35">
      <c r="B2008"/>
      <c r="C2008"/>
      <c r="D2008"/>
      <c r="E2008"/>
    </row>
    <row r="2009" spans="2:5" x14ac:dyDescent="0.35">
      <c r="B2009"/>
      <c r="C2009"/>
      <c r="D2009"/>
      <c r="E2009"/>
    </row>
    <row r="2010" spans="2:5" x14ac:dyDescent="0.35">
      <c r="B2010"/>
      <c r="C2010"/>
      <c r="D2010"/>
      <c r="E2010"/>
    </row>
    <row r="2011" spans="2:5" x14ac:dyDescent="0.35">
      <c r="B2011"/>
      <c r="C2011"/>
      <c r="D2011"/>
      <c r="E2011"/>
    </row>
    <row r="2012" spans="2:5" x14ac:dyDescent="0.35">
      <c r="B2012"/>
      <c r="C2012"/>
      <c r="D2012"/>
      <c r="E2012"/>
    </row>
    <row r="2013" spans="2:5" x14ac:dyDescent="0.35">
      <c r="B2013"/>
      <c r="C2013"/>
      <c r="D2013"/>
      <c r="E2013"/>
    </row>
    <row r="2014" spans="2:5" x14ac:dyDescent="0.35">
      <c r="B2014"/>
      <c r="C2014"/>
      <c r="D2014"/>
      <c r="E2014"/>
    </row>
    <row r="2015" spans="2:5" x14ac:dyDescent="0.35">
      <c r="B2015"/>
      <c r="C2015"/>
      <c r="D2015"/>
      <c r="E2015"/>
    </row>
    <row r="2016" spans="2:5" x14ac:dyDescent="0.35">
      <c r="B2016"/>
      <c r="C2016"/>
      <c r="D2016"/>
      <c r="E2016"/>
    </row>
    <row r="2017" spans="2:5" x14ac:dyDescent="0.35">
      <c r="B2017"/>
      <c r="C2017"/>
      <c r="D2017"/>
      <c r="E2017"/>
    </row>
    <row r="2018" spans="2:5" x14ac:dyDescent="0.35">
      <c r="B2018"/>
      <c r="C2018"/>
      <c r="D2018"/>
      <c r="E2018"/>
    </row>
    <row r="2019" spans="2:5" x14ac:dyDescent="0.35">
      <c r="B2019"/>
      <c r="C2019"/>
      <c r="D2019"/>
      <c r="E2019"/>
    </row>
    <row r="2020" spans="2:5" x14ac:dyDescent="0.35">
      <c r="B2020"/>
      <c r="C2020"/>
      <c r="D2020"/>
      <c r="E2020"/>
    </row>
    <row r="2021" spans="2:5" x14ac:dyDescent="0.35">
      <c r="B2021"/>
      <c r="C2021"/>
      <c r="D2021"/>
      <c r="E2021"/>
    </row>
    <row r="2022" spans="2:5" x14ac:dyDescent="0.35">
      <c r="B2022"/>
      <c r="C2022"/>
      <c r="D2022"/>
      <c r="E2022"/>
    </row>
    <row r="2023" spans="2:5" x14ac:dyDescent="0.35">
      <c r="B2023"/>
      <c r="C2023"/>
      <c r="D2023"/>
      <c r="E2023"/>
    </row>
    <row r="2024" spans="2:5" x14ac:dyDescent="0.35">
      <c r="B2024"/>
      <c r="C2024"/>
      <c r="D2024"/>
      <c r="E2024"/>
    </row>
    <row r="2025" spans="2:5" x14ac:dyDescent="0.35">
      <c r="B2025"/>
      <c r="C2025"/>
      <c r="D2025"/>
      <c r="E2025"/>
    </row>
    <row r="2026" spans="2:5" x14ac:dyDescent="0.35">
      <c r="B2026"/>
      <c r="C2026"/>
      <c r="D2026"/>
      <c r="E2026"/>
    </row>
    <row r="2027" spans="2:5" x14ac:dyDescent="0.35">
      <c r="B2027"/>
      <c r="C2027"/>
      <c r="D2027"/>
      <c r="E2027"/>
    </row>
    <row r="2028" spans="2:5" x14ac:dyDescent="0.35">
      <c r="B2028"/>
      <c r="C2028"/>
      <c r="D2028"/>
      <c r="E2028"/>
    </row>
    <row r="2029" spans="2:5" x14ac:dyDescent="0.35">
      <c r="B2029"/>
      <c r="C2029"/>
      <c r="D2029"/>
      <c r="E2029"/>
    </row>
    <row r="2030" spans="2:5" x14ac:dyDescent="0.35">
      <c r="B2030"/>
      <c r="C2030"/>
      <c r="D2030"/>
      <c r="E2030"/>
    </row>
    <row r="2031" spans="2:5" x14ac:dyDescent="0.35">
      <c r="B2031"/>
      <c r="C2031"/>
      <c r="D2031"/>
      <c r="E2031"/>
    </row>
    <row r="2032" spans="2:5" x14ac:dyDescent="0.35">
      <c r="B2032"/>
      <c r="C2032"/>
      <c r="D2032"/>
      <c r="E2032"/>
    </row>
    <row r="2033" spans="2:5" x14ac:dyDescent="0.35">
      <c r="B2033"/>
      <c r="C2033"/>
      <c r="D2033"/>
      <c r="E2033"/>
    </row>
    <row r="2034" spans="2:5" x14ac:dyDescent="0.35">
      <c r="B2034"/>
      <c r="C2034"/>
      <c r="D2034"/>
      <c r="E2034"/>
    </row>
    <row r="2035" spans="2:5" x14ac:dyDescent="0.35">
      <c r="B2035"/>
      <c r="C2035"/>
      <c r="D2035"/>
      <c r="E2035"/>
    </row>
    <row r="2036" spans="2:5" x14ac:dyDescent="0.35">
      <c r="B2036"/>
      <c r="C2036"/>
      <c r="D2036"/>
      <c r="E2036"/>
    </row>
    <row r="2037" spans="2:5" x14ac:dyDescent="0.35">
      <c r="B2037"/>
      <c r="C2037"/>
      <c r="D2037"/>
      <c r="E2037"/>
    </row>
    <row r="2038" spans="2:5" x14ac:dyDescent="0.35">
      <c r="B2038"/>
      <c r="C2038"/>
      <c r="D2038"/>
      <c r="E2038"/>
    </row>
    <row r="2039" spans="2:5" x14ac:dyDescent="0.35">
      <c r="B2039"/>
      <c r="C2039"/>
      <c r="D2039"/>
      <c r="E2039"/>
    </row>
    <row r="2040" spans="2:5" x14ac:dyDescent="0.35">
      <c r="B2040"/>
      <c r="C2040"/>
      <c r="D2040"/>
      <c r="E2040"/>
    </row>
    <row r="2041" spans="2:5" x14ac:dyDescent="0.35">
      <c r="B2041"/>
      <c r="C2041"/>
      <c r="D2041"/>
      <c r="E2041"/>
    </row>
    <row r="2042" spans="2:5" x14ac:dyDescent="0.35">
      <c r="B2042"/>
      <c r="C2042"/>
      <c r="D2042"/>
      <c r="E2042"/>
    </row>
    <row r="2043" spans="2:5" x14ac:dyDescent="0.35">
      <c r="B2043"/>
      <c r="C2043"/>
      <c r="D2043"/>
      <c r="E2043"/>
    </row>
    <row r="2044" spans="2:5" x14ac:dyDescent="0.35">
      <c r="B2044"/>
      <c r="C2044"/>
      <c r="D2044"/>
      <c r="E2044"/>
    </row>
    <row r="2045" spans="2:5" x14ac:dyDescent="0.35">
      <c r="B2045"/>
      <c r="C2045"/>
      <c r="D2045"/>
      <c r="E2045"/>
    </row>
    <row r="2046" spans="2:5" x14ac:dyDescent="0.35">
      <c r="B2046"/>
      <c r="C2046"/>
      <c r="D2046"/>
      <c r="E2046"/>
    </row>
    <row r="2047" spans="2:5" x14ac:dyDescent="0.35">
      <c r="B2047"/>
      <c r="C2047"/>
      <c r="D2047"/>
      <c r="E2047"/>
    </row>
    <row r="2048" spans="2:5" x14ac:dyDescent="0.35">
      <c r="B2048"/>
      <c r="C2048"/>
      <c r="D2048"/>
      <c r="E2048"/>
    </row>
    <row r="2049" spans="2:5" x14ac:dyDescent="0.35">
      <c r="B2049"/>
      <c r="C2049"/>
      <c r="D2049"/>
      <c r="E2049"/>
    </row>
    <row r="2050" spans="2:5" x14ac:dyDescent="0.35">
      <c r="B2050"/>
      <c r="C2050"/>
      <c r="D2050"/>
      <c r="E2050"/>
    </row>
    <row r="2051" spans="2:5" x14ac:dyDescent="0.35">
      <c r="B2051"/>
      <c r="C2051"/>
      <c r="D2051"/>
      <c r="E2051"/>
    </row>
    <row r="2052" spans="2:5" x14ac:dyDescent="0.35">
      <c r="B2052"/>
      <c r="C2052"/>
      <c r="D2052"/>
      <c r="E2052"/>
    </row>
    <row r="2053" spans="2:5" x14ac:dyDescent="0.35">
      <c r="B2053"/>
      <c r="C2053"/>
      <c r="D2053"/>
      <c r="E2053"/>
    </row>
    <row r="2054" spans="2:5" x14ac:dyDescent="0.35">
      <c r="B2054"/>
      <c r="C2054"/>
      <c r="D2054"/>
      <c r="E2054"/>
    </row>
    <row r="2055" spans="2:5" x14ac:dyDescent="0.35">
      <c r="B2055"/>
      <c r="C2055"/>
      <c r="D2055"/>
      <c r="E2055"/>
    </row>
    <row r="2056" spans="2:5" x14ac:dyDescent="0.35">
      <c r="B2056"/>
      <c r="C2056"/>
      <c r="D2056"/>
      <c r="E2056"/>
    </row>
    <row r="2057" spans="2:5" x14ac:dyDescent="0.35">
      <c r="B2057"/>
      <c r="C2057"/>
      <c r="D2057"/>
      <c r="E2057"/>
    </row>
    <row r="2058" spans="2:5" x14ac:dyDescent="0.35">
      <c r="B2058"/>
      <c r="C2058"/>
      <c r="D2058"/>
      <c r="E2058"/>
    </row>
    <row r="2059" spans="2:5" x14ac:dyDescent="0.35">
      <c r="B2059"/>
      <c r="C2059"/>
      <c r="D2059"/>
      <c r="E2059"/>
    </row>
    <row r="2060" spans="2:5" x14ac:dyDescent="0.35">
      <c r="B2060"/>
      <c r="C2060"/>
      <c r="D2060"/>
      <c r="E2060"/>
    </row>
    <row r="2061" spans="2:5" x14ac:dyDescent="0.35">
      <c r="B2061"/>
      <c r="C2061"/>
      <c r="D2061"/>
      <c r="E2061"/>
    </row>
    <row r="2062" spans="2:5" x14ac:dyDescent="0.35">
      <c r="B2062"/>
      <c r="C2062"/>
      <c r="D2062"/>
      <c r="E2062"/>
    </row>
    <row r="2063" spans="2:5" x14ac:dyDescent="0.35">
      <c r="B2063"/>
      <c r="C2063"/>
      <c r="D2063"/>
      <c r="E2063"/>
    </row>
    <row r="2064" spans="2:5" x14ac:dyDescent="0.35">
      <c r="B2064"/>
      <c r="C2064"/>
      <c r="D2064"/>
      <c r="E2064"/>
    </row>
    <row r="2065" spans="2:5" x14ac:dyDescent="0.35">
      <c r="B2065"/>
      <c r="C2065"/>
      <c r="D2065"/>
      <c r="E2065"/>
    </row>
    <row r="2066" spans="2:5" x14ac:dyDescent="0.35">
      <c r="B2066"/>
      <c r="C2066"/>
      <c r="D2066"/>
      <c r="E2066"/>
    </row>
    <row r="2067" spans="2:5" x14ac:dyDescent="0.35">
      <c r="B2067"/>
      <c r="C2067"/>
      <c r="D2067"/>
      <c r="E2067"/>
    </row>
    <row r="2068" spans="2:5" x14ac:dyDescent="0.35">
      <c r="B2068"/>
      <c r="C2068"/>
      <c r="D2068"/>
      <c r="E2068"/>
    </row>
    <row r="2069" spans="2:5" x14ac:dyDescent="0.35">
      <c r="B2069"/>
      <c r="C2069"/>
      <c r="D2069"/>
      <c r="E2069"/>
    </row>
    <row r="2070" spans="2:5" x14ac:dyDescent="0.35">
      <c r="B2070"/>
      <c r="C2070"/>
      <c r="D2070"/>
      <c r="E2070"/>
    </row>
    <row r="2071" spans="2:5" x14ac:dyDescent="0.35">
      <c r="B2071"/>
      <c r="C2071"/>
      <c r="D2071"/>
      <c r="E2071"/>
    </row>
    <row r="2072" spans="2:5" x14ac:dyDescent="0.35">
      <c r="B2072"/>
      <c r="C2072"/>
      <c r="D2072"/>
      <c r="E2072"/>
    </row>
    <row r="2073" spans="2:5" x14ac:dyDescent="0.35">
      <c r="B2073"/>
      <c r="C2073"/>
      <c r="D2073"/>
      <c r="E2073"/>
    </row>
    <row r="2074" spans="2:5" x14ac:dyDescent="0.35">
      <c r="B2074"/>
      <c r="C2074"/>
      <c r="D2074"/>
      <c r="E2074"/>
    </row>
    <row r="2075" spans="2:5" x14ac:dyDescent="0.35">
      <c r="B2075"/>
      <c r="C2075"/>
      <c r="D2075"/>
      <c r="E2075"/>
    </row>
    <row r="2076" spans="2:5" x14ac:dyDescent="0.35">
      <c r="B2076"/>
      <c r="C2076"/>
      <c r="D2076"/>
      <c r="E2076"/>
    </row>
    <row r="2077" spans="2:5" x14ac:dyDescent="0.35">
      <c r="B2077"/>
      <c r="C2077"/>
      <c r="D2077"/>
      <c r="E2077"/>
    </row>
    <row r="2078" spans="2:5" x14ac:dyDescent="0.35">
      <c r="B2078"/>
      <c r="C2078"/>
      <c r="D2078"/>
      <c r="E2078"/>
    </row>
    <row r="2079" spans="2:5" x14ac:dyDescent="0.35">
      <c r="B2079"/>
      <c r="C2079"/>
      <c r="D2079"/>
      <c r="E2079"/>
    </row>
    <row r="2080" spans="2:5" x14ac:dyDescent="0.35">
      <c r="B2080"/>
      <c r="C2080"/>
      <c r="D2080"/>
      <c r="E2080"/>
    </row>
    <row r="2081" spans="2:5" x14ac:dyDescent="0.35">
      <c r="B2081"/>
      <c r="C2081"/>
      <c r="D2081"/>
      <c r="E2081"/>
    </row>
    <row r="2082" spans="2:5" x14ac:dyDescent="0.35">
      <c r="B2082"/>
      <c r="C2082"/>
      <c r="D2082"/>
      <c r="E2082"/>
    </row>
    <row r="2083" spans="2:5" x14ac:dyDescent="0.35">
      <c r="B2083"/>
      <c r="C2083"/>
      <c r="D2083"/>
      <c r="E2083"/>
    </row>
    <row r="2084" spans="2:5" x14ac:dyDescent="0.35">
      <c r="B2084"/>
      <c r="C2084"/>
      <c r="D2084"/>
      <c r="E2084"/>
    </row>
    <row r="2085" spans="2:5" x14ac:dyDescent="0.35">
      <c r="B2085"/>
      <c r="C2085"/>
      <c r="D2085"/>
      <c r="E2085"/>
    </row>
    <row r="2086" spans="2:5" x14ac:dyDescent="0.35">
      <c r="B2086"/>
      <c r="C2086"/>
      <c r="D2086"/>
      <c r="E2086"/>
    </row>
    <row r="2087" spans="2:5" x14ac:dyDescent="0.35">
      <c r="B2087"/>
      <c r="C2087"/>
      <c r="D2087"/>
      <c r="E2087"/>
    </row>
    <row r="2088" spans="2:5" x14ac:dyDescent="0.35">
      <c r="B2088"/>
      <c r="C2088"/>
      <c r="D2088"/>
      <c r="E2088"/>
    </row>
    <row r="2089" spans="2:5" x14ac:dyDescent="0.35">
      <c r="B2089"/>
      <c r="C2089"/>
      <c r="D2089"/>
      <c r="E2089"/>
    </row>
    <row r="2090" spans="2:5" x14ac:dyDescent="0.35">
      <c r="B2090"/>
      <c r="C2090"/>
      <c r="D2090"/>
      <c r="E2090"/>
    </row>
    <row r="2091" spans="2:5" x14ac:dyDescent="0.35">
      <c r="B2091"/>
      <c r="C2091"/>
      <c r="D2091"/>
      <c r="E2091"/>
    </row>
    <row r="2092" spans="2:5" x14ac:dyDescent="0.35">
      <c r="B2092"/>
      <c r="C2092"/>
      <c r="D2092"/>
      <c r="E2092"/>
    </row>
    <row r="2093" spans="2:5" x14ac:dyDescent="0.35">
      <c r="B2093"/>
      <c r="C2093"/>
      <c r="D2093"/>
      <c r="E2093"/>
    </row>
    <row r="2094" spans="2:5" x14ac:dyDescent="0.35">
      <c r="B2094"/>
      <c r="C2094"/>
      <c r="D2094"/>
      <c r="E2094"/>
    </row>
    <row r="2095" spans="2:5" x14ac:dyDescent="0.35">
      <c r="B2095"/>
      <c r="C2095"/>
      <c r="D2095"/>
      <c r="E2095"/>
    </row>
    <row r="2096" spans="2:5" x14ac:dyDescent="0.35">
      <c r="B2096"/>
      <c r="C2096"/>
      <c r="D2096"/>
      <c r="E2096"/>
    </row>
    <row r="2097" spans="2:5" x14ac:dyDescent="0.35">
      <c r="B2097"/>
      <c r="C2097"/>
      <c r="D2097"/>
      <c r="E2097"/>
    </row>
    <row r="2098" spans="2:5" x14ac:dyDescent="0.35">
      <c r="B2098"/>
      <c r="C2098"/>
      <c r="D2098"/>
      <c r="E2098"/>
    </row>
    <row r="2099" spans="2:5" x14ac:dyDescent="0.35">
      <c r="B2099"/>
      <c r="C2099"/>
      <c r="D2099"/>
      <c r="E2099"/>
    </row>
    <row r="2100" spans="2:5" x14ac:dyDescent="0.35">
      <c r="B2100"/>
      <c r="C2100"/>
      <c r="D2100"/>
      <c r="E2100"/>
    </row>
    <row r="2101" spans="2:5" x14ac:dyDescent="0.35">
      <c r="B2101"/>
      <c r="C2101"/>
      <c r="D2101"/>
      <c r="E2101"/>
    </row>
    <row r="2102" spans="2:5" x14ac:dyDescent="0.35">
      <c r="B2102"/>
      <c r="C2102"/>
      <c r="D2102"/>
      <c r="E2102"/>
    </row>
    <row r="2103" spans="2:5" x14ac:dyDescent="0.35">
      <c r="B2103"/>
      <c r="C2103"/>
      <c r="D2103"/>
      <c r="E2103"/>
    </row>
    <row r="2104" spans="2:5" x14ac:dyDescent="0.35">
      <c r="B2104"/>
      <c r="C2104"/>
      <c r="D2104"/>
      <c r="E2104"/>
    </row>
    <row r="2105" spans="2:5" x14ac:dyDescent="0.35">
      <c r="B2105"/>
      <c r="C2105"/>
      <c r="D2105"/>
      <c r="E2105"/>
    </row>
    <row r="2106" spans="2:5" x14ac:dyDescent="0.35">
      <c r="B2106"/>
      <c r="C2106"/>
      <c r="D2106"/>
      <c r="E2106"/>
    </row>
    <row r="2107" spans="2:5" x14ac:dyDescent="0.35">
      <c r="B2107"/>
      <c r="C2107"/>
      <c r="D2107"/>
      <c r="E2107"/>
    </row>
    <row r="2108" spans="2:5" x14ac:dyDescent="0.35">
      <c r="B2108"/>
      <c r="C2108"/>
      <c r="D2108"/>
      <c r="E2108"/>
    </row>
    <row r="2109" spans="2:5" x14ac:dyDescent="0.35">
      <c r="B2109"/>
      <c r="C2109"/>
      <c r="D2109"/>
      <c r="E2109"/>
    </row>
    <row r="2110" spans="2:5" x14ac:dyDescent="0.35">
      <c r="B2110"/>
      <c r="C2110"/>
      <c r="D2110"/>
      <c r="E2110"/>
    </row>
    <row r="2111" spans="2:5" x14ac:dyDescent="0.35">
      <c r="B2111"/>
      <c r="C2111"/>
      <c r="D2111"/>
      <c r="E2111"/>
    </row>
    <row r="2112" spans="2:5" x14ac:dyDescent="0.35">
      <c r="B2112"/>
      <c r="C2112"/>
      <c r="D2112"/>
      <c r="E2112"/>
    </row>
    <row r="2113" spans="2:5" x14ac:dyDescent="0.35">
      <c r="B2113"/>
      <c r="C2113"/>
      <c r="D2113"/>
      <c r="E2113"/>
    </row>
    <row r="2114" spans="2:5" x14ac:dyDescent="0.35">
      <c r="B2114"/>
      <c r="C2114"/>
      <c r="D2114"/>
      <c r="E2114"/>
    </row>
    <row r="2115" spans="2:5" x14ac:dyDescent="0.35">
      <c r="B2115"/>
      <c r="C2115"/>
      <c r="D2115"/>
      <c r="E2115"/>
    </row>
    <row r="2116" spans="2:5" x14ac:dyDescent="0.35">
      <c r="B2116"/>
      <c r="C2116"/>
      <c r="D2116"/>
      <c r="E2116"/>
    </row>
    <row r="2117" spans="2:5" x14ac:dyDescent="0.35">
      <c r="B2117"/>
      <c r="C2117"/>
      <c r="D2117"/>
      <c r="E2117"/>
    </row>
    <row r="2118" spans="2:5" x14ac:dyDescent="0.35">
      <c r="B2118"/>
      <c r="C2118"/>
      <c r="D2118"/>
      <c r="E2118"/>
    </row>
    <row r="2119" spans="2:5" x14ac:dyDescent="0.35">
      <c r="B2119"/>
      <c r="C2119"/>
      <c r="D2119"/>
      <c r="E2119"/>
    </row>
    <row r="2120" spans="2:5" x14ac:dyDescent="0.35">
      <c r="B2120"/>
      <c r="C2120"/>
      <c r="D2120"/>
      <c r="E2120"/>
    </row>
    <row r="2121" spans="2:5" x14ac:dyDescent="0.35">
      <c r="B2121"/>
      <c r="C2121"/>
      <c r="D2121"/>
      <c r="E2121"/>
    </row>
    <row r="2122" spans="2:5" x14ac:dyDescent="0.35">
      <c r="B2122"/>
      <c r="C2122"/>
      <c r="D2122"/>
      <c r="E2122"/>
    </row>
    <row r="2123" spans="2:5" x14ac:dyDescent="0.35">
      <c r="B2123"/>
      <c r="C2123"/>
      <c r="D2123"/>
      <c r="E2123"/>
    </row>
    <row r="2124" spans="2:5" x14ac:dyDescent="0.35">
      <c r="B2124"/>
      <c r="C2124"/>
      <c r="D2124"/>
      <c r="E2124"/>
    </row>
    <row r="2125" spans="2:5" x14ac:dyDescent="0.35">
      <c r="B2125"/>
      <c r="C2125"/>
      <c r="D2125"/>
      <c r="E2125"/>
    </row>
    <row r="2126" spans="2:5" x14ac:dyDescent="0.35">
      <c r="B2126"/>
      <c r="C2126"/>
      <c r="D2126"/>
      <c r="E2126"/>
    </row>
    <row r="2127" spans="2:5" x14ac:dyDescent="0.35">
      <c r="B2127"/>
      <c r="C2127"/>
      <c r="D2127"/>
      <c r="E2127"/>
    </row>
    <row r="2128" spans="2:5" x14ac:dyDescent="0.35">
      <c r="B2128"/>
      <c r="C2128"/>
      <c r="D2128"/>
      <c r="E2128"/>
    </row>
    <row r="2129" spans="2:5" x14ac:dyDescent="0.35">
      <c r="B2129"/>
      <c r="C2129"/>
      <c r="D2129"/>
      <c r="E2129"/>
    </row>
    <row r="2130" spans="2:5" x14ac:dyDescent="0.35">
      <c r="B2130"/>
      <c r="C2130"/>
      <c r="D2130"/>
      <c r="E2130"/>
    </row>
    <row r="2131" spans="2:5" x14ac:dyDescent="0.35">
      <c r="B2131"/>
      <c r="C2131"/>
      <c r="D2131"/>
      <c r="E2131"/>
    </row>
    <row r="2132" spans="2:5" x14ac:dyDescent="0.35">
      <c r="B2132"/>
      <c r="C2132"/>
      <c r="D2132"/>
      <c r="E2132"/>
    </row>
    <row r="2133" spans="2:5" x14ac:dyDescent="0.35">
      <c r="B2133"/>
      <c r="C2133"/>
      <c r="D2133"/>
      <c r="E2133"/>
    </row>
    <row r="2134" spans="2:5" x14ac:dyDescent="0.35">
      <c r="B2134"/>
      <c r="C2134"/>
      <c r="D2134"/>
      <c r="E2134"/>
    </row>
    <row r="2135" spans="2:5" x14ac:dyDescent="0.35">
      <c r="B2135"/>
      <c r="C2135"/>
      <c r="D2135"/>
      <c r="E2135"/>
    </row>
    <row r="2136" spans="2:5" x14ac:dyDescent="0.35">
      <c r="B2136"/>
      <c r="C2136"/>
      <c r="D2136"/>
      <c r="E2136"/>
    </row>
    <row r="2137" spans="2:5" x14ac:dyDescent="0.35">
      <c r="B2137"/>
      <c r="C2137"/>
      <c r="D2137"/>
      <c r="E2137"/>
    </row>
    <row r="2138" spans="2:5" x14ac:dyDescent="0.35">
      <c r="B2138"/>
      <c r="C2138"/>
      <c r="D2138"/>
      <c r="E2138"/>
    </row>
    <row r="2139" spans="2:5" x14ac:dyDescent="0.35">
      <c r="B2139"/>
      <c r="C2139"/>
      <c r="D2139"/>
      <c r="E2139"/>
    </row>
    <row r="2140" spans="2:5" x14ac:dyDescent="0.35">
      <c r="B2140"/>
      <c r="C2140"/>
      <c r="D2140"/>
      <c r="E2140"/>
    </row>
    <row r="2141" spans="2:5" x14ac:dyDescent="0.35">
      <c r="B2141"/>
      <c r="C2141"/>
      <c r="D2141"/>
      <c r="E2141"/>
    </row>
    <row r="2142" spans="2:5" x14ac:dyDescent="0.35">
      <c r="B2142"/>
      <c r="C2142"/>
      <c r="D2142"/>
      <c r="E2142"/>
    </row>
    <row r="2143" spans="2:5" x14ac:dyDescent="0.35">
      <c r="B2143"/>
      <c r="C2143"/>
      <c r="D2143"/>
      <c r="E2143"/>
    </row>
    <row r="2144" spans="2:5" x14ac:dyDescent="0.35">
      <c r="B2144"/>
      <c r="C2144"/>
      <c r="D2144"/>
      <c r="E2144"/>
    </row>
    <row r="2145" spans="2:5" x14ac:dyDescent="0.35">
      <c r="B2145"/>
      <c r="C2145"/>
      <c r="D2145"/>
      <c r="E2145"/>
    </row>
    <row r="2146" spans="2:5" x14ac:dyDescent="0.35">
      <c r="B2146"/>
      <c r="C2146"/>
      <c r="D2146"/>
      <c r="E2146"/>
    </row>
    <row r="2147" spans="2:5" x14ac:dyDescent="0.35">
      <c r="B2147"/>
      <c r="C2147"/>
      <c r="D2147"/>
      <c r="E2147"/>
    </row>
    <row r="2148" spans="2:5" x14ac:dyDescent="0.35">
      <c r="B2148"/>
      <c r="C2148"/>
      <c r="D2148"/>
      <c r="E2148"/>
    </row>
    <row r="2149" spans="2:5" x14ac:dyDescent="0.35">
      <c r="B2149"/>
      <c r="C2149"/>
      <c r="D2149"/>
      <c r="E2149"/>
    </row>
    <row r="2150" spans="2:5" x14ac:dyDescent="0.35">
      <c r="B2150"/>
      <c r="C2150"/>
      <c r="D2150"/>
      <c r="E2150"/>
    </row>
    <row r="2151" spans="2:5" x14ac:dyDescent="0.35">
      <c r="B2151"/>
      <c r="C2151"/>
      <c r="D2151"/>
      <c r="E2151"/>
    </row>
    <row r="2152" spans="2:5" x14ac:dyDescent="0.35">
      <c r="B2152"/>
      <c r="C2152"/>
      <c r="D2152"/>
      <c r="E2152"/>
    </row>
    <row r="2153" spans="2:5" x14ac:dyDescent="0.35">
      <c r="B2153"/>
      <c r="C2153"/>
      <c r="D2153"/>
      <c r="E2153"/>
    </row>
    <row r="2154" spans="2:5" x14ac:dyDescent="0.35">
      <c r="B2154"/>
      <c r="C2154"/>
      <c r="D2154"/>
      <c r="E2154"/>
    </row>
    <row r="2155" spans="2:5" x14ac:dyDescent="0.35">
      <c r="B2155"/>
      <c r="C2155"/>
      <c r="D2155"/>
      <c r="E2155"/>
    </row>
    <row r="2156" spans="2:5" x14ac:dyDescent="0.35">
      <c r="B2156"/>
      <c r="C2156"/>
      <c r="D2156"/>
      <c r="E2156"/>
    </row>
    <row r="2157" spans="2:5" x14ac:dyDescent="0.35">
      <c r="B2157"/>
      <c r="C2157"/>
      <c r="D2157"/>
      <c r="E2157"/>
    </row>
    <row r="2158" spans="2:5" x14ac:dyDescent="0.35">
      <c r="B2158"/>
      <c r="C2158"/>
      <c r="D2158"/>
      <c r="E2158"/>
    </row>
    <row r="2159" spans="2:5" x14ac:dyDescent="0.35">
      <c r="B2159"/>
      <c r="C2159"/>
      <c r="D2159"/>
      <c r="E2159"/>
    </row>
    <row r="2160" spans="2:5" x14ac:dyDescent="0.35">
      <c r="B2160"/>
      <c r="C2160"/>
      <c r="D2160"/>
      <c r="E2160"/>
    </row>
    <row r="2161" spans="2:5" x14ac:dyDescent="0.35">
      <c r="B2161"/>
      <c r="C2161"/>
      <c r="D2161"/>
      <c r="E2161"/>
    </row>
    <row r="2162" spans="2:5" x14ac:dyDescent="0.35">
      <c r="B2162"/>
      <c r="C2162"/>
      <c r="D2162"/>
      <c r="E2162"/>
    </row>
    <row r="2163" spans="2:5" x14ac:dyDescent="0.35">
      <c r="B2163"/>
      <c r="C2163"/>
      <c r="D2163"/>
      <c r="E2163"/>
    </row>
    <row r="2164" spans="2:5" x14ac:dyDescent="0.35">
      <c r="B2164"/>
      <c r="C2164"/>
      <c r="D2164"/>
      <c r="E2164"/>
    </row>
    <row r="2165" spans="2:5" x14ac:dyDescent="0.35">
      <c r="B2165"/>
      <c r="C2165"/>
      <c r="D2165"/>
      <c r="E2165"/>
    </row>
    <row r="2166" spans="2:5" x14ac:dyDescent="0.35">
      <c r="B2166"/>
      <c r="C2166"/>
      <c r="D2166"/>
      <c r="E2166"/>
    </row>
    <row r="2167" spans="2:5" x14ac:dyDescent="0.35">
      <c r="B2167"/>
      <c r="C2167"/>
      <c r="D2167"/>
      <c r="E2167"/>
    </row>
    <row r="2168" spans="2:5" x14ac:dyDescent="0.35">
      <c r="B2168"/>
      <c r="C2168"/>
      <c r="D2168"/>
      <c r="E2168"/>
    </row>
    <row r="2169" spans="2:5" x14ac:dyDescent="0.35">
      <c r="B2169"/>
      <c r="C2169"/>
      <c r="D2169"/>
      <c r="E2169"/>
    </row>
    <row r="2170" spans="2:5" x14ac:dyDescent="0.35">
      <c r="B2170"/>
      <c r="C2170"/>
      <c r="D2170"/>
      <c r="E2170"/>
    </row>
    <row r="2171" spans="2:5" x14ac:dyDescent="0.35">
      <c r="B2171"/>
      <c r="C2171"/>
      <c r="D2171"/>
      <c r="E2171"/>
    </row>
    <row r="2172" spans="2:5" x14ac:dyDescent="0.35">
      <c r="B2172"/>
      <c r="C2172"/>
      <c r="D2172"/>
      <c r="E2172"/>
    </row>
    <row r="2173" spans="2:5" x14ac:dyDescent="0.35">
      <c r="B2173"/>
      <c r="C2173"/>
      <c r="D2173"/>
      <c r="E2173"/>
    </row>
    <row r="2174" spans="2:5" x14ac:dyDescent="0.35">
      <c r="B2174"/>
      <c r="C2174"/>
      <c r="D2174"/>
      <c r="E2174"/>
    </row>
    <row r="2175" spans="2:5" x14ac:dyDescent="0.35">
      <c r="B2175"/>
      <c r="C2175"/>
      <c r="D2175"/>
      <c r="E2175"/>
    </row>
    <row r="2176" spans="2:5" x14ac:dyDescent="0.35">
      <c r="B2176"/>
      <c r="C2176"/>
      <c r="D2176"/>
      <c r="E2176"/>
    </row>
    <row r="2177" spans="2:5" x14ac:dyDescent="0.35">
      <c r="B2177"/>
      <c r="C2177"/>
      <c r="D2177"/>
      <c r="E2177"/>
    </row>
    <row r="2178" spans="2:5" x14ac:dyDescent="0.35">
      <c r="B2178"/>
      <c r="C2178"/>
      <c r="D2178"/>
      <c r="E2178"/>
    </row>
    <row r="2179" spans="2:5" x14ac:dyDescent="0.35">
      <c r="B2179"/>
      <c r="C2179"/>
      <c r="D2179"/>
      <c r="E2179"/>
    </row>
    <row r="2180" spans="2:5" x14ac:dyDescent="0.35">
      <c r="B2180"/>
      <c r="C2180"/>
      <c r="D2180"/>
      <c r="E2180"/>
    </row>
    <row r="2181" spans="2:5" x14ac:dyDescent="0.35">
      <c r="B2181"/>
      <c r="C2181"/>
      <c r="D2181"/>
      <c r="E2181"/>
    </row>
    <row r="2182" spans="2:5" x14ac:dyDescent="0.35">
      <c r="B2182"/>
      <c r="C2182"/>
      <c r="D2182"/>
      <c r="E2182"/>
    </row>
    <row r="2183" spans="2:5" x14ac:dyDescent="0.35">
      <c r="B2183"/>
      <c r="C2183"/>
      <c r="D2183"/>
      <c r="E2183"/>
    </row>
    <row r="2184" spans="2:5" x14ac:dyDescent="0.35">
      <c r="B2184"/>
      <c r="C2184"/>
      <c r="D2184"/>
      <c r="E2184"/>
    </row>
    <row r="2185" spans="2:5" x14ac:dyDescent="0.35">
      <c r="B2185"/>
      <c r="C2185"/>
      <c r="D2185"/>
      <c r="E2185"/>
    </row>
    <row r="2186" spans="2:5" x14ac:dyDescent="0.35">
      <c r="B2186"/>
      <c r="C2186"/>
      <c r="D2186"/>
      <c r="E2186"/>
    </row>
    <row r="2187" spans="2:5" x14ac:dyDescent="0.35">
      <c r="B2187"/>
      <c r="C2187"/>
      <c r="D2187"/>
      <c r="E2187"/>
    </row>
    <row r="2188" spans="2:5" x14ac:dyDescent="0.35">
      <c r="B2188"/>
      <c r="C2188"/>
      <c r="D2188"/>
      <c r="E2188"/>
    </row>
    <row r="2189" spans="2:5" x14ac:dyDescent="0.35">
      <c r="B2189"/>
      <c r="C2189"/>
      <c r="D2189"/>
      <c r="E2189"/>
    </row>
    <row r="2190" spans="2:5" x14ac:dyDescent="0.35">
      <c r="B2190"/>
      <c r="C2190"/>
      <c r="D2190"/>
      <c r="E2190"/>
    </row>
    <row r="2191" spans="2:5" x14ac:dyDescent="0.35">
      <c r="B2191"/>
      <c r="C2191"/>
      <c r="D2191"/>
      <c r="E2191"/>
    </row>
    <row r="2192" spans="2:5" x14ac:dyDescent="0.35">
      <c r="B2192"/>
      <c r="C2192"/>
      <c r="D2192"/>
      <c r="E2192"/>
    </row>
    <row r="2193" spans="2:5" x14ac:dyDescent="0.35">
      <c r="B2193"/>
      <c r="C2193"/>
      <c r="D2193"/>
      <c r="E2193"/>
    </row>
    <row r="2194" spans="2:5" x14ac:dyDescent="0.35">
      <c r="B2194"/>
      <c r="C2194"/>
      <c r="D2194"/>
      <c r="E2194"/>
    </row>
    <row r="2195" spans="2:5" x14ac:dyDescent="0.35">
      <c r="B2195"/>
      <c r="C2195"/>
      <c r="D2195"/>
      <c r="E2195"/>
    </row>
    <row r="2196" spans="2:5" x14ac:dyDescent="0.35">
      <c r="B2196"/>
      <c r="C2196"/>
      <c r="D2196"/>
      <c r="E2196"/>
    </row>
    <row r="2197" spans="2:5" x14ac:dyDescent="0.35">
      <c r="B2197"/>
      <c r="C2197"/>
      <c r="D2197"/>
      <c r="E2197"/>
    </row>
    <row r="2198" spans="2:5" x14ac:dyDescent="0.35">
      <c r="B2198"/>
      <c r="C2198"/>
      <c r="D2198"/>
      <c r="E2198"/>
    </row>
    <row r="2199" spans="2:5" x14ac:dyDescent="0.35">
      <c r="B2199"/>
      <c r="C2199"/>
      <c r="D2199"/>
      <c r="E2199"/>
    </row>
    <row r="2200" spans="2:5" x14ac:dyDescent="0.35">
      <c r="B2200"/>
      <c r="C2200"/>
      <c r="D2200"/>
      <c r="E2200"/>
    </row>
    <row r="2201" spans="2:5" x14ac:dyDescent="0.35">
      <c r="B2201"/>
      <c r="C2201"/>
      <c r="D2201"/>
      <c r="E2201"/>
    </row>
    <row r="2202" spans="2:5" x14ac:dyDescent="0.35">
      <c r="B2202"/>
      <c r="C2202"/>
      <c r="D2202"/>
      <c r="E2202"/>
    </row>
    <row r="2203" spans="2:5" x14ac:dyDescent="0.35">
      <c r="B2203"/>
      <c r="C2203"/>
      <c r="D2203"/>
      <c r="E2203"/>
    </row>
    <row r="2204" spans="2:5" x14ac:dyDescent="0.35">
      <c r="B2204"/>
      <c r="C2204"/>
      <c r="D2204"/>
      <c r="E2204"/>
    </row>
    <row r="2205" spans="2:5" x14ac:dyDescent="0.35">
      <c r="B2205"/>
      <c r="C2205"/>
      <c r="D2205"/>
      <c r="E2205"/>
    </row>
    <row r="2206" spans="2:5" x14ac:dyDescent="0.35">
      <c r="B2206"/>
      <c r="C2206"/>
      <c r="D2206"/>
      <c r="E2206"/>
    </row>
    <row r="2207" spans="2:5" x14ac:dyDescent="0.35">
      <c r="B2207"/>
      <c r="C2207"/>
      <c r="D2207"/>
      <c r="E2207"/>
    </row>
    <row r="2208" spans="2:5" x14ac:dyDescent="0.35">
      <c r="B2208"/>
      <c r="C2208"/>
      <c r="D2208"/>
      <c r="E2208"/>
    </row>
    <row r="2209" spans="2:5" x14ac:dyDescent="0.35">
      <c r="B2209"/>
      <c r="C2209"/>
      <c r="D2209"/>
      <c r="E2209"/>
    </row>
    <row r="2210" spans="2:5" x14ac:dyDescent="0.35">
      <c r="B2210"/>
      <c r="C2210"/>
      <c r="D2210"/>
      <c r="E2210"/>
    </row>
    <row r="2211" spans="2:5" x14ac:dyDescent="0.35">
      <c r="B2211"/>
      <c r="C2211"/>
      <c r="D2211"/>
      <c r="E2211"/>
    </row>
    <row r="2212" spans="2:5" x14ac:dyDescent="0.35">
      <c r="B2212"/>
      <c r="C2212"/>
      <c r="D2212"/>
      <c r="E2212"/>
    </row>
    <row r="2213" spans="2:5" x14ac:dyDescent="0.35">
      <c r="B2213"/>
      <c r="C2213"/>
      <c r="D2213"/>
      <c r="E2213"/>
    </row>
    <row r="2214" spans="2:5" x14ac:dyDescent="0.35">
      <c r="B2214"/>
      <c r="C2214"/>
      <c r="D2214"/>
      <c r="E2214"/>
    </row>
    <row r="2215" spans="2:5" x14ac:dyDescent="0.35">
      <c r="B2215"/>
      <c r="C2215"/>
      <c r="D2215"/>
      <c r="E2215"/>
    </row>
    <row r="2216" spans="2:5" x14ac:dyDescent="0.35">
      <c r="B2216"/>
      <c r="C2216"/>
      <c r="D2216"/>
      <c r="E2216"/>
    </row>
    <row r="2217" spans="2:5" x14ac:dyDescent="0.35">
      <c r="B2217"/>
      <c r="C2217"/>
      <c r="D2217"/>
      <c r="E2217"/>
    </row>
    <row r="2218" spans="2:5" x14ac:dyDescent="0.35">
      <c r="B2218"/>
      <c r="C2218"/>
      <c r="D2218"/>
      <c r="E2218"/>
    </row>
    <row r="2219" spans="2:5" x14ac:dyDescent="0.35">
      <c r="B2219"/>
      <c r="C2219"/>
      <c r="D2219"/>
      <c r="E2219"/>
    </row>
    <row r="2220" spans="2:5" x14ac:dyDescent="0.35">
      <c r="B2220"/>
      <c r="C2220"/>
      <c r="D2220"/>
      <c r="E2220"/>
    </row>
    <row r="2221" spans="2:5" x14ac:dyDescent="0.35">
      <c r="B2221"/>
      <c r="C2221"/>
      <c r="D2221"/>
      <c r="E2221"/>
    </row>
    <row r="2222" spans="2:5" x14ac:dyDescent="0.35">
      <c r="B2222"/>
      <c r="C2222"/>
      <c r="D2222"/>
      <c r="E2222"/>
    </row>
    <row r="2223" spans="2:5" x14ac:dyDescent="0.35">
      <c r="B2223"/>
      <c r="C2223"/>
      <c r="D2223"/>
      <c r="E2223"/>
    </row>
    <row r="2224" spans="2:5" x14ac:dyDescent="0.35">
      <c r="B2224"/>
      <c r="C2224"/>
      <c r="D2224"/>
      <c r="E2224"/>
    </row>
    <row r="2225" spans="2:5" x14ac:dyDescent="0.35">
      <c r="B2225"/>
      <c r="C2225"/>
      <c r="D2225"/>
      <c r="E2225"/>
    </row>
    <row r="2226" spans="2:5" x14ac:dyDescent="0.35">
      <c r="B2226"/>
      <c r="C2226"/>
      <c r="D2226"/>
      <c r="E2226"/>
    </row>
    <row r="2227" spans="2:5" x14ac:dyDescent="0.35">
      <c r="B2227"/>
      <c r="C2227"/>
      <c r="D2227"/>
      <c r="E2227"/>
    </row>
    <row r="2228" spans="2:5" x14ac:dyDescent="0.35">
      <c r="B2228"/>
      <c r="C2228"/>
      <c r="D2228"/>
      <c r="E2228"/>
    </row>
    <row r="2229" spans="2:5" x14ac:dyDescent="0.35">
      <c r="B2229"/>
      <c r="C2229"/>
      <c r="D2229"/>
      <c r="E2229"/>
    </row>
    <row r="2230" spans="2:5" x14ac:dyDescent="0.35">
      <c r="B2230"/>
      <c r="C2230"/>
      <c r="D2230"/>
      <c r="E2230"/>
    </row>
    <row r="2231" spans="2:5" x14ac:dyDescent="0.35">
      <c r="B2231"/>
      <c r="C2231"/>
      <c r="D2231"/>
      <c r="E2231"/>
    </row>
    <row r="2232" spans="2:5" x14ac:dyDescent="0.35">
      <c r="B2232"/>
      <c r="C2232"/>
      <c r="D2232"/>
      <c r="E2232"/>
    </row>
    <row r="2233" spans="2:5" x14ac:dyDescent="0.35">
      <c r="B2233"/>
      <c r="C2233"/>
      <c r="D2233"/>
      <c r="E2233"/>
    </row>
    <row r="2234" spans="2:5" x14ac:dyDescent="0.35">
      <c r="B2234"/>
      <c r="C2234"/>
      <c r="D2234"/>
      <c r="E2234"/>
    </row>
    <row r="2235" spans="2:5" x14ac:dyDescent="0.35">
      <c r="B2235"/>
      <c r="C2235"/>
      <c r="D2235"/>
      <c r="E2235"/>
    </row>
    <row r="2236" spans="2:5" x14ac:dyDescent="0.35">
      <c r="B2236"/>
      <c r="C2236"/>
      <c r="D2236"/>
      <c r="E2236"/>
    </row>
    <row r="2237" spans="2:5" x14ac:dyDescent="0.35">
      <c r="B2237"/>
      <c r="C2237"/>
      <c r="D2237"/>
      <c r="E2237"/>
    </row>
    <row r="2238" spans="2:5" x14ac:dyDescent="0.35">
      <c r="B2238"/>
      <c r="C2238"/>
      <c r="D2238"/>
      <c r="E2238"/>
    </row>
    <row r="2239" spans="2:5" x14ac:dyDescent="0.35">
      <c r="B2239"/>
      <c r="C2239"/>
      <c r="D2239"/>
      <c r="E2239"/>
    </row>
    <row r="2240" spans="2:5" x14ac:dyDescent="0.35">
      <c r="B2240"/>
      <c r="C2240"/>
      <c r="D2240"/>
      <c r="E2240"/>
    </row>
    <row r="2241" spans="2:5" x14ac:dyDescent="0.35">
      <c r="B2241"/>
      <c r="C2241"/>
      <c r="D2241"/>
      <c r="E2241"/>
    </row>
    <row r="2242" spans="2:5" x14ac:dyDescent="0.35">
      <c r="B2242"/>
      <c r="C2242"/>
      <c r="D2242"/>
      <c r="E2242"/>
    </row>
    <row r="2243" spans="2:5" x14ac:dyDescent="0.35">
      <c r="B2243"/>
      <c r="C2243"/>
      <c r="D2243"/>
      <c r="E2243"/>
    </row>
    <row r="2244" spans="2:5" x14ac:dyDescent="0.35">
      <c r="B2244"/>
      <c r="C2244"/>
      <c r="D2244"/>
      <c r="E2244"/>
    </row>
    <row r="2245" spans="2:5" x14ac:dyDescent="0.35">
      <c r="B2245"/>
      <c r="C2245"/>
      <c r="D2245"/>
      <c r="E2245"/>
    </row>
    <row r="2246" spans="2:5" x14ac:dyDescent="0.35">
      <c r="B2246"/>
      <c r="C2246"/>
      <c r="D2246"/>
      <c r="E2246"/>
    </row>
    <row r="2247" spans="2:5" x14ac:dyDescent="0.35">
      <c r="B2247"/>
      <c r="C2247"/>
      <c r="D2247"/>
      <c r="E2247"/>
    </row>
    <row r="2248" spans="2:5" x14ac:dyDescent="0.35">
      <c r="B2248"/>
      <c r="C2248"/>
      <c r="D2248"/>
      <c r="E2248"/>
    </row>
    <row r="2249" spans="2:5" x14ac:dyDescent="0.35">
      <c r="B2249"/>
      <c r="C2249"/>
      <c r="D2249"/>
      <c r="E2249"/>
    </row>
    <row r="2250" spans="2:5" x14ac:dyDescent="0.35">
      <c r="B2250"/>
      <c r="C2250"/>
      <c r="D2250"/>
      <c r="E2250"/>
    </row>
    <row r="2251" spans="2:5" x14ac:dyDescent="0.35">
      <c r="B2251"/>
      <c r="C2251"/>
      <c r="D2251"/>
      <c r="E2251"/>
    </row>
    <row r="2252" spans="2:5" x14ac:dyDescent="0.35">
      <c r="B2252"/>
      <c r="C2252"/>
      <c r="D2252"/>
      <c r="E2252"/>
    </row>
    <row r="2253" spans="2:5" x14ac:dyDescent="0.35">
      <c r="B2253"/>
      <c r="C2253"/>
      <c r="D2253"/>
      <c r="E2253"/>
    </row>
    <row r="2254" spans="2:5" x14ac:dyDescent="0.35">
      <c r="B2254"/>
      <c r="C2254"/>
      <c r="D2254"/>
      <c r="E2254"/>
    </row>
    <row r="2255" spans="2:5" x14ac:dyDescent="0.35">
      <c r="B2255"/>
      <c r="C2255"/>
      <c r="D2255"/>
      <c r="E2255"/>
    </row>
    <row r="2256" spans="2:5" x14ac:dyDescent="0.35">
      <c r="B2256"/>
      <c r="C2256"/>
      <c r="D2256"/>
      <c r="E2256"/>
    </row>
    <row r="2257" spans="2:5" x14ac:dyDescent="0.35">
      <c r="B2257"/>
      <c r="C2257"/>
      <c r="D2257"/>
      <c r="E2257"/>
    </row>
    <row r="2258" spans="2:5" x14ac:dyDescent="0.35">
      <c r="B2258"/>
      <c r="C2258"/>
      <c r="D2258"/>
      <c r="E2258"/>
    </row>
    <row r="2259" spans="2:5" x14ac:dyDescent="0.35">
      <c r="B2259"/>
      <c r="C2259"/>
      <c r="D2259"/>
      <c r="E2259"/>
    </row>
    <row r="2260" spans="2:5" x14ac:dyDescent="0.35">
      <c r="B2260"/>
      <c r="C2260"/>
      <c r="D2260"/>
      <c r="E2260"/>
    </row>
    <row r="2261" spans="2:5" x14ac:dyDescent="0.35">
      <c r="B2261"/>
      <c r="C2261"/>
      <c r="D2261"/>
      <c r="E2261"/>
    </row>
    <row r="2262" spans="2:5" x14ac:dyDescent="0.35">
      <c r="B2262"/>
      <c r="C2262"/>
      <c r="D2262"/>
      <c r="E2262"/>
    </row>
    <row r="2263" spans="2:5" x14ac:dyDescent="0.35">
      <c r="B2263"/>
      <c r="C2263"/>
      <c r="D2263"/>
      <c r="E2263"/>
    </row>
    <row r="2264" spans="2:5" x14ac:dyDescent="0.35">
      <c r="B2264"/>
      <c r="C2264"/>
      <c r="D2264"/>
      <c r="E2264"/>
    </row>
    <row r="2265" spans="2:5" x14ac:dyDescent="0.35">
      <c r="B2265"/>
      <c r="C2265"/>
      <c r="D2265"/>
      <c r="E2265"/>
    </row>
    <row r="2266" spans="2:5" x14ac:dyDescent="0.35">
      <c r="B2266"/>
      <c r="C2266"/>
      <c r="D2266"/>
      <c r="E2266"/>
    </row>
    <row r="2267" spans="2:5" x14ac:dyDescent="0.35">
      <c r="B2267"/>
      <c r="C2267"/>
      <c r="D2267"/>
      <c r="E2267"/>
    </row>
    <row r="2268" spans="2:5" x14ac:dyDescent="0.35">
      <c r="B2268"/>
      <c r="C2268"/>
      <c r="D2268"/>
      <c r="E2268"/>
    </row>
    <row r="2269" spans="2:5" x14ac:dyDescent="0.35">
      <c r="B2269"/>
      <c r="C2269"/>
      <c r="D2269"/>
      <c r="E2269"/>
    </row>
    <row r="2270" spans="2:5" x14ac:dyDescent="0.35">
      <c r="B2270"/>
      <c r="C2270"/>
      <c r="D2270"/>
      <c r="E2270"/>
    </row>
    <row r="2271" spans="2:5" x14ac:dyDescent="0.35">
      <c r="B2271"/>
      <c r="C2271"/>
      <c r="D2271"/>
      <c r="E2271"/>
    </row>
    <row r="2272" spans="2:5" x14ac:dyDescent="0.35">
      <c r="B2272"/>
      <c r="C2272"/>
      <c r="D2272"/>
      <c r="E2272"/>
    </row>
    <row r="2273" spans="2:5" x14ac:dyDescent="0.35">
      <c r="B2273"/>
      <c r="C2273"/>
      <c r="D2273"/>
      <c r="E2273"/>
    </row>
    <row r="2274" spans="2:5" x14ac:dyDescent="0.35">
      <c r="B2274"/>
      <c r="C2274"/>
      <c r="D2274"/>
      <c r="E2274"/>
    </row>
    <row r="2275" spans="2:5" x14ac:dyDescent="0.35">
      <c r="B2275"/>
      <c r="C2275"/>
      <c r="D2275"/>
      <c r="E2275"/>
    </row>
    <row r="2276" spans="2:5" x14ac:dyDescent="0.35">
      <c r="B2276"/>
      <c r="C2276"/>
      <c r="D2276"/>
      <c r="E2276"/>
    </row>
    <row r="2277" spans="2:5" x14ac:dyDescent="0.35">
      <c r="B2277"/>
      <c r="C2277"/>
      <c r="D2277"/>
      <c r="E2277"/>
    </row>
    <row r="2278" spans="2:5" x14ac:dyDescent="0.35">
      <c r="B2278"/>
      <c r="C2278"/>
      <c r="D2278"/>
      <c r="E2278"/>
    </row>
    <row r="2279" spans="2:5" x14ac:dyDescent="0.35">
      <c r="B2279"/>
      <c r="C2279"/>
      <c r="D2279"/>
      <c r="E2279"/>
    </row>
    <row r="2280" spans="2:5" x14ac:dyDescent="0.35">
      <c r="B2280"/>
      <c r="C2280"/>
      <c r="D2280"/>
      <c r="E2280"/>
    </row>
    <row r="2281" spans="2:5" x14ac:dyDescent="0.35">
      <c r="B2281"/>
      <c r="C2281"/>
      <c r="D2281"/>
      <c r="E2281"/>
    </row>
    <row r="2282" spans="2:5" x14ac:dyDescent="0.35">
      <c r="B2282"/>
      <c r="C2282"/>
      <c r="D2282"/>
      <c r="E2282"/>
    </row>
    <row r="2283" spans="2:5" x14ac:dyDescent="0.35">
      <c r="B2283"/>
      <c r="C2283"/>
      <c r="D2283"/>
      <c r="E2283"/>
    </row>
    <row r="2284" spans="2:5" x14ac:dyDescent="0.35">
      <c r="B2284"/>
      <c r="C2284"/>
      <c r="D2284"/>
      <c r="E2284"/>
    </row>
    <row r="2285" spans="2:5" x14ac:dyDescent="0.35">
      <c r="B2285"/>
      <c r="C2285"/>
      <c r="D2285"/>
      <c r="E2285"/>
    </row>
    <row r="2286" spans="2:5" x14ac:dyDescent="0.35">
      <c r="B2286"/>
      <c r="C2286"/>
      <c r="D2286"/>
      <c r="E2286"/>
    </row>
    <row r="2287" spans="2:5" x14ac:dyDescent="0.35">
      <c r="B2287"/>
      <c r="C2287"/>
      <c r="D2287"/>
      <c r="E2287"/>
    </row>
    <row r="2288" spans="2:5" x14ac:dyDescent="0.35">
      <c r="B2288"/>
      <c r="C2288"/>
      <c r="D2288"/>
      <c r="E2288"/>
    </row>
    <row r="2289" spans="2:5" x14ac:dyDescent="0.35">
      <c r="B2289"/>
      <c r="C2289"/>
      <c r="D2289"/>
      <c r="E2289"/>
    </row>
    <row r="2290" spans="2:5" x14ac:dyDescent="0.35">
      <c r="B2290"/>
      <c r="C2290"/>
      <c r="D2290"/>
      <c r="E2290"/>
    </row>
    <row r="2291" spans="2:5" x14ac:dyDescent="0.35">
      <c r="B2291"/>
      <c r="C2291"/>
      <c r="D2291"/>
      <c r="E2291"/>
    </row>
    <row r="2292" spans="2:5" x14ac:dyDescent="0.35">
      <c r="B2292"/>
      <c r="C2292"/>
      <c r="D2292"/>
      <c r="E2292"/>
    </row>
    <row r="2293" spans="2:5" x14ac:dyDescent="0.35">
      <c r="B2293"/>
      <c r="C2293"/>
      <c r="D2293"/>
      <c r="E2293"/>
    </row>
    <row r="2294" spans="2:5" x14ac:dyDescent="0.35">
      <c r="B2294"/>
      <c r="C2294"/>
      <c r="D2294"/>
      <c r="E2294"/>
    </row>
    <row r="2295" spans="2:5" x14ac:dyDescent="0.35">
      <c r="B2295"/>
      <c r="C2295"/>
      <c r="D2295"/>
      <c r="E2295"/>
    </row>
    <row r="2296" spans="2:5" x14ac:dyDescent="0.35">
      <c r="B2296"/>
      <c r="C2296"/>
      <c r="D2296"/>
      <c r="E2296"/>
    </row>
    <row r="2297" spans="2:5" x14ac:dyDescent="0.35">
      <c r="B2297"/>
      <c r="C2297"/>
      <c r="D2297"/>
      <c r="E2297"/>
    </row>
    <row r="2298" spans="2:5" x14ac:dyDescent="0.35">
      <c r="B2298"/>
      <c r="C2298"/>
      <c r="D2298"/>
      <c r="E2298"/>
    </row>
    <row r="2299" spans="2:5" x14ac:dyDescent="0.35">
      <c r="B2299"/>
      <c r="C2299"/>
      <c r="D2299"/>
      <c r="E2299"/>
    </row>
    <row r="2300" spans="2:5" x14ac:dyDescent="0.35">
      <c r="B2300"/>
      <c r="C2300"/>
      <c r="D2300"/>
      <c r="E2300"/>
    </row>
    <row r="2301" spans="2:5" x14ac:dyDescent="0.35">
      <c r="B2301"/>
      <c r="C2301"/>
      <c r="D2301"/>
      <c r="E2301"/>
    </row>
    <row r="2302" spans="2:5" x14ac:dyDescent="0.35">
      <c r="B2302"/>
      <c r="C2302"/>
      <c r="D2302"/>
      <c r="E2302"/>
    </row>
    <row r="2303" spans="2:5" x14ac:dyDescent="0.35">
      <c r="B2303"/>
      <c r="C2303"/>
      <c r="D2303"/>
      <c r="E2303"/>
    </row>
    <row r="2304" spans="2:5" x14ac:dyDescent="0.35">
      <c r="B2304"/>
      <c r="C2304"/>
      <c r="D2304"/>
      <c r="E2304"/>
    </row>
    <row r="2305" spans="2:5" x14ac:dyDescent="0.35">
      <c r="B2305"/>
      <c r="C2305"/>
      <c r="D2305"/>
      <c r="E2305"/>
    </row>
    <row r="2306" spans="2:5" x14ac:dyDescent="0.35">
      <c r="B2306"/>
      <c r="C2306"/>
      <c r="D2306"/>
      <c r="E2306"/>
    </row>
    <row r="2307" spans="2:5" x14ac:dyDescent="0.35">
      <c r="B2307"/>
      <c r="C2307"/>
      <c r="D2307"/>
      <c r="E2307"/>
    </row>
    <row r="2308" spans="2:5" x14ac:dyDescent="0.35">
      <c r="B2308"/>
      <c r="C2308"/>
      <c r="D2308"/>
      <c r="E2308"/>
    </row>
    <row r="2309" spans="2:5" x14ac:dyDescent="0.35">
      <c r="B2309"/>
      <c r="C2309"/>
      <c r="D2309"/>
      <c r="E2309"/>
    </row>
    <row r="2310" spans="2:5" x14ac:dyDescent="0.35">
      <c r="B2310"/>
      <c r="C2310"/>
      <c r="D2310"/>
      <c r="E2310"/>
    </row>
    <row r="2311" spans="2:5" x14ac:dyDescent="0.35">
      <c r="B2311"/>
      <c r="C2311"/>
      <c r="D2311"/>
      <c r="E2311"/>
    </row>
    <row r="2312" spans="2:5" x14ac:dyDescent="0.35">
      <c r="B2312"/>
      <c r="C2312"/>
      <c r="D2312"/>
      <c r="E2312"/>
    </row>
    <row r="2313" spans="2:5" x14ac:dyDescent="0.35">
      <c r="B2313"/>
      <c r="C2313"/>
      <c r="D2313"/>
      <c r="E2313"/>
    </row>
    <row r="2314" spans="2:5" x14ac:dyDescent="0.35">
      <c r="B2314"/>
      <c r="C2314"/>
      <c r="D2314"/>
      <c r="E2314"/>
    </row>
    <row r="2315" spans="2:5" x14ac:dyDescent="0.35">
      <c r="B2315"/>
      <c r="C2315"/>
      <c r="D2315"/>
      <c r="E2315"/>
    </row>
    <row r="2316" spans="2:5" x14ac:dyDescent="0.35">
      <c r="B2316"/>
      <c r="C2316"/>
      <c r="D2316"/>
      <c r="E2316"/>
    </row>
    <row r="2317" spans="2:5" x14ac:dyDescent="0.35">
      <c r="B2317"/>
      <c r="C2317"/>
      <c r="D2317"/>
      <c r="E2317"/>
    </row>
    <row r="2318" spans="2:5" x14ac:dyDescent="0.35">
      <c r="B2318"/>
      <c r="C2318"/>
      <c r="D2318"/>
      <c r="E2318"/>
    </row>
    <row r="2319" spans="2:5" x14ac:dyDescent="0.35">
      <c r="B2319"/>
      <c r="C2319"/>
      <c r="D2319"/>
      <c r="E2319"/>
    </row>
    <row r="2320" spans="2:5" x14ac:dyDescent="0.35">
      <c r="B2320"/>
      <c r="C2320"/>
      <c r="D2320"/>
      <c r="E2320"/>
    </row>
    <row r="2321" spans="2:5" x14ac:dyDescent="0.35">
      <c r="B2321"/>
      <c r="C2321"/>
      <c r="D2321"/>
      <c r="E2321"/>
    </row>
    <row r="2322" spans="2:5" x14ac:dyDescent="0.35">
      <c r="B2322"/>
      <c r="C2322"/>
      <c r="D2322"/>
      <c r="E2322"/>
    </row>
    <row r="2323" spans="2:5" x14ac:dyDescent="0.35">
      <c r="B2323"/>
      <c r="C2323"/>
      <c r="D2323"/>
      <c r="E2323"/>
    </row>
    <row r="2324" spans="2:5" x14ac:dyDescent="0.35">
      <c r="B2324"/>
      <c r="C2324"/>
      <c r="D2324"/>
      <c r="E2324"/>
    </row>
    <row r="2325" spans="2:5" x14ac:dyDescent="0.35">
      <c r="B2325"/>
      <c r="C2325"/>
      <c r="D2325"/>
      <c r="E2325"/>
    </row>
    <row r="2326" spans="2:5" x14ac:dyDescent="0.35">
      <c r="B2326"/>
      <c r="C2326"/>
      <c r="D2326"/>
      <c r="E2326"/>
    </row>
    <row r="2327" spans="2:5" x14ac:dyDescent="0.35">
      <c r="B2327"/>
      <c r="C2327"/>
      <c r="D2327"/>
      <c r="E2327"/>
    </row>
    <row r="2328" spans="2:5" x14ac:dyDescent="0.35">
      <c r="B2328"/>
      <c r="C2328"/>
      <c r="D2328"/>
      <c r="E2328"/>
    </row>
    <row r="2329" spans="2:5" x14ac:dyDescent="0.35">
      <c r="B2329"/>
      <c r="C2329"/>
      <c r="D2329"/>
      <c r="E2329"/>
    </row>
    <row r="2330" spans="2:5" x14ac:dyDescent="0.35">
      <c r="B2330"/>
      <c r="C2330"/>
      <c r="D2330"/>
      <c r="E2330"/>
    </row>
    <row r="2331" spans="2:5" x14ac:dyDescent="0.35">
      <c r="B2331"/>
      <c r="C2331"/>
      <c r="D2331"/>
      <c r="E2331"/>
    </row>
    <row r="2332" spans="2:5" x14ac:dyDescent="0.35">
      <c r="B2332"/>
      <c r="C2332"/>
      <c r="D2332"/>
      <c r="E2332"/>
    </row>
    <row r="2333" spans="2:5" x14ac:dyDescent="0.35">
      <c r="B2333"/>
      <c r="C2333"/>
      <c r="D2333"/>
      <c r="E2333"/>
    </row>
    <row r="2334" spans="2:5" x14ac:dyDescent="0.35">
      <c r="B2334"/>
      <c r="C2334"/>
      <c r="D2334"/>
      <c r="E2334"/>
    </row>
    <row r="2335" spans="2:5" x14ac:dyDescent="0.35">
      <c r="B2335"/>
      <c r="C2335"/>
      <c r="D2335"/>
      <c r="E2335"/>
    </row>
    <row r="2336" spans="2:5" x14ac:dyDescent="0.35">
      <c r="B2336"/>
      <c r="C2336"/>
      <c r="D2336"/>
      <c r="E2336"/>
    </row>
    <row r="2337" spans="2:5" x14ac:dyDescent="0.35">
      <c r="B2337"/>
      <c r="C2337"/>
      <c r="D2337"/>
      <c r="E2337"/>
    </row>
    <row r="2338" spans="2:5" x14ac:dyDescent="0.35">
      <c r="B2338"/>
      <c r="C2338"/>
      <c r="D2338"/>
      <c r="E2338"/>
    </row>
    <row r="2339" spans="2:5" x14ac:dyDescent="0.35">
      <c r="B2339"/>
      <c r="C2339"/>
      <c r="D2339"/>
      <c r="E2339"/>
    </row>
    <row r="2340" spans="2:5" x14ac:dyDescent="0.35">
      <c r="B2340"/>
      <c r="C2340"/>
      <c r="D2340"/>
      <c r="E2340"/>
    </row>
    <row r="2341" spans="2:5" x14ac:dyDescent="0.35">
      <c r="B2341"/>
      <c r="C2341"/>
      <c r="D2341"/>
      <c r="E2341"/>
    </row>
    <row r="2342" spans="2:5" x14ac:dyDescent="0.35">
      <c r="B2342"/>
      <c r="C2342"/>
      <c r="D2342"/>
      <c r="E2342"/>
    </row>
    <row r="2343" spans="2:5" x14ac:dyDescent="0.35">
      <c r="B2343"/>
      <c r="C2343"/>
      <c r="D2343"/>
      <c r="E2343"/>
    </row>
    <row r="2344" spans="2:5" x14ac:dyDescent="0.35">
      <c r="B2344"/>
      <c r="C2344"/>
      <c r="D2344"/>
      <c r="E2344"/>
    </row>
    <row r="2345" spans="2:5" x14ac:dyDescent="0.35">
      <c r="B2345"/>
      <c r="C2345"/>
      <c r="D2345"/>
      <c r="E2345"/>
    </row>
    <row r="2346" spans="2:5" x14ac:dyDescent="0.35">
      <c r="B2346"/>
      <c r="C2346"/>
      <c r="D2346"/>
      <c r="E2346"/>
    </row>
    <row r="2347" spans="2:5" x14ac:dyDescent="0.35">
      <c r="B2347"/>
      <c r="C2347"/>
      <c r="D2347"/>
      <c r="E2347"/>
    </row>
    <row r="2348" spans="2:5" x14ac:dyDescent="0.35">
      <c r="B2348"/>
      <c r="C2348"/>
      <c r="D2348"/>
      <c r="E2348"/>
    </row>
    <row r="2349" spans="2:5" x14ac:dyDescent="0.35">
      <c r="B2349"/>
      <c r="C2349"/>
      <c r="D2349"/>
      <c r="E2349"/>
    </row>
    <row r="2350" spans="2:5" x14ac:dyDescent="0.35">
      <c r="B2350"/>
      <c r="C2350"/>
      <c r="D2350"/>
      <c r="E2350"/>
    </row>
    <row r="2351" spans="2:5" x14ac:dyDescent="0.35">
      <c r="B2351"/>
      <c r="C2351"/>
      <c r="D2351"/>
      <c r="E2351"/>
    </row>
    <row r="2352" spans="2:5" x14ac:dyDescent="0.35">
      <c r="B2352"/>
      <c r="C2352"/>
      <c r="D2352"/>
      <c r="E2352"/>
    </row>
    <row r="2353" spans="2:5" x14ac:dyDescent="0.35">
      <c r="B2353"/>
      <c r="C2353"/>
      <c r="D2353"/>
      <c r="E2353"/>
    </row>
    <row r="2354" spans="2:5" x14ac:dyDescent="0.35">
      <c r="B2354"/>
      <c r="C2354"/>
      <c r="D2354"/>
      <c r="E2354"/>
    </row>
    <row r="2355" spans="2:5" x14ac:dyDescent="0.35">
      <c r="B2355"/>
      <c r="C2355"/>
      <c r="D2355"/>
      <c r="E2355"/>
    </row>
    <row r="2356" spans="2:5" x14ac:dyDescent="0.35">
      <c r="B2356"/>
      <c r="C2356"/>
      <c r="D2356"/>
      <c r="E2356"/>
    </row>
    <row r="2357" spans="2:5" x14ac:dyDescent="0.35">
      <c r="B2357"/>
      <c r="C2357"/>
      <c r="D2357"/>
      <c r="E2357"/>
    </row>
    <row r="2358" spans="2:5" x14ac:dyDescent="0.35">
      <c r="B2358"/>
      <c r="C2358"/>
      <c r="D2358"/>
      <c r="E2358"/>
    </row>
    <row r="2359" spans="2:5" x14ac:dyDescent="0.35">
      <c r="B2359"/>
      <c r="C2359"/>
      <c r="D2359"/>
      <c r="E2359"/>
    </row>
    <row r="2360" spans="2:5" x14ac:dyDescent="0.35">
      <c r="B2360"/>
      <c r="C2360"/>
      <c r="D2360"/>
      <c r="E2360"/>
    </row>
    <row r="2361" spans="2:5" x14ac:dyDescent="0.35">
      <c r="B2361"/>
      <c r="C2361"/>
      <c r="D2361"/>
      <c r="E2361"/>
    </row>
    <row r="2362" spans="2:5" x14ac:dyDescent="0.35">
      <c r="B2362"/>
      <c r="C2362"/>
      <c r="D2362"/>
      <c r="E2362"/>
    </row>
    <row r="2363" spans="2:5" x14ac:dyDescent="0.35">
      <c r="B2363"/>
      <c r="C2363"/>
      <c r="D2363"/>
      <c r="E2363"/>
    </row>
    <row r="2364" spans="2:5" x14ac:dyDescent="0.35">
      <c r="B2364"/>
      <c r="C2364"/>
      <c r="D2364"/>
      <c r="E2364"/>
    </row>
    <row r="2365" spans="2:5" x14ac:dyDescent="0.35">
      <c r="B2365"/>
      <c r="C2365"/>
      <c r="D2365"/>
      <c r="E2365"/>
    </row>
    <row r="2366" spans="2:5" x14ac:dyDescent="0.35">
      <c r="B2366"/>
      <c r="C2366"/>
      <c r="D2366"/>
      <c r="E2366"/>
    </row>
    <row r="2367" spans="2:5" x14ac:dyDescent="0.35">
      <c r="B2367"/>
      <c r="C2367"/>
      <c r="D2367"/>
      <c r="E2367"/>
    </row>
    <row r="2368" spans="2:5" x14ac:dyDescent="0.35">
      <c r="B2368"/>
      <c r="C2368"/>
      <c r="D2368"/>
      <c r="E2368"/>
    </row>
    <row r="2369" spans="2:5" x14ac:dyDescent="0.35">
      <c r="B2369"/>
      <c r="C2369"/>
      <c r="D2369"/>
      <c r="E2369"/>
    </row>
    <row r="2370" spans="2:5" x14ac:dyDescent="0.35">
      <c r="B2370"/>
      <c r="C2370"/>
      <c r="D2370"/>
      <c r="E2370"/>
    </row>
    <row r="2371" spans="2:5" x14ac:dyDescent="0.35">
      <c r="B2371"/>
      <c r="C2371"/>
      <c r="D2371"/>
      <c r="E2371"/>
    </row>
    <row r="2372" spans="2:5" x14ac:dyDescent="0.35">
      <c r="B2372"/>
      <c r="C2372"/>
      <c r="D2372"/>
      <c r="E2372"/>
    </row>
    <row r="2373" spans="2:5" x14ac:dyDescent="0.35">
      <c r="B2373"/>
      <c r="C2373"/>
      <c r="D2373"/>
      <c r="E2373"/>
    </row>
    <row r="2374" spans="2:5" x14ac:dyDescent="0.35">
      <c r="B2374"/>
      <c r="C2374"/>
      <c r="D2374"/>
      <c r="E2374"/>
    </row>
    <row r="2375" spans="2:5" x14ac:dyDescent="0.35">
      <c r="B2375"/>
      <c r="C2375"/>
      <c r="D2375"/>
      <c r="E2375"/>
    </row>
    <row r="2376" spans="2:5" x14ac:dyDescent="0.35">
      <c r="B2376"/>
      <c r="C2376"/>
      <c r="D2376"/>
      <c r="E2376"/>
    </row>
    <row r="2377" spans="2:5" x14ac:dyDescent="0.35">
      <c r="B2377"/>
      <c r="C2377"/>
      <c r="D2377"/>
      <c r="E2377"/>
    </row>
    <row r="2378" spans="2:5" x14ac:dyDescent="0.35">
      <c r="B2378"/>
      <c r="C2378"/>
      <c r="D2378"/>
      <c r="E2378"/>
    </row>
    <row r="2379" spans="2:5" x14ac:dyDescent="0.35">
      <c r="B2379"/>
      <c r="C2379"/>
      <c r="D2379"/>
      <c r="E2379"/>
    </row>
    <row r="2380" spans="2:5" x14ac:dyDescent="0.35">
      <c r="B2380"/>
      <c r="C2380"/>
      <c r="D2380"/>
      <c r="E2380"/>
    </row>
    <row r="2381" spans="2:5" x14ac:dyDescent="0.35">
      <c r="B2381"/>
      <c r="C2381"/>
      <c r="D2381"/>
      <c r="E2381"/>
    </row>
    <row r="2382" spans="2:5" x14ac:dyDescent="0.35">
      <c r="B2382"/>
      <c r="C2382"/>
      <c r="D2382"/>
      <c r="E2382"/>
    </row>
    <row r="2383" spans="2:5" x14ac:dyDescent="0.35">
      <c r="B2383"/>
      <c r="C2383"/>
      <c r="D2383"/>
      <c r="E2383"/>
    </row>
    <row r="2384" spans="2:5" x14ac:dyDescent="0.35">
      <c r="B2384"/>
      <c r="C2384"/>
      <c r="D2384"/>
      <c r="E2384"/>
    </row>
    <row r="2385" spans="2:5" x14ac:dyDescent="0.35">
      <c r="B2385"/>
      <c r="C2385"/>
      <c r="D2385"/>
      <c r="E2385"/>
    </row>
    <row r="2386" spans="2:5" x14ac:dyDescent="0.35">
      <c r="B2386"/>
      <c r="C2386"/>
      <c r="D2386"/>
      <c r="E2386"/>
    </row>
    <row r="2387" spans="2:5" x14ac:dyDescent="0.35">
      <c r="B2387"/>
      <c r="C2387"/>
      <c r="D2387"/>
      <c r="E2387"/>
    </row>
    <row r="2388" spans="2:5" x14ac:dyDescent="0.35">
      <c r="B2388"/>
      <c r="C2388"/>
      <c r="D2388"/>
      <c r="E2388"/>
    </row>
    <row r="2389" spans="2:5" x14ac:dyDescent="0.35">
      <c r="B2389"/>
      <c r="C2389"/>
      <c r="D2389"/>
      <c r="E2389"/>
    </row>
    <row r="2390" spans="2:5" x14ac:dyDescent="0.35">
      <c r="B2390"/>
      <c r="C2390"/>
      <c r="D2390"/>
      <c r="E2390"/>
    </row>
    <row r="2391" spans="2:5" x14ac:dyDescent="0.35">
      <c r="B2391"/>
      <c r="C2391"/>
      <c r="D2391"/>
      <c r="E2391"/>
    </row>
    <row r="2392" spans="2:5" x14ac:dyDescent="0.35">
      <c r="B2392"/>
      <c r="C2392"/>
      <c r="D2392"/>
      <c r="E2392"/>
    </row>
    <row r="2393" spans="2:5" x14ac:dyDescent="0.35">
      <c r="B2393"/>
      <c r="C2393"/>
      <c r="D2393"/>
      <c r="E2393"/>
    </row>
    <row r="2394" spans="2:5" x14ac:dyDescent="0.35">
      <c r="B2394"/>
      <c r="C2394"/>
      <c r="D2394"/>
      <c r="E2394"/>
    </row>
    <row r="2395" spans="2:5" x14ac:dyDescent="0.35">
      <c r="B2395"/>
      <c r="C2395"/>
      <c r="D2395"/>
      <c r="E2395"/>
    </row>
    <row r="2396" spans="2:5" x14ac:dyDescent="0.35">
      <c r="B2396"/>
      <c r="C2396"/>
      <c r="D2396"/>
      <c r="E2396"/>
    </row>
    <row r="2397" spans="2:5" x14ac:dyDescent="0.35">
      <c r="B2397"/>
      <c r="C2397"/>
      <c r="D2397"/>
      <c r="E2397"/>
    </row>
    <row r="2398" spans="2:5" x14ac:dyDescent="0.35">
      <c r="B2398"/>
      <c r="C2398"/>
      <c r="D2398"/>
      <c r="E2398"/>
    </row>
    <row r="2399" spans="2:5" x14ac:dyDescent="0.35">
      <c r="B2399"/>
      <c r="C2399"/>
      <c r="D2399"/>
      <c r="E2399"/>
    </row>
    <row r="2400" spans="2:5" x14ac:dyDescent="0.35">
      <c r="B2400"/>
      <c r="C2400"/>
      <c r="D2400"/>
      <c r="E2400"/>
    </row>
    <row r="2401" spans="2:5" x14ac:dyDescent="0.35">
      <c r="B2401"/>
      <c r="C2401"/>
      <c r="D2401"/>
      <c r="E2401"/>
    </row>
    <row r="2402" spans="2:5" x14ac:dyDescent="0.35">
      <c r="B2402"/>
      <c r="C2402"/>
      <c r="D2402"/>
      <c r="E2402"/>
    </row>
    <row r="2403" spans="2:5" x14ac:dyDescent="0.35">
      <c r="B2403"/>
      <c r="C2403"/>
      <c r="D2403"/>
      <c r="E2403"/>
    </row>
    <row r="2404" spans="2:5" x14ac:dyDescent="0.35">
      <c r="B2404"/>
      <c r="C2404"/>
      <c r="D2404"/>
      <c r="E2404"/>
    </row>
    <row r="2405" spans="2:5" x14ac:dyDescent="0.35">
      <c r="B2405"/>
      <c r="C2405"/>
      <c r="D2405"/>
      <c r="E2405"/>
    </row>
    <row r="2406" spans="2:5" x14ac:dyDescent="0.35">
      <c r="B2406"/>
      <c r="C2406"/>
      <c r="D2406"/>
      <c r="E2406"/>
    </row>
    <row r="2407" spans="2:5" x14ac:dyDescent="0.35">
      <c r="B2407"/>
      <c r="C2407"/>
      <c r="D2407"/>
      <c r="E2407"/>
    </row>
    <row r="2408" spans="2:5" x14ac:dyDescent="0.35">
      <c r="B2408"/>
      <c r="C2408"/>
      <c r="D2408"/>
      <c r="E2408"/>
    </row>
    <row r="2409" spans="2:5" x14ac:dyDescent="0.35">
      <c r="B2409"/>
      <c r="C2409"/>
      <c r="D2409"/>
      <c r="E2409"/>
    </row>
    <row r="2410" spans="2:5" x14ac:dyDescent="0.35">
      <c r="B2410"/>
      <c r="C2410"/>
      <c r="D2410"/>
      <c r="E2410"/>
    </row>
    <row r="2411" spans="2:5" x14ac:dyDescent="0.35">
      <c r="B2411"/>
      <c r="C2411"/>
      <c r="D2411"/>
      <c r="E2411"/>
    </row>
    <row r="2412" spans="2:5" x14ac:dyDescent="0.35">
      <c r="B2412"/>
      <c r="C2412"/>
      <c r="D2412"/>
      <c r="E2412"/>
    </row>
    <row r="2413" spans="2:5" x14ac:dyDescent="0.35">
      <c r="B2413"/>
      <c r="C2413"/>
      <c r="D2413"/>
      <c r="E2413"/>
    </row>
    <row r="2414" spans="2:5" x14ac:dyDescent="0.35">
      <c r="B2414"/>
      <c r="C2414"/>
      <c r="D2414"/>
      <c r="E2414"/>
    </row>
    <row r="2415" spans="2:5" x14ac:dyDescent="0.35">
      <c r="B2415"/>
      <c r="C2415"/>
      <c r="D2415"/>
      <c r="E2415"/>
    </row>
    <row r="2416" spans="2:5" x14ac:dyDescent="0.35">
      <c r="B2416"/>
      <c r="C2416"/>
      <c r="D2416"/>
      <c r="E2416"/>
    </row>
    <row r="2417" spans="2:5" x14ac:dyDescent="0.35">
      <c r="B2417"/>
      <c r="C2417"/>
      <c r="D2417"/>
      <c r="E2417"/>
    </row>
    <row r="2418" spans="2:5" x14ac:dyDescent="0.35">
      <c r="B2418"/>
      <c r="C2418"/>
      <c r="D2418"/>
      <c r="E2418"/>
    </row>
    <row r="2419" spans="2:5" x14ac:dyDescent="0.35">
      <c r="B2419"/>
      <c r="C2419"/>
      <c r="D2419"/>
      <c r="E2419"/>
    </row>
    <row r="2420" spans="2:5" x14ac:dyDescent="0.35">
      <c r="B2420"/>
      <c r="C2420"/>
      <c r="D2420"/>
      <c r="E2420"/>
    </row>
    <row r="2421" spans="2:5" x14ac:dyDescent="0.35">
      <c r="B2421"/>
      <c r="C2421"/>
      <c r="D2421"/>
      <c r="E2421"/>
    </row>
    <row r="2422" spans="2:5" x14ac:dyDescent="0.35">
      <c r="B2422"/>
      <c r="C2422"/>
      <c r="D2422"/>
      <c r="E2422"/>
    </row>
    <row r="2423" spans="2:5" x14ac:dyDescent="0.35">
      <c r="B2423"/>
      <c r="C2423"/>
      <c r="D2423"/>
      <c r="E2423"/>
    </row>
    <row r="2424" spans="2:5" x14ac:dyDescent="0.35">
      <c r="B2424"/>
      <c r="C2424"/>
      <c r="D2424"/>
      <c r="E2424"/>
    </row>
    <row r="2425" spans="2:5" x14ac:dyDescent="0.35">
      <c r="B2425"/>
      <c r="C2425"/>
      <c r="D2425"/>
      <c r="E2425"/>
    </row>
    <row r="2426" spans="2:5" x14ac:dyDescent="0.35">
      <c r="B2426"/>
      <c r="C2426"/>
      <c r="D2426"/>
      <c r="E2426"/>
    </row>
    <row r="2427" spans="2:5" x14ac:dyDescent="0.35">
      <c r="B2427"/>
      <c r="C2427"/>
      <c r="D2427"/>
      <c r="E2427"/>
    </row>
    <row r="2428" spans="2:5" x14ac:dyDescent="0.35">
      <c r="B2428"/>
      <c r="C2428"/>
      <c r="D2428"/>
      <c r="E2428"/>
    </row>
    <row r="2429" spans="2:5" x14ac:dyDescent="0.35">
      <c r="B2429"/>
      <c r="C2429"/>
      <c r="D2429"/>
      <c r="E2429"/>
    </row>
    <row r="2430" spans="2:5" x14ac:dyDescent="0.35">
      <c r="B2430"/>
      <c r="C2430"/>
      <c r="D2430"/>
      <c r="E2430"/>
    </row>
    <row r="2431" spans="2:5" x14ac:dyDescent="0.35">
      <c r="B2431"/>
      <c r="C2431"/>
      <c r="D2431"/>
      <c r="E2431"/>
    </row>
    <row r="2432" spans="2:5" x14ac:dyDescent="0.35">
      <c r="B2432"/>
      <c r="C2432"/>
      <c r="D2432"/>
      <c r="E2432"/>
    </row>
    <row r="2433" spans="2:5" x14ac:dyDescent="0.35">
      <c r="B2433"/>
      <c r="C2433"/>
      <c r="D2433"/>
      <c r="E2433"/>
    </row>
    <row r="2434" spans="2:5" x14ac:dyDescent="0.35">
      <c r="B2434"/>
      <c r="C2434"/>
      <c r="D2434"/>
      <c r="E2434"/>
    </row>
    <row r="2435" spans="2:5" x14ac:dyDescent="0.35">
      <c r="B2435"/>
      <c r="C2435"/>
      <c r="D2435"/>
      <c r="E2435"/>
    </row>
    <row r="2436" spans="2:5" x14ac:dyDescent="0.35">
      <c r="B2436"/>
      <c r="C2436"/>
      <c r="D2436"/>
      <c r="E2436"/>
    </row>
    <row r="2437" spans="2:5" x14ac:dyDescent="0.35">
      <c r="B2437"/>
      <c r="C2437"/>
      <c r="D2437"/>
      <c r="E2437"/>
    </row>
    <row r="2438" spans="2:5" x14ac:dyDescent="0.35">
      <c r="B2438"/>
      <c r="C2438"/>
      <c r="D2438"/>
      <c r="E2438"/>
    </row>
    <row r="2439" spans="2:5" x14ac:dyDescent="0.35">
      <c r="B2439"/>
      <c r="C2439"/>
      <c r="D2439"/>
      <c r="E2439"/>
    </row>
    <row r="2440" spans="2:5" x14ac:dyDescent="0.35">
      <c r="B2440"/>
      <c r="C2440"/>
      <c r="D2440"/>
      <c r="E2440"/>
    </row>
    <row r="2441" spans="2:5" x14ac:dyDescent="0.35">
      <c r="B2441"/>
      <c r="C2441"/>
      <c r="D2441"/>
      <c r="E2441"/>
    </row>
    <row r="2442" spans="2:5" x14ac:dyDescent="0.35">
      <c r="B2442"/>
      <c r="C2442"/>
      <c r="D2442"/>
      <c r="E2442"/>
    </row>
    <row r="2443" spans="2:5" x14ac:dyDescent="0.35">
      <c r="B2443"/>
      <c r="C2443"/>
      <c r="D2443"/>
      <c r="E2443"/>
    </row>
    <row r="2444" spans="2:5" x14ac:dyDescent="0.35">
      <c r="B2444"/>
      <c r="C2444"/>
      <c r="D2444"/>
      <c r="E2444"/>
    </row>
    <row r="2445" spans="2:5" x14ac:dyDescent="0.35">
      <c r="B2445"/>
      <c r="C2445"/>
      <c r="D2445"/>
      <c r="E2445"/>
    </row>
    <row r="2446" spans="2:5" x14ac:dyDescent="0.35">
      <c r="B2446"/>
      <c r="C2446"/>
      <c r="D2446"/>
      <c r="E2446"/>
    </row>
    <row r="2447" spans="2:5" x14ac:dyDescent="0.35">
      <c r="B2447"/>
      <c r="C2447"/>
      <c r="D2447"/>
      <c r="E2447"/>
    </row>
    <row r="2448" spans="2:5" x14ac:dyDescent="0.35">
      <c r="B2448"/>
      <c r="C2448"/>
      <c r="D2448"/>
      <c r="E2448"/>
    </row>
    <row r="2449" spans="2:5" x14ac:dyDescent="0.35">
      <c r="B2449"/>
      <c r="C2449"/>
      <c r="D2449"/>
      <c r="E2449"/>
    </row>
    <row r="2450" spans="2:5" x14ac:dyDescent="0.35">
      <c r="B2450"/>
      <c r="C2450"/>
      <c r="D2450"/>
      <c r="E2450"/>
    </row>
    <row r="2451" spans="2:5" x14ac:dyDescent="0.35">
      <c r="B2451"/>
      <c r="C2451"/>
      <c r="D2451"/>
      <c r="E2451"/>
    </row>
    <row r="2452" spans="2:5" x14ac:dyDescent="0.35">
      <c r="B2452"/>
      <c r="C2452"/>
      <c r="D2452"/>
      <c r="E2452"/>
    </row>
    <row r="2453" spans="2:5" x14ac:dyDescent="0.35">
      <c r="B2453"/>
      <c r="C2453"/>
      <c r="D2453"/>
      <c r="E2453"/>
    </row>
    <row r="2454" spans="2:5" x14ac:dyDescent="0.35">
      <c r="B2454"/>
      <c r="C2454"/>
      <c r="D2454"/>
      <c r="E2454"/>
    </row>
    <row r="2455" spans="2:5" x14ac:dyDescent="0.35">
      <c r="B2455"/>
      <c r="C2455"/>
      <c r="D2455"/>
      <c r="E2455"/>
    </row>
    <row r="2456" spans="2:5" x14ac:dyDescent="0.35">
      <c r="B2456"/>
      <c r="C2456"/>
      <c r="D2456"/>
      <c r="E2456"/>
    </row>
    <row r="2457" spans="2:5" x14ac:dyDescent="0.35">
      <c r="B2457"/>
      <c r="C2457"/>
      <c r="D2457"/>
      <c r="E2457"/>
    </row>
    <row r="2458" spans="2:5" x14ac:dyDescent="0.35">
      <c r="B2458"/>
      <c r="C2458"/>
      <c r="D2458"/>
      <c r="E2458"/>
    </row>
    <row r="2459" spans="2:5" x14ac:dyDescent="0.35">
      <c r="B2459"/>
      <c r="C2459"/>
      <c r="D2459"/>
      <c r="E2459"/>
    </row>
    <row r="2460" spans="2:5" x14ac:dyDescent="0.35">
      <c r="B2460"/>
      <c r="C2460"/>
      <c r="D2460"/>
      <c r="E2460"/>
    </row>
    <row r="2461" spans="2:5" x14ac:dyDescent="0.35">
      <c r="B2461"/>
      <c r="C2461"/>
      <c r="D2461"/>
      <c r="E2461"/>
    </row>
    <row r="2462" spans="2:5" x14ac:dyDescent="0.35">
      <c r="B2462"/>
      <c r="C2462"/>
      <c r="D2462"/>
      <c r="E2462"/>
    </row>
    <row r="2463" spans="2:5" x14ac:dyDescent="0.35">
      <c r="B2463"/>
      <c r="C2463"/>
      <c r="D2463"/>
      <c r="E2463"/>
    </row>
    <row r="2464" spans="2:5" x14ac:dyDescent="0.35">
      <c r="B2464"/>
      <c r="C2464"/>
      <c r="D2464"/>
      <c r="E2464"/>
    </row>
    <row r="2465" spans="2:5" x14ac:dyDescent="0.35">
      <c r="B2465"/>
      <c r="C2465"/>
      <c r="D2465"/>
      <c r="E2465"/>
    </row>
    <row r="2466" spans="2:5" x14ac:dyDescent="0.35">
      <c r="B2466"/>
      <c r="C2466"/>
      <c r="D2466"/>
      <c r="E2466"/>
    </row>
    <row r="2467" spans="2:5" x14ac:dyDescent="0.35">
      <c r="B2467"/>
      <c r="C2467"/>
      <c r="D2467"/>
      <c r="E2467"/>
    </row>
    <row r="2468" spans="2:5" x14ac:dyDescent="0.35">
      <c r="B2468"/>
      <c r="C2468"/>
      <c r="D2468"/>
      <c r="E2468"/>
    </row>
    <row r="2469" spans="2:5" x14ac:dyDescent="0.35">
      <c r="B2469"/>
      <c r="C2469"/>
      <c r="D2469"/>
      <c r="E2469"/>
    </row>
    <row r="2470" spans="2:5" x14ac:dyDescent="0.35">
      <c r="B2470"/>
      <c r="C2470"/>
      <c r="D2470"/>
      <c r="E2470"/>
    </row>
    <row r="2471" spans="2:5" x14ac:dyDescent="0.35">
      <c r="B2471"/>
      <c r="C2471"/>
      <c r="D2471"/>
      <c r="E2471"/>
    </row>
    <row r="2472" spans="2:5" x14ac:dyDescent="0.35">
      <c r="B2472"/>
      <c r="C2472"/>
      <c r="D2472"/>
      <c r="E2472"/>
    </row>
    <row r="2473" spans="2:5" x14ac:dyDescent="0.35">
      <c r="B2473"/>
      <c r="C2473"/>
      <c r="D2473"/>
      <c r="E2473"/>
    </row>
    <row r="2474" spans="2:5" x14ac:dyDescent="0.35">
      <c r="B2474"/>
      <c r="C2474"/>
      <c r="D2474"/>
      <c r="E2474"/>
    </row>
    <row r="2475" spans="2:5" x14ac:dyDescent="0.35">
      <c r="B2475"/>
      <c r="C2475"/>
      <c r="D2475"/>
      <c r="E2475"/>
    </row>
    <row r="2476" spans="2:5" x14ac:dyDescent="0.35">
      <c r="B2476"/>
      <c r="C2476"/>
      <c r="D2476"/>
      <c r="E2476"/>
    </row>
    <row r="2477" spans="2:5" x14ac:dyDescent="0.35">
      <c r="B2477"/>
      <c r="C2477"/>
      <c r="D2477"/>
      <c r="E2477"/>
    </row>
    <row r="2478" spans="2:5" x14ac:dyDescent="0.35">
      <c r="B2478"/>
      <c r="C2478"/>
      <c r="D2478"/>
      <c r="E2478"/>
    </row>
    <row r="2479" spans="2:5" x14ac:dyDescent="0.35">
      <c r="B2479"/>
      <c r="C2479"/>
      <c r="D2479"/>
      <c r="E2479"/>
    </row>
    <row r="2480" spans="2:5" x14ac:dyDescent="0.35">
      <c r="B2480"/>
      <c r="C2480"/>
      <c r="D2480"/>
      <c r="E2480"/>
    </row>
    <row r="2481" spans="2:5" x14ac:dyDescent="0.35">
      <c r="B2481"/>
      <c r="C2481"/>
      <c r="D2481"/>
      <c r="E2481"/>
    </row>
    <row r="2482" spans="2:5" x14ac:dyDescent="0.35">
      <c r="B2482"/>
      <c r="C2482"/>
      <c r="D2482"/>
      <c r="E2482"/>
    </row>
    <row r="2483" spans="2:5" x14ac:dyDescent="0.35">
      <c r="B2483"/>
      <c r="C2483"/>
      <c r="D2483"/>
      <c r="E2483"/>
    </row>
    <row r="2484" spans="2:5" x14ac:dyDescent="0.35">
      <c r="B2484"/>
      <c r="C2484"/>
      <c r="D2484"/>
      <c r="E2484"/>
    </row>
    <row r="2485" spans="2:5" x14ac:dyDescent="0.35">
      <c r="B2485"/>
      <c r="C2485"/>
      <c r="D2485"/>
      <c r="E2485"/>
    </row>
    <row r="2486" spans="2:5" x14ac:dyDescent="0.35">
      <c r="B2486"/>
      <c r="C2486"/>
      <c r="D2486"/>
      <c r="E2486"/>
    </row>
    <row r="2487" spans="2:5" x14ac:dyDescent="0.35">
      <c r="B2487"/>
      <c r="C2487"/>
      <c r="D2487"/>
      <c r="E2487"/>
    </row>
    <row r="2488" spans="2:5" x14ac:dyDescent="0.35">
      <c r="B2488"/>
      <c r="C2488"/>
      <c r="D2488"/>
      <c r="E2488"/>
    </row>
    <row r="2489" spans="2:5" x14ac:dyDescent="0.35">
      <c r="B2489"/>
      <c r="C2489"/>
      <c r="D2489"/>
      <c r="E2489"/>
    </row>
    <row r="2490" spans="2:5" x14ac:dyDescent="0.35">
      <c r="B2490"/>
      <c r="C2490"/>
      <c r="D2490"/>
      <c r="E2490"/>
    </row>
    <row r="2491" spans="2:5" x14ac:dyDescent="0.35">
      <c r="B2491"/>
      <c r="C2491"/>
      <c r="D2491"/>
      <c r="E2491"/>
    </row>
    <row r="2492" spans="2:5" x14ac:dyDescent="0.35">
      <c r="B2492"/>
      <c r="C2492"/>
      <c r="D2492"/>
      <c r="E2492"/>
    </row>
    <row r="2493" spans="2:5" x14ac:dyDescent="0.35">
      <c r="B2493"/>
      <c r="C2493"/>
      <c r="D2493"/>
      <c r="E2493"/>
    </row>
    <row r="2494" spans="2:5" x14ac:dyDescent="0.35">
      <c r="B2494"/>
      <c r="C2494"/>
      <c r="D2494"/>
      <c r="E2494"/>
    </row>
    <row r="2495" spans="2:5" x14ac:dyDescent="0.35">
      <c r="B2495"/>
      <c r="C2495"/>
      <c r="D2495"/>
      <c r="E2495"/>
    </row>
    <row r="2496" spans="2:5" x14ac:dyDescent="0.35">
      <c r="B2496"/>
      <c r="C2496"/>
      <c r="D2496"/>
      <c r="E2496"/>
    </row>
    <row r="2497" spans="2:5" x14ac:dyDescent="0.35">
      <c r="B2497"/>
      <c r="C2497"/>
      <c r="D2497"/>
      <c r="E2497"/>
    </row>
    <row r="2498" spans="2:5" x14ac:dyDescent="0.35">
      <c r="B2498"/>
      <c r="C2498"/>
      <c r="D2498"/>
      <c r="E2498"/>
    </row>
    <row r="2499" spans="2:5" x14ac:dyDescent="0.35">
      <c r="B2499"/>
      <c r="C2499"/>
      <c r="D2499"/>
      <c r="E2499"/>
    </row>
    <row r="2500" spans="2:5" x14ac:dyDescent="0.35">
      <c r="B2500"/>
      <c r="C2500"/>
      <c r="D2500"/>
      <c r="E2500"/>
    </row>
    <row r="2501" spans="2:5" x14ac:dyDescent="0.35">
      <c r="B2501"/>
      <c r="C2501"/>
      <c r="D2501"/>
      <c r="E2501"/>
    </row>
    <row r="2502" spans="2:5" x14ac:dyDescent="0.35">
      <c r="B2502"/>
      <c r="C2502"/>
      <c r="D2502"/>
      <c r="E2502"/>
    </row>
    <row r="2503" spans="2:5" x14ac:dyDescent="0.35">
      <c r="B2503"/>
      <c r="C2503"/>
      <c r="D2503"/>
      <c r="E2503"/>
    </row>
    <row r="2504" spans="2:5" x14ac:dyDescent="0.35">
      <c r="B2504"/>
      <c r="C2504"/>
      <c r="D2504"/>
      <c r="E2504"/>
    </row>
    <row r="2505" spans="2:5" x14ac:dyDescent="0.35">
      <c r="B2505"/>
      <c r="C2505"/>
      <c r="D2505"/>
      <c r="E2505"/>
    </row>
    <row r="2506" spans="2:5" x14ac:dyDescent="0.35">
      <c r="B2506"/>
      <c r="C2506"/>
      <c r="D2506"/>
      <c r="E2506"/>
    </row>
    <row r="2507" spans="2:5" x14ac:dyDescent="0.35">
      <c r="B2507"/>
      <c r="C2507"/>
      <c r="D2507"/>
      <c r="E2507"/>
    </row>
    <row r="2508" spans="2:5" x14ac:dyDescent="0.35">
      <c r="B2508"/>
      <c r="C2508"/>
      <c r="D2508"/>
      <c r="E2508"/>
    </row>
    <row r="2509" spans="2:5" x14ac:dyDescent="0.35">
      <c r="B2509"/>
      <c r="C2509"/>
      <c r="D2509"/>
      <c r="E2509"/>
    </row>
    <row r="2510" spans="2:5" x14ac:dyDescent="0.35">
      <c r="B2510"/>
      <c r="C2510"/>
      <c r="D2510"/>
      <c r="E2510"/>
    </row>
    <row r="2511" spans="2:5" x14ac:dyDescent="0.35">
      <c r="B2511"/>
      <c r="C2511"/>
      <c r="D2511"/>
      <c r="E2511"/>
    </row>
    <row r="2512" spans="2:5" x14ac:dyDescent="0.35">
      <c r="B2512"/>
      <c r="C2512"/>
      <c r="D2512"/>
      <c r="E2512"/>
    </row>
    <row r="2513" spans="2:5" x14ac:dyDescent="0.35">
      <c r="B2513"/>
      <c r="C2513"/>
      <c r="D2513"/>
      <c r="E2513"/>
    </row>
    <row r="2514" spans="2:5" x14ac:dyDescent="0.35">
      <c r="B2514"/>
      <c r="C2514"/>
      <c r="D2514"/>
      <c r="E2514"/>
    </row>
    <row r="2515" spans="2:5" x14ac:dyDescent="0.35">
      <c r="B2515"/>
      <c r="C2515"/>
      <c r="D2515"/>
      <c r="E2515"/>
    </row>
    <row r="2516" spans="2:5" x14ac:dyDescent="0.35">
      <c r="B2516"/>
      <c r="C2516"/>
      <c r="D2516"/>
      <c r="E2516"/>
    </row>
    <row r="2517" spans="2:5" x14ac:dyDescent="0.35">
      <c r="B2517"/>
      <c r="C2517"/>
      <c r="D2517"/>
      <c r="E2517"/>
    </row>
    <row r="2518" spans="2:5" x14ac:dyDescent="0.35">
      <c r="B2518"/>
      <c r="C2518"/>
      <c r="D2518"/>
      <c r="E2518"/>
    </row>
    <row r="2519" spans="2:5" x14ac:dyDescent="0.35">
      <c r="B2519"/>
      <c r="C2519"/>
      <c r="D2519"/>
      <c r="E2519"/>
    </row>
    <row r="2520" spans="2:5" x14ac:dyDescent="0.35">
      <c r="B2520"/>
      <c r="C2520"/>
      <c r="D2520"/>
      <c r="E2520"/>
    </row>
    <row r="2521" spans="2:5" x14ac:dyDescent="0.35">
      <c r="B2521"/>
      <c r="C2521"/>
      <c r="D2521"/>
      <c r="E2521"/>
    </row>
    <row r="2522" spans="2:5" x14ac:dyDescent="0.35">
      <c r="B2522"/>
      <c r="C2522"/>
      <c r="D2522"/>
      <c r="E2522"/>
    </row>
    <row r="2523" spans="2:5" x14ac:dyDescent="0.35">
      <c r="B2523"/>
      <c r="C2523"/>
      <c r="D2523"/>
      <c r="E2523"/>
    </row>
    <row r="2524" spans="2:5" x14ac:dyDescent="0.35">
      <c r="B2524"/>
      <c r="C2524"/>
      <c r="D2524"/>
      <c r="E2524"/>
    </row>
    <row r="2525" spans="2:5" x14ac:dyDescent="0.35">
      <c r="B2525"/>
      <c r="C2525"/>
      <c r="D2525"/>
      <c r="E2525"/>
    </row>
    <row r="2526" spans="2:5" x14ac:dyDescent="0.35">
      <c r="B2526"/>
      <c r="C2526"/>
      <c r="D2526"/>
      <c r="E2526"/>
    </row>
    <row r="2527" spans="2:5" x14ac:dyDescent="0.35">
      <c r="B2527"/>
      <c r="C2527"/>
      <c r="D2527"/>
      <c r="E2527"/>
    </row>
    <row r="2528" spans="2:5" x14ac:dyDescent="0.35">
      <c r="B2528"/>
      <c r="C2528"/>
      <c r="D2528"/>
      <c r="E2528"/>
    </row>
    <row r="2529" spans="2:5" x14ac:dyDescent="0.35">
      <c r="B2529"/>
      <c r="C2529"/>
      <c r="D2529"/>
      <c r="E2529"/>
    </row>
    <row r="2530" spans="2:5" x14ac:dyDescent="0.35">
      <c r="B2530"/>
      <c r="C2530"/>
      <c r="D2530"/>
      <c r="E2530"/>
    </row>
    <row r="2531" spans="2:5" x14ac:dyDescent="0.35">
      <c r="B2531"/>
      <c r="C2531"/>
      <c r="D2531"/>
      <c r="E2531"/>
    </row>
    <row r="2532" spans="2:5" x14ac:dyDescent="0.35">
      <c r="B2532"/>
      <c r="C2532"/>
      <c r="D2532"/>
      <c r="E2532"/>
    </row>
    <row r="2533" spans="2:5" x14ac:dyDescent="0.35">
      <c r="B2533"/>
      <c r="C2533"/>
      <c r="D2533"/>
      <c r="E2533"/>
    </row>
    <row r="2534" spans="2:5" x14ac:dyDescent="0.35">
      <c r="B2534"/>
      <c r="C2534"/>
      <c r="D2534"/>
      <c r="E2534"/>
    </row>
    <row r="2535" spans="2:5" x14ac:dyDescent="0.35">
      <c r="B2535"/>
      <c r="C2535"/>
      <c r="D2535"/>
      <c r="E2535"/>
    </row>
    <row r="2536" spans="2:5" x14ac:dyDescent="0.35">
      <c r="B2536"/>
      <c r="C2536"/>
      <c r="D2536"/>
      <c r="E2536"/>
    </row>
    <row r="2537" spans="2:5" x14ac:dyDescent="0.35">
      <c r="B2537"/>
      <c r="C2537"/>
      <c r="D2537"/>
      <c r="E2537"/>
    </row>
    <row r="2538" spans="2:5" x14ac:dyDescent="0.35">
      <c r="B2538"/>
      <c r="C2538"/>
      <c r="D2538"/>
      <c r="E2538"/>
    </row>
    <row r="2539" spans="2:5" x14ac:dyDescent="0.35">
      <c r="B2539"/>
      <c r="C2539"/>
      <c r="D2539"/>
      <c r="E2539"/>
    </row>
    <row r="2540" spans="2:5" x14ac:dyDescent="0.35">
      <c r="B2540"/>
      <c r="C2540"/>
      <c r="D2540"/>
      <c r="E2540"/>
    </row>
    <row r="2541" spans="2:5" x14ac:dyDescent="0.35">
      <c r="B2541"/>
      <c r="C2541"/>
      <c r="D2541"/>
      <c r="E2541"/>
    </row>
    <row r="2542" spans="2:5" x14ac:dyDescent="0.35">
      <c r="B2542"/>
      <c r="C2542"/>
      <c r="D2542"/>
      <c r="E2542"/>
    </row>
    <row r="2543" spans="2:5" x14ac:dyDescent="0.35">
      <c r="B2543"/>
      <c r="C2543"/>
      <c r="D2543"/>
      <c r="E2543"/>
    </row>
    <row r="2544" spans="2:5" x14ac:dyDescent="0.35">
      <c r="B2544"/>
      <c r="C2544"/>
      <c r="D2544"/>
      <c r="E2544"/>
    </row>
    <row r="2545" spans="2:5" x14ac:dyDescent="0.35">
      <c r="B2545"/>
      <c r="C2545"/>
      <c r="D2545"/>
      <c r="E2545"/>
    </row>
    <row r="2546" spans="2:5" x14ac:dyDescent="0.35">
      <c r="B2546"/>
      <c r="C2546"/>
      <c r="D2546"/>
      <c r="E2546"/>
    </row>
    <row r="2547" spans="2:5" x14ac:dyDescent="0.35">
      <c r="B2547"/>
      <c r="C2547"/>
      <c r="D2547"/>
      <c r="E2547"/>
    </row>
    <row r="2548" spans="2:5" x14ac:dyDescent="0.35">
      <c r="B2548"/>
      <c r="C2548"/>
      <c r="D2548"/>
      <c r="E2548"/>
    </row>
    <row r="2549" spans="2:5" x14ac:dyDescent="0.35">
      <c r="B2549"/>
      <c r="C2549"/>
      <c r="D2549"/>
      <c r="E2549"/>
    </row>
    <row r="2550" spans="2:5" x14ac:dyDescent="0.35">
      <c r="B2550"/>
      <c r="C2550"/>
      <c r="D2550"/>
      <c r="E2550"/>
    </row>
    <row r="2551" spans="2:5" x14ac:dyDescent="0.35">
      <c r="B2551"/>
      <c r="C2551"/>
      <c r="D2551"/>
      <c r="E2551"/>
    </row>
    <row r="2552" spans="2:5" x14ac:dyDescent="0.35">
      <c r="B2552"/>
      <c r="C2552"/>
      <c r="D2552"/>
      <c r="E2552"/>
    </row>
    <row r="2553" spans="2:5" x14ac:dyDescent="0.35">
      <c r="B2553"/>
      <c r="C2553"/>
      <c r="D2553"/>
      <c r="E2553"/>
    </row>
    <row r="2554" spans="2:5" x14ac:dyDescent="0.35">
      <c r="B2554"/>
      <c r="C2554"/>
      <c r="D2554"/>
      <c r="E2554"/>
    </row>
    <row r="2555" spans="2:5" x14ac:dyDescent="0.35">
      <c r="B2555"/>
      <c r="C2555"/>
      <c r="D2555"/>
      <c r="E2555"/>
    </row>
    <row r="2556" spans="2:5" x14ac:dyDescent="0.35">
      <c r="B2556"/>
      <c r="C2556"/>
      <c r="D2556"/>
      <c r="E2556"/>
    </row>
    <row r="2557" spans="2:5" x14ac:dyDescent="0.35">
      <c r="B2557"/>
      <c r="C2557"/>
      <c r="D2557"/>
      <c r="E2557"/>
    </row>
    <row r="2558" spans="2:5" x14ac:dyDescent="0.35">
      <c r="B2558"/>
      <c r="C2558"/>
      <c r="D2558"/>
      <c r="E2558"/>
    </row>
    <row r="2559" spans="2:5" x14ac:dyDescent="0.35">
      <c r="B2559"/>
      <c r="C2559"/>
      <c r="D2559"/>
      <c r="E2559"/>
    </row>
    <row r="2560" spans="2:5" x14ac:dyDescent="0.35">
      <c r="B2560"/>
      <c r="C2560"/>
      <c r="D2560"/>
      <c r="E2560"/>
    </row>
    <row r="2561" spans="2:5" x14ac:dyDescent="0.35">
      <c r="B2561"/>
      <c r="C2561"/>
      <c r="D2561"/>
      <c r="E2561"/>
    </row>
    <row r="2562" spans="2:5" x14ac:dyDescent="0.35">
      <c r="B2562"/>
      <c r="C2562"/>
      <c r="D2562"/>
      <c r="E2562"/>
    </row>
    <row r="2563" spans="2:5" x14ac:dyDescent="0.35">
      <c r="B2563"/>
      <c r="C2563"/>
      <c r="D2563"/>
      <c r="E2563"/>
    </row>
    <row r="2564" spans="2:5" x14ac:dyDescent="0.35">
      <c r="B2564"/>
      <c r="C2564"/>
      <c r="D2564"/>
      <c r="E2564"/>
    </row>
    <row r="2565" spans="2:5" x14ac:dyDescent="0.35">
      <c r="B2565"/>
      <c r="C2565"/>
      <c r="D2565"/>
      <c r="E2565"/>
    </row>
    <row r="2566" spans="2:5" x14ac:dyDescent="0.35">
      <c r="B2566"/>
      <c r="C2566"/>
      <c r="D2566"/>
      <c r="E2566"/>
    </row>
    <row r="2567" spans="2:5" x14ac:dyDescent="0.35">
      <c r="B2567"/>
      <c r="C2567"/>
      <c r="D2567"/>
      <c r="E2567"/>
    </row>
    <row r="2568" spans="2:5" x14ac:dyDescent="0.35">
      <c r="B2568"/>
      <c r="C2568"/>
      <c r="D2568"/>
      <c r="E2568"/>
    </row>
    <row r="2569" spans="2:5" x14ac:dyDescent="0.35">
      <c r="B2569"/>
      <c r="C2569"/>
      <c r="D2569"/>
      <c r="E2569"/>
    </row>
    <row r="2570" spans="2:5" x14ac:dyDescent="0.35">
      <c r="B2570"/>
      <c r="C2570"/>
      <c r="D2570"/>
      <c r="E2570"/>
    </row>
    <row r="2571" spans="2:5" x14ac:dyDescent="0.35">
      <c r="B2571"/>
      <c r="C2571"/>
      <c r="D2571"/>
      <c r="E2571"/>
    </row>
    <row r="2572" spans="2:5" x14ac:dyDescent="0.35">
      <c r="B2572"/>
      <c r="C2572"/>
      <c r="D2572"/>
      <c r="E2572"/>
    </row>
    <row r="2573" spans="2:5" x14ac:dyDescent="0.35">
      <c r="B2573"/>
      <c r="C2573"/>
      <c r="D2573"/>
      <c r="E2573"/>
    </row>
    <row r="2574" spans="2:5" x14ac:dyDescent="0.35">
      <c r="B2574"/>
      <c r="C2574"/>
      <c r="D2574"/>
      <c r="E2574"/>
    </row>
    <row r="2575" spans="2:5" x14ac:dyDescent="0.35">
      <c r="B2575"/>
      <c r="C2575"/>
      <c r="D2575"/>
      <c r="E2575"/>
    </row>
    <row r="2576" spans="2:5" x14ac:dyDescent="0.35">
      <c r="B2576"/>
      <c r="C2576"/>
      <c r="D2576"/>
      <c r="E2576"/>
    </row>
    <row r="2577" spans="2:5" x14ac:dyDescent="0.35">
      <c r="B2577"/>
      <c r="C2577"/>
      <c r="D2577"/>
      <c r="E2577"/>
    </row>
    <row r="2578" spans="2:5" x14ac:dyDescent="0.35">
      <c r="B2578"/>
      <c r="C2578"/>
      <c r="D2578"/>
      <c r="E2578"/>
    </row>
    <row r="2579" spans="2:5" x14ac:dyDescent="0.35">
      <c r="B2579"/>
      <c r="C2579"/>
      <c r="D2579"/>
      <c r="E2579"/>
    </row>
    <row r="2580" spans="2:5" x14ac:dyDescent="0.35">
      <c r="B2580"/>
      <c r="C2580"/>
      <c r="D2580"/>
      <c r="E2580"/>
    </row>
    <row r="2581" spans="2:5" x14ac:dyDescent="0.35">
      <c r="B2581"/>
      <c r="C2581"/>
      <c r="D2581"/>
      <c r="E2581"/>
    </row>
    <row r="2582" spans="2:5" x14ac:dyDescent="0.35">
      <c r="B2582"/>
      <c r="C2582"/>
      <c r="D2582"/>
      <c r="E2582"/>
    </row>
    <row r="2583" spans="2:5" x14ac:dyDescent="0.35">
      <c r="B2583"/>
      <c r="C2583"/>
      <c r="D2583"/>
      <c r="E2583"/>
    </row>
    <row r="2584" spans="2:5" x14ac:dyDescent="0.35">
      <c r="B2584"/>
      <c r="C2584"/>
      <c r="D2584"/>
      <c r="E2584"/>
    </row>
    <row r="2585" spans="2:5" x14ac:dyDescent="0.35">
      <c r="B2585"/>
      <c r="C2585"/>
      <c r="D2585"/>
      <c r="E2585"/>
    </row>
    <row r="2586" spans="2:5" x14ac:dyDescent="0.35">
      <c r="B2586"/>
      <c r="C2586"/>
      <c r="D2586"/>
      <c r="E2586"/>
    </row>
    <row r="2587" spans="2:5" x14ac:dyDescent="0.35">
      <c r="B2587"/>
      <c r="C2587"/>
      <c r="D2587"/>
      <c r="E2587"/>
    </row>
    <row r="2588" spans="2:5" x14ac:dyDescent="0.35">
      <c r="B2588"/>
      <c r="C2588"/>
      <c r="D2588"/>
      <c r="E2588"/>
    </row>
    <row r="2589" spans="2:5" x14ac:dyDescent="0.35">
      <c r="B2589"/>
      <c r="C2589"/>
      <c r="D2589"/>
      <c r="E2589"/>
    </row>
    <row r="2590" spans="2:5" x14ac:dyDescent="0.35">
      <c r="B2590"/>
      <c r="C2590"/>
      <c r="D2590"/>
      <c r="E2590"/>
    </row>
    <row r="2591" spans="2:5" x14ac:dyDescent="0.35">
      <c r="B2591"/>
      <c r="C2591"/>
      <c r="D2591"/>
      <c r="E2591"/>
    </row>
    <row r="2592" spans="2:5" x14ac:dyDescent="0.35">
      <c r="B2592"/>
      <c r="C2592"/>
      <c r="D2592"/>
      <c r="E2592"/>
    </row>
    <row r="2593" spans="2:5" x14ac:dyDescent="0.35">
      <c r="B2593"/>
      <c r="C2593"/>
      <c r="D2593"/>
      <c r="E2593"/>
    </row>
    <row r="2594" spans="2:5" x14ac:dyDescent="0.35">
      <c r="B2594"/>
      <c r="C2594"/>
      <c r="D2594"/>
      <c r="E2594"/>
    </row>
    <row r="2595" spans="2:5" x14ac:dyDescent="0.35">
      <c r="B2595"/>
      <c r="C2595"/>
      <c r="D2595"/>
      <c r="E2595"/>
    </row>
    <row r="2596" spans="2:5" x14ac:dyDescent="0.35">
      <c r="B2596"/>
      <c r="C2596"/>
      <c r="D2596"/>
      <c r="E2596"/>
    </row>
    <row r="2597" spans="2:5" x14ac:dyDescent="0.35">
      <c r="B2597"/>
      <c r="C2597"/>
      <c r="D2597"/>
      <c r="E2597"/>
    </row>
    <row r="2598" spans="2:5" x14ac:dyDescent="0.35">
      <c r="B2598"/>
      <c r="C2598"/>
      <c r="D2598"/>
      <c r="E2598"/>
    </row>
    <row r="2599" spans="2:5" x14ac:dyDescent="0.35">
      <c r="B2599"/>
      <c r="C2599"/>
      <c r="D2599"/>
      <c r="E2599"/>
    </row>
    <row r="2600" spans="2:5" x14ac:dyDescent="0.35">
      <c r="B2600"/>
      <c r="C2600"/>
      <c r="D2600"/>
      <c r="E2600"/>
    </row>
    <row r="2601" spans="2:5" x14ac:dyDescent="0.35">
      <c r="B2601"/>
      <c r="C2601"/>
      <c r="D2601"/>
      <c r="E2601"/>
    </row>
    <row r="2602" spans="2:5" x14ac:dyDescent="0.35">
      <c r="B2602"/>
      <c r="C2602"/>
      <c r="D2602"/>
      <c r="E2602"/>
    </row>
    <row r="2603" spans="2:5" x14ac:dyDescent="0.35">
      <c r="B2603"/>
      <c r="C2603"/>
      <c r="D2603"/>
      <c r="E2603"/>
    </row>
    <row r="2604" spans="2:5" x14ac:dyDescent="0.35">
      <c r="B2604"/>
      <c r="C2604"/>
      <c r="D2604"/>
      <c r="E2604"/>
    </row>
    <row r="2605" spans="2:5" x14ac:dyDescent="0.35">
      <c r="B2605"/>
      <c r="C2605"/>
      <c r="D2605"/>
      <c r="E2605"/>
    </row>
    <row r="2606" spans="2:5" x14ac:dyDescent="0.35">
      <c r="B2606"/>
      <c r="C2606"/>
      <c r="D2606"/>
      <c r="E2606"/>
    </row>
    <row r="2607" spans="2:5" x14ac:dyDescent="0.35">
      <c r="B2607"/>
      <c r="C2607"/>
      <c r="D2607"/>
      <c r="E2607"/>
    </row>
    <row r="2608" spans="2:5" x14ac:dyDescent="0.35">
      <c r="B2608"/>
      <c r="C2608"/>
      <c r="D2608"/>
      <c r="E2608"/>
    </row>
    <row r="2609" spans="2:5" x14ac:dyDescent="0.35">
      <c r="B2609"/>
      <c r="C2609"/>
      <c r="D2609"/>
      <c r="E2609"/>
    </row>
    <row r="2610" spans="2:5" x14ac:dyDescent="0.35">
      <c r="B2610"/>
      <c r="C2610"/>
      <c r="D2610"/>
      <c r="E2610"/>
    </row>
    <row r="2611" spans="2:5" x14ac:dyDescent="0.35">
      <c r="B2611"/>
      <c r="C2611"/>
      <c r="D2611"/>
      <c r="E2611"/>
    </row>
    <row r="2612" spans="2:5" x14ac:dyDescent="0.35">
      <c r="B2612"/>
      <c r="C2612"/>
      <c r="D2612"/>
      <c r="E2612"/>
    </row>
    <row r="2613" spans="2:5" x14ac:dyDescent="0.35">
      <c r="B2613"/>
      <c r="C2613"/>
      <c r="D2613"/>
      <c r="E2613"/>
    </row>
    <row r="2614" spans="2:5" x14ac:dyDescent="0.35">
      <c r="B2614"/>
      <c r="C2614"/>
      <c r="D2614"/>
      <c r="E2614"/>
    </row>
    <row r="2615" spans="2:5" x14ac:dyDescent="0.35">
      <c r="B2615"/>
      <c r="C2615"/>
      <c r="D2615"/>
      <c r="E2615"/>
    </row>
    <row r="2616" spans="2:5" x14ac:dyDescent="0.35">
      <c r="B2616"/>
      <c r="C2616"/>
      <c r="D2616"/>
      <c r="E2616"/>
    </row>
    <row r="2617" spans="2:5" x14ac:dyDescent="0.35">
      <c r="B2617"/>
      <c r="C2617"/>
      <c r="D2617"/>
      <c r="E2617"/>
    </row>
    <row r="2618" spans="2:5" x14ac:dyDescent="0.35">
      <c r="B2618"/>
      <c r="C2618"/>
      <c r="D2618"/>
      <c r="E2618"/>
    </row>
    <row r="2619" spans="2:5" x14ac:dyDescent="0.35">
      <c r="B2619"/>
      <c r="C2619"/>
      <c r="D2619"/>
      <c r="E2619"/>
    </row>
    <row r="2620" spans="2:5" x14ac:dyDescent="0.35">
      <c r="B2620"/>
      <c r="C2620"/>
      <c r="D2620"/>
      <c r="E2620"/>
    </row>
    <row r="2621" spans="2:5" x14ac:dyDescent="0.35">
      <c r="B2621"/>
      <c r="C2621"/>
      <c r="D2621"/>
      <c r="E2621"/>
    </row>
    <row r="2622" spans="2:5" x14ac:dyDescent="0.35">
      <c r="B2622"/>
      <c r="C2622"/>
      <c r="D2622"/>
      <c r="E2622"/>
    </row>
    <row r="2623" spans="2:5" x14ac:dyDescent="0.35">
      <c r="B2623"/>
      <c r="C2623"/>
      <c r="D2623"/>
      <c r="E2623"/>
    </row>
    <row r="2624" spans="2:5" x14ac:dyDescent="0.35">
      <c r="B2624"/>
      <c r="C2624"/>
      <c r="D2624"/>
      <c r="E2624"/>
    </row>
    <row r="2625" spans="2:5" x14ac:dyDescent="0.35">
      <c r="B2625"/>
      <c r="C2625"/>
      <c r="D2625"/>
      <c r="E2625"/>
    </row>
    <row r="2626" spans="2:5" x14ac:dyDescent="0.35">
      <c r="B2626"/>
      <c r="C2626"/>
      <c r="D2626"/>
      <c r="E2626"/>
    </row>
    <row r="2627" spans="2:5" x14ac:dyDescent="0.35">
      <c r="B2627"/>
      <c r="C2627"/>
      <c r="D2627"/>
      <c r="E2627"/>
    </row>
    <row r="2628" spans="2:5" x14ac:dyDescent="0.35">
      <c r="B2628"/>
      <c r="C2628"/>
      <c r="D2628"/>
      <c r="E2628"/>
    </row>
    <row r="2629" spans="2:5" x14ac:dyDescent="0.35">
      <c r="B2629"/>
      <c r="C2629"/>
      <c r="D2629"/>
      <c r="E2629"/>
    </row>
    <row r="2630" spans="2:5" x14ac:dyDescent="0.35">
      <c r="B2630"/>
      <c r="C2630"/>
      <c r="D2630"/>
      <c r="E2630"/>
    </row>
    <row r="2631" spans="2:5" x14ac:dyDescent="0.35">
      <c r="B2631"/>
      <c r="C2631"/>
      <c r="D2631"/>
      <c r="E2631"/>
    </row>
    <row r="2632" spans="2:5" x14ac:dyDescent="0.35">
      <c r="B2632"/>
      <c r="C2632"/>
      <c r="D2632"/>
      <c r="E2632"/>
    </row>
    <row r="2633" spans="2:5" x14ac:dyDescent="0.35">
      <c r="B2633"/>
      <c r="C2633"/>
      <c r="D2633"/>
      <c r="E2633"/>
    </row>
    <row r="2634" spans="2:5" x14ac:dyDescent="0.35">
      <c r="B2634"/>
      <c r="C2634"/>
      <c r="D2634"/>
      <c r="E2634"/>
    </row>
    <row r="2635" spans="2:5" x14ac:dyDescent="0.35">
      <c r="B2635"/>
      <c r="C2635"/>
      <c r="D2635"/>
      <c r="E2635"/>
    </row>
    <row r="2636" spans="2:5" x14ac:dyDescent="0.35">
      <c r="B2636"/>
      <c r="C2636"/>
      <c r="D2636"/>
      <c r="E2636"/>
    </row>
    <row r="2637" spans="2:5" x14ac:dyDescent="0.35">
      <c r="B2637"/>
      <c r="C2637"/>
      <c r="D2637"/>
      <c r="E2637"/>
    </row>
    <row r="2638" spans="2:5" x14ac:dyDescent="0.35">
      <c r="B2638"/>
      <c r="C2638"/>
      <c r="D2638"/>
      <c r="E2638"/>
    </row>
    <row r="2639" spans="2:5" x14ac:dyDescent="0.35">
      <c r="B2639"/>
      <c r="C2639"/>
      <c r="D2639"/>
      <c r="E2639"/>
    </row>
    <row r="2640" spans="2:5" x14ac:dyDescent="0.35">
      <c r="B2640"/>
      <c r="C2640"/>
      <c r="D2640"/>
      <c r="E2640"/>
    </row>
    <row r="2641" spans="2:5" x14ac:dyDescent="0.35">
      <c r="B2641"/>
      <c r="C2641"/>
      <c r="D2641"/>
      <c r="E2641"/>
    </row>
    <row r="2642" spans="2:5" x14ac:dyDescent="0.35">
      <c r="B2642"/>
      <c r="C2642"/>
      <c r="D2642"/>
      <c r="E2642"/>
    </row>
    <row r="2643" spans="2:5" x14ac:dyDescent="0.35">
      <c r="B2643"/>
      <c r="C2643"/>
      <c r="D2643"/>
      <c r="E2643"/>
    </row>
    <row r="2644" spans="2:5" x14ac:dyDescent="0.35">
      <c r="B2644"/>
      <c r="C2644"/>
      <c r="D2644"/>
      <c r="E2644"/>
    </row>
    <row r="2645" spans="2:5" x14ac:dyDescent="0.35">
      <c r="B2645"/>
      <c r="C2645"/>
      <c r="D2645"/>
      <c r="E2645"/>
    </row>
    <row r="2646" spans="2:5" x14ac:dyDescent="0.35">
      <c r="B2646"/>
      <c r="C2646"/>
      <c r="D2646"/>
      <c r="E2646"/>
    </row>
    <row r="2647" spans="2:5" x14ac:dyDescent="0.35">
      <c r="B2647"/>
      <c r="C2647"/>
      <c r="D2647"/>
      <c r="E2647"/>
    </row>
    <row r="2648" spans="2:5" x14ac:dyDescent="0.35">
      <c r="B2648"/>
      <c r="C2648"/>
      <c r="D2648"/>
      <c r="E2648"/>
    </row>
    <row r="2649" spans="2:5" x14ac:dyDescent="0.35">
      <c r="B2649"/>
      <c r="C2649"/>
      <c r="D2649"/>
      <c r="E2649"/>
    </row>
    <row r="2650" spans="2:5" x14ac:dyDescent="0.35">
      <c r="B2650"/>
      <c r="C2650"/>
      <c r="D2650"/>
      <c r="E2650"/>
    </row>
    <row r="2651" spans="2:5" x14ac:dyDescent="0.35">
      <c r="B2651"/>
      <c r="C2651"/>
      <c r="D2651"/>
      <c r="E2651"/>
    </row>
    <row r="2652" spans="2:5" x14ac:dyDescent="0.35">
      <c r="B2652"/>
      <c r="C2652"/>
      <c r="D2652"/>
      <c r="E2652"/>
    </row>
    <row r="2653" spans="2:5" x14ac:dyDescent="0.35">
      <c r="B2653"/>
      <c r="C2653"/>
      <c r="D2653"/>
      <c r="E2653"/>
    </row>
    <row r="2654" spans="2:5" x14ac:dyDescent="0.35">
      <c r="B2654"/>
      <c r="C2654"/>
      <c r="D2654"/>
      <c r="E2654"/>
    </row>
    <row r="2655" spans="2:5" x14ac:dyDescent="0.35">
      <c r="B2655"/>
      <c r="C2655"/>
      <c r="D2655"/>
      <c r="E2655"/>
    </row>
    <row r="2656" spans="2:5" x14ac:dyDescent="0.35">
      <c r="B2656"/>
      <c r="C2656"/>
      <c r="D2656"/>
      <c r="E2656"/>
    </row>
    <row r="2657" spans="2:5" x14ac:dyDescent="0.35">
      <c r="B2657"/>
      <c r="C2657"/>
      <c r="D2657"/>
      <c r="E2657"/>
    </row>
    <row r="2658" spans="2:5" x14ac:dyDescent="0.35">
      <c r="B2658"/>
      <c r="C2658"/>
      <c r="D2658"/>
      <c r="E2658"/>
    </row>
    <row r="2659" spans="2:5" x14ac:dyDescent="0.35">
      <c r="B2659"/>
      <c r="C2659"/>
      <c r="D2659"/>
      <c r="E2659"/>
    </row>
    <row r="2660" spans="2:5" x14ac:dyDescent="0.35">
      <c r="B2660"/>
      <c r="C2660"/>
      <c r="D2660"/>
      <c r="E2660"/>
    </row>
    <row r="2661" spans="2:5" x14ac:dyDescent="0.35">
      <c r="B2661"/>
      <c r="C2661"/>
      <c r="D2661"/>
      <c r="E2661"/>
    </row>
    <row r="2662" spans="2:5" x14ac:dyDescent="0.35">
      <c r="B2662"/>
      <c r="C2662"/>
      <c r="D2662"/>
      <c r="E2662"/>
    </row>
    <row r="2663" spans="2:5" x14ac:dyDescent="0.35">
      <c r="B2663"/>
      <c r="C2663"/>
      <c r="D2663"/>
      <c r="E2663"/>
    </row>
    <row r="2664" spans="2:5" x14ac:dyDescent="0.35">
      <c r="B2664"/>
      <c r="C2664"/>
      <c r="D2664"/>
      <c r="E2664"/>
    </row>
    <row r="2665" spans="2:5" x14ac:dyDescent="0.35">
      <c r="B2665"/>
      <c r="C2665"/>
      <c r="D2665"/>
      <c r="E2665"/>
    </row>
    <row r="2666" spans="2:5" x14ac:dyDescent="0.35">
      <c r="B2666"/>
      <c r="C2666"/>
      <c r="D2666"/>
      <c r="E2666"/>
    </row>
    <row r="2667" spans="2:5" x14ac:dyDescent="0.35">
      <c r="B2667"/>
      <c r="C2667"/>
      <c r="D2667"/>
      <c r="E2667"/>
    </row>
    <row r="2668" spans="2:5" x14ac:dyDescent="0.35">
      <c r="B2668"/>
      <c r="C2668"/>
      <c r="D2668"/>
      <c r="E2668"/>
    </row>
    <row r="2669" spans="2:5" x14ac:dyDescent="0.35">
      <c r="B2669"/>
      <c r="C2669"/>
      <c r="D2669"/>
      <c r="E2669"/>
    </row>
    <row r="2670" spans="2:5" x14ac:dyDescent="0.35">
      <c r="B2670"/>
      <c r="C2670"/>
      <c r="D2670"/>
      <c r="E2670"/>
    </row>
    <row r="2671" spans="2:5" x14ac:dyDescent="0.35">
      <c r="B2671"/>
      <c r="C2671"/>
      <c r="D2671"/>
      <c r="E2671"/>
    </row>
    <row r="2672" spans="2:5" x14ac:dyDescent="0.35">
      <c r="B2672"/>
      <c r="C2672"/>
      <c r="D2672"/>
      <c r="E2672"/>
    </row>
    <row r="2673" spans="2:5" x14ac:dyDescent="0.35">
      <c r="B2673"/>
      <c r="C2673"/>
      <c r="D2673"/>
      <c r="E2673"/>
    </row>
    <row r="2674" spans="2:5" x14ac:dyDescent="0.35">
      <c r="B2674"/>
      <c r="C2674"/>
      <c r="D2674"/>
      <c r="E2674"/>
    </row>
    <row r="2675" spans="2:5" x14ac:dyDescent="0.35">
      <c r="B2675"/>
      <c r="C2675"/>
      <c r="D2675"/>
      <c r="E2675"/>
    </row>
    <row r="2676" spans="2:5" x14ac:dyDescent="0.35">
      <c r="B2676"/>
      <c r="C2676"/>
      <c r="D2676"/>
      <c r="E2676"/>
    </row>
    <row r="2677" spans="2:5" x14ac:dyDescent="0.35">
      <c r="B2677"/>
      <c r="C2677"/>
      <c r="D2677"/>
      <c r="E2677"/>
    </row>
    <row r="2678" spans="2:5" x14ac:dyDescent="0.35">
      <c r="B2678"/>
      <c r="C2678"/>
      <c r="D2678"/>
      <c r="E2678"/>
    </row>
    <row r="2679" spans="2:5" x14ac:dyDescent="0.35">
      <c r="B2679"/>
      <c r="C2679"/>
      <c r="D2679"/>
      <c r="E2679"/>
    </row>
    <row r="2680" spans="2:5" x14ac:dyDescent="0.35">
      <c r="B2680"/>
      <c r="C2680"/>
      <c r="D2680"/>
      <c r="E2680"/>
    </row>
    <row r="2681" spans="2:5" x14ac:dyDescent="0.35">
      <c r="B2681"/>
      <c r="C2681"/>
      <c r="D2681"/>
      <c r="E2681"/>
    </row>
    <row r="2682" spans="2:5" x14ac:dyDescent="0.35">
      <c r="B2682"/>
      <c r="C2682"/>
      <c r="D2682"/>
      <c r="E2682"/>
    </row>
    <row r="2683" spans="2:5" x14ac:dyDescent="0.35">
      <c r="B2683"/>
      <c r="C2683"/>
      <c r="D2683"/>
      <c r="E2683"/>
    </row>
    <row r="2684" spans="2:5" x14ac:dyDescent="0.35">
      <c r="B2684"/>
      <c r="C2684"/>
      <c r="D2684"/>
      <c r="E2684"/>
    </row>
    <row r="2685" spans="2:5" x14ac:dyDescent="0.35">
      <c r="B2685"/>
      <c r="C2685"/>
      <c r="D2685"/>
      <c r="E2685"/>
    </row>
    <row r="2686" spans="2:5" x14ac:dyDescent="0.35">
      <c r="B2686"/>
      <c r="C2686"/>
      <c r="D2686"/>
      <c r="E2686"/>
    </row>
    <row r="2687" spans="2:5" x14ac:dyDescent="0.35">
      <c r="B2687"/>
      <c r="C2687"/>
      <c r="D2687"/>
      <c r="E2687"/>
    </row>
    <row r="2688" spans="2:5" x14ac:dyDescent="0.35">
      <c r="B2688"/>
      <c r="C2688"/>
      <c r="D2688"/>
      <c r="E2688"/>
    </row>
    <row r="2689" spans="2:5" x14ac:dyDescent="0.35">
      <c r="B2689"/>
      <c r="C2689"/>
      <c r="D2689"/>
      <c r="E2689"/>
    </row>
    <row r="2690" spans="2:5" x14ac:dyDescent="0.35">
      <c r="B2690"/>
      <c r="C2690"/>
      <c r="D2690"/>
      <c r="E2690"/>
    </row>
    <row r="2691" spans="2:5" x14ac:dyDescent="0.35">
      <c r="B2691"/>
      <c r="C2691"/>
      <c r="D2691"/>
      <c r="E2691"/>
    </row>
    <row r="2692" spans="2:5" x14ac:dyDescent="0.35">
      <c r="B2692"/>
      <c r="C2692"/>
      <c r="D2692"/>
      <c r="E2692"/>
    </row>
    <row r="2693" spans="2:5" x14ac:dyDescent="0.35">
      <c r="B2693"/>
      <c r="C2693"/>
      <c r="D2693"/>
      <c r="E2693"/>
    </row>
    <row r="2694" spans="2:5" x14ac:dyDescent="0.35">
      <c r="B2694"/>
      <c r="C2694"/>
      <c r="D2694"/>
      <c r="E2694"/>
    </row>
    <row r="2695" spans="2:5" x14ac:dyDescent="0.35">
      <c r="B2695"/>
      <c r="C2695"/>
      <c r="D2695"/>
      <c r="E2695"/>
    </row>
    <row r="2696" spans="2:5" x14ac:dyDescent="0.35">
      <c r="B2696"/>
      <c r="C2696"/>
      <c r="D2696"/>
      <c r="E2696"/>
    </row>
    <row r="2697" spans="2:5" x14ac:dyDescent="0.35">
      <c r="B2697"/>
      <c r="C2697"/>
      <c r="D2697"/>
      <c r="E2697"/>
    </row>
    <row r="2698" spans="2:5" x14ac:dyDescent="0.35">
      <c r="B2698"/>
      <c r="C2698"/>
      <c r="D2698"/>
      <c r="E2698"/>
    </row>
    <row r="2699" spans="2:5" x14ac:dyDescent="0.35">
      <c r="B2699"/>
      <c r="C2699"/>
      <c r="D2699"/>
      <c r="E2699"/>
    </row>
    <row r="2700" spans="2:5" x14ac:dyDescent="0.35">
      <c r="B2700"/>
      <c r="C2700"/>
      <c r="D2700"/>
      <c r="E2700"/>
    </row>
    <row r="2701" spans="2:5" x14ac:dyDescent="0.35">
      <c r="B2701"/>
      <c r="C2701"/>
      <c r="D2701"/>
      <c r="E2701"/>
    </row>
    <row r="2702" spans="2:5" x14ac:dyDescent="0.35">
      <c r="B2702"/>
      <c r="C2702"/>
      <c r="D2702"/>
      <c r="E2702"/>
    </row>
    <row r="2703" spans="2:5" x14ac:dyDescent="0.35">
      <c r="B2703"/>
      <c r="C2703"/>
      <c r="D2703"/>
      <c r="E2703"/>
    </row>
    <row r="2704" spans="2:5" x14ac:dyDescent="0.35">
      <c r="B2704"/>
      <c r="C2704"/>
      <c r="D2704"/>
      <c r="E2704"/>
    </row>
    <row r="2705" spans="2:5" x14ac:dyDescent="0.35">
      <c r="B2705"/>
      <c r="C2705"/>
      <c r="D2705"/>
      <c r="E2705"/>
    </row>
    <row r="2706" spans="2:5" x14ac:dyDescent="0.35">
      <c r="B2706"/>
      <c r="C2706"/>
      <c r="D2706"/>
      <c r="E2706"/>
    </row>
    <row r="2707" spans="2:5" x14ac:dyDescent="0.35">
      <c r="B2707"/>
      <c r="C2707"/>
      <c r="D2707"/>
      <c r="E2707"/>
    </row>
    <row r="2708" spans="2:5" x14ac:dyDescent="0.35">
      <c r="B2708"/>
      <c r="C2708"/>
      <c r="D2708"/>
      <c r="E2708"/>
    </row>
    <row r="2709" spans="2:5" x14ac:dyDescent="0.35">
      <c r="B2709"/>
      <c r="C2709"/>
      <c r="D2709"/>
      <c r="E2709"/>
    </row>
    <row r="2710" spans="2:5" x14ac:dyDescent="0.35">
      <c r="B2710"/>
      <c r="C2710"/>
      <c r="D2710"/>
      <c r="E2710"/>
    </row>
    <row r="2711" spans="2:5" x14ac:dyDescent="0.35">
      <c r="B2711"/>
      <c r="C2711"/>
      <c r="D2711"/>
      <c r="E2711"/>
    </row>
    <row r="2712" spans="2:5" x14ac:dyDescent="0.35">
      <c r="B2712"/>
      <c r="C2712"/>
      <c r="D2712"/>
      <c r="E2712"/>
    </row>
    <row r="2713" spans="2:5" x14ac:dyDescent="0.35">
      <c r="B2713"/>
      <c r="C2713"/>
      <c r="D2713"/>
      <c r="E2713"/>
    </row>
    <row r="2714" spans="2:5" x14ac:dyDescent="0.35">
      <c r="B2714"/>
      <c r="C2714"/>
      <c r="D2714"/>
      <c r="E2714"/>
    </row>
    <row r="2715" spans="2:5" x14ac:dyDescent="0.35">
      <c r="B2715"/>
      <c r="C2715"/>
      <c r="D2715"/>
      <c r="E2715"/>
    </row>
    <row r="2716" spans="2:5" x14ac:dyDescent="0.35">
      <c r="B2716"/>
      <c r="C2716"/>
      <c r="D2716"/>
      <c r="E2716"/>
    </row>
    <row r="2717" spans="2:5" x14ac:dyDescent="0.35">
      <c r="B2717"/>
      <c r="C2717"/>
      <c r="D2717"/>
      <c r="E2717"/>
    </row>
    <row r="2718" spans="2:5" x14ac:dyDescent="0.35">
      <c r="B2718"/>
      <c r="C2718"/>
      <c r="D2718"/>
      <c r="E2718"/>
    </row>
    <row r="2719" spans="2:5" x14ac:dyDescent="0.35">
      <c r="B2719"/>
      <c r="C2719"/>
      <c r="D2719"/>
      <c r="E2719"/>
    </row>
    <row r="2720" spans="2:5" x14ac:dyDescent="0.35">
      <c r="B2720"/>
      <c r="C2720"/>
      <c r="D2720"/>
      <c r="E2720"/>
    </row>
    <row r="2721" spans="2:5" x14ac:dyDescent="0.35">
      <c r="B2721"/>
      <c r="C2721"/>
      <c r="D2721"/>
      <c r="E2721"/>
    </row>
    <row r="2722" spans="2:5" x14ac:dyDescent="0.35">
      <c r="B2722"/>
      <c r="C2722"/>
      <c r="D2722"/>
      <c r="E2722"/>
    </row>
    <row r="2723" spans="2:5" x14ac:dyDescent="0.35">
      <c r="B2723"/>
      <c r="C2723"/>
      <c r="D2723"/>
      <c r="E2723"/>
    </row>
    <row r="2724" spans="2:5" x14ac:dyDescent="0.35">
      <c r="B2724"/>
      <c r="C2724"/>
      <c r="D2724"/>
      <c r="E2724"/>
    </row>
    <row r="2725" spans="2:5" x14ac:dyDescent="0.35">
      <c r="B2725"/>
      <c r="C2725"/>
      <c r="D2725"/>
      <c r="E2725"/>
    </row>
    <row r="2726" spans="2:5" x14ac:dyDescent="0.35">
      <c r="B2726"/>
      <c r="C2726"/>
      <c r="D2726"/>
      <c r="E2726"/>
    </row>
    <row r="2727" spans="2:5" x14ac:dyDescent="0.35">
      <c r="B2727"/>
      <c r="C2727"/>
      <c r="D2727"/>
      <c r="E2727"/>
    </row>
    <row r="2728" spans="2:5" x14ac:dyDescent="0.35">
      <c r="B2728"/>
      <c r="C2728"/>
      <c r="D2728"/>
      <c r="E2728"/>
    </row>
    <row r="2729" spans="2:5" x14ac:dyDescent="0.35">
      <c r="B2729"/>
      <c r="C2729"/>
      <c r="D2729"/>
      <c r="E2729"/>
    </row>
    <row r="2730" spans="2:5" x14ac:dyDescent="0.35">
      <c r="B2730"/>
      <c r="C2730"/>
      <c r="D2730"/>
      <c r="E2730"/>
    </row>
    <row r="2731" spans="2:5" x14ac:dyDescent="0.35">
      <c r="B2731"/>
      <c r="C2731"/>
      <c r="D2731"/>
      <c r="E2731"/>
    </row>
    <row r="2732" spans="2:5" x14ac:dyDescent="0.35">
      <c r="B2732"/>
      <c r="C2732"/>
      <c r="D2732"/>
      <c r="E2732"/>
    </row>
    <row r="2733" spans="2:5" x14ac:dyDescent="0.35">
      <c r="B2733"/>
      <c r="C2733"/>
      <c r="D2733"/>
      <c r="E2733"/>
    </row>
    <row r="2734" spans="2:5" x14ac:dyDescent="0.35">
      <c r="B2734"/>
      <c r="C2734"/>
      <c r="D2734"/>
      <c r="E2734"/>
    </row>
    <row r="2735" spans="2:5" x14ac:dyDescent="0.35">
      <c r="B2735"/>
      <c r="C2735"/>
      <c r="D2735"/>
      <c r="E2735"/>
    </row>
    <row r="2736" spans="2:5" x14ac:dyDescent="0.35">
      <c r="B2736"/>
      <c r="C2736"/>
      <c r="D2736"/>
      <c r="E2736"/>
    </row>
    <row r="2737" spans="2:5" x14ac:dyDescent="0.35">
      <c r="B2737"/>
      <c r="C2737"/>
      <c r="D2737"/>
      <c r="E2737"/>
    </row>
    <row r="2738" spans="2:5" x14ac:dyDescent="0.35">
      <c r="B2738"/>
      <c r="C2738"/>
      <c r="D2738"/>
      <c r="E2738"/>
    </row>
    <row r="2739" spans="2:5" x14ac:dyDescent="0.35">
      <c r="B2739"/>
      <c r="C2739"/>
      <c r="D2739"/>
      <c r="E2739"/>
    </row>
    <row r="2740" spans="2:5" x14ac:dyDescent="0.35">
      <c r="B2740"/>
      <c r="C2740"/>
      <c r="D2740"/>
      <c r="E2740"/>
    </row>
    <row r="2741" spans="2:5" x14ac:dyDescent="0.35">
      <c r="B2741"/>
      <c r="C2741"/>
      <c r="D2741"/>
      <c r="E2741"/>
    </row>
    <row r="2742" spans="2:5" x14ac:dyDescent="0.35">
      <c r="B2742"/>
      <c r="C2742"/>
      <c r="D2742"/>
      <c r="E2742"/>
    </row>
    <row r="2743" spans="2:5" x14ac:dyDescent="0.35">
      <c r="B2743"/>
      <c r="C2743"/>
      <c r="D2743"/>
      <c r="E2743"/>
    </row>
    <row r="2744" spans="2:5" x14ac:dyDescent="0.35">
      <c r="B2744"/>
      <c r="C2744"/>
      <c r="D2744"/>
      <c r="E2744"/>
    </row>
    <row r="2745" spans="2:5" x14ac:dyDescent="0.35">
      <c r="B2745"/>
      <c r="C2745"/>
      <c r="D2745"/>
      <c r="E2745"/>
    </row>
    <row r="2746" spans="2:5" x14ac:dyDescent="0.35">
      <c r="B2746"/>
      <c r="C2746"/>
      <c r="D2746"/>
      <c r="E2746"/>
    </row>
    <row r="2747" spans="2:5" x14ac:dyDescent="0.35">
      <c r="B2747"/>
      <c r="C2747"/>
      <c r="D2747"/>
      <c r="E2747"/>
    </row>
    <row r="2748" spans="2:5" x14ac:dyDescent="0.35">
      <c r="B2748"/>
      <c r="C2748"/>
      <c r="D2748"/>
      <c r="E2748"/>
    </row>
    <row r="2749" spans="2:5" x14ac:dyDescent="0.35">
      <c r="B2749"/>
      <c r="C2749"/>
      <c r="D2749"/>
      <c r="E2749"/>
    </row>
    <row r="2750" spans="2:5" x14ac:dyDescent="0.35">
      <c r="B2750"/>
      <c r="C2750"/>
      <c r="D2750"/>
      <c r="E2750"/>
    </row>
    <row r="2751" spans="2:5" x14ac:dyDescent="0.35">
      <c r="B2751"/>
      <c r="C2751"/>
      <c r="D2751"/>
      <c r="E2751"/>
    </row>
    <row r="2752" spans="2:5" x14ac:dyDescent="0.35">
      <c r="B2752"/>
      <c r="C2752"/>
      <c r="D2752"/>
      <c r="E2752"/>
    </row>
    <row r="2753" spans="2:5" x14ac:dyDescent="0.35">
      <c r="B2753"/>
      <c r="C2753"/>
      <c r="D2753"/>
      <c r="E2753"/>
    </row>
    <row r="2754" spans="2:5" x14ac:dyDescent="0.35">
      <c r="B2754"/>
      <c r="C2754"/>
      <c r="D2754"/>
      <c r="E2754"/>
    </row>
    <row r="2755" spans="2:5" x14ac:dyDescent="0.35">
      <c r="B2755"/>
      <c r="C2755"/>
      <c r="D2755"/>
      <c r="E2755"/>
    </row>
    <row r="2756" spans="2:5" x14ac:dyDescent="0.35">
      <c r="B2756"/>
      <c r="C2756"/>
      <c r="D2756"/>
      <c r="E2756"/>
    </row>
    <row r="2757" spans="2:5" x14ac:dyDescent="0.35">
      <c r="B2757"/>
      <c r="C2757"/>
      <c r="D2757"/>
      <c r="E2757"/>
    </row>
    <row r="2758" spans="2:5" x14ac:dyDescent="0.35">
      <c r="B2758"/>
      <c r="C2758"/>
      <c r="D2758"/>
      <c r="E2758"/>
    </row>
    <row r="2759" spans="2:5" x14ac:dyDescent="0.35">
      <c r="B2759"/>
      <c r="C2759"/>
      <c r="D2759"/>
      <c r="E2759"/>
    </row>
    <row r="2760" spans="2:5" x14ac:dyDescent="0.35">
      <c r="B2760"/>
      <c r="C2760"/>
      <c r="D2760"/>
      <c r="E2760"/>
    </row>
    <row r="2761" spans="2:5" x14ac:dyDescent="0.35">
      <c r="B2761"/>
      <c r="C2761"/>
      <c r="D2761"/>
      <c r="E2761"/>
    </row>
    <row r="2762" spans="2:5" x14ac:dyDescent="0.35">
      <c r="B2762"/>
      <c r="C2762"/>
      <c r="D2762"/>
      <c r="E2762"/>
    </row>
    <row r="2763" spans="2:5" x14ac:dyDescent="0.35">
      <c r="B2763"/>
      <c r="C2763"/>
      <c r="D2763"/>
      <c r="E2763"/>
    </row>
    <row r="2764" spans="2:5" x14ac:dyDescent="0.35">
      <c r="B2764"/>
      <c r="C2764"/>
      <c r="D2764"/>
      <c r="E2764"/>
    </row>
    <row r="2765" spans="2:5" x14ac:dyDescent="0.35">
      <c r="B2765"/>
      <c r="C2765"/>
      <c r="D2765"/>
      <c r="E2765"/>
    </row>
    <row r="2766" spans="2:5" x14ac:dyDescent="0.35">
      <c r="B2766"/>
      <c r="C2766"/>
      <c r="D2766"/>
      <c r="E2766"/>
    </row>
    <row r="2767" spans="2:5" x14ac:dyDescent="0.35">
      <c r="B2767"/>
      <c r="C2767"/>
      <c r="D2767"/>
      <c r="E2767"/>
    </row>
    <row r="2768" spans="2:5" x14ac:dyDescent="0.35">
      <c r="B2768"/>
      <c r="C2768"/>
      <c r="D2768"/>
      <c r="E2768"/>
    </row>
    <row r="2769" spans="2:5" x14ac:dyDescent="0.35">
      <c r="B2769"/>
      <c r="C2769"/>
      <c r="D2769"/>
      <c r="E2769"/>
    </row>
    <row r="2770" spans="2:5" x14ac:dyDescent="0.35">
      <c r="B2770"/>
      <c r="C2770"/>
      <c r="D2770"/>
      <c r="E2770"/>
    </row>
    <row r="2771" spans="2:5" x14ac:dyDescent="0.35">
      <c r="B2771"/>
      <c r="C2771"/>
      <c r="D2771"/>
      <c r="E2771"/>
    </row>
    <row r="2772" spans="2:5" x14ac:dyDescent="0.35">
      <c r="B2772"/>
      <c r="C2772"/>
      <c r="D2772"/>
      <c r="E2772"/>
    </row>
    <row r="2773" spans="2:5" x14ac:dyDescent="0.35">
      <c r="B2773"/>
      <c r="C2773"/>
      <c r="D2773"/>
      <c r="E2773"/>
    </row>
    <row r="2774" spans="2:5" x14ac:dyDescent="0.35">
      <c r="B2774"/>
      <c r="C2774"/>
      <c r="D2774"/>
      <c r="E2774"/>
    </row>
    <row r="2775" spans="2:5" x14ac:dyDescent="0.35">
      <c r="B2775"/>
      <c r="C2775"/>
      <c r="D2775"/>
      <c r="E2775"/>
    </row>
    <row r="2776" spans="2:5" x14ac:dyDescent="0.35">
      <c r="B2776"/>
      <c r="C2776"/>
      <c r="D2776"/>
      <c r="E2776"/>
    </row>
    <row r="2777" spans="2:5" x14ac:dyDescent="0.35">
      <c r="B2777"/>
      <c r="C2777"/>
      <c r="D2777"/>
      <c r="E2777"/>
    </row>
    <row r="2778" spans="2:5" x14ac:dyDescent="0.35">
      <c r="B2778"/>
      <c r="C2778"/>
      <c r="D2778"/>
      <c r="E2778"/>
    </row>
    <row r="2779" spans="2:5" x14ac:dyDescent="0.35">
      <c r="B2779"/>
      <c r="C2779"/>
      <c r="D2779"/>
      <c r="E2779"/>
    </row>
    <row r="2780" spans="2:5" x14ac:dyDescent="0.35">
      <c r="B2780"/>
      <c r="C2780"/>
      <c r="D2780"/>
      <c r="E2780"/>
    </row>
    <row r="2781" spans="2:5" x14ac:dyDescent="0.35">
      <c r="B2781"/>
      <c r="C2781"/>
      <c r="D2781"/>
      <c r="E2781"/>
    </row>
    <row r="2782" spans="2:5" x14ac:dyDescent="0.35">
      <c r="B2782"/>
      <c r="C2782"/>
      <c r="D2782"/>
      <c r="E2782"/>
    </row>
    <row r="2783" spans="2:5" x14ac:dyDescent="0.35">
      <c r="B2783"/>
      <c r="C2783"/>
      <c r="D2783"/>
      <c r="E2783"/>
    </row>
    <row r="2784" spans="2:5" x14ac:dyDescent="0.35">
      <c r="B2784"/>
      <c r="C2784"/>
      <c r="D2784"/>
      <c r="E2784"/>
    </row>
    <row r="2785" spans="2:5" x14ac:dyDescent="0.35">
      <c r="B2785"/>
      <c r="C2785"/>
      <c r="D2785"/>
      <c r="E2785"/>
    </row>
    <row r="2786" spans="2:5" x14ac:dyDescent="0.35">
      <c r="B2786"/>
      <c r="C2786"/>
      <c r="D2786"/>
      <c r="E2786"/>
    </row>
    <row r="2787" spans="2:5" x14ac:dyDescent="0.35">
      <c r="B2787"/>
      <c r="C2787"/>
      <c r="D2787"/>
      <c r="E2787"/>
    </row>
    <row r="2788" spans="2:5" x14ac:dyDescent="0.35">
      <c r="B2788"/>
      <c r="C2788"/>
      <c r="D2788"/>
      <c r="E2788"/>
    </row>
    <row r="2789" spans="2:5" x14ac:dyDescent="0.35">
      <c r="B2789"/>
      <c r="C2789"/>
      <c r="D2789"/>
      <c r="E2789"/>
    </row>
    <row r="2790" spans="2:5" x14ac:dyDescent="0.35">
      <c r="B2790"/>
      <c r="C2790"/>
      <c r="D2790"/>
      <c r="E2790"/>
    </row>
    <row r="2791" spans="2:5" x14ac:dyDescent="0.35">
      <c r="B2791"/>
      <c r="C2791"/>
      <c r="D2791"/>
      <c r="E2791"/>
    </row>
    <row r="2792" spans="2:5" x14ac:dyDescent="0.35">
      <c r="B2792"/>
      <c r="C2792"/>
      <c r="D2792"/>
      <c r="E2792"/>
    </row>
    <row r="2793" spans="2:5" x14ac:dyDescent="0.35">
      <c r="B2793"/>
      <c r="C2793"/>
      <c r="D2793"/>
      <c r="E2793"/>
    </row>
    <row r="2794" spans="2:5" x14ac:dyDescent="0.35">
      <c r="B2794"/>
      <c r="C2794"/>
      <c r="D2794"/>
      <c r="E2794"/>
    </row>
    <row r="2795" spans="2:5" x14ac:dyDescent="0.35">
      <c r="B2795"/>
      <c r="C2795"/>
      <c r="D2795"/>
      <c r="E2795"/>
    </row>
    <row r="2796" spans="2:5" x14ac:dyDescent="0.35">
      <c r="B2796"/>
      <c r="C2796"/>
      <c r="D2796"/>
      <c r="E2796"/>
    </row>
    <row r="2797" spans="2:5" x14ac:dyDescent="0.35">
      <c r="B2797"/>
      <c r="C2797"/>
      <c r="D2797"/>
      <c r="E2797"/>
    </row>
    <row r="2798" spans="2:5" x14ac:dyDescent="0.35">
      <c r="B2798"/>
      <c r="C2798"/>
      <c r="D2798"/>
      <c r="E2798"/>
    </row>
    <row r="2799" spans="2:5" x14ac:dyDescent="0.35">
      <c r="B2799"/>
      <c r="C2799"/>
      <c r="D2799"/>
      <c r="E2799"/>
    </row>
    <row r="2800" spans="2:5" x14ac:dyDescent="0.35">
      <c r="B2800"/>
      <c r="C2800"/>
      <c r="D2800"/>
      <c r="E2800"/>
    </row>
    <row r="2801" spans="2:5" x14ac:dyDescent="0.35">
      <c r="B2801"/>
      <c r="C2801"/>
      <c r="D2801"/>
      <c r="E2801"/>
    </row>
    <row r="2802" spans="2:5" x14ac:dyDescent="0.35">
      <c r="B2802"/>
      <c r="C2802"/>
      <c r="D2802"/>
      <c r="E2802"/>
    </row>
    <row r="2803" spans="2:5" x14ac:dyDescent="0.35">
      <c r="B2803"/>
      <c r="C2803"/>
      <c r="D2803"/>
      <c r="E2803"/>
    </row>
    <row r="2804" spans="2:5" x14ac:dyDescent="0.35">
      <c r="B2804"/>
      <c r="C2804"/>
      <c r="D2804"/>
      <c r="E2804"/>
    </row>
    <row r="2805" spans="2:5" x14ac:dyDescent="0.35">
      <c r="B2805"/>
      <c r="C2805"/>
      <c r="D2805"/>
      <c r="E2805"/>
    </row>
    <row r="2806" spans="2:5" x14ac:dyDescent="0.35">
      <c r="B2806"/>
      <c r="C2806"/>
      <c r="D2806"/>
      <c r="E2806"/>
    </row>
    <row r="2807" spans="2:5" x14ac:dyDescent="0.35">
      <c r="B2807"/>
      <c r="C2807"/>
      <c r="D2807"/>
      <c r="E2807"/>
    </row>
    <row r="2808" spans="2:5" x14ac:dyDescent="0.35">
      <c r="B2808"/>
      <c r="C2808"/>
      <c r="D2808"/>
      <c r="E2808"/>
    </row>
    <row r="2809" spans="2:5" x14ac:dyDescent="0.35">
      <c r="B2809"/>
      <c r="C2809"/>
      <c r="D2809"/>
      <c r="E2809"/>
    </row>
    <row r="2810" spans="2:5" x14ac:dyDescent="0.35">
      <c r="B2810"/>
      <c r="C2810"/>
      <c r="D2810"/>
      <c r="E2810"/>
    </row>
    <row r="2811" spans="2:5" x14ac:dyDescent="0.35">
      <c r="B2811"/>
      <c r="C2811"/>
      <c r="D2811"/>
      <c r="E2811"/>
    </row>
    <row r="2812" spans="2:5" x14ac:dyDescent="0.35">
      <c r="B2812"/>
      <c r="C2812"/>
      <c r="D2812"/>
      <c r="E2812"/>
    </row>
    <row r="2813" spans="2:5" x14ac:dyDescent="0.35">
      <c r="B2813"/>
      <c r="C2813"/>
      <c r="D2813"/>
      <c r="E2813"/>
    </row>
    <row r="2814" spans="2:5" x14ac:dyDescent="0.35">
      <c r="B2814"/>
      <c r="C2814"/>
      <c r="D2814"/>
      <c r="E2814"/>
    </row>
    <row r="2815" spans="2:5" x14ac:dyDescent="0.35">
      <c r="B2815"/>
      <c r="C2815"/>
      <c r="D2815"/>
      <c r="E2815"/>
    </row>
    <row r="2816" spans="2:5" x14ac:dyDescent="0.35">
      <c r="B2816"/>
      <c r="C2816"/>
      <c r="D2816"/>
      <c r="E2816"/>
    </row>
    <row r="2817" spans="2:5" x14ac:dyDescent="0.35">
      <c r="B2817"/>
      <c r="C2817"/>
      <c r="D2817"/>
      <c r="E2817"/>
    </row>
    <row r="2818" spans="2:5" x14ac:dyDescent="0.35">
      <c r="B2818"/>
      <c r="C2818"/>
      <c r="D2818"/>
      <c r="E2818"/>
    </row>
    <row r="2819" spans="2:5" x14ac:dyDescent="0.35">
      <c r="B2819"/>
      <c r="C2819"/>
      <c r="D2819"/>
      <c r="E2819"/>
    </row>
    <row r="2820" spans="2:5" x14ac:dyDescent="0.35">
      <c r="B2820"/>
      <c r="C2820"/>
      <c r="D2820"/>
      <c r="E2820"/>
    </row>
    <row r="2821" spans="2:5" x14ac:dyDescent="0.35">
      <c r="B2821"/>
      <c r="C2821"/>
      <c r="D2821"/>
      <c r="E2821"/>
    </row>
    <row r="2822" spans="2:5" x14ac:dyDescent="0.35">
      <c r="B2822"/>
      <c r="C2822"/>
      <c r="D2822"/>
      <c r="E2822"/>
    </row>
    <row r="2823" spans="2:5" x14ac:dyDescent="0.35">
      <c r="B2823"/>
      <c r="C2823"/>
      <c r="D2823"/>
      <c r="E2823"/>
    </row>
    <row r="2824" spans="2:5" x14ac:dyDescent="0.35">
      <c r="B2824"/>
      <c r="C2824"/>
      <c r="D2824"/>
      <c r="E2824"/>
    </row>
    <row r="2825" spans="2:5" x14ac:dyDescent="0.35">
      <c r="B2825"/>
      <c r="C2825"/>
      <c r="D2825"/>
      <c r="E2825"/>
    </row>
    <row r="2826" spans="2:5" x14ac:dyDescent="0.35">
      <c r="B2826"/>
      <c r="C2826"/>
      <c r="D2826"/>
      <c r="E2826"/>
    </row>
    <row r="2827" spans="2:5" x14ac:dyDescent="0.35">
      <c r="B2827"/>
      <c r="C2827"/>
      <c r="D2827"/>
      <c r="E2827"/>
    </row>
    <row r="2828" spans="2:5" x14ac:dyDescent="0.35">
      <c r="B2828"/>
      <c r="C2828"/>
      <c r="D2828"/>
      <c r="E2828"/>
    </row>
    <row r="2829" spans="2:5" x14ac:dyDescent="0.35">
      <c r="B2829"/>
      <c r="C2829"/>
      <c r="D2829"/>
      <c r="E2829"/>
    </row>
    <row r="2830" spans="2:5" x14ac:dyDescent="0.35">
      <c r="B2830"/>
      <c r="C2830"/>
      <c r="D2830"/>
      <c r="E2830"/>
    </row>
    <row r="2831" spans="2:5" x14ac:dyDescent="0.35">
      <c r="B2831"/>
      <c r="C2831"/>
      <c r="D2831"/>
      <c r="E2831"/>
    </row>
    <row r="2832" spans="2:5" x14ac:dyDescent="0.35">
      <c r="B2832"/>
      <c r="C2832"/>
      <c r="D2832"/>
      <c r="E2832"/>
    </row>
    <row r="2833" spans="2:5" x14ac:dyDescent="0.35">
      <c r="B2833"/>
      <c r="C2833"/>
      <c r="D2833"/>
      <c r="E2833"/>
    </row>
    <row r="2834" spans="2:5" x14ac:dyDescent="0.35">
      <c r="B2834"/>
      <c r="C2834"/>
      <c r="D2834"/>
      <c r="E2834"/>
    </row>
    <row r="2835" spans="2:5" x14ac:dyDescent="0.35">
      <c r="B2835"/>
      <c r="C2835"/>
      <c r="D2835"/>
      <c r="E2835"/>
    </row>
    <row r="2836" spans="2:5" x14ac:dyDescent="0.35">
      <c r="B2836"/>
      <c r="C2836"/>
      <c r="D2836"/>
      <c r="E2836"/>
    </row>
    <row r="2837" spans="2:5" x14ac:dyDescent="0.35">
      <c r="B2837"/>
      <c r="C2837"/>
      <c r="D2837"/>
      <c r="E2837"/>
    </row>
    <row r="2838" spans="2:5" x14ac:dyDescent="0.35">
      <c r="B2838"/>
      <c r="C2838"/>
      <c r="D2838"/>
      <c r="E2838"/>
    </row>
    <row r="2839" spans="2:5" x14ac:dyDescent="0.35">
      <c r="B2839"/>
      <c r="C2839"/>
      <c r="D2839"/>
      <c r="E2839"/>
    </row>
    <row r="2840" spans="2:5" x14ac:dyDescent="0.35">
      <c r="B2840"/>
      <c r="C2840"/>
      <c r="D2840"/>
      <c r="E2840"/>
    </row>
    <row r="2841" spans="2:5" x14ac:dyDescent="0.35">
      <c r="B2841"/>
      <c r="C2841"/>
      <c r="D2841"/>
      <c r="E2841"/>
    </row>
    <row r="2842" spans="2:5" x14ac:dyDescent="0.35">
      <c r="B2842"/>
      <c r="C2842"/>
      <c r="D2842"/>
      <c r="E2842"/>
    </row>
    <row r="2843" spans="2:5" x14ac:dyDescent="0.35">
      <c r="B2843"/>
      <c r="C2843"/>
      <c r="D2843"/>
      <c r="E2843"/>
    </row>
    <row r="2844" spans="2:5" x14ac:dyDescent="0.35">
      <c r="B2844"/>
      <c r="C2844"/>
      <c r="D2844"/>
      <c r="E2844"/>
    </row>
    <row r="2845" spans="2:5" x14ac:dyDescent="0.35">
      <c r="B2845"/>
      <c r="C2845"/>
      <c r="D2845"/>
      <c r="E2845"/>
    </row>
    <row r="2846" spans="2:5" x14ac:dyDescent="0.35">
      <c r="B2846"/>
      <c r="C2846"/>
      <c r="D2846"/>
      <c r="E2846"/>
    </row>
    <row r="2847" spans="2:5" x14ac:dyDescent="0.35">
      <c r="B2847"/>
      <c r="C2847"/>
      <c r="D2847"/>
      <c r="E2847"/>
    </row>
    <row r="2848" spans="2:5" x14ac:dyDescent="0.35">
      <c r="B2848"/>
      <c r="C2848"/>
      <c r="D2848"/>
      <c r="E2848"/>
    </row>
    <row r="2849" spans="2:5" x14ac:dyDescent="0.35">
      <c r="B2849"/>
      <c r="C2849"/>
      <c r="D2849"/>
      <c r="E2849"/>
    </row>
    <row r="2850" spans="2:5" x14ac:dyDescent="0.35">
      <c r="B2850"/>
      <c r="C2850"/>
      <c r="D2850"/>
      <c r="E2850"/>
    </row>
    <row r="2851" spans="2:5" x14ac:dyDescent="0.35">
      <c r="B2851"/>
      <c r="C2851"/>
      <c r="D2851"/>
      <c r="E2851"/>
    </row>
    <row r="2852" spans="2:5" x14ac:dyDescent="0.35">
      <c r="B2852"/>
      <c r="C2852"/>
      <c r="D2852"/>
      <c r="E2852"/>
    </row>
    <row r="2853" spans="2:5" x14ac:dyDescent="0.35">
      <c r="B2853"/>
      <c r="C2853"/>
      <c r="D2853"/>
      <c r="E2853"/>
    </row>
    <row r="2854" spans="2:5" x14ac:dyDescent="0.35">
      <c r="B2854"/>
      <c r="C2854"/>
      <c r="D2854"/>
      <c r="E2854"/>
    </row>
    <row r="2855" spans="2:5" x14ac:dyDescent="0.35">
      <c r="B2855"/>
      <c r="C2855"/>
      <c r="D2855"/>
      <c r="E2855"/>
    </row>
    <row r="2856" spans="2:5" x14ac:dyDescent="0.35">
      <c r="B2856"/>
      <c r="C2856"/>
      <c r="D2856"/>
      <c r="E2856"/>
    </row>
    <row r="2857" spans="2:5" x14ac:dyDescent="0.35">
      <c r="B2857"/>
      <c r="C2857"/>
      <c r="D2857"/>
      <c r="E2857"/>
    </row>
    <row r="2858" spans="2:5" x14ac:dyDescent="0.35">
      <c r="B2858"/>
      <c r="C2858"/>
      <c r="D2858"/>
      <c r="E2858"/>
    </row>
    <row r="2859" spans="2:5" x14ac:dyDescent="0.35">
      <c r="B2859"/>
      <c r="C2859"/>
      <c r="D2859"/>
      <c r="E2859"/>
    </row>
    <row r="2860" spans="2:5" x14ac:dyDescent="0.35">
      <c r="B2860"/>
      <c r="C2860"/>
      <c r="D2860"/>
      <c r="E2860"/>
    </row>
    <row r="2861" spans="2:5" x14ac:dyDescent="0.35">
      <c r="B2861"/>
      <c r="C2861"/>
      <c r="D2861"/>
      <c r="E2861"/>
    </row>
    <row r="2862" spans="2:5" x14ac:dyDescent="0.35">
      <c r="B2862"/>
      <c r="C2862"/>
      <c r="D2862"/>
      <c r="E2862"/>
    </row>
    <row r="2863" spans="2:5" x14ac:dyDescent="0.35">
      <c r="B2863"/>
      <c r="C2863"/>
      <c r="D2863"/>
      <c r="E2863"/>
    </row>
    <row r="2864" spans="2:5" x14ac:dyDescent="0.35">
      <c r="B2864"/>
      <c r="C2864"/>
      <c r="D2864"/>
      <c r="E2864"/>
    </row>
    <row r="2865" spans="2:5" x14ac:dyDescent="0.35">
      <c r="B2865"/>
      <c r="C2865"/>
      <c r="D2865"/>
      <c r="E2865"/>
    </row>
    <row r="2866" spans="2:5" x14ac:dyDescent="0.35">
      <c r="B2866"/>
      <c r="C2866"/>
      <c r="D2866"/>
      <c r="E2866"/>
    </row>
    <row r="2867" spans="2:5" x14ac:dyDescent="0.35">
      <c r="B2867"/>
      <c r="C2867"/>
      <c r="D2867"/>
      <c r="E2867"/>
    </row>
    <row r="2868" spans="2:5" x14ac:dyDescent="0.35">
      <c r="B2868"/>
      <c r="C2868"/>
      <c r="D2868"/>
      <c r="E2868"/>
    </row>
    <row r="2869" spans="2:5" x14ac:dyDescent="0.35">
      <c r="B2869"/>
      <c r="C2869"/>
      <c r="D2869"/>
      <c r="E2869"/>
    </row>
    <row r="2870" spans="2:5" x14ac:dyDescent="0.35">
      <c r="B2870"/>
      <c r="C2870"/>
      <c r="D2870"/>
      <c r="E2870"/>
    </row>
    <row r="2871" spans="2:5" x14ac:dyDescent="0.35">
      <c r="B2871"/>
      <c r="C2871"/>
      <c r="D2871"/>
      <c r="E2871"/>
    </row>
    <row r="2872" spans="2:5" x14ac:dyDescent="0.35">
      <c r="B2872"/>
      <c r="C2872"/>
      <c r="D2872"/>
      <c r="E2872"/>
    </row>
    <row r="2873" spans="2:5" x14ac:dyDescent="0.35">
      <c r="B2873"/>
      <c r="C2873"/>
      <c r="D2873"/>
      <c r="E2873"/>
    </row>
    <row r="2874" spans="2:5" x14ac:dyDescent="0.35">
      <c r="B2874"/>
      <c r="C2874"/>
      <c r="D2874"/>
      <c r="E2874"/>
    </row>
    <row r="2875" spans="2:5" x14ac:dyDescent="0.35">
      <c r="B2875"/>
      <c r="C2875"/>
      <c r="D2875"/>
      <c r="E2875"/>
    </row>
    <row r="2876" spans="2:5" x14ac:dyDescent="0.35">
      <c r="B2876"/>
      <c r="C2876"/>
      <c r="D2876"/>
      <c r="E2876"/>
    </row>
    <row r="2877" spans="2:5" x14ac:dyDescent="0.35">
      <c r="B2877"/>
      <c r="C2877"/>
      <c r="D2877"/>
      <c r="E2877"/>
    </row>
    <row r="2878" spans="2:5" x14ac:dyDescent="0.35">
      <c r="B2878"/>
      <c r="C2878"/>
      <c r="D2878"/>
      <c r="E2878"/>
    </row>
    <row r="2879" spans="2:5" x14ac:dyDescent="0.35">
      <c r="B2879"/>
      <c r="C2879"/>
      <c r="D2879"/>
      <c r="E2879"/>
    </row>
    <row r="2880" spans="2:5" x14ac:dyDescent="0.35">
      <c r="B2880"/>
      <c r="C2880"/>
      <c r="D2880"/>
      <c r="E2880"/>
    </row>
    <row r="2881" spans="2:5" x14ac:dyDescent="0.35">
      <c r="B2881"/>
      <c r="C2881"/>
      <c r="D2881"/>
      <c r="E2881"/>
    </row>
    <row r="2882" spans="2:5" x14ac:dyDescent="0.35">
      <c r="B2882"/>
      <c r="C2882"/>
      <c r="D2882"/>
      <c r="E2882"/>
    </row>
    <row r="2883" spans="2:5" x14ac:dyDescent="0.35">
      <c r="B2883"/>
      <c r="C2883"/>
      <c r="D2883"/>
      <c r="E2883"/>
    </row>
    <row r="2884" spans="2:5" x14ac:dyDescent="0.35">
      <c r="B2884"/>
      <c r="C2884"/>
      <c r="D2884"/>
      <c r="E2884"/>
    </row>
    <row r="2885" spans="2:5" x14ac:dyDescent="0.35">
      <c r="B2885"/>
      <c r="C2885"/>
      <c r="D2885"/>
      <c r="E2885"/>
    </row>
    <row r="2886" spans="2:5" x14ac:dyDescent="0.35">
      <c r="B2886"/>
      <c r="C2886"/>
      <c r="D2886"/>
      <c r="E2886"/>
    </row>
    <row r="2887" spans="2:5" x14ac:dyDescent="0.35">
      <c r="B2887"/>
      <c r="C2887"/>
      <c r="D2887"/>
      <c r="E2887"/>
    </row>
    <row r="2888" spans="2:5" x14ac:dyDescent="0.35">
      <c r="B2888"/>
      <c r="C2888"/>
      <c r="D2888"/>
      <c r="E2888"/>
    </row>
    <row r="2889" spans="2:5" x14ac:dyDescent="0.35">
      <c r="B2889"/>
      <c r="C2889"/>
      <c r="D2889"/>
      <c r="E2889"/>
    </row>
    <row r="2890" spans="2:5" x14ac:dyDescent="0.35">
      <c r="B2890"/>
      <c r="C2890"/>
      <c r="D2890"/>
      <c r="E2890"/>
    </row>
    <row r="2891" spans="2:5" x14ac:dyDescent="0.35">
      <c r="B2891"/>
      <c r="C2891"/>
      <c r="D2891"/>
      <c r="E2891"/>
    </row>
    <row r="2892" spans="2:5" x14ac:dyDescent="0.35">
      <c r="B2892"/>
      <c r="C2892"/>
      <c r="D2892"/>
      <c r="E2892"/>
    </row>
    <row r="2893" spans="2:5" x14ac:dyDescent="0.35">
      <c r="B2893"/>
      <c r="C2893"/>
      <c r="D2893"/>
      <c r="E2893"/>
    </row>
    <row r="2894" spans="2:5" x14ac:dyDescent="0.35">
      <c r="B2894"/>
      <c r="C2894"/>
      <c r="D2894"/>
      <c r="E2894"/>
    </row>
    <row r="2895" spans="2:5" x14ac:dyDescent="0.35">
      <c r="B2895"/>
      <c r="C2895"/>
      <c r="D2895"/>
      <c r="E2895"/>
    </row>
    <row r="2896" spans="2:5" x14ac:dyDescent="0.35">
      <c r="B2896"/>
      <c r="C2896"/>
      <c r="D2896"/>
      <c r="E2896"/>
    </row>
    <row r="2897" spans="2:5" x14ac:dyDescent="0.35">
      <c r="B2897"/>
      <c r="C2897"/>
      <c r="D2897"/>
      <c r="E2897"/>
    </row>
    <row r="2898" spans="2:5" x14ac:dyDescent="0.35">
      <c r="B2898"/>
      <c r="C2898"/>
      <c r="D2898"/>
      <c r="E2898"/>
    </row>
    <row r="2899" spans="2:5" x14ac:dyDescent="0.35">
      <c r="B2899"/>
      <c r="C2899"/>
      <c r="D2899"/>
      <c r="E2899"/>
    </row>
    <row r="2900" spans="2:5" x14ac:dyDescent="0.35">
      <c r="B2900"/>
      <c r="C2900"/>
      <c r="D2900"/>
      <c r="E2900"/>
    </row>
    <row r="2901" spans="2:5" x14ac:dyDescent="0.35">
      <c r="B2901"/>
      <c r="C2901"/>
      <c r="D2901"/>
      <c r="E2901"/>
    </row>
    <row r="2902" spans="2:5" x14ac:dyDescent="0.35">
      <c r="B2902"/>
      <c r="C2902"/>
      <c r="D2902"/>
      <c r="E2902"/>
    </row>
    <row r="2903" spans="2:5" x14ac:dyDescent="0.35">
      <c r="B2903"/>
      <c r="C2903"/>
      <c r="D2903"/>
      <c r="E2903"/>
    </row>
    <row r="2904" spans="2:5" x14ac:dyDescent="0.35">
      <c r="B2904"/>
      <c r="C2904"/>
      <c r="D2904"/>
      <c r="E2904"/>
    </row>
    <row r="2905" spans="2:5" x14ac:dyDescent="0.35">
      <c r="B2905"/>
      <c r="C2905"/>
      <c r="D2905"/>
      <c r="E2905"/>
    </row>
    <row r="2906" spans="2:5" x14ac:dyDescent="0.35">
      <c r="B2906"/>
      <c r="C2906"/>
      <c r="D2906"/>
      <c r="E2906"/>
    </row>
    <row r="2907" spans="2:5" x14ac:dyDescent="0.35">
      <c r="B2907"/>
      <c r="C2907"/>
      <c r="D2907"/>
      <c r="E2907"/>
    </row>
    <row r="2908" spans="2:5" x14ac:dyDescent="0.35">
      <c r="B2908"/>
      <c r="C2908"/>
      <c r="D2908"/>
      <c r="E2908"/>
    </row>
    <row r="2909" spans="2:5" x14ac:dyDescent="0.35">
      <c r="B2909"/>
      <c r="C2909"/>
      <c r="D2909"/>
      <c r="E2909"/>
    </row>
    <row r="2910" spans="2:5" x14ac:dyDescent="0.35">
      <c r="B2910"/>
      <c r="C2910"/>
      <c r="D2910"/>
      <c r="E2910"/>
    </row>
    <row r="2911" spans="2:5" x14ac:dyDescent="0.35">
      <c r="B2911"/>
      <c r="C2911"/>
      <c r="D2911"/>
      <c r="E2911"/>
    </row>
    <row r="2912" spans="2:5" x14ac:dyDescent="0.35">
      <c r="B2912"/>
      <c r="C2912"/>
      <c r="D2912"/>
      <c r="E2912"/>
    </row>
    <row r="2913" spans="2:5" x14ac:dyDescent="0.35">
      <c r="B2913"/>
      <c r="C2913"/>
      <c r="D2913"/>
      <c r="E2913"/>
    </row>
    <row r="2914" spans="2:5" x14ac:dyDescent="0.35">
      <c r="B2914"/>
      <c r="C2914"/>
      <c r="D2914"/>
      <c r="E2914"/>
    </row>
    <row r="2915" spans="2:5" x14ac:dyDescent="0.35">
      <c r="B2915"/>
      <c r="C2915"/>
      <c r="D2915"/>
      <c r="E2915"/>
    </row>
    <row r="2916" spans="2:5" x14ac:dyDescent="0.35">
      <c r="B2916"/>
      <c r="C2916"/>
      <c r="D2916"/>
      <c r="E2916"/>
    </row>
    <row r="2917" spans="2:5" x14ac:dyDescent="0.35">
      <c r="B2917"/>
      <c r="C2917"/>
      <c r="D2917"/>
      <c r="E2917"/>
    </row>
    <row r="2918" spans="2:5" x14ac:dyDescent="0.35">
      <c r="B2918"/>
      <c r="C2918"/>
      <c r="D2918"/>
      <c r="E2918"/>
    </row>
    <row r="2919" spans="2:5" x14ac:dyDescent="0.35">
      <c r="B2919"/>
      <c r="C2919"/>
      <c r="D2919"/>
      <c r="E2919"/>
    </row>
    <row r="2920" spans="2:5" x14ac:dyDescent="0.35">
      <c r="B2920"/>
      <c r="C2920"/>
      <c r="D2920"/>
      <c r="E2920"/>
    </row>
    <row r="2921" spans="2:5" x14ac:dyDescent="0.35">
      <c r="B2921"/>
      <c r="C2921"/>
      <c r="D2921"/>
      <c r="E2921"/>
    </row>
    <row r="2922" spans="2:5" x14ac:dyDescent="0.35">
      <c r="B2922"/>
      <c r="C2922"/>
      <c r="D2922"/>
      <c r="E2922"/>
    </row>
    <row r="2923" spans="2:5" x14ac:dyDescent="0.35">
      <c r="B2923"/>
      <c r="C2923"/>
      <c r="D2923"/>
      <c r="E2923"/>
    </row>
    <row r="2924" spans="2:5" x14ac:dyDescent="0.35">
      <c r="B2924"/>
      <c r="C2924"/>
      <c r="D2924"/>
      <c r="E2924"/>
    </row>
    <row r="2925" spans="2:5" x14ac:dyDescent="0.35">
      <c r="B2925"/>
      <c r="C2925"/>
      <c r="D2925"/>
      <c r="E2925"/>
    </row>
    <row r="2926" spans="2:5" x14ac:dyDescent="0.35">
      <c r="B2926"/>
      <c r="C2926"/>
      <c r="D2926"/>
      <c r="E2926"/>
    </row>
    <row r="2927" spans="2:5" x14ac:dyDescent="0.35">
      <c r="B2927"/>
      <c r="C2927"/>
      <c r="D2927"/>
      <c r="E2927"/>
    </row>
    <row r="2928" spans="2:5" x14ac:dyDescent="0.35">
      <c r="B2928"/>
      <c r="C2928"/>
      <c r="D2928"/>
      <c r="E2928"/>
    </row>
    <row r="2929" spans="2:5" x14ac:dyDescent="0.35">
      <c r="B2929"/>
      <c r="C2929"/>
      <c r="D2929"/>
      <c r="E2929"/>
    </row>
    <row r="2930" spans="2:5" x14ac:dyDescent="0.35">
      <c r="B2930"/>
      <c r="C2930"/>
      <c r="D2930"/>
      <c r="E2930"/>
    </row>
    <row r="2931" spans="2:5" x14ac:dyDescent="0.35">
      <c r="B2931"/>
      <c r="C2931"/>
      <c r="D2931"/>
      <c r="E2931"/>
    </row>
    <row r="2932" spans="2:5" x14ac:dyDescent="0.35">
      <c r="B2932"/>
      <c r="C2932"/>
      <c r="D2932"/>
      <c r="E2932"/>
    </row>
    <row r="2933" spans="2:5" x14ac:dyDescent="0.35">
      <c r="B2933"/>
      <c r="C2933"/>
      <c r="D2933"/>
      <c r="E2933"/>
    </row>
    <row r="2934" spans="2:5" x14ac:dyDescent="0.35">
      <c r="B2934"/>
      <c r="C2934"/>
      <c r="D2934"/>
      <c r="E2934"/>
    </row>
    <row r="2935" spans="2:5" x14ac:dyDescent="0.35">
      <c r="B2935"/>
      <c r="C2935"/>
      <c r="D2935"/>
      <c r="E2935"/>
    </row>
    <row r="2936" spans="2:5" x14ac:dyDescent="0.35">
      <c r="B2936"/>
      <c r="C2936"/>
      <c r="D2936"/>
      <c r="E2936"/>
    </row>
    <row r="2937" spans="2:5" x14ac:dyDescent="0.35">
      <c r="B2937"/>
      <c r="C2937"/>
      <c r="D2937"/>
      <c r="E2937"/>
    </row>
    <row r="2938" spans="2:5" x14ac:dyDescent="0.35">
      <c r="B2938"/>
      <c r="C2938"/>
      <c r="D2938"/>
      <c r="E2938"/>
    </row>
    <row r="2939" spans="2:5" x14ac:dyDescent="0.35">
      <c r="B2939"/>
      <c r="C2939"/>
      <c r="D2939"/>
      <c r="E2939"/>
    </row>
    <row r="2940" spans="2:5" x14ac:dyDescent="0.35">
      <c r="B2940"/>
      <c r="C2940"/>
      <c r="D2940"/>
      <c r="E2940"/>
    </row>
    <row r="2941" spans="2:5" x14ac:dyDescent="0.35">
      <c r="B2941"/>
      <c r="C2941"/>
      <c r="D2941"/>
      <c r="E2941"/>
    </row>
    <row r="2942" spans="2:5" x14ac:dyDescent="0.35">
      <c r="B2942"/>
      <c r="C2942"/>
      <c r="D2942"/>
      <c r="E2942"/>
    </row>
    <row r="2943" spans="2:5" x14ac:dyDescent="0.35">
      <c r="B2943"/>
      <c r="C2943"/>
      <c r="D2943"/>
      <c r="E2943"/>
    </row>
    <row r="2944" spans="2:5" x14ac:dyDescent="0.35">
      <c r="B2944"/>
      <c r="C2944"/>
      <c r="D2944"/>
      <c r="E2944"/>
    </row>
    <row r="2945" spans="2:5" x14ac:dyDescent="0.35">
      <c r="B2945"/>
      <c r="C2945"/>
      <c r="D2945"/>
      <c r="E2945"/>
    </row>
    <row r="2946" spans="2:5" x14ac:dyDescent="0.35">
      <c r="B2946"/>
      <c r="C2946"/>
      <c r="D2946"/>
      <c r="E2946"/>
    </row>
    <row r="2947" spans="2:5" x14ac:dyDescent="0.35">
      <c r="B2947"/>
      <c r="C2947"/>
      <c r="D2947"/>
      <c r="E2947"/>
    </row>
    <row r="2948" spans="2:5" x14ac:dyDescent="0.35">
      <c r="B2948"/>
      <c r="C2948"/>
      <c r="D2948"/>
      <c r="E2948"/>
    </row>
    <row r="2949" spans="2:5" x14ac:dyDescent="0.35">
      <c r="B2949"/>
      <c r="C2949"/>
      <c r="D2949"/>
      <c r="E2949"/>
    </row>
    <row r="2950" spans="2:5" x14ac:dyDescent="0.35">
      <c r="B2950"/>
      <c r="C2950"/>
      <c r="D2950"/>
      <c r="E2950"/>
    </row>
    <row r="2951" spans="2:5" x14ac:dyDescent="0.35">
      <c r="B2951"/>
      <c r="C2951"/>
      <c r="D2951"/>
      <c r="E2951"/>
    </row>
    <row r="2952" spans="2:5" x14ac:dyDescent="0.35">
      <c r="B2952"/>
      <c r="C2952"/>
      <c r="D2952"/>
      <c r="E2952"/>
    </row>
    <row r="2953" spans="2:5" x14ac:dyDescent="0.35">
      <c r="B2953"/>
      <c r="C2953"/>
      <c r="D2953"/>
      <c r="E2953"/>
    </row>
    <row r="2954" spans="2:5" x14ac:dyDescent="0.35">
      <c r="B2954"/>
      <c r="C2954"/>
      <c r="D2954"/>
      <c r="E2954"/>
    </row>
    <row r="2955" spans="2:5" x14ac:dyDescent="0.35">
      <c r="B2955"/>
      <c r="C2955"/>
      <c r="D2955"/>
      <c r="E2955"/>
    </row>
    <row r="2956" spans="2:5" x14ac:dyDescent="0.35">
      <c r="B2956"/>
      <c r="C2956"/>
      <c r="D2956"/>
      <c r="E2956"/>
    </row>
    <row r="2957" spans="2:5" x14ac:dyDescent="0.35">
      <c r="B2957"/>
      <c r="C2957"/>
      <c r="D2957"/>
      <c r="E2957"/>
    </row>
    <row r="2958" spans="2:5" x14ac:dyDescent="0.35">
      <c r="B2958"/>
      <c r="C2958"/>
      <c r="D2958"/>
      <c r="E2958"/>
    </row>
    <row r="2959" spans="2:5" x14ac:dyDescent="0.35">
      <c r="B2959"/>
      <c r="C2959"/>
      <c r="D2959"/>
      <c r="E2959"/>
    </row>
    <row r="2960" spans="2:5" x14ac:dyDescent="0.35">
      <c r="B2960"/>
      <c r="C2960"/>
      <c r="D2960"/>
      <c r="E2960"/>
    </row>
    <row r="2961" spans="2:5" x14ac:dyDescent="0.35">
      <c r="B2961"/>
      <c r="C2961"/>
      <c r="D2961"/>
      <c r="E2961"/>
    </row>
    <row r="2962" spans="2:5" x14ac:dyDescent="0.35">
      <c r="B2962"/>
      <c r="C2962"/>
      <c r="D2962"/>
      <c r="E2962"/>
    </row>
    <row r="2963" spans="2:5" x14ac:dyDescent="0.35">
      <c r="B2963"/>
      <c r="C2963"/>
      <c r="D2963"/>
      <c r="E2963"/>
    </row>
    <row r="2964" spans="2:5" x14ac:dyDescent="0.35">
      <c r="B2964"/>
      <c r="C2964"/>
      <c r="D2964"/>
      <c r="E2964"/>
    </row>
    <row r="2965" spans="2:5" x14ac:dyDescent="0.35">
      <c r="B2965"/>
      <c r="C2965"/>
      <c r="D2965"/>
      <c r="E2965"/>
    </row>
    <row r="2966" spans="2:5" x14ac:dyDescent="0.35">
      <c r="B2966"/>
      <c r="C2966"/>
      <c r="D2966"/>
      <c r="E2966"/>
    </row>
    <row r="2967" spans="2:5" x14ac:dyDescent="0.35">
      <c r="B2967"/>
      <c r="C2967"/>
      <c r="D2967"/>
      <c r="E2967"/>
    </row>
    <row r="2968" spans="2:5" x14ac:dyDescent="0.35">
      <c r="B2968"/>
      <c r="C2968"/>
      <c r="D2968"/>
      <c r="E2968"/>
    </row>
    <row r="2969" spans="2:5" x14ac:dyDescent="0.35">
      <c r="B2969"/>
      <c r="C2969"/>
      <c r="D2969"/>
      <c r="E2969"/>
    </row>
    <row r="2970" spans="2:5" x14ac:dyDescent="0.35">
      <c r="B2970"/>
      <c r="C2970"/>
      <c r="D2970"/>
      <c r="E2970"/>
    </row>
    <row r="2971" spans="2:5" x14ac:dyDescent="0.35">
      <c r="B2971"/>
      <c r="C2971"/>
      <c r="D2971"/>
      <c r="E2971"/>
    </row>
    <row r="2972" spans="2:5" x14ac:dyDescent="0.35">
      <c r="B2972"/>
      <c r="C2972"/>
      <c r="D2972"/>
      <c r="E2972"/>
    </row>
    <row r="2973" spans="2:5" x14ac:dyDescent="0.35">
      <c r="B2973"/>
      <c r="C2973"/>
      <c r="D2973"/>
      <c r="E2973"/>
    </row>
    <row r="2974" spans="2:5" x14ac:dyDescent="0.35">
      <c r="B2974"/>
      <c r="C2974"/>
      <c r="D2974"/>
      <c r="E2974"/>
    </row>
    <row r="2975" spans="2:5" x14ac:dyDescent="0.35">
      <c r="B2975"/>
      <c r="C2975"/>
      <c r="D2975"/>
      <c r="E2975"/>
    </row>
    <row r="2976" spans="2:5" x14ac:dyDescent="0.35">
      <c r="B2976"/>
      <c r="C2976"/>
      <c r="D2976"/>
      <c r="E2976"/>
    </row>
    <row r="2977" spans="2:5" x14ac:dyDescent="0.35">
      <c r="B2977"/>
      <c r="C2977"/>
      <c r="D2977"/>
      <c r="E2977"/>
    </row>
    <row r="2978" spans="2:5" x14ac:dyDescent="0.35">
      <c r="B2978"/>
      <c r="C2978"/>
      <c r="D2978"/>
      <c r="E2978"/>
    </row>
    <row r="2979" spans="2:5" x14ac:dyDescent="0.35">
      <c r="B2979"/>
      <c r="C2979"/>
      <c r="D2979"/>
      <c r="E2979"/>
    </row>
    <row r="2980" spans="2:5" x14ac:dyDescent="0.35">
      <c r="B2980"/>
      <c r="C2980"/>
      <c r="D2980"/>
      <c r="E2980"/>
    </row>
    <row r="2981" spans="2:5" x14ac:dyDescent="0.35">
      <c r="B2981"/>
      <c r="C2981"/>
      <c r="D2981"/>
      <c r="E2981"/>
    </row>
    <row r="2982" spans="2:5" x14ac:dyDescent="0.35">
      <c r="B2982"/>
      <c r="C2982"/>
      <c r="D2982"/>
      <c r="E2982"/>
    </row>
    <row r="2983" spans="2:5" x14ac:dyDescent="0.35">
      <c r="B2983"/>
      <c r="C2983"/>
      <c r="D2983"/>
      <c r="E2983"/>
    </row>
    <row r="2984" spans="2:5" x14ac:dyDescent="0.35">
      <c r="B2984"/>
      <c r="C2984"/>
      <c r="D2984"/>
      <c r="E2984"/>
    </row>
    <row r="2985" spans="2:5" x14ac:dyDescent="0.35">
      <c r="B2985"/>
      <c r="C2985"/>
      <c r="D2985"/>
      <c r="E2985"/>
    </row>
    <row r="2986" spans="2:5" x14ac:dyDescent="0.35">
      <c r="B2986"/>
      <c r="C2986"/>
      <c r="D2986"/>
      <c r="E2986"/>
    </row>
    <row r="2987" spans="2:5" x14ac:dyDescent="0.35">
      <c r="B2987"/>
      <c r="C2987"/>
      <c r="D2987"/>
      <c r="E2987"/>
    </row>
    <row r="2988" spans="2:5" x14ac:dyDescent="0.35">
      <c r="B2988"/>
      <c r="C2988"/>
      <c r="D2988"/>
      <c r="E2988"/>
    </row>
    <row r="2989" spans="2:5" x14ac:dyDescent="0.35">
      <c r="B2989"/>
      <c r="C2989"/>
      <c r="D2989"/>
      <c r="E2989"/>
    </row>
    <row r="2990" spans="2:5" x14ac:dyDescent="0.35">
      <c r="B2990"/>
      <c r="C2990"/>
      <c r="D2990"/>
      <c r="E2990"/>
    </row>
    <row r="2991" spans="2:5" x14ac:dyDescent="0.35">
      <c r="B2991"/>
      <c r="C2991"/>
      <c r="D2991"/>
      <c r="E2991"/>
    </row>
    <row r="2992" spans="2:5" x14ac:dyDescent="0.35">
      <c r="B2992"/>
      <c r="C2992"/>
      <c r="D2992"/>
      <c r="E2992"/>
    </row>
    <row r="2993" spans="2:5" x14ac:dyDescent="0.35">
      <c r="B2993"/>
      <c r="C2993"/>
      <c r="D2993"/>
      <c r="E2993"/>
    </row>
    <row r="2994" spans="2:5" x14ac:dyDescent="0.35">
      <c r="B2994"/>
      <c r="C2994"/>
      <c r="D2994"/>
      <c r="E2994"/>
    </row>
    <row r="2995" spans="2:5" x14ac:dyDescent="0.35">
      <c r="B2995"/>
      <c r="C2995"/>
      <c r="D2995"/>
      <c r="E2995"/>
    </row>
    <row r="2996" spans="2:5" x14ac:dyDescent="0.35">
      <c r="B2996"/>
      <c r="C2996"/>
      <c r="D2996"/>
      <c r="E2996"/>
    </row>
    <row r="2997" spans="2:5" x14ac:dyDescent="0.35">
      <c r="B2997"/>
      <c r="C2997"/>
      <c r="D2997"/>
      <c r="E2997"/>
    </row>
    <row r="2998" spans="2:5" x14ac:dyDescent="0.35">
      <c r="B2998"/>
      <c r="C2998"/>
      <c r="D2998"/>
      <c r="E2998"/>
    </row>
    <row r="2999" spans="2:5" x14ac:dyDescent="0.35">
      <c r="B2999"/>
      <c r="C2999"/>
      <c r="D2999"/>
      <c r="E2999"/>
    </row>
    <row r="3000" spans="2:5" x14ac:dyDescent="0.35">
      <c r="B3000"/>
      <c r="C3000"/>
      <c r="D3000"/>
      <c r="E3000"/>
    </row>
    <row r="3001" spans="2:5" x14ac:dyDescent="0.35">
      <c r="B3001"/>
      <c r="C3001"/>
      <c r="D3001"/>
      <c r="E3001"/>
    </row>
    <row r="3002" spans="2:5" x14ac:dyDescent="0.35">
      <c r="B3002"/>
      <c r="C3002"/>
      <c r="D3002"/>
      <c r="E3002"/>
    </row>
    <row r="3003" spans="2:5" x14ac:dyDescent="0.35">
      <c r="B3003"/>
      <c r="C3003"/>
      <c r="D3003"/>
      <c r="E3003"/>
    </row>
    <row r="3004" spans="2:5" x14ac:dyDescent="0.35">
      <c r="B3004"/>
      <c r="C3004"/>
      <c r="D3004"/>
      <c r="E3004"/>
    </row>
    <row r="3005" spans="2:5" x14ac:dyDescent="0.35">
      <c r="B3005"/>
      <c r="C3005"/>
      <c r="D3005"/>
      <c r="E3005"/>
    </row>
    <row r="3006" spans="2:5" x14ac:dyDescent="0.35">
      <c r="B3006"/>
      <c r="C3006"/>
      <c r="D3006"/>
      <c r="E3006"/>
    </row>
    <row r="3007" spans="2:5" x14ac:dyDescent="0.35">
      <c r="B3007"/>
      <c r="C3007"/>
      <c r="D3007"/>
      <c r="E3007"/>
    </row>
    <row r="3008" spans="2:5" x14ac:dyDescent="0.35">
      <c r="B3008"/>
      <c r="C3008"/>
      <c r="D3008"/>
      <c r="E3008"/>
    </row>
    <row r="3009" spans="2:5" x14ac:dyDescent="0.35">
      <c r="B3009"/>
      <c r="C3009"/>
      <c r="D3009"/>
      <c r="E3009"/>
    </row>
    <row r="3010" spans="2:5" x14ac:dyDescent="0.35">
      <c r="B3010"/>
      <c r="C3010"/>
      <c r="D3010"/>
      <c r="E3010"/>
    </row>
    <row r="3011" spans="2:5" x14ac:dyDescent="0.35">
      <c r="B3011"/>
      <c r="C3011"/>
      <c r="D3011"/>
      <c r="E3011"/>
    </row>
    <row r="3012" spans="2:5" x14ac:dyDescent="0.35">
      <c r="B3012"/>
      <c r="C3012"/>
      <c r="D3012"/>
      <c r="E3012"/>
    </row>
    <row r="3013" spans="2:5" x14ac:dyDescent="0.35">
      <c r="B3013"/>
      <c r="C3013"/>
      <c r="D3013"/>
      <c r="E3013"/>
    </row>
    <row r="3014" spans="2:5" x14ac:dyDescent="0.35">
      <c r="B3014"/>
      <c r="C3014"/>
      <c r="D3014"/>
      <c r="E3014"/>
    </row>
    <row r="3015" spans="2:5" x14ac:dyDescent="0.35">
      <c r="B3015"/>
      <c r="C3015"/>
      <c r="D3015"/>
      <c r="E3015"/>
    </row>
    <row r="3016" spans="2:5" x14ac:dyDescent="0.35">
      <c r="B3016"/>
      <c r="C3016"/>
      <c r="D3016"/>
      <c r="E3016"/>
    </row>
    <row r="3017" spans="2:5" x14ac:dyDescent="0.35">
      <c r="B3017"/>
      <c r="C3017"/>
      <c r="D3017"/>
      <c r="E3017"/>
    </row>
    <row r="3018" spans="2:5" x14ac:dyDescent="0.35">
      <c r="B3018"/>
      <c r="C3018"/>
      <c r="D3018"/>
      <c r="E3018"/>
    </row>
    <row r="3019" spans="2:5" x14ac:dyDescent="0.35">
      <c r="B3019"/>
      <c r="C3019"/>
      <c r="D3019"/>
      <c r="E3019"/>
    </row>
    <row r="3020" spans="2:5" x14ac:dyDescent="0.35">
      <c r="B3020"/>
      <c r="C3020"/>
      <c r="D3020"/>
      <c r="E3020"/>
    </row>
    <row r="3021" spans="2:5" x14ac:dyDescent="0.35">
      <c r="B3021"/>
      <c r="C3021"/>
      <c r="D3021"/>
      <c r="E3021"/>
    </row>
    <row r="3022" spans="2:5" x14ac:dyDescent="0.35">
      <c r="B3022"/>
      <c r="C3022"/>
      <c r="D3022"/>
      <c r="E3022"/>
    </row>
    <row r="3023" spans="2:5" x14ac:dyDescent="0.35">
      <c r="B3023"/>
      <c r="C3023"/>
      <c r="D3023"/>
      <c r="E3023"/>
    </row>
    <row r="3024" spans="2:5" x14ac:dyDescent="0.35">
      <c r="B3024"/>
      <c r="C3024"/>
      <c r="D3024"/>
      <c r="E3024"/>
    </row>
    <row r="3025" spans="2:5" x14ac:dyDescent="0.35">
      <c r="B3025"/>
      <c r="C3025"/>
      <c r="D3025"/>
      <c r="E3025"/>
    </row>
    <row r="3026" spans="2:5" x14ac:dyDescent="0.35">
      <c r="B3026"/>
      <c r="C3026"/>
      <c r="D3026"/>
      <c r="E3026"/>
    </row>
    <row r="3027" spans="2:5" x14ac:dyDescent="0.35">
      <c r="B3027"/>
      <c r="C3027"/>
      <c r="D3027"/>
      <c r="E3027"/>
    </row>
    <row r="3028" spans="2:5" x14ac:dyDescent="0.35">
      <c r="B3028"/>
      <c r="C3028"/>
      <c r="D3028"/>
      <c r="E3028"/>
    </row>
    <row r="3029" spans="2:5" x14ac:dyDescent="0.35">
      <c r="B3029"/>
      <c r="C3029"/>
      <c r="D3029"/>
      <c r="E3029"/>
    </row>
    <row r="3030" spans="2:5" x14ac:dyDescent="0.35">
      <c r="B3030"/>
      <c r="C3030"/>
      <c r="D3030"/>
      <c r="E3030"/>
    </row>
    <row r="3031" spans="2:5" x14ac:dyDescent="0.35">
      <c r="B3031"/>
      <c r="C3031"/>
      <c r="D3031"/>
      <c r="E3031"/>
    </row>
    <row r="3032" spans="2:5" x14ac:dyDescent="0.35">
      <c r="B3032"/>
      <c r="C3032"/>
      <c r="D3032"/>
      <c r="E3032"/>
    </row>
    <row r="3033" spans="2:5" x14ac:dyDescent="0.35">
      <c r="B3033"/>
      <c r="C3033"/>
      <c r="D3033"/>
      <c r="E3033"/>
    </row>
    <row r="3034" spans="2:5" x14ac:dyDescent="0.35">
      <c r="B3034"/>
      <c r="C3034"/>
      <c r="D3034"/>
      <c r="E3034"/>
    </row>
    <row r="3035" spans="2:5" x14ac:dyDescent="0.35">
      <c r="B3035"/>
      <c r="C3035"/>
      <c r="D3035"/>
      <c r="E3035"/>
    </row>
    <row r="3036" spans="2:5" x14ac:dyDescent="0.35">
      <c r="B3036"/>
      <c r="C3036"/>
      <c r="D3036"/>
      <c r="E3036"/>
    </row>
    <row r="3037" spans="2:5" x14ac:dyDescent="0.35">
      <c r="B3037"/>
      <c r="C3037"/>
      <c r="D3037"/>
      <c r="E3037"/>
    </row>
    <row r="3038" spans="2:5" x14ac:dyDescent="0.35">
      <c r="B3038"/>
      <c r="C3038"/>
      <c r="D3038"/>
      <c r="E3038"/>
    </row>
    <row r="3039" spans="2:5" x14ac:dyDescent="0.35">
      <c r="B3039"/>
      <c r="C3039"/>
      <c r="D3039"/>
      <c r="E3039"/>
    </row>
    <row r="3040" spans="2:5" x14ac:dyDescent="0.35">
      <c r="B3040"/>
      <c r="C3040"/>
      <c r="D3040"/>
      <c r="E3040"/>
    </row>
    <row r="3041" spans="2:5" x14ac:dyDescent="0.35">
      <c r="B3041"/>
      <c r="C3041"/>
      <c r="D3041"/>
      <c r="E3041"/>
    </row>
    <row r="3042" spans="2:5" x14ac:dyDescent="0.35">
      <c r="B3042"/>
      <c r="C3042"/>
      <c r="D3042"/>
      <c r="E3042"/>
    </row>
    <row r="3043" spans="2:5" x14ac:dyDescent="0.35">
      <c r="B3043"/>
      <c r="C3043"/>
      <c r="D3043"/>
      <c r="E3043"/>
    </row>
    <row r="3044" spans="2:5" x14ac:dyDescent="0.35">
      <c r="B3044"/>
      <c r="C3044"/>
      <c r="D3044"/>
      <c r="E3044"/>
    </row>
    <row r="3045" spans="2:5" x14ac:dyDescent="0.35">
      <c r="B3045"/>
      <c r="C3045"/>
      <c r="D3045"/>
      <c r="E3045"/>
    </row>
    <row r="3046" spans="2:5" x14ac:dyDescent="0.35">
      <c r="B3046"/>
      <c r="C3046"/>
      <c r="D3046"/>
      <c r="E3046"/>
    </row>
    <row r="3047" spans="2:5" x14ac:dyDescent="0.35">
      <c r="B3047"/>
      <c r="C3047"/>
      <c r="D3047"/>
      <c r="E3047"/>
    </row>
    <row r="3048" spans="2:5" x14ac:dyDescent="0.35">
      <c r="B3048"/>
      <c r="C3048"/>
      <c r="D3048"/>
      <c r="E3048"/>
    </row>
    <row r="3049" spans="2:5" x14ac:dyDescent="0.35">
      <c r="B3049"/>
      <c r="C3049"/>
      <c r="D3049"/>
      <c r="E3049"/>
    </row>
    <row r="3050" spans="2:5" x14ac:dyDescent="0.35">
      <c r="B3050"/>
      <c r="C3050"/>
      <c r="D3050"/>
      <c r="E3050"/>
    </row>
    <row r="3051" spans="2:5" x14ac:dyDescent="0.35">
      <c r="B3051"/>
      <c r="C3051"/>
      <c r="D3051"/>
      <c r="E3051"/>
    </row>
    <row r="3052" spans="2:5" x14ac:dyDescent="0.35">
      <c r="B3052"/>
      <c r="C3052"/>
      <c r="D3052"/>
      <c r="E3052"/>
    </row>
    <row r="3053" spans="2:5" x14ac:dyDescent="0.35">
      <c r="B3053"/>
      <c r="C3053"/>
      <c r="D3053"/>
      <c r="E3053"/>
    </row>
    <row r="3054" spans="2:5" x14ac:dyDescent="0.35">
      <c r="B3054"/>
      <c r="C3054"/>
      <c r="D3054"/>
      <c r="E3054"/>
    </row>
    <row r="3055" spans="2:5" x14ac:dyDescent="0.35">
      <c r="B3055"/>
      <c r="C3055"/>
      <c r="D3055"/>
      <c r="E3055"/>
    </row>
    <row r="3056" spans="2:5" x14ac:dyDescent="0.35">
      <c r="B3056"/>
      <c r="C3056"/>
      <c r="D3056"/>
      <c r="E3056"/>
    </row>
    <row r="3057" spans="2:5" x14ac:dyDescent="0.35">
      <c r="B3057"/>
      <c r="C3057"/>
      <c r="D3057"/>
      <c r="E3057"/>
    </row>
    <row r="3058" spans="2:5" x14ac:dyDescent="0.35">
      <c r="B3058"/>
      <c r="C3058"/>
      <c r="D3058"/>
      <c r="E3058"/>
    </row>
    <row r="3059" spans="2:5" x14ac:dyDescent="0.35">
      <c r="B3059"/>
      <c r="C3059"/>
      <c r="D3059"/>
      <c r="E3059"/>
    </row>
    <row r="3060" spans="2:5" x14ac:dyDescent="0.35">
      <c r="B3060"/>
      <c r="C3060"/>
      <c r="D3060"/>
      <c r="E3060"/>
    </row>
    <row r="3061" spans="2:5" x14ac:dyDescent="0.35">
      <c r="B3061"/>
      <c r="C3061"/>
      <c r="D3061"/>
      <c r="E3061"/>
    </row>
    <row r="3062" spans="2:5" x14ac:dyDescent="0.35">
      <c r="B3062"/>
      <c r="C3062"/>
      <c r="D3062"/>
      <c r="E3062"/>
    </row>
    <row r="3063" spans="2:5" x14ac:dyDescent="0.35">
      <c r="B3063"/>
      <c r="C3063"/>
      <c r="D3063"/>
      <c r="E3063"/>
    </row>
    <row r="3064" spans="2:5" x14ac:dyDescent="0.35">
      <c r="B3064"/>
      <c r="C3064"/>
      <c r="D3064"/>
      <c r="E3064"/>
    </row>
    <row r="3065" spans="2:5" x14ac:dyDescent="0.35">
      <c r="B3065"/>
      <c r="C3065"/>
      <c r="D3065"/>
      <c r="E3065"/>
    </row>
    <row r="3066" spans="2:5" x14ac:dyDescent="0.35">
      <c r="B3066"/>
      <c r="C3066"/>
      <c r="D3066"/>
      <c r="E3066"/>
    </row>
    <row r="3067" spans="2:5" x14ac:dyDescent="0.35">
      <c r="B3067"/>
      <c r="C3067"/>
      <c r="D3067"/>
      <c r="E3067"/>
    </row>
    <row r="3068" spans="2:5" x14ac:dyDescent="0.35">
      <c r="B3068"/>
      <c r="C3068"/>
      <c r="D3068"/>
      <c r="E3068"/>
    </row>
    <row r="3069" spans="2:5" x14ac:dyDescent="0.35">
      <c r="B3069"/>
      <c r="C3069"/>
      <c r="D3069"/>
      <c r="E3069"/>
    </row>
    <row r="3070" spans="2:5" x14ac:dyDescent="0.35">
      <c r="B3070"/>
      <c r="C3070"/>
      <c r="D3070"/>
      <c r="E3070"/>
    </row>
    <row r="3071" spans="2:5" x14ac:dyDescent="0.35">
      <c r="B3071"/>
      <c r="C3071"/>
      <c r="D3071"/>
      <c r="E3071"/>
    </row>
    <row r="3072" spans="2:5" x14ac:dyDescent="0.35">
      <c r="B3072"/>
      <c r="C3072"/>
      <c r="D3072"/>
      <c r="E3072"/>
    </row>
    <row r="3073" spans="2:5" x14ac:dyDescent="0.35">
      <c r="B3073"/>
      <c r="C3073"/>
      <c r="D3073"/>
      <c r="E3073"/>
    </row>
    <row r="3074" spans="2:5" x14ac:dyDescent="0.35">
      <c r="B3074"/>
      <c r="C3074"/>
      <c r="D3074"/>
      <c r="E3074"/>
    </row>
    <row r="3075" spans="2:5" x14ac:dyDescent="0.35">
      <c r="B3075"/>
      <c r="C3075"/>
      <c r="D3075"/>
      <c r="E3075"/>
    </row>
    <row r="3076" spans="2:5" x14ac:dyDescent="0.35">
      <c r="B3076"/>
      <c r="C3076"/>
      <c r="D3076"/>
      <c r="E3076"/>
    </row>
    <row r="3077" spans="2:5" x14ac:dyDescent="0.35">
      <c r="B3077"/>
      <c r="C3077"/>
      <c r="D3077"/>
      <c r="E3077"/>
    </row>
    <row r="3078" spans="2:5" x14ac:dyDescent="0.35">
      <c r="B3078"/>
      <c r="C3078"/>
      <c r="D3078"/>
      <c r="E3078"/>
    </row>
    <row r="3079" spans="2:5" x14ac:dyDescent="0.35">
      <c r="B3079"/>
      <c r="C3079"/>
      <c r="D3079"/>
      <c r="E3079"/>
    </row>
    <row r="3080" spans="2:5" x14ac:dyDescent="0.35">
      <c r="B3080"/>
      <c r="C3080"/>
      <c r="D3080"/>
      <c r="E3080"/>
    </row>
    <row r="3081" spans="2:5" x14ac:dyDescent="0.35">
      <c r="B3081"/>
      <c r="C3081"/>
      <c r="D3081"/>
      <c r="E3081"/>
    </row>
    <row r="3082" spans="2:5" x14ac:dyDescent="0.35">
      <c r="B3082"/>
      <c r="C3082"/>
      <c r="D3082"/>
      <c r="E3082"/>
    </row>
    <row r="3083" spans="2:5" x14ac:dyDescent="0.35">
      <c r="B3083"/>
      <c r="C3083"/>
      <c r="D3083"/>
      <c r="E3083"/>
    </row>
    <row r="3084" spans="2:5" x14ac:dyDescent="0.35">
      <c r="B3084"/>
      <c r="C3084"/>
      <c r="D3084"/>
      <c r="E3084"/>
    </row>
    <row r="3085" spans="2:5" x14ac:dyDescent="0.35">
      <c r="B3085"/>
      <c r="C3085"/>
      <c r="D3085"/>
      <c r="E3085"/>
    </row>
    <row r="3086" spans="2:5" x14ac:dyDescent="0.35">
      <c r="B3086"/>
      <c r="C3086"/>
      <c r="D3086"/>
      <c r="E3086"/>
    </row>
    <row r="3087" spans="2:5" x14ac:dyDescent="0.35">
      <c r="B3087"/>
      <c r="C3087"/>
      <c r="D3087"/>
      <c r="E3087"/>
    </row>
    <row r="3088" spans="2:5" x14ac:dyDescent="0.35">
      <c r="B3088"/>
      <c r="C3088"/>
      <c r="D3088"/>
      <c r="E3088"/>
    </row>
    <row r="3089" spans="2:5" x14ac:dyDescent="0.35">
      <c r="B3089"/>
      <c r="C3089"/>
      <c r="D3089"/>
      <c r="E3089"/>
    </row>
    <row r="3090" spans="2:5" x14ac:dyDescent="0.35">
      <c r="B3090"/>
      <c r="C3090"/>
      <c r="D3090"/>
      <c r="E3090"/>
    </row>
    <row r="3091" spans="2:5" x14ac:dyDescent="0.35">
      <c r="B3091"/>
      <c r="C3091"/>
      <c r="D3091"/>
      <c r="E3091"/>
    </row>
    <row r="3092" spans="2:5" x14ac:dyDescent="0.35">
      <c r="B3092"/>
      <c r="C3092"/>
      <c r="D3092"/>
      <c r="E3092"/>
    </row>
    <row r="3093" spans="2:5" x14ac:dyDescent="0.35">
      <c r="B3093"/>
      <c r="C3093"/>
      <c r="D3093"/>
      <c r="E3093"/>
    </row>
    <row r="3094" spans="2:5" x14ac:dyDescent="0.35">
      <c r="B3094"/>
      <c r="C3094"/>
      <c r="D3094"/>
      <c r="E3094"/>
    </row>
    <row r="3095" spans="2:5" x14ac:dyDescent="0.35">
      <c r="B3095"/>
      <c r="C3095"/>
      <c r="D3095"/>
      <c r="E3095"/>
    </row>
    <row r="3096" spans="2:5" x14ac:dyDescent="0.35">
      <c r="B3096"/>
      <c r="C3096"/>
      <c r="D3096"/>
      <c r="E3096"/>
    </row>
    <row r="3097" spans="2:5" x14ac:dyDescent="0.35">
      <c r="B3097"/>
      <c r="C3097"/>
      <c r="D3097"/>
      <c r="E3097"/>
    </row>
    <row r="3098" spans="2:5" x14ac:dyDescent="0.35">
      <c r="B3098"/>
      <c r="C3098"/>
      <c r="D3098"/>
      <c r="E3098"/>
    </row>
    <row r="3099" spans="2:5" x14ac:dyDescent="0.35">
      <c r="B3099"/>
      <c r="C3099"/>
      <c r="D3099"/>
      <c r="E3099"/>
    </row>
    <row r="3100" spans="2:5" x14ac:dyDescent="0.35">
      <c r="B3100"/>
      <c r="C3100"/>
      <c r="D3100"/>
      <c r="E3100"/>
    </row>
    <row r="3101" spans="2:5" x14ac:dyDescent="0.35">
      <c r="B3101"/>
      <c r="C3101"/>
      <c r="D3101"/>
      <c r="E3101"/>
    </row>
    <row r="3102" spans="2:5" x14ac:dyDescent="0.35">
      <c r="B3102"/>
      <c r="C3102"/>
      <c r="D3102"/>
      <c r="E3102"/>
    </row>
    <row r="3103" spans="2:5" x14ac:dyDescent="0.35">
      <c r="B3103"/>
      <c r="C3103"/>
      <c r="D3103"/>
      <c r="E3103"/>
    </row>
    <row r="3104" spans="2:5" x14ac:dyDescent="0.35">
      <c r="B3104"/>
      <c r="C3104"/>
      <c r="D3104"/>
      <c r="E3104"/>
    </row>
    <row r="3105" spans="2:5" x14ac:dyDescent="0.35">
      <c r="B3105"/>
      <c r="C3105"/>
      <c r="D3105"/>
      <c r="E3105"/>
    </row>
    <row r="3106" spans="2:5" x14ac:dyDescent="0.35">
      <c r="B3106"/>
      <c r="C3106"/>
      <c r="D3106"/>
      <c r="E3106"/>
    </row>
    <row r="3107" spans="2:5" x14ac:dyDescent="0.35">
      <c r="B3107"/>
      <c r="C3107"/>
      <c r="D3107"/>
      <c r="E3107"/>
    </row>
    <row r="3108" spans="2:5" x14ac:dyDescent="0.35">
      <c r="B3108"/>
      <c r="C3108"/>
      <c r="D3108"/>
      <c r="E3108"/>
    </row>
    <row r="3109" spans="2:5" x14ac:dyDescent="0.35">
      <c r="B3109"/>
      <c r="C3109"/>
      <c r="D3109"/>
      <c r="E3109"/>
    </row>
    <row r="3110" spans="2:5" x14ac:dyDescent="0.35">
      <c r="B3110"/>
      <c r="C3110"/>
      <c r="D3110"/>
      <c r="E3110"/>
    </row>
    <row r="3111" spans="2:5" x14ac:dyDescent="0.35">
      <c r="B3111"/>
      <c r="C3111"/>
      <c r="D3111"/>
      <c r="E3111"/>
    </row>
    <row r="3112" spans="2:5" x14ac:dyDescent="0.35">
      <c r="B3112"/>
      <c r="C3112"/>
      <c r="D3112"/>
      <c r="E3112"/>
    </row>
    <row r="3113" spans="2:5" x14ac:dyDescent="0.35">
      <c r="B3113"/>
      <c r="C3113"/>
      <c r="D3113"/>
      <c r="E3113"/>
    </row>
    <row r="3114" spans="2:5" x14ac:dyDescent="0.35">
      <c r="B3114"/>
      <c r="C3114"/>
      <c r="D3114"/>
      <c r="E3114"/>
    </row>
    <row r="3115" spans="2:5" x14ac:dyDescent="0.35">
      <c r="B3115"/>
      <c r="C3115"/>
      <c r="D3115"/>
      <c r="E3115"/>
    </row>
    <row r="3116" spans="2:5" x14ac:dyDescent="0.35">
      <c r="B3116"/>
      <c r="C3116"/>
      <c r="D3116"/>
      <c r="E3116"/>
    </row>
    <row r="3117" spans="2:5" x14ac:dyDescent="0.35">
      <c r="B3117"/>
      <c r="C3117"/>
      <c r="D3117"/>
      <c r="E3117"/>
    </row>
    <row r="3118" spans="2:5" x14ac:dyDescent="0.35">
      <c r="B3118"/>
      <c r="C3118"/>
      <c r="D3118"/>
      <c r="E3118"/>
    </row>
    <row r="3119" spans="2:5" x14ac:dyDescent="0.35">
      <c r="B3119"/>
      <c r="C3119"/>
      <c r="D3119"/>
      <c r="E3119"/>
    </row>
    <row r="3120" spans="2:5" x14ac:dyDescent="0.35">
      <c r="B3120"/>
      <c r="C3120"/>
      <c r="D3120"/>
      <c r="E3120"/>
    </row>
    <row r="3121" spans="2:5" x14ac:dyDescent="0.35">
      <c r="B3121"/>
      <c r="C3121"/>
      <c r="D3121"/>
      <c r="E3121"/>
    </row>
    <row r="3122" spans="2:5" x14ac:dyDescent="0.35">
      <c r="B3122"/>
      <c r="C3122"/>
      <c r="D3122"/>
      <c r="E3122"/>
    </row>
    <row r="3123" spans="2:5" x14ac:dyDescent="0.35">
      <c r="B3123"/>
      <c r="C3123"/>
      <c r="D3123"/>
      <c r="E3123"/>
    </row>
    <row r="3124" spans="2:5" x14ac:dyDescent="0.35">
      <c r="B3124"/>
      <c r="C3124"/>
      <c r="D3124"/>
      <c r="E3124"/>
    </row>
    <row r="3125" spans="2:5" x14ac:dyDescent="0.35">
      <c r="B3125"/>
      <c r="C3125"/>
      <c r="D3125"/>
      <c r="E3125"/>
    </row>
    <row r="3126" spans="2:5" x14ac:dyDescent="0.35">
      <c r="B3126"/>
      <c r="C3126"/>
      <c r="D3126"/>
      <c r="E3126"/>
    </row>
    <row r="3127" spans="2:5" x14ac:dyDescent="0.35">
      <c r="B3127"/>
      <c r="C3127"/>
      <c r="D3127"/>
      <c r="E3127"/>
    </row>
    <row r="3128" spans="2:5" x14ac:dyDescent="0.35">
      <c r="B3128"/>
      <c r="C3128"/>
      <c r="D3128"/>
      <c r="E3128"/>
    </row>
    <row r="3129" spans="2:5" x14ac:dyDescent="0.35">
      <c r="B3129"/>
      <c r="C3129"/>
      <c r="D3129"/>
      <c r="E3129"/>
    </row>
    <row r="3130" spans="2:5" x14ac:dyDescent="0.35">
      <c r="B3130"/>
      <c r="C3130"/>
      <c r="D3130"/>
      <c r="E3130"/>
    </row>
    <row r="3131" spans="2:5" x14ac:dyDescent="0.35">
      <c r="B3131"/>
      <c r="C3131"/>
      <c r="D3131"/>
      <c r="E3131"/>
    </row>
    <row r="3132" spans="2:5" x14ac:dyDescent="0.35">
      <c r="B3132"/>
      <c r="C3132"/>
      <c r="D3132"/>
      <c r="E3132"/>
    </row>
    <row r="3133" spans="2:5" x14ac:dyDescent="0.35">
      <c r="B3133"/>
      <c r="C3133"/>
      <c r="D3133"/>
      <c r="E3133"/>
    </row>
    <row r="3134" spans="2:5" x14ac:dyDescent="0.35">
      <c r="B3134"/>
      <c r="C3134"/>
      <c r="D3134"/>
      <c r="E3134"/>
    </row>
    <row r="3135" spans="2:5" x14ac:dyDescent="0.35">
      <c r="B3135"/>
      <c r="C3135"/>
      <c r="D3135"/>
      <c r="E3135"/>
    </row>
    <row r="3136" spans="2:5" x14ac:dyDescent="0.35">
      <c r="B3136"/>
      <c r="C3136"/>
      <c r="D3136"/>
      <c r="E3136"/>
    </row>
    <row r="3137" spans="2:5" x14ac:dyDescent="0.35">
      <c r="B3137"/>
      <c r="C3137"/>
      <c r="D3137"/>
      <c r="E3137"/>
    </row>
    <row r="3138" spans="2:5" x14ac:dyDescent="0.35">
      <c r="B3138"/>
      <c r="C3138"/>
      <c r="D3138"/>
      <c r="E3138"/>
    </row>
    <row r="3139" spans="2:5" x14ac:dyDescent="0.35">
      <c r="B3139"/>
      <c r="C3139"/>
      <c r="D3139"/>
      <c r="E3139"/>
    </row>
    <row r="3140" spans="2:5" x14ac:dyDescent="0.35">
      <c r="B3140"/>
      <c r="C3140"/>
      <c r="D3140"/>
      <c r="E3140"/>
    </row>
    <row r="3141" spans="2:5" x14ac:dyDescent="0.35">
      <c r="B3141"/>
      <c r="C3141"/>
      <c r="D3141"/>
      <c r="E3141"/>
    </row>
    <row r="3142" spans="2:5" x14ac:dyDescent="0.35">
      <c r="B3142"/>
      <c r="C3142"/>
      <c r="D3142"/>
      <c r="E3142"/>
    </row>
    <row r="3143" spans="2:5" x14ac:dyDescent="0.35">
      <c r="B3143"/>
      <c r="C3143"/>
      <c r="D3143"/>
      <c r="E3143"/>
    </row>
    <row r="3144" spans="2:5" x14ac:dyDescent="0.35">
      <c r="B3144"/>
      <c r="C3144"/>
      <c r="D3144"/>
      <c r="E3144"/>
    </row>
    <row r="3145" spans="2:5" x14ac:dyDescent="0.35">
      <c r="B3145"/>
      <c r="C3145"/>
      <c r="D3145"/>
      <c r="E3145"/>
    </row>
    <row r="3146" spans="2:5" x14ac:dyDescent="0.35">
      <c r="B3146"/>
      <c r="C3146"/>
      <c r="D3146"/>
      <c r="E3146"/>
    </row>
    <row r="3147" spans="2:5" x14ac:dyDescent="0.35">
      <c r="B3147"/>
      <c r="C3147"/>
      <c r="D3147"/>
      <c r="E3147"/>
    </row>
    <row r="3148" spans="2:5" x14ac:dyDescent="0.35">
      <c r="B3148"/>
      <c r="C3148"/>
      <c r="D3148"/>
      <c r="E3148"/>
    </row>
    <row r="3149" spans="2:5" x14ac:dyDescent="0.35">
      <c r="B3149"/>
      <c r="C3149"/>
      <c r="D3149"/>
      <c r="E3149"/>
    </row>
    <row r="3150" spans="2:5" x14ac:dyDescent="0.35">
      <c r="B3150"/>
      <c r="C3150"/>
      <c r="D3150"/>
      <c r="E3150"/>
    </row>
    <row r="3151" spans="2:5" x14ac:dyDescent="0.35">
      <c r="B3151"/>
      <c r="C3151"/>
      <c r="D3151"/>
      <c r="E3151"/>
    </row>
    <row r="3152" spans="2:5" x14ac:dyDescent="0.35">
      <c r="B3152"/>
      <c r="C3152"/>
      <c r="D3152"/>
      <c r="E3152"/>
    </row>
    <row r="3153" spans="2:5" x14ac:dyDescent="0.35">
      <c r="B3153"/>
      <c r="C3153"/>
      <c r="D3153"/>
      <c r="E3153"/>
    </row>
    <row r="3154" spans="2:5" x14ac:dyDescent="0.35">
      <c r="B3154"/>
      <c r="C3154"/>
      <c r="D3154"/>
      <c r="E3154"/>
    </row>
    <row r="3155" spans="2:5" x14ac:dyDescent="0.35">
      <c r="B3155"/>
      <c r="C3155"/>
      <c r="D3155"/>
      <c r="E3155"/>
    </row>
    <row r="3156" spans="2:5" x14ac:dyDescent="0.35">
      <c r="B3156"/>
      <c r="C3156"/>
      <c r="D3156"/>
      <c r="E3156"/>
    </row>
    <row r="3157" spans="2:5" x14ac:dyDescent="0.35">
      <c r="B3157"/>
      <c r="C3157"/>
      <c r="D3157"/>
      <c r="E3157"/>
    </row>
    <row r="3158" spans="2:5" x14ac:dyDescent="0.35">
      <c r="B3158"/>
      <c r="C3158"/>
      <c r="D3158"/>
      <c r="E3158"/>
    </row>
    <row r="3159" spans="2:5" x14ac:dyDescent="0.35">
      <c r="B3159"/>
      <c r="C3159"/>
      <c r="D3159"/>
      <c r="E3159"/>
    </row>
    <row r="3160" spans="2:5" x14ac:dyDescent="0.35">
      <c r="B3160"/>
      <c r="C3160"/>
      <c r="D3160"/>
      <c r="E3160"/>
    </row>
    <row r="3161" spans="2:5" x14ac:dyDescent="0.35">
      <c r="B3161"/>
      <c r="C3161"/>
      <c r="D3161"/>
      <c r="E3161"/>
    </row>
    <row r="3162" spans="2:5" x14ac:dyDescent="0.35">
      <c r="B3162"/>
      <c r="C3162"/>
      <c r="D3162"/>
      <c r="E3162"/>
    </row>
    <row r="3163" spans="2:5" x14ac:dyDescent="0.35">
      <c r="B3163"/>
      <c r="C3163"/>
      <c r="D3163"/>
      <c r="E3163"/>
    </row>
    <row r="3164" spans="2:5" x14ac:dyDescent="0.35">
      <c r="B3164"/>
      <c r="C3164"/>
      <c r="D3164"/>
      <c r="E3164"/>
    </row>
    <row r="3165" spans="2:5" x14ac:dyDescent="0.35">
      <c r="B3165"/>
      <c r="C3165"/>
      <c r="D3165"/>
      <c r="E3165"/>
    </row>
    <row r="3166" spans="2:5" x14ac:dyDescent="0.35">
      <c r="B3166"/>
      <c r="C3166"/>
      <c r="D3166"/>
      <c r="E3166"/>
    </row>
    <row r="3167" spans="2:5" x14ac:dyDescent="0.35">
      <c r="B3167"/>
      <c r="C3167"/>
      <c r="D3167"/>
      <c r="E3167"/>
    </row>
    <row r="3168" spans="2:5" x14ac:dyDescent="0.35">
      <c r="B3168"/>
      <c r="C3168"/>
      <c r="D3168"/>
      <c r="E3168"/>
    </row>
    <row r="3169" spans="2:5" x14ac:dyDescent="0.35">
      <c r="B3169"/>
      <c r="C3169"/>
      <c r="D3169"/>
      <c r="E3169"/>
    </row>
    <row r="3170" spans="2:5" x14ac:dyDescent="0.35">
      <c r="B3170"/>
      <c r="C3170"/>
      <c r="D3170"/>
      <c r="E3170"/>
    </row>
    <row r="3171" spans="2:5" x14ac:dyDescent="0.35">
      <c r="B3171"/>
      <c r="C3171"/>
      <c r="D3171"/>
      <c r="E3171"/>
    </row>
    <row r="3172" spans="2:5" x14ac:dyDescent="0.35">
      <c r="B3172"/>
      <c r="C3172"/>
      <c r="D3172"/>
      <c r="E3172"/>
    </row>
    <row r="3173" spans="2:5" x14ac:dyDescent="0.35">
      <c r="B3173"/>
      <c r="C3173"/>
      <c r="D3173"/>
      <c r="E3173"/>
    </row>
    <row r="3174" spans="2:5" x14ac:dyDescent="0.35">
      <c r="B3174"/>
      <c r="C3174"/>
      <c r="D3174"/>
      <c r="E3174"/>
    </row>
    <row r="3175" spans="2:5" x14ac:dyDescent="0.35">
      <c r="B3175"/>
      <c r="C3175"/>
      <c r="D3175"/>
      <c r="E3175"/>
    </row>
    <row r="3176" spans="2:5" x14ac:dyDescent="0.35">
      <c r="B3176"/>
      <c r="C3176"/>
      <c r="D3176"/>
      <c r="E3176"/>
    </row>
    <row r="3177" spans="2:5" x14ac:dyDescent="0.35">
      <c r="B3177"/>
      <c r="C3177"/>
      <c r="D3177"/>
      <c r="E3177"/>
    </row>
    <row r="3178" spans="2:5" x14ac:dyDescent="0.35">
      <c r="B3178"/>
      <c r="C3178"/>
      <c r="D3178"/>
      <c r="E3178"/>
    </row>
    <row r="3179" spans="2:5" x14ac:dyDescent="0.35">
      <c r="B3179"/>
      <c r="C3179"/>
      <c r="D3179"/>
      <c r="E3179"/>
    </row>
    <row r="3180" spans="2:5" x14ac:dyDescent="0.35">
      <c r="B3180"/>
      <c r="C3180"/>
      <c r="D3180"/>
      <c r="E3180"/>
    </row>
    <row r="3181" spans="2:5" x14ac:dyDescent="0.35">
      <c r="B3181"/>
      <c r="C3181"/>
      <c r="D3181"/>
      <c r="E3181"/>
    </row>
    <row r="3182" spans="2:5" x14ac:dyDescent="0.35">
      <c r="B3182"/>
      <c r="C3182"/>
      <c r="D3182"/>
      <c r="E3182"/>
    </row>
    <row r="3183" spans="2:5" x14ac:dyDescent="0.35">
      <c r="B3183"/>
      <c r="C3183"/>
      <c r="D3183"/>
      <c r="E3183"/>
    </row>
    <row r="3184" spans="2:5" x14ac:dyDescent="0.35">
      <c r="B3184"/>
      <c r="C3184"/>
      <c r="D3184"/>
      <c r="E3184"/>
    </row>
    <row r="3185" spans="2:5" x14ac:dyDescent="0.35">
      <c r="B3185"/>
      <c r="C3185"/>
      <c r="D3185"/>
      <c r="E3185"/>
    </row>
    <row r="3186" spans="2:5" x14ac:dyDescent="0.35">
      <c r="B3186"/>
      <c r="C3186"/>
      <c r="D3186"/>
      <c r="E3186"/>
    </row>
    <row r="3187" spans="2:5" x14ac:dyDescent="0.35">
      <c r="B3187"/>
      <c r="C3187"/>
      <c r="D3187"/>
      <c r="E3187"/>
    </row>
    <row r="3188" spans="2:5" x14ac:dyDescent="0.35">
      <c r="B3188"/>
      <c r="C3188"/>
      <c r="D3188"/>
      <c r="E3188"/>
    </row>
    <row r="3189" spans="2:5" x14ac:dyDescent="0.35">
      <c r="B3189"/>
      <c r="C3189"/>
      <c r="D3189"/>
      <c r="E3189"/>
    </row>
    <row r="3190" spans="2:5" x14ac:dyDescent="0.35">
      <c r="B3190"/>
      <c r="C3190"/>
      <c r="D3190"/>
      <c r="E3190"/>
    </row>
    <row r="3191" spans="2:5" x14ac:dyDescent="0.35">
      <c r="B3191"/>
      <c r="C3191"/>
      <c r="D3191"/>
      <c r="E3191"/>
    </row>
  </sheetData>
  <autoFilter ref="G1:I319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6"/>
  <sheetViews>
    <sheetView topLeftCell="A31" workbookViewId="0">
      <selection activeCell="F44" sqref="F44"/>
    </sheetView>
  </sheetViews>
  <sheetFormatPr baseColWidth="10" defaultRowHeight="14.5" x14ac:dyDescent="0.35"/>
  <cols>
    <col min="2" max="2" width="19.54296875" bestFit="1" customWidth="1"/>
    <col min="3" max="3" width="13.453125" style="2" customWidth="1"/>
    <col min="4" max="4" width="12.453125" bestFit="1" customWidth="1"/>
    <col min="5" max="5" width="17" bestFit="1" customWidth="1"/>
    <col min="6" max="6" width="15.36328125" bestFit="1" customWidth="1"/>
    <col min="7" max="7" width="19.90625" bestFit="1" customWidth="1"/>
    <col min="8" max="8" width="13.54296875" bestFit="1" customWidth="1"/>
    <col min="9" max="9" width="14.81640625" bestFit="1" customWidth="1"/>
    <col min="10" max="10" width="14.81640625" customWidth="1"/>
    <col min="11" max="11" width="17.81640625" bestFit="1" customWidth="1"/>
    <col min="13" max="13" width="13.453125" bestFit="1" customWidth="1"/>
  </cols>
  <sheetData>
    <row r="3" spans="2:15" x14ac:dyDescent="0.35">
      <c r="B3" s="3" t="s">
        <v>171</v>
      </c>
      <c r="C3" s="8"/>
      <c r="L3" s="6"/>
    </row>
    <row r="4" spans="2:15" x14ac:dyDescent="0.35">
      <c r="B4" s="4" t="s">
        <v>143</v>
      </c>
      <c r="C4" s="8">
        <v>36451.989321796376</v>
      </c>
      <c r="E4" t="s">
        <v>172</v>
      </c>
      <c r="F4" t="s">
        <v>176</v>
      </c>
      <c r="G4" t="s">
        <v>173</v>
      </c>
      <c r="K4" s="14" t="s">
        <v>172</v>
      </c>
      <c r="L4" s="14" t="s">
        <v>176</v>
      </c>
      <c r="M4" s="14" t="s">
        <v>173</v>
      </c>
    </row>
    <row r="5" spans="2:15" x14ac:dyDescent="0.35">
      <c r="B5" s="4" t="s">
        <v>152</v>
      </c>
      <c r="C5" s="8">
        <v>36918.622900077244</v>
      </c>
      <c r="E5" s="2">
        <f>C8</f>
        <v>3356728503</v>
      </c>
      <c r="F5" s="2">
        <f>C4</f>
        <v>36451.989321796376</v>
      </c>
      <c r="G5" s="2">
        <f>E5/F5</f>
        <v>92086.291186112372</v>
      </c>
      <c r="K5" s="2">
        <f>E5</f>
        <v>3356728503</v>
      </c>
      <c r="L5" s="2">
        <f>F5</f>
        <v>36451.989321796376</v>
      </c>
      <c r="M5" s="2">
        <f>K5/L5</f>
        <v>92086.291186112372</v>
      </c>
    </row>
    <row r="6" spans="2:15" x14ac:dyDescent="0.35">
      <c r="B6" s="4" t="s">
        <v>167</v>
      </c>
      <c r="C6" s="8">
        <v>727551</v>
      </c>
      <c r="E6" s="2">
        <f>C12</f>
        <v>3119653076</v>
      </c>
      <c r="F6" s="2">
        <f>C10</f>
        <v>37014.93042293904</v>
      </c>
      <c r="G6" s="2">
        <f>E6/F6</f>
        <v>84280.938538970644</v>
      </c>
      <c r="H6" s="8">
        <f>+G5-G6</f>
        <v>7805.3526471417281</v>
      </c>
      <c r="K6" s="2">
        <f>C9</f>
        <v>3313053372</v>
      </c>
      <c r="L6" s="2">
        <f>C5</f>
        <v>36918.622900077244</v>
      </c>
      <c r="M6" s="2">
        <f>K6/L6</f>
        <v>89739.354064397354</v>
      </c>
      <c r="N6" s="8">
        <f>+M5-M6</f>
        <v>2346.9371217150183</v>
      </c>
    </row>
    <row r="7" spans="2:15" x14ac:dyDescent="0.35">
      <c r="B7" s="4" t="s">
        <v>144</v>
      </c>
      <c r="C7" s="8">
        <v>711755.30209276848</v>
      </c>
    </row>
    <row r="8" spans="2:15" x14ac:dyDescent="0.35">
      <c r="B8" s="4" t="s">
        <v>142</v>
      </c>
      <c r="C8" s="8">
        <v>3356728503</v>
      </c>
      <c r="E8" t="s">
        <v>174</v>
      </c>
      <c r="F8" s="8">
        <f>E5-E6</f>
        <v>237075427</v>
      </c>
      <c r="G8" s="13">
        <f>0.5*(1/F5+1/F6)</f>
        <v>2.7224735186976519E-5</v>
      </c>
      <c r="H8" s="2">
        <f>F8*G8</f>
        <v>6454.3157194143832</v>
      </c>
      <c r="I8" s="10">
        <f>H8/H6</f>
        <v>0.82690891894268403</v>
      </c>
      <c r="J8" s="10"/>
      <c r="K8" t="s">
        <v>174</v>
      </c>
      <c r="L8" s="8">
        <f>K5-K6</f>
        <v>43675131</v>
      </c>
      <c r="M8" s="13">
        <f>0.5*(1/L5+1/L6)</f>
        <v>2.7259972905843932E-5</v>
      </c>
      <c r="N8" s="2">
        <f>L8*M8</f>
        <v>1190.5828877191843</v>
      </c>
      <c r="O8" s="10">
        <f>N8/N6</f>
        <v>0.50729219658393276</v>
      </c>
    </row>
    <row r="9" spans="2:15" x14ac:dyDescent="0.35">
      <c r="B9" s="4" t="s">
        <v>151</v>
      </c>
      <c r="C9" s="8">
        <v>3313053372</v>
      </c>
      <c r="E9" t="s">
        <v>175</v>
      </c>
      <c r="F9" s="8">
        <f>F6-F5</f>
        <v>562.94110114266368</v>
      </c>
      <c r="G9" s="8">
        <f>E5+E6</f>
        <v>6476381579</v>
      </c>
      <c r="H9" s="2">
        <f>F9*0.5*G9/G10</f>
        <v>1351.0369277273439</v>
      </c>
      <c r="I9" s="10">
        <f>+H9/H6</f>
        <v>0.17309108105731588</v>
      </c>
      <c r="J9" s="10"/>
      <c r="K9" t="s">
        <v>175</v>
      </c>
      <c r="L9" s="8">
        <f>L6-L5</f>
        <v>466.63357828086737</v>
      </c>
      <c r="M9" s="8">
        <f>K5+K6</f>
        <v>6669781875</v>
      </c>
      <c r="N9" s="2">
        <f>L9*0.5*M9/M10</f>
        <v>1156.3542339958358</v>
      </c>
      <c r="O9" s="10">
        <f>+N9/N6</f>
        <v>0.49270780341606801</v>
      </c>
    </row>
    <row r="10" spans="2:15" x14ac:dyDescent="0.35">
      <c r="B10" s="4" t="s">
        <v>168</v>
      </c>
      <c r="C10" s="8">
        <v>37014.93042293904</v>
      </c>
      <c r="G10">
        <f>F5*F6</f>
        <v>1349267848.5240097</v>
      </c>
      <c r="M10">
        <f>L5*L6</f>
        <v>1345757247.7290428</v>
      </c>
    </row>
    <row r="11" spans="2:15" x14ac:dyDescent="0.35">
      <c r="B11" s="4" t="s">
        <v>169</v>
      </c>
      <c r="C11" s="8">
        <v>663770</v>
      </c>
    </row>
    <row r="12" spans="2:15" x14ac:dyDescent="0.35">
      <c r="B12" s="4" t="s">
        <v>170</v>
      </c>
      <c r="C12" s="8">
        <v>3119653076</v>
      </c>
    </row>
    <row r="13" spans="2:15" x14ac:dyDescent="0.35">
      <c r="E13" t="s">
        <v>177</v>
      </c>
      <c r="F13" s="8">
        <f>G6</f>
        <v>84280.938538970644</v>
      </c>
      <c r="K13" t="s">
        <v>181</v>
      </c>
      <c r="L13" s="8">
        <f>M6</f>
        <v>89739.354064397354</v>
      </c>
    </row>
    <row r="14" spans="2:15" x14ac:dyDescent="0.35">
      <c r="E14" t="s">
        <v>178</v>
      </c>
      <c r="F14" s="8">
        <f>+H8</f>
        <v>6454.3157194143832</v>
      </c>
      <c r="K14" t="s">
        <v>178</v>
      </c>
      <c r="L14" s="8">
        <f>+N8</f>
        <v>1190.5828877191843</v>
      </c>
    </row>
    <row r="15" spans="2:15" x14ac:dyDescent="0.35">
      <c r="E15" t="s">
        <v>179</v>
      </c>
      <c r="F15" s="8">
        <f>+H9</f>
        <v>1351.0369277273439</v>
      </c>
      <c r="K15" t="s">
        <v>179</v>
      </c>
      <c r="L15" s="8">
        <f>+N9</f>
        <v>1156.3542339958358</v>
      </c>
    </row>
    <row r="16" spans="2:15" x14ac:dyDescent="0.35">
      <c r="E16" t="s">
        <v>180</v>
      </c>
      <c r="F16" s="8">
        <f>G5</f>
        <v>92086.291186112372</v>
      </c>
      <c r="K16" t="s">
        <v>180</v>
      </c>
      <c r="L16" s="8">
        <f>M5</f>
        <v>92086.291186112372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02"/>
  <sheetViews>
    <sheetView topLeftCell="A2" workbookViewId="0">
      <selection activeCell="F4" sqref="F4"/>
    </sheetView>
  </sheetViews>
  <sheetFormatPr baseColWidth="10" defaultRowHeight="14.5" x14ac:dyDescent="0.35"/>
  <cols>
    <col min="1" max="1" width="27.90625" bestFit="1" customWidth="1"/>
    <col min="2" max="2" width="9.6328125" bestFit="1" customWidth="1"/>
    <col min="3" max="4" width="9.6328125" customWidth="1"/>
    <col min="5" max="5" width="10.1796875" bestFit="1" customWidth="1"/>
    <col min="6" max="6" width="9.36328125" bestFit="1" customWidth="1"/>
    <col min="7" max="7" width="7.08984375" bestFit="1" customWidth="1"/>
    <col min="8" max="8" width="10" bestFit="1" customWidth="1"/>
    <col min="9" max="10" width="11.81640625" bestFit="1" customWidth="1"/>
    <col min="11" max="11" width="9.26953125" bestFit="1" customWidth="1"/>
    <col min="12" max="12" width="8.90625" bestFit="1" customWidth="1"/>
    <col min="13" max="13" width="11.81640625" bestFit="1" customWidth="1"/>
    <col min="14" max="14" width="14.453125" bestFit="1" customWidth="1"/>
  </cols>
  <sheetData>
    <row r="1" spans="1:14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132</v>
      </c>
      <c r="L1" s="1" t="s">
        <v>133</v>
      </c>
      <c r="M1" s="1" t="s">
        <v>146</v>
      </c>
      <c r="N1" s="1" t="s">
        <v>145</v>
      </c>
    </row>
    <row r="2" spans="1:14" x14ac:dyDescent="0.35">
      <c r="A2" s="1" t="s">
        <v>8</v>
      </c>
      <c r="B2" s="1">
        <v>202603</v>
      </c>
      <c r="C2" s="1" t="str">
        <f>MID(analisis_productividad__4[[#This Row],[Periodo]],1,4)</f>
        <v>2026</v>
      </c>
      <c r="D2" s="1" t="str">
        <f>MID(analisis_productividad__4[[#This Row],[Periodo]],5,2)</f>
        <v>03</v>
      </c>
      <c r="E2" s="1" t="s">
        <v>9</v>
      </c>
      <c r="F2" s="1" t="s">
        <v>9</v>
      </c>
      <c r="G2" s="1">
        <v>231397</v>
      </c>
      <c r="H2" s="1">
        <v>2819804</v>
      </c>
      <c r="I2" s="1">
        <v>12.185974462365591</v>
      </c>
      <c r="J2" s="1">
        <v>196971.94955803169</v>
      </c>
      <c r="K2" s="1">
        <v>13.5</v>
      </c>
      <c r="L2" s="1">
        <v>12.5</v>
      </c>
      <c r="M2" s="1">
        <v>11.712938172043014</v>
      </c>
      <c r="N2" s="1">
        <v>2307120</v>
      </c>
    </row>
    <row r="3" spans="1:14" x14ac:dyDescent="0.35">
      <c r="A3" s="1" t="s">
        <v>15</v>
      </c>
      <c r="B3" s="1">
        <v>202512</v>
      </c>
      <c r="C3" s="1" t="str">
        <f>MID(analisis_productividad__4[[#This Row],[Periodo]],1,4)</f>
        <v>2025</v>
      </c>
      <c r="D3" s="1" t="str">
        <f>MID(analisis_productividad__4[[#This Row],[Periodo]],5,2)</f>
        <v>12</v>
      </c>
      <c r="E3" s="1" t="s">
        <v>16</v>
      </c>
      <c r="F3" s="1" t="s">
        <v>17</v>
      </c>
      <c r="G3" s="1">
        <v>168662</v>
      </c>
      <c r="H3" s="1">
        <v>11242205</v>
      </c>
      <c r="I3" s="1">
        <v>66.655194892473148</v>
      </c>
      <c r="J3" s="1">
        <v>165116.40032409818</v>
      </c>
      <c r="K3" s="1">
        <v>61</v>
      </c>
      <c r="L3" s="1">
        <v>60</v>
      </c>
      <c r="M3" s="1">
        <v>68.08654317762057</v>
      </c>
      <c r="N3" s="1">
        <v>10874860</v>
      </c>
    </row>
    <row r="4" spans="1:14" x14ac:dyDescent="0.35">
      <c r="A4" s="1" t="s">
        <v>15</v>
      </c>
      <c r="B4" s="1">
        <v>202412</v>
      </c>
      <c r="C4" s="1" t="str">
        <f>MID(analisis_productividad__4[[#This Row],[Periodo]],1,4)</f>
        <v>2024</v>
      </c>
      <c r="D4" s="1" t="str">
        <f>MID(analisis_productividad__4[[#This Row],[Periodo]],5,2)</f>
        <v>12</v>
      </c>
      <c r="E4" s="1" t="s">
        <v>16</v>
      </c>
      <c r="F4" s="1" t="s">
        <v>17</v>
      </c>
      <c r="G4" s="1">
        <v>157254</v>
      </c>
      <c r="H4" s="1">
        <v>10216673</v>
      </c>
      <c r="I4" s="1">
        <v>64.969361559139784</v>
      </c>
      <c r="J4" s="1">
        <v>0</v>
      </c>
      <c r="K4" s="1">
        <v>61</v>
      </c>
      <c r="L4" s="1">
        <v>60</v>
      </c>
      <c r="M4" s="1"/>
      <c r="N4" s="1">
        <v>0</v>
      </c>
    </row>
    <row r="5" spans="1:14" x14ac:dyDescent="0.35">
      <c r="A5" s="1" t="s">
        <v>8</v>
      </c>
      <c r="B5" s="1">
        <v>202602</v>
      </c>
      <c r="C5" s="1" t="str">
        <f>MID(analisis_productividad__4[[#This Row],[Periodo]],1,4)</f>
        <v>2026</v>
      </c>
      <c r="D5" s="1" t="str">
        <f>MID(analisis_productividad__4[[#This Row],[Periodo]],5,2)</f>
        <v>02</v>
      </c>
      <c r="E5" s="1" t="s">
        <v>9</v>
      </c>
      <c r="F5" s="1" t="s">
        <v>9</v>
      </c>
      <c r="G5" s="1">
        <v>156793</v>
      </c>
      <c r="H5" s="1">
        <v>2231847</v>
      </c>
      <c r="I5" s="1">
        <v>14.234375</v>
      </c>
      <c r="J5" s="1">
        <v>112215.14865819039</v>
      </c>
      <c r="K5" s="1">
        <v>13.5</v>
      </c>
      <c r="L5" s="1">
        <v>12.5</v>
      </c>
      <c r="M5" s="1">
        <v>11.712938172043014</v>
      </c>
      <c r="N5" s="1">
        <v>1314369</v>
      </c>
    </row>
    <row r="6" spans="1:14" x14ac:dyDescent="0.35">
      <c r="A6" s="1" t="s">
        <v>36</v>
      </c>
      <c r="B6" s="1">
        <v>202512</v>
      </c>
      <c r="C6" s="1" t="str">
        <f>MID(analisis_productividad__4[[#This Row],[Periodo]],1,4)</f>
        <v>2025</v>
      </c>
      <c r="D6" s="1" t="str">
        <f>MID(analisis_productividad__4[[#This Row],[Periodo]],5,2)</f>
        <v>12</v>
      </c>
      <c r="E6" s="1" t="s">
        <v>16</v>
      </c>
      <c r="F6" s="1" t="s">
        <v>17</v>
      </c>
      <c r="G6" s="1">
        <v>152023</v>
      </c>
      <c r="H6" s="1">
        <v>12410132</v>
      </c>
      <c r="I6" s="1">
        <v>81.63312499999995</v>
      </c>
      <c r="J6" s="1">
        <v>155721.15773041456</v>
      </c>
      <c r="K6" s="1">
        <v>76.5</v>
      </c>
      <c r="L6" s="1">
        <v>80</v>
      </c>
      <c r="M6" s="1">
        <v>79.694578764206838</v>
      </c>
      <c r="N6" s="1">
        <v>12395481</v>
      </c>
    </row>
    <row r="7" spans="1:14" x14ac:dyDescent="0.35">
      <c r="A7" s="1" t="s">
        <v>10</v>
      </c>
      <c r="B7" s="1">
        <v>202512</v>
      </c>
      <c r="C7" s="1" t="str">
        <f>MID(analisis_productividad__4[[#This Row],[Periodo]],1,4)</f>
        <v>2025</v>
      </c>
      <c r="D7" s="1" t="str">
        <f>MID(analisis_productividad__4[[#This Row],[Periodo]],5,2)</f>
        <v>12</v>
      </c>
      <c r="E7" s="1" t="s">
        <v>11</v>
      </c>
      <c r="F7" s="1" t="s">
        <v>12</v>
      </c>
      <c r="G7" s="1">
        <v>149997</v>
      </c>
      <c r="H7" s="1">
        <v>14846040</v>
      </c>
      <c r="I7" s="1">
        <v>98.975813172042976</v>
      </c>
      <c r="J7" s="1">
        <v>137436.16986313357</v>
      </c>
      <c r="K7" s="1">
        <v>98.5</v>
      </c>
      <c r="L7" s="1">
        <v>96.5</v>
      </c>
      <c r="M7" s="1">
        <v>108.02134870889154</v>
      </c>
      <c r="N7" s="1">
        <v>13004058</v>
      </c>
    </row>
    <row r="8" spans="1:14" x14ac:dyDescent="0.35">
      <c r="A8" s="1" t="s">
        <v>36</v>
      </c>
      <c r="B8" s="1">
        <v>202412</v>
      </c>
      <c r="C8" s="1" t="str">
        <f>MID(analisis_productividad__4[[#This Row],[Periodo]],1,4)</f>
        <v>2024</v>
      </c>
      <c r="D8" s="1" t="str">
        <f>MID(analisis_productividad__4[[#This Row],[Periodo]],5,2)</f>
        <v>12</v>
      </c>
      <c r="E8" s="1" t="s">
        <v>16</v>
      </c>
      <c r="F8" s="1" t="s">
        <v>17</v>
      </c>
      <c r="G8" s="1">
        <v>148306</v>
      </c>
      <c r="H8" s="1">
        <v>11554754</v>
      </c>
      <c r="I8" s="1">
        <v>77.911646505376254</v>
      </c>
      <c r="J8" s="1">
        <v>0</v>
      </c>
      <c r="K8" s="1">
        <v>76.5</v>
      </c>
      <c r="L8" s="1">
        <v>80</v>
      </c>
      <c r="M8" s="1"/>
      <c r="N8" s="1">
        <v>0</v>
      </c>
    </row>
    <row r="9" spans="1:14" x14ac:dyDescent="0.35">
      <c r="A9" s="1" t="s">
        <v>37</v>
      </c>
      <c r="B9" s="1">
        <v>202512</v>
      </c>
      <c r="C9" s="1" t="str">
        <f>MID(analisis_productividad__4[[#This Row],[Periodo]],1,4)</f>
        <v>2025</v>
      </c>
      <c r="D9" s="1" t="str">
        <f>MID(analisis_productividad__4[[#This Row],[Periodo]],5,2)</f>
        <v>12</v>
      </c>
      <c r="E9" s="1" t="s">
        <v>16</v>
      </c>
      <c r="F9" s="1" t="s">
        <v>17</v>
      </c>
      <c r="G9" s="1">
        <v>148172</v>
      </c>
      <c r="H9" s="1">
        <v>14947539</v>
      </c>
      <c r="I9" s="1">
        <v>100.87969086021506</v>
      </c>
      <c r="J9" s="1">
        <v>128117.49505500619</v>
      </c>
      <c r="K9" s="1">
        <v>107.5</v>
      </c>
      <c r="L9" s="1">
        <v>102.5</v>
      </c>
      <c r="M9" s="1">
        <v>116.67054919847129</v>
      </c>
      <c r="N9" s="1">
        <v>15172611</v>
      </c>
    </row>
    <row r="10" spans="1:14" x14ac:dyDescent="0.35">
      <c r="A10" s="1" t="s">
        <v>23</v>
      </c>
      <c r="B10" s="1">
        <v>202512</v>
      </c>
      <c r="C10" s="1" t="str">
        <f>MID(analisis_productividad__4[[#This Row],[Periodo]],1,4)</f>
        <v>2025</v>
      </c>
      <c r="D10" s="1" t="str">
        <f>MID(analisis_productividad__4[[#This Row],[Periodo]],5,2)</f>
        <v>12</v>
      </c>
      <c r="E10" s="1" t="s">
        <v>11</v>
      </c>
      <c r="F10" s="1" t="s">
        <v>12</v>
      </c>
      <c r="G10" s="1">
        <v>146609</v>
      </c>
      <c r="H10" s="1">
        <v>9800042</v>
      </c>
      <c r="I10" s="1">
        <v>66.844543010752645</v>
      </c>
      <c r="J10" s="1">
        <v>141844.29871168037</v>
      </c>
      <c r="K10" s="1">
        <v>68.5</v>
      </c>
      <c r="L10" s="1">
        <v>66</v>
      </c>
      <c r="M10" s="1">
        <v>69.090137700353011</v>
      </c>
      <c r="N10" s="1">
        <v>9481770</v>
      </c>
    </row>
    <row r="11" spans="1:14" x14ac:dyDescent="0.35">
      <c r="A11" s="1" t="s">
        <v>10</v>
      </c>
      <c r="B11" s="1">
        <v>202605</v>
      </c>
      <c r="C11" s="1" t="str">
        <f>MID(analisis_productividad__4[[#This Row],[Periodo]],1,4)</f>
        <v>2026</v>
      </c>
      <c r="D11" s="1" t="str">
        <f>MID(analisis_productividad__4[[#This Row],[Periodo]],5,2)</f>
        <v>05</v>
      </c>
      <c r="E11" s="1" t="s">
        <v>11</v>
      </c>
      <c r="F11" s="1" t="s">
        <v>12</v>
      </c>
      <c r="G11" s="1">
        <v>145442</v>
      </c>
      <c r="H11" s="1">
        <v>12491601</v>
      </c>
      <c r="I11" s="1">
        <v>85.887224462365523</v>
      </c>
      <c r="J11" s="1">
        <v>126657.92363845374</v>
      </c>
      <c r="K11" s="1">
        <v>98.5</v>
      </c>
      <c r="L11" s="1">
        <v>96.5</v>
      </c>
      <c r="M11" s="1">
        <v>87.166669283279759</v>
      </c>
      <c r="N11" s="1">
        <v>11040349</v>
      </c>
    </row>
    <row r="12" spans="1:14" x14ac:dyDescent="0.35">
      <c r="A12" s="1" t="s">
        <v>15</v>
      </c>
      <c r="B12" s="1">
        <v>202509</v>
      </c>
      <c r="C12" s="1" t="str">
        <f>MID(analisis_productividad__4[[#This Row],[Periodo]],1,4)</f>
        <v>2025</v>
      </c>
      <c r="D12" s="1" t="str">
        <f>MID(analisis_productividad__4[[#This Row],[Periodo]],5,2)</f>
        <v>09</v>
      </c>
      <c r="E12" s="1" t="s">
        <v>16</v>
      </c>
      <c r="F12" s="1" t="s">
        <v>17</v>
      </c>
      <c r="G12" s="1">
        <v>144974</v>
      </c>
      <c r="H12" s="1">
        <v>7417710</v>
      </c>
      <c r="I12" s="1">
        <v>51.165625000000034</v>
      </c>
      <c r="J12" s="1">
        <v>129361.03705071122</v>
      </c>
      <c r="K12" s="1">
        <v>61</v>
      </c>
      <c r="L12" s="1">
        <v>60</v>
      </c>
      <c r="M12" s="1">
        <v>57.341144050137444</v>
      </c>
      <c r="N12" s="1">
        <v>6777060</v>
      </c>
    </row>
    <row r="13" spans="1:14" x14ac:dyDescent="0.35">
      <c r="A13" s="1" t="s">
        <v>13</v>
      </c>
      <c r="B13" s="1">
        <v>202603</v>
      </c>
      <c r="C13" s="1" t="str">
        <f>MID(analisis_productividad__4[[#This Row],[Periodo]],1,4)</f>
        <v>2026</v>
      </c>
      <c r="D13" s="1" t="str">
        <f>MID(analisis_productividad__4[[#This Row],[Periodo]],5,2)</f>
        <v>03</v>
      </c>
      <c r="E13" s="1" t="s">
        <v>11</v>
      </c>
      <c r="F13" s="1" t="s">
        <v>14</v>
      </c>
      <c r="G13" s="1">
        <v>144485</v>
      </c>
      <c r="H13" s="1">
        <v>13261296</v>
      </c>
      <c r="I13" s="1">
        <v>91.782983870967811</v>
      </c>
      <c r="J13" s="1">
        <v>142204.97606273938</v>
      </c>
      <c r="K13" s="1">
        <v>100</v>
      </c>
      <c r="L13" s="1">
        <v>98</v>
      </c>
      <c r="M13" s="1">
        <v>86.393284871267369</v>
      </c>
      <c r="N13" s="1">
        <v>12285555</v>
      </c>
    </row>
    <row r="14" spans="1:14" x14ac:dyDescent="0.35">
      <c r="A14" s="1" t="s">
        <v>15</v>
      </c>
      <c r="B14" s="1">
        <v>202508</v>
      </c>
      <c r="C14" s="1" t="str">
        <f>MID(analisis_productividad__4[[#This Row],[Periodo]],1,4)</f>
        <v>2025</v>
      </c>
      <c r="D14" s="1" t="str">
        <f>MID(analisis_productividad__4[[#This Row],[Periodo]],5,2)</f>
        <v>08</v>
      </c>
      <c r="E14" s="1" t="s">
        <v>16</v>
      </c>
      <c r="F14" s="1" t="s">
        <v>17</v>
      </c>
      <c r="G14" s="1">
        <v>143232</v>
      </c>
      <c r="H14" s="1">
        <v>7863466</v>
      </c>
      <c r="I14" s="1">
        <v>54.90013440860217</v>
      </c>
      <c r="J14" s="1">
        <v>142027.06213820679</v>
      </c>
      <c r="K14" s="1">
        <v>61</v>
      </c>
      <c r="L14" s="1">
        <v>60</v>
      </c>
      <c r="M14" s="1">
        <v>55.365969073894171</v>
      </c>
      <c r="N14" s="1">
        <v>7682985</v>
      </c>
    </row>
    <row r="15" spans="1:14" x14ac:dyDescent="0.35">
      <c r="A15" s="1" t="s">
        <v>15</v>
      </c>
      <c r="B15" s="1">
        <v>202603</v>
      </c>
      <c r="C15" s="1" t="str">
        <f>MID(analisis_productividad__4[[#This Row],[Periodo]],1,4)</f>
        <v>2026</v>
      </c>
      <c r="D15" s="1" t="str">
        <f>MID(analisis_productividad__4[[#This Row],[Periodo]],5,2)</f>
        <v>03</v>
      </c>
      <c r="E15" s="1" t="s">
        <v>16</v>
      </c>
      <c r="F15" s="1" t="s">
        <v>17</v>
      </c>
      <c r="G15" s="1">
        <v>142561</v>
      </c>
      <c r="H15" s="1">
        <v>8567236</v>
      </c>
      <c r="I15" s="1">
        <v>60.095282258064557</v>
      </c>
      <c r="J15" s="1">
        <v>147717.36571248787</v>
      </c>
      <c r="K15" s="1">
        <v>61</v>
      </c>
      <c r="L15" s="1">
        <v>60</v>
      </c>
      <c r="M15" s="1">
        <v>53.7842448352594</v>
      </c>
      <c r="N15" s="1">
        <v>7944867</v>
      </c>
    </row>
    <row r="16" spans="1:14" x14ac:dyDescent="0.35">
      <c r="A16" s="1" t="s">
        <v>26</v>
      </c>
      <c r="B16" s="1">
        <v>202512</v>
      </c>
      <c r="C16" s="1" t="str">
        <f>MID(analisis_productividad__4[[#This Row],[Periodo]],1,4)</f>
        <v>2025</v>
      </c>
      <c r="D16" s="1" t="str">
        <f>MID(analisis_productividad__4[[#This Row],[Periodo]],5,2)</f>
        <v>12</v>
      </c>
      <c r="E16" s="1" t="s">
        <v>11</v>
      </c>
      <c r="F16" s="1" t="s">
        <v>12</v>
      </c>
      <c r="G16" s="1">
        <v>142272</v>
      </c>
      <c r="H16" s="1">
        <v>9289009</v>
      </c>
      <c r="I16" s="1">
        <v>65.290665322580622</v>
      </c>
      <c r="J16" s="1">
        <v>138025.28509040302</v>
      </c>
      <c r="K16" s="1">
        <v>65.5</v>
      </c>
      <c r="L16" s="1">
        <v>63</v>
      </c>
      <c r="M16" s="1">
        <v>67.29932507595214</v>
      </c>
      <c r="N16" s="1">
        <v>7052136</v>
      </c>
    </row>
    <row r="17" spans="1:14" x14ac:dyDescent="0.35">
      <c r="A17" s="1" t="s">
        <v>27</v>
      </c>
      <c r="B17" s="1">
        <v>202512</v>
      </c>
      <c r="C17" s="1" t="str">
        <f>MID(analisis_productividad__4[[#This Row],[Periodo]],1,4)</f>
        <v>2025</v>
      </c>
      <c r="D17" s="1" t="str">
        <f>MID(analisis_productividad__4[[#This Row],[Periodo]],5,2)</f>
        <v>12</v>
      </c>
      <c r="E17" s="1" t="s">
        <v>11</v>
      </c>
      <c r="F17" s="1" t="s">
        <v>14</v>
      </c>
      <c r="G17" s="1">
        <v>141763</v>
      </c>
      <c r="H17" s="1">
        <v>12739505</v>
      </c>
      <c r="I17" s="1">
        <v>89.864946236559049</v>
      </c>
      <c r="J17" s="1">
        <v>136681.66059027638</v>
      </c>
      <c r="K17" s="1">
        <v>88</v>
      </c>
      <c r="L17" s="1">
        <v>84</v>
      </c>
      <c r="M17" s="1">
        <v>93.205661790930137</v>
      </c>
      <c r="N17" s="1">
        <v>13496921</v>
      </c>
    </row>
    <row r="18" spans="1:14" x14ac:dyDescent="0.35">
      <c r="A18" s="1" t="s">
        <v>15</v>
      </c>
      <c r="B18" s="1">
        <v>202605</v>
      </c>
      <c r="C18" s="1" t="str">
        <f>MID(analisis_productividad__4[[#This Row],[Periodo]],1,4)</f>
        <v>2026</v>
      </c>
      <c r="D18" s="1" t="str">
        <f>MID(analisis_productividad__4[[#This Row],[Periodo]],5,2)</f>
        <v>05</v>
      </c>
      <c r="E18" s="1" t="s">
        <v>16</v>
      </c>
      <c r="F18" s="1" t="s">
        <v>17</v>
      </c>
      <c r="G18" s="1">
        <v>140094</v>
      </c>
      <c r="H18" s="1">
        <v>7723581</v>
      </c>
      <c r="I18" s="1">
        <v>55.131397849462871</v>
      </c>
      <c r="J18" s="1">
        <v>135865.92528876505</v>
      </c>
      <c r="K18" s="1">
        <v>61</v>
      </c>
      <c r="L18" s="1">
        <v>60</v>
      </c>
      <c r="M18" s="1">
        <v>53.7842448352594</v>
      </c>
      <c r="N18" s="1">
        <v>7307446</v>
      </c>
    </row>
    <row r="19" spans="1:14" x14ac:dyDescent="0.35">
      <c r="A19" s="1" t="s">
        <v>15</v>
      </c>
      <c r="B19" s="1">
        <v>202407</v>
      </c>
      <c r="C19" s="1" t="str">
        <f>MID(analisis_productividad__4[[#This Row],[Periodo]],1,4)</f>
        <v>2024</v>
      </c>
      <c r="D19" s="1" t="str">
        <f>MID(analisis_productividad__4[[#This Row],[Periodo]],5,2)</f>
        <v>07</v>
      </c>
      <c r="E19" s="1" t="s">
        <v>16</v>
      </c>
      <c r="F19" s="1" t="s">
        <v>17</v>
      </c>
      <c r="G19" s="1">
        <v>139767</v>
      </c>
      <c r="H19" s="1">
        <v>7797596</v>
      </c>
      <c r="I19" s="1">
        <v>55.790000000000006</v>
      </c>
      <c r="J19" s="1">
        <v>0</v>
      </c>
      <c r="K19" s="1">
        <v>61</v>
      </c>
      <c r="L19" s="1">
        <v>60</v>
      </c>
      <c r="M19" s="1"/>
      <c r="N19" s="1">
        <v>0</v>
      </c>
    </row>
    <row r="20" spans="1:14" x14ac:dyDescent="0.35">
      <c r="A20" s="1" t="s">
        <v>13</v>
      </c>
      <c r="B20" s="1">
        <v>202512</v>
      </c>
      <c r="C20" s="1" t="str">
        <f>MID(analisis_productividad__4[[#This Row],[Periodo]],1,4)</f>
        <v>2025</v>
      </c>
      <c r="D20" s="1" t="str">
        <f>MID(analisis_productividad__4[[#This Row],[Periodo]],5,2)</f>
        <v>12</v>
      </c>
      <c r="E20" s="1" t="s">
        <v>11</v>
      </c>
      <c r="F20" s="1" t="s">
        <v>14</v>
      </c>
      <c r="G20" s="1">
        <v>139743</v>
      </c>
      <c r="H20" s="1">
        <v>14990129</v>
      </c>
      <c r="I20" s="1">
        <v>107.26902553763429</v>
      </c>
      <c r="J20" s="1">
        <v>137467.68227681305</v>
      </c>
      <c r="K20" s="1">
        <v>100</v>
      </c>
      <c r="L20" s="1">
        <v>98</v>
      </c>
      <c r="M20" s="1">
        <v>109.04475038587607</v>
      </c>
      <c r="N20" s="1">
        <v>15246951</v>
      </c>
    </row>
    <row r="21" spans="1:14" x14ac:dyDescent="0.35">
      <c r="A21" s="1" t="s">
        <v>18</v>
      </c>
      <c r="B21" s="1">
        <v>202603</v>
      </c>
      <c r="C21" s="1" t="str">
        <f>MID(analisis_productividad__4[[#This Row],[Periodo]],1,4)</f>
        <v>2026</v>
      </c>
      <c r="D21" s="1" t="str">
        <f>MID(analisis_productividad__4[[#This Row],[Periodo]],5,2)</f>
        <v>03</v>
      </c>
      <c r="E21" s="1" t="s">
        <v>16</v>
      </c>
      <c r="F21" s="1" t="s">
        <v>19</v>
      </c>
      <c r="G21" s="1">
        <v>138702</v>
      </c>
      <c r="H21" s="1">
        <v>8306917</v>
      </c>
      <c r="I21" s="1">
        <v>59.890456989247348</v>
      </c>
      <c r="J21" s="1">
        <v>125686.31718572693</v>
      </c>
      <c r="K21" s="1">
        <v>70.5</v>
      </c>
      <c r="L21" s="1">
        <v>69.5</v>
      </c>
      <c r="M21" s="1">
        <v>63.576561684054447</v>
      </c>
      <c r="N21" s="1">
        <v>7990704</v>
      </c>
    </row>
    <row r="22" spans="1:14" x14ac:dyDescent="0.35">
      <c r="A22" s="1" t="s">
        <v>15</v>
      </c>
      <c r="B22" s="1">
        <v>202507</v>
      </c>
      <c r="C22" s="1" t="str">
        <f>MID(analisis_productividad__4[[#This Row],[Periodo]],1,4)</f>
        <v>2025</v>
      </c>
      <c r="D22" s="1" t="str">
        <f>MID(analisis_productividad__4[[#This Row],[Periodo]],5,2)</f>
        <v>07</v>
      </c>
      <c r="E22" s="1" t="s">
        <v>16</v>
      </c>
      <c r="F22" s="1" t="s">
        <v>17</v>
      </c>
      <c r="G22" s="1">
        <v>138080</v>
      </c>
      <c r="H22" s="1">
        <v>7376685</v>
      </c>
      <c r="I22" s="1">
        <v>53.42321908602154</v>
      </c>
      <c r="J22" s="1">
        <v>146755.26361355084</v>
      </c>
      <c r="K22" s="1">
        <v>61</v>
      </c>
      <c r="L22" s="1">
        <v>60</v>
      </c>
      <c r="M22" s="1">
        <v>50.265215218616973</v>
      </c>
      <c r="N22" s="1">
        <v>8133696</v>
      </c>
    </row>
    <row r="23" spans="1:14" x14ac:dyDescent="0.35">
      <c r="A23" s="1" t="s">
        <v>24</v>
      </c>
      <c r="B23" s="1">
        <v>202512</v>
      </c>
      <c r="C23" s="1" t="str">
        <f>MID(analisis_productividad__4[[#This Row],[Periodo]],1,4)</f>
        <v>2025</v>
      </c>
      <c r="D23" s="1" t="str">
        <f>MID(analisis_productividad__4[[#This Row],[Periodo]],5,2)</f>
        <v>12</v>
      </c>
      <c r="E23" s="1" t="s">
        <v>16</v>
      </c>
      <c r="F23" s="1" t="s">
        <v>21</v>
      </c>
      <c r="G23" s="1">
        <v>136861</v>
      </c>
      <c r="H23" s="1">
        <v>14816568</v>
      </c>
      <c r="I23" s="1">
        <v>108.26012768817195</v>
      </c>
      <c r="J23" s="1">
        <v>128218.17010726522</v>
      </c>
      <c r="K23" s="1">
        <v>125</v>
      </c>
      <c r="L23" s="1">
        <v>118.5</v>
      </c>
      <c r="M23" s="1">
        <v>115.55747252986609</v>
      </c>
      <c r="N23" s="1">
        <v>15107192</v>
      </c>
    </row>
    <row r="24" spans="1:14" x14ac:dyDescent="0.35">
      <c r="A24" s="1" t="s">
        <v>63</v>
      </c>
      <c r="B24" s="1">
        <v>202412</v>
      </c>
      <c r="C24" s="1" t="str">
        <f>MID(analisis_productividad__4[[#This Row],[Periodo]],1,4)</f>
        <v>2024</v>
      </c>
      <c r="D24" s="1" t="str">
        <f>MID(analisis_productividad__4[[#This Row],[Periodo]],5,2)</f>
        <v>12</v>
      </c>
      <c r="E24" s="1" t="s">
        <v>16</v>
      </c>
      <c r="F24" s="1" t="s">
        <v>17</v>
      </c>
      <c r="G24" s="1">
        <v>136657</v>
      </c>
      <c r="H24" s="1">
        <v>14497463</v>
      </c>
      <c r="I24" s="1">
        <v>106.08636424731168</v>
      </c>
      <c r="J24" s="1">
        <v>0</v>
      </c>
      <c r="K24" s="1">
        <v>86.5</v>
      </c>
      <c r="L24" s="1">
        <v>81.5</v>
      </c>
      <c r="M24" s="1"/>
      <c r="N24" s="1">
        <v>0</v>
      </c>
    </row>
    <row r="25" spans="1:14" x14ac:dyDescent="0.35">
      <c r="A25" s="1" t="s">
        <v>20</v>
      </c>
      <c r="B25" s="1">
        <v>202603</v>
      </c>
      <c r="C25" s="1" t="str">
        <f>MID(analisis_productividad__4[[#This Row],[Periodo]],1,4)</f>
        <v>2026</v>
      </c>
      <c r="D25" s="1" t="str">
        <f>MID(analisis_productividad__4[[#This Row],[Periodo]],5,2)</f>
        <v>03</v>
      </c>
      <c r="E25" s="1" t="s">
        <v>16</v>
      </c>
      <c r="F25" s="1" t="s">
        <v>21</v>
      </c>
      <c r="G25" s="1">
        <v>136369</v>
      </c>
      <c r="H25" s="1">
        <v>12134655</v>
      </c>
      <c r="I25" s="1">
        <v>88.983924731182839</v>
      </c>
      <c r="J25" s="1">
        <v>132233.08198363351</v>
      </c>
      <c r="K25" s="1">
        <v>96.5</v>
      </c>
      <c r="L25" s="1">
        <v>94</v>
      </c>
      <c r="M25" s="1">
        <v>87.753564014610347</v>
      </c>
      <c r="N25" s="1">
        <v>11603924</v>
      </c>
    </row>
    <row r="26" spans="1:14" x14ac:dyDescent="0.35">
      <c r="A26" s="1" t="s">
        <v>44</v>
      </c>
      <c r="B26" s="1">
        <v>202512</v>
      </c>
      <c r="C26" s="1" t="str">
        <f>MID(analisis_productividad__4[[#This Row],[Periodo]],1,4)</f>
        <v>2025</v>
      </c>
      <c r="D26" s="1" t="str">
        <f>MID(analisis_productividad__4[[#This Row],[Periodo]],5,2)</f>
        <v>12</v>
      </c>
      <c r="E26" s="1" t="s">
        <v>11</v>
      </c>
      <c r="F26" s="1" t="s">
        <v>12</v>
      </c>
      <c r="G26" s="1">
        <v>136155</v>
      </c>
      <c r="H26" s="1">
        <v>9463729</v>
      </c>
      <c r="I26" s="1">
        <v>69.507224462365571</v>
      </c>
      <c r="J26" s="1">
        <v>116901.40322684984</v>
      </c>
      <c r="K26" s="1">
        <v>78</v>
      </c>
      <c r="L26" s="1">
        <v>74.5</v>
      </c>
      <c r="M26" s="1">
        <v>80.954797964532673</v>
      </c>
      <c r="N26" s="1">
        <v>9808455</v>
      </c>
    </row>
    <row r="27" spans="1:14" x14ac:dyDescent="0.35">
      <c r="A27" s="1" t="s">
        <v>15</v>
      </c>
      <c r="B27" s="1">
        <v>202511</v>
      </c>
      <c r="C27" s="1" t="str">
        <f>MID(analisis_productividad__4[[#This Row],[Periodo]],1,4)</f>
        <v>2025</v>
      </c>
      <c r="D27" s="1" t="str">
        <f>MID(analisis_productividad__4[[#This Row],[Periodo]],5,2)</f>
        <v>11</v>
      </c>
      <c r="E27" s="1" t="s">
        <v>16</v>
      </c>
      <c r="F27" s="1" t="s">
        <v>17</v>
      </c>
      <c r="G27" s="1">
        <v>135504</v>
      </c>
      <c r="H27" s="1">
        <v>8069043</v>
      </c>
      <c r="I27" s="1">
        <v>59.548465277777844</v>
      </c>
      <c r="J27" s="1">
        <v>124375.41237906319</v>
      </c>
      <c r="K27" s="1">
        <v>61</v>
      </c>
      <c r="L27" s="1">
        <v>60</v>
      </c>
      <c r="M27" s="1">
        <v>64.876511326914866</v>
      </c>
      <c r="N27" s="1">
        <v>6920773</v>
      </c>
    </row>
    <row r="28" spans="1:14" x14ac:dyDescent="0.35">
      <c r="A28" s="1" t="s">
        <v>15</v>
      </c>
      <c r="B28" s="1">
        <v>202408</v>
      </c>
      <c r="C28" s="1" t="str">
        <f>MID(analisis_productividad__4[[#This Row],[Periodo]],1,4)</f>
        <v>2024</v>
      </c>
      <c r="D28" s="1" t="str">
        <f>MID(analisis_productividad__4[[#This Row],[Periodo]],5,2)</f>
        <v>08</v>
      </c>
      <c r="E28" s="1" t="s">
        <v>16</v>
      </c>
      <c r="F28" s="1" t="s">
        <v>17</v>
      </c>
      <c r="G28" s="1">
        <v>135264</v>
      </c>
      <c r="H28" s="1">
        <v>7458412</v>
      </c>
      <c r="I28" s="1">
        <v>55.139724462365592</v>
      </c>
      <c r="J28" s="1">
        <v>0</v>
      </c>
      <c r="K28" s="1">
        <v>61</v>
      </c>
      <c r="L28" s="1">
        <v>60</v>
      </c>
      <c r="M28" s="1"/>
      <c r="N28" s="1">
        <v>0</v>
      </c>
    </row>
    <row r="29" spans="1:14" x14ac:dyDescent="0.35">
      <c r="A29" s="1" t="s">
        <v>23</v>
      </c>
      <c r="B29" s="1">
        <v>202412</v>
      </c>
      <c r="C29" s="1" t="str">
        <f>MID(analisis_productividad__4[[#This Row],[Periodo]],1,4)</f>
        <v>2024</v>
      </c>
      <c r="D29" s="1" t="str">
        <f>MID(analisis_productividad__4[[#This Row],[Periodo]],5,2)</f>
        <v>12</v>
      </c>
      <c r="E29" s="1" t="s">
        <v>11</v>
      </c>
      <c r="F29" s="1" t="s">
        <v>12</v>
      </c>
      <c r="G29" s="1">
        <v>135090</v>
      </c>
      <c r="H29" s="1">
        <v>9229774</v>
      </c>
      <c r="I29" s="1">
        <v>68.32324596774194</v>
      </c>
      <c r="J29" s="1">
        <v>0</v>
      </c>
      <c r="K29" s="1">
        <v>68.5</v>
      </c>
      <c r="L29" s="1">
        <v>66</v>
      </c>
      <c r="M29" s="1"/>
      <c r="N29" s="1">
        <v>0</v>
      </c>
    </row>
    <row r="30" spans="1:14" x14ac:dyDescent="0.35">
      <c r="A30" s="1" t="s">
        <v>24</v>
      </c>
      <c r="B30" s="1">
        <v>202503</v>
      </c>
      <c r="C30" s="1" t="str">
        <f>MID(analisis_productividad__4[[#This Row],[Periodo]],1,4)</f>
        <v>2025</v>
      </c>
      <c r="D30" s="1" t="str">
        <f>MID(analisis_productividad__4[[#This Row],[Periodo]],5,2)</f>
        <v>03</v>
      </c>
      <c r="E30" s="1" t="s">
        <v>16</v>
      </c>
      <c r="F30" s="1" t="s">
        <v>21</v>
      </c>
      <c r="G30" s="1">
        <v>135059</v>
      </c>
      <c r="H30" s="1">
        <v>13946827</v>
      </c>
      <c r="I30" s="1">
        <v>103.26453629032257</v>
      </c>
      <c r="J30" s="1">
        <v>116707.79387038908</v>
      </c>
      <c r="K30" s="1">
        <v>125</v>
      </c>
      <c r="L30" s="1">
        <v>118.5</v>
      </c>
      <c r="M30" s="1">
        <v>119.5021088779108</v>
      </c>
      <c r="N30" s="1">
        <v>12287047</v>
      </c>
    </row>
    <row r="31" spans="1:14" x14ac:dyDescent="0.35">
      <c r="A31" s="1" t="s">
        <v>15</v>
      </c>
      <c r="B31" s="1">
        <v>202503</v>
      </c>
      <c r="C31" s="1" t="str">
        <f>MID(analisis_productividad__4[[#This Row],[Periodo]],1,4)</f>
        <v>2025</v>
      </c>
      <c r="D31" s="1" t="str">
        <f>MID(analisis_productividad__4[[#This Row],[Periodo]],5,2)</f>
        <v>03</v>
      </c>
      <c r="E31" s="1" t="s">
        <v>16</v>
      </c>
      <c r="F31" s="1" t="s">
        <v>17</v>
      </c>
      <c r="G31" s="1">
        <v>134198</v>
      </c>
      <c r="H31" s="1">
        <v>7813520</v>
      </c>
      <c r="I31" s="1">
        <v>58.22391129032259</v>
      </c>
      <c r="J31" s="1">
        <v>137745.89217380836</v>
      </c>
      <c r="K31" s="1">
        <v>61</v>
      </c>
      <c r="L31" s="1">
        <v>60</v>
      </c>
      <c r="M31" s="1">
        <v>56.724157843784319</v>
      </c>
      <c r="N31" s="1">
        <v>7814540</v>
      </c>
    </row>
    <row r="32" spans="1:14" x14ac:dyDescent="0.35">
      <c r="A32" s="1" t="s">
        <v>22</v>
      </c>
      <c r="B32" s="1">
        <v>202603</v>
      </c>
      <c r="C32" s="1" t="str">
        <f>MID(analisis_productividad__4[[#This Row],[Periodo]],1,4)</f>
        <v>2026</v>
      </c>
      <c r="D32" s="1" t="str">
        <f>MID(analisis_productividad__4[[#This Row],[Periodo]],5,2)</f>
        <v>03</v>
      </c>
      <c r="E32" s="1" t="s">
        <v>16</v>
      </c>
      <c r="F32" s="1" t="s">
        <v>21</v>
      </c>
      <c r="G32" s="1">
        <v>133870</v>
      </c>
      <c r="H32" s="1">
        <v>7190444</v>
      </c>
      <c r="I32" s="1">
        <v>53.71229838709678</v>
      </c>
      <c r="J32" s="1">
        <v>117597.86308581386</v>
      </c>
      <c r="K32" s="1">
        <v>59.5</v>
      </c>
      <c r="L32" s="1">
        <v>55.5</v>
      </c>
      <c r="M32" s="1">
        <v>53.278949580299148</v>
      </c>
      <c r="N32" s="1">
        <v>6265491</v>
      </c>
    </row>
    <row r="33" spans="1:14" x14ac:dyDescent="0.35">
      <c r="A33" s="1" t="s">
        <v>23</v>
      </c>
      <c r="B33" s="1">
        <v>202603</v>
      </c>
      <c r="C33" s="1" t="str">
        <f>MID(analisis_productividad__4[[#This Row],[Periodo]],1,4)</f>
        <v>2026</v>
      </c>
      <c r="D33" s="1" t="str">
        <f>MID(analisis_productividad__4[[#This Row],[Periodo]],5,2)</f>
        <v>03</v>
      </c>
      <c r="E33" s="1" t="s">
        <v>11</v>
      </c>
      <c r="F33" s="1" t="s">
        <v>12</v>
      </c>
      <c r="G33" s="1">
        <v>133828</v>
      </c>
      <c r="H33" s="1">
        <v>8284520</v>
      </c>
      <c r="I33" s="1">
        <v>61.904415322580654</v>
      </c>
      <c r="J33" s="1">
        <v>130985.91720224862</v>
      </c>
      <c r="K33" s="1">
        <v>68.5</v>
      </c>
      <c r="L33" s="1">
        <v>66</v>
      </c>
      <c r="M33" s="1">
        <v>59.179400136818131</v>
      </c>
      <c r="N33" s="1">
        <v>7751668</v>
      </c>
    </row>
    <row r="34" spans="1:14" x14ac:dyDescent="0.35">
      <c r="A34" s="1" t="s">
        <v>30</v>
      </c>
      <c r="B34" s="1">
        <v>202512</v>
      </c>
      <c r="C34" s="1" t="str">
        <f>MID(analisis_productividad__4[[#This Row],[Periodo]],1,4)</f>
        <v>2025</v>
      </c>
      <c r="D34" s="1" t="str">
        <f>MID(analisis_productividad__4[[#This Row],[Periodo]],5,2)</f>
        <v>12</v>
      </c>
      <c r="E34" s="1" t="s">
        <v>16</v>
      </c>
      <c r="F34" s="1" t="s">
        <v>19</v>
      </c>
      <c r="G34" s="1">
        <v>133795</v>
      </c>
      <c r="H34" s="1">
        <v>13331425</v>
      </c>
      <c r="I34" s="1">
        <v>99.640483870967742</v>
      </c>
      <c r="J34" s="1">
        <v>133894.99616413773</v>
      </c>
      <c r="K34" s="1">
        <v>101</v>
      </c>
      <c r="L34" s="1">
        <v>105</v>
      </c>
      <c r="M34" s="1">
        <v>99.566270226091348</v>
      </c>
      <c r="N34" s="1">
        <v>14809485</v>
      </c>
    </row>
    <row r="35" spans="1:14" x14ac:dyDescent="0.35">
      <c r="A35" s="1" t="s">
        <v>24</v>
      </c>
      <c r="B35" s="1">
        <v>202603</v>
      </c>
      <c r="C35" s="1" t="str">
        <f>MID(analisis_productividad__4[[#This Row],[Periodo]],1,4)</f>
        <v>2026</v>
      </c>
      <c r="D35" s="1" t="str">
        <f>MID(analisis_productividad__4[[#This Row],[Periodo]],5,2)</f>
        <v>03</v>
      </c>
      <c r="E35" s="1" t="s">
        <v>16</v>
      </c>
      <c r="F35" s="1" t="s">
        <v>21</v>
      </c>
      <c r="G35" s="1">
        <v>133787</v>
      </c>
      <c r="H35" s="1">
        <v>14434788</v>
      </c>
      <c r="I35" s="1">
        <v>107.89403897849465</v>
      </c>
      <c r="J35" s="1">
        <v>135161.88911431489</v>
      </c>
      <c r="K35" s="1">
        <v>125</v>
      </c>
      <c r="L35" s="1">
        <v>118.5</v>
      </c>
      <c r="M35" s="1">
        <v>102.97612103755296</v>
      </c>
      <c r="N35" s="1">
        <v>13918447</v>
      </c>
    </row>
    <row r="36" spans="1:14" x14ac:dyDescent="0.35">
      <c r="A36" s="1" t="s">
        <v>28</v>
      </c>
      <c r="B36" s="1">
        <v>202512</v>
      </c>
      <c r="C36" s="1" t="str">
        <f>MID(analisis_productividad__4[[#This Row],[Periodo]],1,4)</f>
        <v>2025</v>
      </c>
      <c r="D36" s="1" t="str">
        <f>MID(analisis_productividad__4[[#This Row],[Periodo]],5,2)</f>
        <v>12</v>
      </c>
      <c r="E36" s="1" t="s">
        <v>16</v>
      </c>
      <c r="F36" s="1" t="s">
        <v>17</v>
      </c>
      <c r="G36" s="1">
        <v>133335</v>
      </c>
      <c r="H36" s="1">
        <v>7963820</v>
      </c>
      <c r="I36" s="1">
        <v>59.727782258064487</v>
      </c>
      <c r="J36" s="1">
        <v>124728.47840832385</v>
      </c>
      <c r="K36" s="1">
        <v>64</v>
      </c>
      <c r="L36" s="1">
        <v>67</v>
      </c>
      <c r="M36" s="1">
        <v>63.849254088780171</v>
      </c>
      <c r="N36" s="1">
        <v>7190640</v>
      </c>
    </row>
    <row r="37" spans="1:14" x14ac:dyDescent="0.35">
      <c r="A37" s="1" t="s">
        <v>25</v>
      </c>
      <c r="B37" s="1">
        <v>202603</v>
      </c>
      <c r="C37" s="1" t="str">
        <f>MID(analisis_productividad__4[[#This Row],[Periodo]],1,4)</f>
        <v>2026</v>
      </c>
      <c r="D37" s="1" t="str">
        <f>MID(analisis_productividad__4[[#This Row],[Periodo]],5,2)</f>
        <v>03</v>
      </c>
      <c r="E37" s="1" t="s">
        <v>16</v>
      </c>
      <c r="F37" s="1" t="s">
        <v>19</v>
      </c>
      <c r="G37" s="1">
        <v>133202</v>
      </c>
      <c r="H37" s="1">
        <v>11875178</v>
      </c>
      <c r="I37" s="1">
        <v>89.151444892473123</v>
      </c>
      <c r="J37" s="1">
        <v>145442.73742128012</v>
      </c>
      <c r="K37" s="1">
        <v>94</v>
      </c>
      <c r="L37" s="1">
        <v>92</v>
      </c>
      <c r="M37" s="1">
        <v>81.933174564661712</v>
      </c>
      <c r="N37" s="1">
        <v>11916585</v>
      </c>
    </row>
    <row r="38" spans="1:14" x14ac:dyDescent="0.35">
      <c r="A38" s="1" t="s">
        <v>74</v>
      </c>
      <c r="B38" s="1">
        <v>202512</v>
      </c>
      <c r="C38" s="1" t="str">
        <f>MID(analisis_productividad__4[[#This Row],[Periodo]],1,4)</f>
        <v>2025</v>
      </c>
      <c r="D38" s="1" t="str">
        <f>MID(analisis_productividad__4[[#This Row],[Periodo]],5,2)</f>
        <v>12</v>
      </c>
      <c r="E38" s="1" t="s">
        <v>16</v>
      </c>
      <c r="F38" s="1" t="s">
        <v>19</v>
      </c>
      <c r="G38" s="1">
        <v>132662</v>
      </c>
      <c r="H38" s="1">
        <v>6200250</v>
      </c>
      <c r="I38" s="1">
        <v>46.737231182795661</v>
      </c>
      <c r="J38" s="1">
        <v>123985.54153282326</v>
      </c>
      <c r="K38" s="1">
        <v>50.5</v>
      </c>
      <c r="L38" s="1">
        <v>51.5</v>
      </c>
      <c r="M38" s="1">
        <v>50.007844248182593</v>
      </c>
      <c r="N38" s="1">
        <v>6398965</v>
      </c>
    </row>
    <row r="39" spans="1:14" x14ac:dyDescent="0.35">
      <c r="A39" s="1" t="s">
        <v>41</v>
      </c>
      <c r="B39" s="1">
        <v>202512</v>
      </c>
      <c r="C39" s="1" t="str">
        <f>MID(analisis_productividad__4[[#This Row],[Periodo]],1,4)</f>
        <v>2025</v>
      </c>
      <c r="D39" s="1" t="str">
        <f>MID(analisis_productividad__4[[#This Row],[Periodo]],5,2)</f>
        <v>12</v>
      </c>
      <c r="E39" s="1" t="s">
        <v>16</v>
      </c>
      <c r="F39" s="1" t="s">
        <v>19</v>
      </c>
      <c r="G39" s="1">
        <v>132388</v>
      </c>
      <c r="H39" s="1">
        <v>7649494</v>
      </c>
      <c r="I39" s="1">
        <v>57.780672043010718</v>
      </c>
      <c r="J39" s="1">
        <v>118325.17652019947</v>
      </c>
      <c r="K39" s="1">
        <v>57.5</v>
      </c>
      <c r="L39" s="1">
        <v>56.5</v>
      </c>
      <c r="M39" s="1">
        <v>64.648065905856825</v>
      </c>
      <c r="N39" s="1">
        <v>6945554</v>
      </c>
    </row>
    <row r="40" spans="1:14" x14ac:dyDescent="0.35">
      <c r="A40" s="1" t="s">
        <v>15</v>
      </c>
      <c r="B40" s="1">
        <v>202510</v>
      </c>
      <c r="C40" s="1" t="str">
        <f>MID(analisis_productividad__4[[#This Row],[Periodo]],1,4)</f>
        <v>2025</v>
      </c>
      <c r="D40" s="1" t="str">
        <f>MID(analisis_productividad__4[[#This Row],[Periodo]],5,2)</f>
        <v>10</v>
      </c>
      <c r="E40" s="1" t="s">
        <v>16</v>
      </c>
      <c r="F40" s="1" t="s">
        <v>17</v>
      </c>
      <c r="G40" s="1">
        <v>132315</v>
      </c>
      <c r="H40" s="1">
        <v>7040091</v>
      </c>
      <c r="I40" s="1">
        <v>53.207244623655917</v>
      </c>
      <c r="J40" s="1">
        <v>138035.41472134975</v>
      </c>
      <c r="K40" s="1">
        <v>61</v>
      </c>
      <c r="L40" s="1">
        <v>60</v>
      </c>
      <c r="M40" s="1">
        <v>51.002065985832253</v>
      </c>
      <c r="N40" s="1">
        <v>7217127</v>
      </c>
    </row>
    <row r="41" spans="1:14" x14ac:dyDescent="0.35">
      <c r="A41" s="1" t="s">
        <v>29</v>
      </c>
      <c r="B41" s="1">
        <v>202512</v>
      </c>
      <c r="C41" s="1" t="str">
        <f>MID(analisis_productividad__4[[#This Row],[Periodo]],1,4)</f>
        <v>2025</v>
      </c>
      <c r="D41" s="1" t="str">
        <f>MID(analisis_productividad__4[[#This Row],[Periodo]],5,2)</f>
        <v>12</v>
      </c>
      <c r="E41" s="1" t="s">
        <v>16</v>
      </c>
      <c r="F41" s="1" t="s">
        <v>19</v>
      </c>
      <c r="G41" s="1">
        <v>132272</v>
      </c>
      <c r="H41" s="1">
        <v>12935574</v>
      </c>
      <c r="I41" s="1">
        <v>97.795456989247256</v>
      </c>
      <c r="J41" s="1">
        <v>133969.4129861962</v>
      </c>
      <c r="K41" s="1">
        <v>96.5</v>
      </c>
      <c r="L41" s="1">
        <v>96</v>
      </c>
      <c r="M41" s="1">
        <v>96.556174589888215</v>
      </c>
      <c r="N41" s="1">
        <v>13121848</v>
      </c>
    </row>
    <row r="42" spans="1:14" x14ac:dyDescent="0.35">
      <c r="A42" s="1" t="s">
        <v>26</v>
      </c>
      <c r="B42" s="1">
        <v>202603</v>
      </c>
      <c r="C42" s="1" t="str">
        <f>MID(analisis_productividad__4[[#This Row],[Periodo]],1,4)</f>
        <v>2026</v>
      </c>
      <c r="D42" s="1" t="str">
        <f>MID(analisis_productividad__4[[#This Row],[Periodo]],5,2)</f>
        <v>03</v>
      </c>
      <c r="E42" s="1" t="s">
        <v>11</v>
      </c>
      <c r="F42" s="1" t="s">
        <v>12</v>
      </c>
      <c r="G42" s="1">
        <v>132061</v>
      </c>
      <c r="H42" s="1">
        <v>7976528</v>
      </c>
      <c r="I42" s="1">
        <v>60.400403225806478</v>
      </c>
      <c r="J42" s="1">
        <v>132938.74719643427</v>
      </c>
      <c r="K42" s="1">
        <v>65.5</v>
      </c>
      <c r="L42" s="1">
        <v>63</v>
      </c>
      <c r="M42" s="1">
        <v>55.389519717073902</v>
      </c>
      <c r="N42" s="1">
        <v>7363413</v>
      </c>
    </row>
    <row r="43" spans="1:14" x14ac:dyDescent="0.35">
      <c r="A43" s="1" t="s">
        <v>25</v>
      </c>
      <c r="B43" s="1">
        <v>202604</v>
      </c>
      <c r="C43" s="1" t="str">
        <f>MID(analisis_productividad__4[[#This Row],[Periodo]],1,4)</f>
        <v>2026</v>
      </c>
      <c r="D43" s="1" t="str">
        <f>MID(analisis_productividad__4[[#This Row],[Periodo]],5,2)</f>
        <v>04</v>
      </c>
      <c r="E43" s="1" t="s">
        <v>16</v>
      </c>
      <c r="F43" s="1" t="s">
        <v>19</v>
      </c>
      <c r="G43" s="1">
        <v>131512</v>
      </c>
      <c r="H43" s="1">
        <v>10854676</v>
      </c>
      <c r="I43" s="1">
        <v>82.537777777780263</v>
      </c>
      <c r="J43" s="1">
        <v>120535.44440910162</v>
      </c>
      <c r="K43" s="1">
        <v>94</v>
      </c>
      <c r="L43" s="1">
        <v>92</v>
      </c>
      <c r="M43" s="1">
        <v>81.933174564661712</v>
      </c>
      <c r="N43" s="1">
        <v>9875852</v>
      </c>
    </row>
    <row r="44" spans="1:14" x14ac:dyDescent="0.35">
      <c r="A44" s="1" t="s">
        <v>15</v>
      </c>
      <c r="B44" s="1">
        <v>202410</v>
      </c>
      <c r="C44" s="1" t="str">
        <f>MID(analisis_productividad__4[[#This Row],[Periodo]],1,4)</f>
        <v>2024</v>
      </c>
      <c r="D44" s="1" t="str">
        <f>MID(analisis_productividad__4[[#This Row],[Periodo]],5,2)</f>
        <v>10</v>
      </c>
      <c r="E44" s="1" t="s">
        <v>16</v>
      </c>
      <c r="F44" s="1" t="s">
        <v>17</v>
      </c>
      <c r="G44" s="1">
        <v>131462</v>
      </c>
      <c r="H44" s="1">
        <v>6476118</v>
      </c>
      <c r="I44" s="1">
        <v>49.262170698924741</v>
      </c>
      <c r="J44" s="1">
        <v>0</v>
      </c>
      <c r="K44" s="1">
        <v>61</v>
      </c>
      <c r="L44" s="1">
        <v>60</v>
      </c>
      <c r="M44" s="1"/>
      <c r="N44" s="1">
        <v>0</v>
      </c>
    </row>
    <row r="45" spans="1:14" x14ac:dyDescent="0.35">
      <c r="A45" s="1" t="s">
        <v>26</v>
      </c>
      <c r="B45" s="1">
        <v>202412</v>
      </c>
      <c r="C45" s="1" t="str">
        <f>MID(analisis_productividad__4[[#This Row],[Periodo]],1,4)</f>
        <v>2024</v>
      </c>
      <c r="D45" s="1" t="str">
        <f>MID(analisis_productividad__4[[#This Row],[Periodo]],5,2)</f>
        <v>12</v>
      </c>
      <c r="E45" s="1" t="s">
        <v>11</v>
      </c>
      <c r="F45" s="1" t="s">
        <v>12</v>
      </c>
      <c r="G45" s="1">
        <v>131453</v>
      </c>
      <c r="H45" s="1">
        <v>8612401</v>
      </c>
      <c r="I45" s="1">
        <v>65.517130376344085</v>
      </c>
      <c r="J45" s="1">
        <v>0</v>
      </c>
      <c r="K45" s="1">
        <v>65.5</v>
      </c>
      <c r="L45" s="1">
        <v>63</v>
      </c>
      <c r="M45" s="1"/>
      <c r="N45" s="1">
        <v>0</v>
      </c>
    </row>
    <row r="46" spans="1:14" x14ac:dyDescent="0.35">
      <c r="A46" s="1" t="s">
        <v>10</v>
      </c>
      <c r="B46" s="1">
        <v>202603</v>
      </c>
      <c r="C46" s="1" t="str">
        <f>MID(analisis_productividad__4[[#This Row],[Periodo]],1,4)</f>
        <v>2026</v>
      </c>
      <c r="D46" s="1" t="str">
        <f>MID(analisis_productividad__4[[#This Row],[Periodo]],5,2)</f>
        <v>03</v>
      </c>
      <c r="E46" s="1" t="s">
        <v>11</v>
      </c>
      <c r="F46" s="1" t="s">
        <v>12</v>
      </c>
      <c r="G46" s="1">
        <v>131416</v>
      </c>
      <c r="H46" s="1">
        <v>13056379</v>
      </c>
      <c r="I46" s="1">
        <v>99.351686827957053</v>
      </c>
      <c r="J46" s="1">
        <v>147423.75780515181</v>
      </c>
      <c r="K46" s="1">
        <v>98.5</v>
      </c>
      <c r="L46" s="1">
        <v>96.5</v>
      </c>
      <c r="M46" s="1">
        <v>87.166669283279759</v>
      </c>
      <c r="N46" s="1">
        <v>12850438</v>
      </c>
    </row>
    <row r="47" spans="1:14" x14ac:dyDescent="0.35">
      <c r="A47" s="1" t="s">
        <v>43</v>
      </c>
      <c r="B47" s="1">
        <v>202512</v>
      </c>
      <c r="C47" s="1" t="str">
        <f>MID(analisis_productividad__4[[#This Row],[Periodo]],1,4)</f>
        <v>2025</v>
      </c>
      <c r="D47" s="1" t="str">
        <f>MID(analisis_productividad__4[[#This Row],[Periodo]],5,2)</f>
        <v>12</v>
      </c>
      <c r="E47" s="1" t="s">
        <v>11</v>
      </c>
      <c r="F47" s="1" t="s">
        <v>12</v>
      </c>
      <c r="G47" s="1">
        <v>131238</v>
      </c>
      <c r="H47" s="1">
        <v>10438795</v>
      </c>
      <c r="I47" s="1">
        <v>79.54098118279569</v>
      </c>
      <c r="J47" s="1">
        <v>127290.11778703475</v>
      </c>
      <c r="K47" s="1">
        <v>84.5</v>
      </c>
      <c r="L47" s="1">
        <v>86.5</v>
      </c>
      <c r="M47" s="1">
        <v>82.007901174738763</v>
      </c>
      <c r="N47" s="1">
        <v>10551779</v>
      </c>
    </row>
    <row r="48" spans="1:14" x14ac:dyDescent="0.35">
      <c r="A48" s="1" t="s">
        <v>15</v>
      </c>
      <c r="B48" s="1">
        <v>202601</v>
      </c>
      <c r="C48" s="1" t="str">
        <f>MID(analisis_productividad__4[[#This Row],[Periodo]],1,4)</f>
        <v>2026</v>
      </c>
      <c r="D48" s="1" t="str">
        <f>MID(analisis_productividad__4[[#This Row],[Periodo]],5,2)</f>
        <v>01</v>
      </c>
      <c r="E48" s="1" t="s">
        <v>16</v>
      </c>
      <c r="F48" s="1" t="s">
        <v>17</v>
      </c>
      <c r="G48" s="1">
        <v>131193</v>
      </c>
      <c r="H48" s="1">
        <v>7338438</v>
      </c>
      <c r="I48" s="1">
        <v>55.936397849462381</v>
      </c>
      <c r="J48" s="1">
        <v>128448.95748858717</v>
      </c>
      <c r="K48" s="1">
        <v>61</v>
      </c>
      <c r="L48" s="1">
        <v>60</v>
      </c>
      <c r="M48" s="1">
        <v>53.7842448352594</v>
      </c>
      <c r="N48" s="1">
        <v>6908530</v>
      </c>
    </row>
    <row r="49" spans="1:14" x14ac:dyDescent="0.35">
      <c r="A49" s="1" t="s">
        <v>15</v>
      </c>
      <c r="B49" s="1">
        <v>202403</v>
      </c>
      <c r="C49" s="1" t="str">
        <f>MID(analisis_productividad__4[[#This Row],[Periodo]],1,4)</f>
        <v>2024</v>
      </c>
      <c r="D49" s="1" t="str">
        <f>MID(analisis_productividad__4[[#This Row],[Periodo]],5,2)</f>
        <v>03</v>
      </c>
      <c r="E49" s="1" t="s">
        <v>16</v>
      </c>
      <c r="F49" s="1" t="s">
        <v>17</v>
      </c>
      <c r="G49" s="1">
        <v>131187</v>
      </c>
      <c r="H49" s="1">
        <v>7377360</v>
      </c>
      <c r="I49" s="1">
        <v>56.2356384408602</v>
      </c>
      <c r="J49" s="1">
        <v>0</v>
      </c>
      <c r="K49" s="1">
        <v>61</v>
      </c>
      <c r="L49" s="1">
        <v>60</v>
      </c>
      <c r="M49" s="1"/>
      <c r="N49" s="1">
        <v>0</v>
      </c>
    </row>
    <row r="50" spans="1:14" x14ac:dyDescent="0.35">
      <c r="A50" s="1" t="s">
        <v>10</v>
      </c>
      <c r="B50" s="1">
        <v>202604</v>
      </c>
      <c r="C50" s="1" t="str">
        <f>MID(analisis_productividad__4[[#This Row],[Periodo]],1,4)</f>
        <v>2026</v>
      </c>
      <c r="D50" s="1" t="str">
        <f>MID(analisis_productividad__4[[#This Row],[Periodo]],5,2)</f>
        <v>04</v>
      </c>
      <c r="E50" s="1" t="s">
        <v>11</v>
      </c>
      <c r="F50" s="1" t="s">
        <v>12</v>
      </c>
      <c r="G50" s="1">
        <v>131009</v>
      </c>
      <c r="H50" s="1">
        <v>11515132</v>
      </c>
      <c r="I50" s="1">
        <v>87.895597222224737</v>
      </c>
      <c r="J50" s="1">
        <v>117718.12212822818</v>
      </c>
      <c r="K50" s="1">
        <v>98.5</v>
      </c>
      <c r="L50" s="1">
        <v>96.5</v>
      </c>
      <c r="M50" s="1">
        <v>87.166669283279759</v>
      </c>
      <c r="N50" s="1">
        <v>10261097</v>
      </c>
    </row>
    <row r="51" spans="1:14" x14ac:dyDescent="0.35">
      <c r="A51" s="1" t="s">
        <v>13</v>
      </c>
      <c r="B51" s="1">
        <v>202503</v>
      </c>
      <c r="C51" s="1" t="str">
        <f>MID(analisis_productividad__4[[#This Row],[Periodo]],1,4)</f>
        <v>2025</v>
      </c>
      <c r="D51" s="1" t="str">
        <f>MID(analisis_productividad__4[[#This Row],[Periodo]],5,2)</f>
        <v>03</v>
      </c>
      <c r="E51" s="1" t="s">
        <v>11</v>
      </c>
      <c r="F51" s="1" t="s">
        <v>14</v>
      </c>
      <c r="G51" s="1">
        <v>130998</v>
      </c>
      <c r="H51" s="1">
        <v>12324134</v>
      </c>
      <c r="I51" s="1">
        <v>94.079153225806394</v>
      </c>
      <c r="J51" s="1">
        <v>130235.38404095279</v>
      </c>
      <c r="K51" s="1">
        <v>100</v>
      </c>
      <c r="L51" s="1">
        <v>98</v>
      </c>
      <c r="M51" s="1">
        <v>94.629692158965412</v>
      </c>
      <c r="N51" s="1">
        <v>12419340</v>
      </c>
    </row>
    <row r="52" spans="1:14" x14ac:dyDescent="0.35">
      <c r="A52" s="1" t="s">
        <v>22</v>
      </c>
      <c r="B52" s="1">
        <v>202512</v>
      </c>
      <c r="C52" s="1" t="str">
        <f>MID(analisis_productividad__4[[#This Row],[Periodo]],1,4)</f>
        <v>2025</v>
      </c>
      <c r="D52" s="1" t="str">
        <f>MID(analisis_productividad__4[[#This Row],[Periodo]],5,2)</f>
        <v>12</v>
      </c>
      <c r="E52" s="1" t="s">
        <v>16</v>
      </c>
      <c r="F52" s="1" t="s">
        <v>21</v>
      </c>
      <c r="G52" s="1">
        <v>130925</v>
      </c>
      <c r="H52" s="1">
        <v>7165230</v>
      </c>
      <c r="I52" s="1">
        <v>54.727909946236551</v>
      </c>
      <c r="J52" s="1">
        <v>113679.87611412382</v>
      </c>
      <c r="K52" s="1">
        <v>59.5</v>
      </c>
      <c r="L52" s="1">
        <v>55.5</v>
      </c>
      <c r="M52" s="1">
        <v>63.029890293043493</v>
      </c>
      <c r="N52" s="1">
        <v>7578216</v>
      </c>
    </row>
    <row r="53" spans="1:14" x14ac:dyDescent="0.35">
      <c r="A53" s="1" t="s">
        <v>13</v>
      </c>
      <c r="B53" s="1">
        <v>202412</v>
      </c>
      <c r="C53" s="1" t="str">
        <f>MID(analisis_productividad__4[[#This Row],[Periodo]],1,4)</f>
        <v>2024</v>
      </c>
      <c r="D53" s="1" t="str">
        <f>MID(analisis_productividad__4[[#This Row],[Periodo]],5,2)</f>
        <v>12</v>
      </c>
      <c r="E53" s="1" t="s">
        <v>11</v>
      </c>
      <c r="F53" s="1" t="s">
        <v>14</v>
      </c>
      <c r="G53" s="1">
        <v>130922</v>
      </c>
      <c r="H53" s="1">
        <v>14189301</v>
      </c>
      <c r="I53" s="1">
        <v>108.38013440860205</v>
      </c>
      <c r="J53" s="1">
        <v>0</v>
      </c>
      <c r="K53" s="1">
        <v>100</v>
      </c>
      <c r="L53" s="1">
        <v>98</v>
      </c>
      <c r="M53" s="1"/>
      <c r="N53" s="1">
        <v>0</v>
      </c>
    </row>
    <row r="54" spans="1:14" x14ac:dyDescent="0.35">
      <c r="A54" s="1" t="s">
        <v>10</v>
      </c>
      <c r="B54" s="1">
        <v>202412</v>
      </c>
      <c r="C54" s="1" t="str">
        <f>MID(analisis_productividad__4[[#This Row],[Periodo]],1,4)</f>
        <v>2024</v>
      </c>
      <c r="D54" s="1" t="str">
        <f>MID(analisis_productividad__4[[#This Row],[Periodo]],5,2)</f>
        <v>12</v>
      </c>
      <c r="E54" s="1" t="s">
        <v>11</v>
      </c>
      <c r="F54" s="1" t="s">
        <v>12</v>
      </c>
      <c r="G54" s="1">
        <v>130892</v>
      </c>
      <c r="H54" s="1">
        <v>14083464</v>
      </c>
      <c r="I54" s="1">
        <v>107.59639784946228</v>
      </c>
      <c r="J54" s="1">
        <v>0</v>
      </c>
      <c r="K54" s="1">
        <v>98.5</v>
      </c>
      <c r="L54" s="1">
        <v>96.5</v>
      </c>
      <c r="M54" s="1"/>
      <c r="N54" s="1">
        <v>0</v>
      </c>
    </row>
    <row r="55" spans="1:14" x14ac:dyDescent="0.35">
      <c r="A55" s="1" t="s">
        <v>25</v>
      </c>
      <c r="B55" s="1">
        <v>202606</v>
      </c>
      <c r="C55" s="1" t="str">
        <f>MID(analisis_productividad__4[[#This Row],[Periodo]],1,4)</f>
        <v>2026</v>
      </c>
      <c r="D55" s="1" t="str">
        <f>MID(analisis_productividad__4[[#This Row],[Periodo]],5,2)</f>
        <v>06</v>
      </c>
      <c r="E55" s="1" t="s">
        <v>16</v>
      </c>
      <c r="F55" s="1" t="s">
        <v>19</v>
      </c>
      <c r="G55" s="1">
        <v>130603</v>
      </c>
      <c r="H55" s="1">
        <v>10084889</v>
      </c>
      <c r="I55" s="1">
        <v>77.21797222222439</v>
      </c>
      <c r="J55" s="1">
        <v>107771.33651194388</v>
      </c>
      <c r="K55" s="1">
        <v>94</v>
      </c>
      <c r="L55" s="1">
        <v>92</v>
      </c>
      <c r="M55" s="1">
        <v>81.933174564661712</v>
      </c>
      <c r="N55" s="1">
        <v>8830048</v>
      </c>
    </row>
    <row r="56" spans="1:14" x14ac:dyDescent="0.35">
      <c r="A56" s="1" t="s">
        <v>61</v>
      </c>
      <c r="B56" s="1">
        <v>202512</v>
      </c>
      <c r="C56" s="1" t="str">
        <f>MID(analisis_productividad__4[[#This Row],[Periodo]],1,4)</f>
        <v>2025</v>
      </c>
      <c r="D56" s="1" t="str">
        <f>MID(analisis_productividad__4[[#This Row],[Periodo]],5,2)</f>
        <v>12</v>
      </c>
      <c r="E56" s="1" t="s">
        <v>11</v>
      </c>
      <c r="F56" s="1" t="s">
        <v>52</v>
      </c>
      <c r="G56" s="1">
        <v>130474</v>
      </c>
      <c r="H56" s="1">
        <v>12340823</v>
      </c>
      <c r="I56" s="1">
        <v>94.584771505376295</v>
      </c>
      <c r="J56" s="1">
        <v>117388.48187554927</v>
      </c>
      <c r="K56" s="1">
        <v>104.5</v>
      </c>
      <c r="L56" s="1">
        <v>99</v>
      </c>
      <c r="M56" s="1">
        <v>105.12805287901469</v>
      </c>
      <c r="N56" s="1">
        <v>12977898</v>
      </c>
    </row>
    <row r="57" spans="1:14" x14ac:dyDescent="0.35">
      <c r="A57" s="1" t="s">
        <v>28</v>
      </c>
      <c r="B57" s="1">
        <v>202503</v>
      </c>
      <c r="C57" s="1" t="str">
        <f>MID(analisis_productividad__4[[#This Row],[Periodo]],1,4)</f>
        <v>2025</v>
      </c>
      <c r="D57" s="1" t="str">
        <f>MID(analisis_productividad__4[[#This Row],[Periodo]],5,2)</f>
        <v>03</v>
      </c>
      <c r="E57" s="1" t="s">
        <v>16</v>
      </c>
      <c r="F57" s="1" t="s">
        <v>17</v>
      </c>
      <c r="G57" s="1">
        <v>130467</v>
      </c>
      <c r="H57" s="1">
        <v>7621814</v>
      </c>
      <c r="I57" s="1">
        <v>58.419657258064504</v>
      </c>
      <c r="J57" s="1">
        <v>125725.39363261302</v>
      </c>
      <c r="K57" s="1">
        <v>64</v>
      </c>
      <c r="L57" s="1">
        <v>67</v>
      </c>
      <c r="M57" s="1">
        <v>60.622705563141778</v>
      </c>
      <c r="N57" s="1">
        <v>7169293</v>
      </c>
    </row>
    <row r="58" spans="1:14" x14ac:dyDescent="0.35">
      <c r="A58" s="1" t="s">
        <v>27</v>
      </c>
      <c r="B58" s="1">
        <v>202603</v>
      </c>
      <c r="C58" s="1" t="str">
        <f>MID(analisis_productividad__4[[#This Row],[Periodo]],1,4)</f>
        <v>2026</v>
      </c>
      <c r="D58" s="1" t="str">
        <f>MID(analisis_productividad__4[[#This Row],[Periodo]],5,2)</f>
        <v>03</v>
      </c>
      <c r="E58" s="1" t="s">
        <v>11</v>
      </c>
      <c r="F58" s="1" t="s">
        <v>14</v>
      </c>
      <c r="G58" s="1">
        <v>130369</v>
      </c>
      <c r="H58" s="1">
        <v>10730113</v>
      </c>
      <c r="I58" s="1">
        <v>82.30546370967744</v>
      </c>
      <c r="J58" s="1">
        <v>131418.00764482588</v>
      </c>
      <c r="K58" s="1">
        <v>88</v>
      </c>
      <c r="L58" s="1">
        <v>84</v>
      </c>
      <c r="M58" s="1">
        <v>78.31726123421582</v>
      </c>
      <c r="N58" s="1">
        <v>10292298</v>
      </c>
    </row>
    <row r="59" spans="1:14" x14ac:dyDescent="0.35">
      <c r="A59" s="1" t="s">
        <v>28</v>
      </c>
      <c r="B59" s="1">
        <v>202603</v>
      </c>
      <c r="C59" s="1" t="str">
        <f>MID(analisis_productividad__4[[#This Row],[Periodo]],1,4)</f>
        <v>2026</v>
      </c>
      <c r="D59" s="1" t="str">
        <f>MID(analisis_productividad__4[[#This Row],[Periodo]],5,2)</f>
        <v>03</v>
      </c>
      <c r="E59" s="1" t="s">
        <v>16</v>
      </c>
      <c r="F59" s="1" t="s">
        <v>17</v>
      </c>
      <c r="G59" s="1">
        <v>130225</v>
      </c>
      <c r="H59" s="1">
        <v>8228752</v>
      </c>
      <c r="I59" s="1">
        <v>63.188783602150551</v>
      </c>
      <c r="J59" s="1">
        <v>159358.70456777766</v>
      </c>
      <c r="K59" s="1">
        <v>64</v>
      </c>
      <c r="L59" s="1">
        <v>67</v>
      </c>
      <c r="M59" s="1">
        <v>56.429371630436094</v>
      </c>
      <c r="N59" s="1">
        <v>8992512</v>
      </c>
    </row>
    <row r="60" spans="1:14" x14ac:dyDescent="0.35">
      <c r="A60" s="1" t="s">
        <v>59</v>
      </c>
      <c r="B60" s="1">
        <v>202512</v>
      </c>
      <c r="C60" s="1" t="str">
        <f>MID(analisis_productividad__4[[#This Row],[Periodo]],1,4)</f>
        <v>2025</v>
      </c>
      <c r="D60" s="1" t="str">
        <f>MID(analisis_productividad__4[[#This Row],[Periodo]],5,2)</f>
        <v>12</v>
      </c>
      <c r="E60" s="1" t="s">
        <v>11</v>
      </c>
      <c r="F60" s="1" t="s">
        <v>12</v>
      </c>
      <c r="G60" s="1">
        <v>130182</v>
      </c>
      <c r="H60" s="1">
        <v>13559046</v>
      </c>
      <c r="I60" s="1">
        <v>104.15459005376336</v>
      </c>
      <c r="J60" s="1">
        <v>116061.3987072179</v>
      </c>
      <c r="K60" s="1">
        <v>94.5</v>
      </c>
      <c r="L60" s="1">
        <v>97</v>
      </c>
      <c r="M60" s="1">
        <v>116.82648978067812</v>
      </c>
      <c r="N60" s="1">
        <v>13272640</v>
      </c>
    </row>
    <row r="61" spans="1:14" x14ac:dyDescent="0.35">
      <c r="A61" s="1" t="s">
        <v>27</v>
      </c>
      <c r="B61" s="1">
        <v>202412</v>
      </c>
      <c r="C61" s="1" t="str">
        <f>MID(analisis_productividad__4[[#This Row],[Periodo]],1,4)</f>
        <v>2024</v>
      </c>
      <c r="D61" s="1" t="str">
        <f>MID(analisis_productividad__4[[#This Row],[Periodo]],5,2)</f>
        <v>12</v>
      </c>
      <c r="E61" s="1" t="s">
        <v>11</v>
      </c>
      <c r="F61" s="1" t="s">
        <v>14</v>
      </c>
      <c r="G61" s="1">
        <v>130173</v>
      </c>
      <c r="H61" s="1">
        <v>11944605</v>
      </c>
      <c r="I61" s="1">
        <v>91.759462365591361</v>
      </c>
      <c r="J61" s="1">
        <v>0</v>
      </c>
      <c r="K61" s="1">
        <v>88</v>
      </c>
      <c r="L61" s="1">
        <v>84</v>
      </c>
      <c r="M61" s="1"/>
      <c r="N61" s="1">
        <v>0</v>
      </c>
    </row>
    <row r="62" spans="1:14" x14ac:dyDescent="0.35">
      <c r="A62" s="1" t="s">
        <v>20</v>
      </c>
      <c r="B62" s="1">
        <v>202512</v>
      </c>
      <c r="C62" s="1" t="str">
        <f>MID(analisis_productividad__4[[#This Row],[Periodo]],1,4)</f>
        <v>2025</v>
      </c>
      <c r="D62" s="1" t="str">
        <f>MID(analisis_productividad__4[[#This Row],[Periodo]],5,2)</f>
        <v>12</v>
      </c>
      <c r="E62" s="1" t="s">
        <v>16</v>
      </c>
      <c r="F62" s="1" t="s">
        <v>21</v>
      </c>
      <c r="G62" s="1">
        <v>129749</v>
      </c>
      <c r="H62" s="1">
        <v>11551133</v>
      </c>
      <c r="I62" s="1">
        <v>89.02673387096776</v>
      </c>
      <c r="J62" s="1">
        <v>128738.64115334203</v>
      </c>
      <c r="K62" s="1">
        <v>96.5</v>
      </c>
      <c r="L62" s="1">
        <v>94</v>
      </c>
      <c r="M62" s="1">
        <v>89.725456137456987</v>
      </c>
      <c r="N62" s="1">
        <v>12884560</v>
      </c>
    </row>
    <row r="63" spans="1:14" x14ac:dyDescent="0.35">
      <c r="A63" s="1" t="s">
        <v>57</v>
      </c>
      <c r="B63" s="1">
        <v>202412</v>
      </c>
      <c r="C63" s="1" t="str">
        <f>MID(analisis_productividad__4[[#This Row],[Periodo]],1,4)</f>
        <v>2024</v>
      </c>
      <c r="D63" s="1" t="str">
        <f>MID(analisis_productividad__4[[#This Row],[Periodo]],5,2)</f>
        <v>12</v>
      </c>
      <c r="E63" s="1" t="s">
        <v>16</v>
      </c>
      <c r="F63" s="1" t="s">
        <v>19</v>
      </c>
      <c r="G63" s="1">
        <v>129512</v>
      </c>
      <c r="H63" s="1">
        <v>9251370</v>
      </c>
      <c r="I63" s="1">
        <v>71.432553763440851</v>
      </c>
      <c r="J63" s="1">
        <v>0</v>
      </c>
      <c r="K63" s="1">
        <v>71</v>
      </c>
      <c r="L63" s="1">
        <v>74.5</v>
      </c>
      <c r="M63" s="1"/>
      <c r="N63" s="1">
        <v>0</v>
      </c>
    </row>
    <row r="64" spans="1:14" x14ac:dyDescent="0.35">
      <c r="A64" s="1" t="s">
        <v>46</v>
      </c>
      <c r="B64" s="1">
        <v>202512</v>
      </c>
      <c r="C64" s="1" t="str">
        <f>MID(analisis_productividad__4[[#This Row],[Periodo]],1,4)</f>
        <v>2025</v>
      </c>
      <c r="D64" s="1" t="str">
        <f>MID(analisis_productividad__4[[#This Row],[Periodo]],5,2)</f>
        <v>12</v>
      </c>
      <c r="E64" s="1" t="s">
        <v>11</v>
      </c>
      <c r="F64" s="1" t="s">
        <v>14</v>
      </c>
      <c r="G64" s="1">
        <v>129135</v>
      </c>
      <c r="H64" s="1">
        <v>10304516</v>
      </c>
      <c r="I64" s="1">
        <v>79.796424731182753</v>
      </c>
      <c r="J64" s="1">
        <v>131522.44317868221</v>
      </c>
      <c r="K64" s="1">
        <v>77</v>
      </c>
      <c r="L64" s="1">
        <v>79</v>
      </c>
      <c r="M64" s="1">
        <v>78.34796640753251</v>
      </c>
      <c r="N64" s="1">
        <v>10234741</v>
      </c>
    </row>
    <row r="65" spans="1:14" x14ac:dyDescent="0.35">
      <c r="A65" s="1" t="s">
        <v>55</v>
      </c>
      <c r="B65" s="1">
        <v>202512</v>
      </c>
      <c r="C65" s="1" t="str">
        <f>MID(analisis_productividad__4[[#This Row],[Periodo]],1,4)</f>
        <v>2025</v>
      </c>
      <c r="D65" s="1" t="str">
        <f>MID(analisis_productividad__4[[#This Row],[Periodo]],5,2)</f>
        <v>12</v>
      </c>
      <c r="E65" s="1" t="s">
        <v>16</v>
      </c>
      <c r="F65" s="1" t="s">
        <v>21</v>
      </c>
      <c r="G65" s="1">
        <v>129095</v>
      </c>
      <c r="H65" s="1">
        <v>6714796</v>
      </c>
      <c r="I65" s="1">
        <v>52.014469086021478</v>
      </c>
      <c r="J65" s="1">
        <v>122695.83886303795</v>
      </c>
      <c r="K65" s="1">
        <v>55</v>
      </c>
      <c r="L65" s="1">
        <v>50.5</v>
      </c>
      <c r="M65" s="1">
        <v>54.727168681698679</v>
      </c>
      <c r="N65" s="1">
        <v>7258824</v>
      </c>
    </row>
    <row r="66" spans="1:14" x14ac:dyDescent="0.35">
      <c r="A66" s="1" t="s">
        <v>15</v>
      </c>
      <c r="B66" s="1">
        <v>202606</v>
      </c>
      <c r="C66" s="1" t="str">
        <f>MID(analisis_productividad__4[[#This Row],[Periodo]],1,4)</f>
        <v>2026</v>
      </c>
      <c r="D66" s="1" t="str">
        <f>MID(analisis_productividad__4[[#This Row],[Periodo]],5,2)</f>
        <v>06</v>
      </c>
      <c r="E66" s="1" t="s">
        <v>16</v>
      </c>
      <c r="F66" s="1" t="s">
        <v>17</v>
      </c>
      <c r="G66" s="1">
        <v>128989</v>
      </c>
      <c r="H66" s="1">
        <v>6904548</v>
      </c>
      <c r="I66" s="1">
        <v>53.528319444444215</v>
      </c>
      <c r="J66" s="1">
        <v>128418.64270393242</v>
      </c>
      <c r="K66" s="1">
        <v>61</v>
      </c>
      <c r="L66" s="1">
        <v>60</v>
      </c>
      <c r="M66" s="1">
        <v>53.7842448352594</v>
      </c>
      <c r="N66" s="1">
        <v>6906900</v>
      </c>
    </row>
    <row r="67" spans="1:14" x14ac:dyDescent="0.35">
      <c r="A67" s="1" t="s">
        <v>15</v>
      </c>
      <c r="B67" s="1">
        <v>202406</v>
      </c>
      <c r="C67" s="1" t="str">
        <f>MID(analisis_productividad__4[[#This Row],[Periodo]],1,4)</f>
        <v>2024</v>
      </c>
      <c r="D67" s="1" t="str">
        <f>MID(analisis_productividad__4[[#This Row],[Periodo]],5,2)</f>
        <v>06</v>
      </c>
      <c r="E67" s="1" t="s">
        <v>16</v>
      </c>
      <c r="F67" s="1" t="s">
        <v>17</v>
      </c>
      <c r="G67" s="1">
        <v>128464</v>
      </c>
      <c r="H67" s="1">
        <v>6523081</v>
      </c>
      <c r="I67" s="1">
        <v>50.777465277777814</v>
      </c>
      <c r="J67" s="1">
        <v>0</v>
      </c>
      <c r="K67" s="1">
        <v>61</v>
      </c>
      <c r="L67" s="1">
        <v>60</v>
      </c>
      <c r="M67" s="1"/>
      <c r="N67" s="1">
        <v>0</v>
      </c>
    </row>
    <row r="68" spans="1:14" x14ac:dyDescent="0.35">
      <c r="A68" s="1" t="s">
        <v>23</v>
      </c>
      <c r="B68" s="1">
        <v>202503</v>
      </c>
      <c r="C68" s="1" t="str">
        <f>MID(analisis_productividad__4[[#This Row],[Periodo]],1,4)</f>
        <v>2025</v>
      </c>
      <c r="D68" s="1" t="str">
        <f>MID(analisis_productividad__4[[#This Row],[Periodo]],5,2)</f>
        <v>03</v>
      </c>
      <c r="E68" s="1" t="s">
        <v>11</v>
      </c>
      <c r="F68" s="1" t="s">
        <v>12</v>
      </c>
      <c r="G68" s="1">
        <v>128455</v>
      </c>
      <c r="H68" s="1">
        <v>7573634</v>
      </c>
      <c r="I68" s="1">
        <v>58.959475806451643</v>
      </c>
      <c r="J68" s="1">
        <v>114921.40252296934</v>
      </c>
      <c r="K68" s="1">
        <v>68.5</v>
      </c>
      <c r="L68" s="1">
        <v>66</v>
      </c>
      <c r="M68" s="1">
        <v>65.902732421719776</v>
      </c>
      <c r="N68" s="1">
        <v>7200893</v>
      </c>
    </row>
    <row r="69" spans="1:14" x14ac:dyDescent="0.35">
      <c r="A69" s="1" t="s">
        <v>42</v>
      </c>
      <c r="B69" s="1">
        <v>202512</v>
      </c>
      <c r="C69" s="1" t="str">
        <f>MID(analisis_productividad__4[[#This Row],[Periodo]],1,4)</f>
        <v>2025</v>
      </c>
      <c r="D69" s="1" t="str">
        <f>MID(analisis_productividad__4[[#This Row],[Periodo]],5,2)</f>
        <v>12</v>
      </c>
      <c r="E69" s="1" t="s">
        <v>16</v>
      </c>
      <c r="F69" s="1" t="s">
        <v>19</v>
      </c>
      <c r="G69" s="1">
        <v>128376</v>
      </c>
      <c r="H69" s="1">
        <v>7571145</v>
      </c>
      <c r="I69" s="1">
        <v>58.976129032258029</v>
      </c>
      <c r="J69" s="1">
        <v>111278.41452496637</v>
      </c>
      <c r="K69" s="1">
        <v>62</v>
      </c>
      <c r="L69" s="1">
        <v>58</v>
      </c>
      <c r="M69" s="1">
        <v>68.037858306305594</v>
      </c>
      <c r="N69" s="1">
        <v>7683578</v>
      </c>
    </row>
    <row r="70" spans="1:14" x14ac:dyDescent="0.35">
      <c r="A70" s="1" t="s">
        <v>29</v>
      </c>
      <c r="B70" s="1">
        <v>202603</v>
      </c>
      <c r="C70" s="1" t="str">
        <f>MID(analisis_productividad__4[[#This Row],[Periodo]],1,4)</f>
        <v>2026</v>
      </c>
      <c r="D70" s="1" t="str">
        <f>MID(analisis_productividad__4[[#This Row],[Periodo]],5,2)</f>
        <v>03</v>
      </c>
      <c r="E70" s="1" t="s">
        <v>16</v>
      </c>
      <c r="F70" s="1" t="s">
        <v>19</v>
      </c>
      <c r="G70" s="1">
        <v>128144</v>
      </c>
      <c r="H70" s="1">
        <v>11511184</v>
      </c>
      <c r="I70" s="1">
        <v>89.829758064516142</v>
      </c>
      <c r="J70" s="1">
        <v>152834.02529188822</v>
      </c>
      <c r="K70" s="1">
        <v>96.5</v>
      </c>
      <c r="L70" s="1">
        <v>96</v>
      </c>
      <c r="M70" s="1">
        <v>83.321494048065787</v>
      </c>
      <c r="N70" s="1">
        <v>12734359</v>
      </c>
    </row>
    <row r="71" spans="1:14" x14ac:dyDescent="0.35">
      <c r="A71" s="1" t="s">
        <v>13</v>
      </c>
      <c r="B71" s="1">
        <v>202604</v>
      </c>
      <c r="C71" s="1" t="str">
        <f>MID(analisis_productividad__4[[#This Row],[Periodo]],1,4)</f>
        <v>2026</v>
      </c>
      <c r="D71" s="1" t="str">
        <f>MID(analisis_productividad__4[[#This Row],[Periodo]],5,2)</f>
        <v>04</v>
      </c>
      <c r="E71" s="1" t="s">
        <v>11</v>
      </c>
      <c r="F71" s="1" t="s">
        <v>14</v>
      </c>
      <c r="G71" s="1">
        <v>127978</v>
      </c>
      <c r="H71" s="1">
        <v>10559330</v>
      </c>
      <c r="I71" s="1">
        <v>82.509048611113272</v>
      </c>
      <c r="J71" s="1">
        <v>114140.67346893487</v>
      </c>
      <c r="K71" s="1">
        <v>100</v>
      </c>
      <c r="L71" s="1">
        <v>98</v>
      </c>
      <c r="M71" s="1">
        <v>86.393284871267369</v>
      </c>
      <c r="N71" s="1">
        <v>9860988</v>
      </c>
    </row>
    <row r="72" spans="1:14" x14ac:dyDescent="0.35">
      <c r="A72" s="1" t="s">
        <v>15</v>
      </c>
      <c r="B72" s="1">
        <v>202505</v>
      </c>
      <c r="C72" s="1" t="str">
        <f>MID(analisis_productividad__4[[#This Row],[Periodo]],1,4)</f>
        <v>2025</v>
      </c>
      <c r="D72" s="1" t="str">
        <f>MID(analisis_productividad__4[[#This Row],[Periodo]],5,2)</f>
        <v>05</v>
      </c>
      <c r="E72" s="1" t="s">
        <v>16</v>
      </c>
      <c r="F72" s="1" t="s">
        <v>17</v>
      </c>
      <c r="G72" s="1">
        <v>127882</v>
      </c>
      <c r="H72" s="1">
        <v>6896889</v>
      </c>
      <c r="I72" s="1">
        <v>53.931518817204321</v>
      </c>
      <c r="J72" s="1">
        <v>126213.86713109347</v>
      </c>
      <c r="K72" s="1">
        <v>61</v>
      </c>
      <c r="L72" s="1">
        <v>60</v>
      </c>
      <c r="M72" s="1">
        <v>54.644466228393654</v>
      </c>
      <c r="N72" s="1">
        <v>6606230</v>
      </c>
    </row>
    <row r="73" spans="1:14" x14ac:dyDescent="0.35">
      <c r="A73" s="1" t="s">
        <v>24</v>
      </c>
      <c r="B73" s="1">
        <v>202602</v>
      </c>
      <c r="C73" s="1" t="str">
        <f>MID(analisis_productividad__4[[#This Row],[Periodo]],1,4)</f>
        <v>2026</v>
      </c>
      <c r="D73" s="1" t="str">
        <f>MID(analisis_productividad__4[[#This Row],[Periodo]],5,2)</f>
        <v>02</v>
      </c>
      <c r="E73" s="1" t="s">
        <v>16</v>
      </c>
      <c r="F73" s="1" t="s">
        <v>21</v>
      </c>
      <c r="G73" s="1">
        <v>127786</v>
      </c>
      <c r="H73" s="1">
        <v>11615479</v>
      </c>
      <c r="I73" s="1">
        <v>90.897916666666632</v>
      </c>
      <c r="J73" s="1">
        <v>100101.63634092303</v>
      </c>
      <c r="K73" s="1">
        <v>125</v>
      </c>
      <c r="L73" s="1">
        <v>118.5</v>
      </c>
      <c r="M73" s="1">
        <v>102.97612103755296</v>
      </c>
      <c r="N73" s="1">
        <v>10308078</v>
      </c>
    </row>
    <row r="74" spans="1:14" x14ac:dyDescent="0.35">
      <c r="A74" s="1" t="s">
        <v>15</v>
      </c>
      <c r="B74" s="1">
        <v>202604</v>
      </c>
      <c r="C74" s="1" t="str">
        <f>MID(analisis_productividad__4[[#This Row],[Periodo]],1,4)</f>
        <v>2026</v>
      </c>
      <c r="D74" s="1" t="str">
        <f>MID(analisis_productividad__4[[#This Row],[Periodo]],5,2)</f>
        <v>04</v>
      </c>
      <c r="E74" s="1" t="s">
        <v>16</v>
      </c>
      <c r="F74" s="1" t="s">
        <v>17</v>
      </c>
      <c r="G74" s="1">
        <v>127766</v>
      </c>
      <c r="H74" s="1">
        <v>6934665</v>
      </c>
      <c r="I74" s="1">
        <v>54.276104166667338</v>
      </c>
      <c r="J74" s="1">
        <v>118760.1376177097</v>
      </c>
      <c r="K74" s="1">
        <v>61</v>
      </c>
      <c r="L74" s="1">
        <v>60</v>
      </c>
      <c r="M74" s="1">
        <v>53.7842448352594</v>
      </c>
      <c r="N74" s="1">
        <v>6387424</v>
      </c>
    </row>
    <row r="75" spans="1:14" x14ac:dyDescent="0.35">
      <c r="A75" s="1" t="s">
        <v>63</v>
      </c>
      <c r="B75" s="1">
        <v>202503</v>
      </c>
      <c r="C75" s="1" t="str">
        <f>MID(analisis_productividad__4[[#This Row],[Periodo]],1,4)</f>
        <v>2025</v>
      </c>
      <c r="D75" s="1" t="str">
        <f>MID(analisis_productividad__4[[#This Row],[Periodo]],5,2)</f>
        <v>03</v>
      </c>
      <c r="E75" s="1" t="s">
        <v>16</v>
      </c>
      <c r="F75" s="1" t="s">
        <v>17</v>
      </c>
      <c r="G75" s="1">
        <v>127747</v>
      </c>
      <c r="H75" s="1">
        <v>11605448</v>
      </c>
      <c r="I75" s="1">
        <v>90.846780913978407</v>
      </c>
      <c r="J75" s="1">
        <v>120362.81754982284</v>
      </c>
      <c r="K75" s="1">
        <v>86.5</v>
      </c>
      <c r="L75" s="1">
        <v>81.5</v>
      </c>
      <c r="M75" s="1">
        <v>96.420540713879987</v>
      </c>
      <c r="N75" s="1">
        <v>11190755</v>
      </c>
    </row>
    <row r="76" spans="1:14" x14ac:dyDescent="0.35">
      <c r="A76" s="1" t="s">
        <v>29</v>
      </c>
      <c r="B76" s="1">
        <v>202412</v>
      </c>
      <c r="C76" s="1" t="str">
        <f>MID(analisis_productividad__4[[#This Row],[Periodo]],1,4)</f>
        <v>2024</v>
      </c>
      <c r="D76" s="1" t="str">
        <f>MID(analisis_productividad__4[[#This Row],[Periodo]],5,2)</f>
        <v>12</v>
      </c>
      <c r="E76" s="1" t="s">
        <v>16</v>
      </c>
      <c r="F76" s="1" t="s">
        <v>19</v>
      </c>
      <c r="G76" s="1">
        <v>127590</v>
      </c>
      <c r="H76" s="1">
        <v>13512958</v>
      </c>
      <c r="I76" s="1">
        <v>105.90929435483868</v>
      </c>
      <c r="J76" s="1">
        <v>0</v>
      </c>
      <c r="K76" s="1">
        <v>96.5</v>
      </c>
      <c r="L76" s="1">
        <v>96</v>
      </c>
      <c r="M76" s="1"/>
      <c r="N76" s="1">
        <v>0</v>
      </c>
    </row>
    <row r="77" spans="1:14" x14ac:dyDescent="0.35">
      <c r="A77" s="1" t="s">
        <v>30</v>
      </c>
      <c r="B77" s="1">
        <v>202412</v>
      </c>
      <c r="C77" s="1" t="str">
        <f>MID(analisis_productividad__4[[#This Row],[Periodo]],1,4)</f>
        <v>2024</v>
      </c>
      <c r="D77" s="1" t="str">
        <f>MID(analisis_productividad__4[[#This Row],[Periodo]],5,2)</f>
        <v>12</v>
      </c>
      <c r="E77" s="1" t="s">
        <v>16</v>
      </c>
      <c r="F77" s="1" t="s">
        <v>19</v>
      </c>
      <c r="G77" s="1">
        <v>127519</v>
      </c>
      <c r="H77" s="1">
        <v>13269636</v>
      </c>
      <c r="I77" s="1">
        <v>104.06003360215061</v>
      </c>
      <c r="J77" s="1">
        <v>0</v>
      </c>
      <c r="K77" s="1">
        <v>101</v>
      </c>
      <c r="L77" s="1">
        <v>105</v>
      </c>
      <c r="M77" s="1"/>
      <c r="N77" s="1">
        <v>0</v>
      </c>
    </row>
    <row r="78" spans="1:14" x14ac:dyDescent="0.35">
      <c r="A78" s="1" t="s">
        <v>32</v>
      </c>
      <c r="B78" s="1">
        <v>202512</v>
      </c>
      <c r="C78" s="1" t="str">
        <f>MID(analisis_productividad__4[[#This Row],[Periodo]],1,4)</f>
        <v>2025</v>
      </c>
      <c r="D78" s="1" t="str">
        <f>MID(analisis_productividad__4[[#This Row],[Periodo]],5,2)</f>
        <v>12</v>
      </c>
      <c r="E78" s="1" t="s">
        <v>11</v>
      </c>
      <c r="F78" s="1" t="s">
        <v>12</v>
      </c>
      <c r="G78" s="1">
        <v>126924</v>
      </c>
      <c r="H78" s="1">
        <v>8524849</v>
      </c>
      <c r="I78" s="1">
        <v>67.164811827956953</v>
      </c>
      <c r="J78" s="1">
        <v>131799.54296563487</v>
      </c>
      <c r="K78" s="1">
        <v>65.5</v>
      </c>
      <c r="L78" s="1">
        <v>66</v>
      </c>
      <c r="M78" s="1">
        <v>64.680413817692411</v>
      </c>
      <c r="N78" s="1">
        <v>9503499</v>
      </c>
    </row>
    <row r="79" spans="1:14" x14ac:dyDescent="0.35">
      <c r="A79" s="1" t="s">
        <v>26</v>
      </c>
      <c r="B79" s="1">
        <v>202503</v>
      </c>
      <c r="C79" s="1" t="str">
        <f>MID(analisis_productividad__4[[#This Row],[Periodo]],1,4)</f>
        <v>2025</v>
      </c>
      <c r="D79" s="1" t="str">
        <f>MID(analisis_productividad__4[[#This Row],[Periodo]],5,2)</f>
        <v>03</v>
      </c>
      <c r="E79" s="1" t="s">
        <v>11</v>
      </c>
      <c r="F79" s="1" t="s">
        <v>12</v>
      </c>
      <c r="G79" s="1">
        <v>126906</v>
      </c>
      <c r="H79" s="1">
        <v>7302910</v>
      </c>
      <c r="I79" s="1">
        <v>57.545739247311815</v>
      </c>
      <c r="J79" s="1">
        <v>87374.703451916896</v>
      </c>
      <c r="K79" s="1">
        <v>65.5</v>
      </c>
      <c r="L79" s="1">
        <v>63</v>
      </c>
      <c r="M79" s="1">
        <v>83.581516062241732</v>
      </c>
      <c r="N79" s="1">
        <v>6251125</v>
      </c>
    </row>
    <row r="80" spans="1:14" x14ac:dyDescent="0.35">
      <c r="A80" s="1" t="s">
        <v>40</v>
      </c>
      <c r="B80" s="1">
        <v>202412</v>
      </c>
      <c r="C80" s="1" t="str">
        <f>MID(analisis_productividad__4[[#This Row],[Periodo]],1,4)</f>
        <v>2024</v>
      </c>
      <c r="D80" s="1" t="str">
        <f>MID(analisis_productividad__4[[#This Row],[Periodo]],5,2)</f>
        <v>12</v>
      </c>
      <c r="E80" s="1" t="s">
        <v>11</v>
      </c>
      <c r="F80" s="1" t="s">
        <v>14</v>
      </c>
      <c r="G80" s="1">
        <v>126753</v>
      </c>
      <c r="H80" s="1">
        <v>10508272</v>
      </c>
      <c r="I80" s="1">
        <v>82.903662634408661</v>
      </c>
      <c r="J80" s="1">
        <v>0</v>
      </c>
      <c r="K80" s="1">
        <v>76.5</v>
      </c>
      <c r="L80" s="1">
        <v>75.5</v>
      </c>
      <c r="M80" s="1"/>
      <c r="N80" s="1">
        <v>0</v>
      </c>
    </row>
    <row r="81" spans="1:14" x14ac:dyDescent="0.35">
      <c r="A81" s="1" t="s">
        <v>25</v>
      </c>
      <c r="B81" s="1">
        <v>202512</v>
      </c>
      <c r="C81" s="1" t="str">
        <f>MID(analisis_productividad__4[[#This Row],[Periodo]],1,4)</f>
        <v>2025</v>
      </c>
      <c r="D81" s="1" t="str">
        <f>MID(analisis_productividad__4[[#This Row],[Periodo]],5,2)</f>
        <v>12</v>
      </c>
      <c r="E81" s="1" t="s">
        <v>16</v>
      </c>
      <c r="F81" s="1" t="s">
        <v>19</v>
      </c>
      <c r="G81" s="1">
        <v>126695</v>
      </c>
      <c r="H81" s="1">
        <v>12604025</v>
      </c>
      <c r="I81" s="1">
        <v>99.482842741935372</v>
      </c>
      <c r="J81" s="1">
        <v>120876.51435617114</v>
      </c>
      <c r="K81" s="1">
        <v>94</v>
      </c>
      <c r="L81" s="1">
        <v>92</v>
      </c>
      <c r="M81" s="1">
        <v>104.27190622705547</v>
      </c>
      <c r="N81" s="1">
        <v>11782917</v>
      </c>
    </row>
    <row r="82" spans="1:14" x14ac:dyDescent="0.35">
      <c r="A82" s="1" t="s">
        <v>31</v>
      </c>
      <c r="B82" s="1">
        <v>202503</v>
      </c>
      <c r="C82" s="1" t="str">
        <f>MID(analisis_productividad__4[[#This Row],[Periodo]],1,4)</f>
        <v>2025</v>
      </c>
      <c r="D82" s="1" t="str">
        <f>MID(analisis_productividad__4[[#This Row],[Periodo]],5,2)</f>
        <v>03</v>
      </c>
      <c r="E82" s="1" t="s">
        <v>11</v>
      </c>
      <c r="F82" s="1" t="s">
        <v>14</v>
      </c>
      <c r="G82" s="1">
        <v>126391</v>
      </c>
      <c r="H82" s="1">
        <v>10527945</v>
      </c>
      <c r="I82" s="1">
        <v>83.296848118279499</v>
      </c>
      <c r="J82" s="1">
        <v>123712.96027798795</v>
      </c>
      <c r="K82" s="1">
        <v>101.5</v>
      </c>
      <c r="L82" s="1">
        <v>97.5</v>
      </c>
      <c r="M82" s="1">
        <v>85.099777794850951</v>
      </c>
      <c r="N82" s="1">
        <v>10494519</v>
      </c>
    </row>
    <row r="83" spans="1:14" x14ac:dyDescent="0.35">
      <c r="A83" s="1" t="s">
        <v>30</v>
      </c>
      <c r="B83" s="1">
        <v>202604</v>
      </c>
      <c r="C83" s="1" t="str">
        <f>MID(analisis_productividad__4[[#This Row],[Periodo]],1,4)</f>
        <v>2026</v>
      </c>
      <c r="D83" s="1" t="str">
        <f>MID(analisis_productividad__4[[#This Row],[Periodo]],5,2)</f>
        <v>04</v>
      </c>
      <c r="E83" s="1" t="s">
        <v>16</v>
      </c>
      <c r="F83" s="1" t="s">
        <v>19</v>
      </c>
      <c r="G83" s="1">
        <v>126182</v>
      </c>
      <c r="H83" s="1">
        <v>10790778</v>
      </c>
      <c r="I83" s="1">
        <v>85.517687500002026</v>
      </c>
      <c r="J83" s="1">
        <v>101835.25469292338</v>
      </c>
      <c r="K83" s="1">
        <v>101</v>
      </c>
      <c r="L83" s="1">
        <v>105</v>
      </c>
      <c r="M83" s="1">
        <v>90.439897606894348</v>
      </c>
      <c r="N83" s="1">
        <v>9209970</v>
      </c>
    </row>
    <row r="84" spans="1:14" x14ac:dyDescent="0.35">
      <c r="A84" s="1" t="s">
        <v>15</v>
      </c>
      <c r="B84" s="1">
        <v>202602</v>
      </c>
      <c r="C84" s="1" t="str">
        <f>MID(analisis_productividad__4[[#This Row],[Periodo]],1,4)</f>
        <v>2026</v>
      </c>
      <c r="D84" s="1" t="str">
        <f>MID(analisis_productividad__4[[#This Row],[Periodo]],5,2)</f>
        <v>02</v>
      </c>
      <c r="E84" s="1" t="s">
        <v>16</v>
      </c>
      <c r="F84" s="1" t="s">
        <v>17</v>
      </c>
      <c r="G84" s="1">
        <v>125714</v>
      </c>
      <c r="H84" s="1">
        <v>7240401</v>
      </c>
      <c r="I84" s="1">
        <v>57.594375000000007</v>
      </c>
      <c r="J84" s="1">
        <v>123082.36956708538</v>
      </c>
      <c r="K84" s="1">
        <v>61</v>
      </c>
      <c r="L84" s="1">
        <v>60</v>
      </c>
      <c r="M84" s="1">
        <v>53.7842448352594</v>
      </c>
      <c r="N84" s="1">
        <v>6619892</v>
      </c>
    </row>
    <row r="85" spans="1:14" x14ac:dyDescent="0.35">
      <c r="A85" s="1" t="s">
        <v>27</v>
      </c>
      <c r="B85" s="1">
        <v>202503</v>
      </c>
      <c r="C85" s="1" t="str">
        <f>MID(analisis_productividad__4[[#This Row],[Periodo]],1,4)</f>
        <v>2025</v>
      </c>
      <c r="D85" s="1" t="str">
        <f>MID(analisis_productividad__4[[#This Row],[Periodo]],5,2)</f>
        <v>03</v>
      </c>
      <c r="E85" s="1" t="s">
        <v>11</v>
      </c>
      <c r="F85" s="1" t="s">
        <v>14</v>
      </c>
      <c r="G85" s="1">
        <v>125699</v>
      </c>
      <c r="H85" s="1">
        <v>10029563</v>
      </c>
      <c r="I85" s="1">
        <v>79.790120967741913</v>
      </c>
      <c r="J85" s="1">
        <v>115153.94616053592</v>
      </c>
      <c r="K85" s="1">
        <v>88</v>
      </c>
      <c r="L85" s="1">
        <v>84</v>
      </c>
      <c r="M85" s="1">
        <v>87.097000010905489</v>
      </c>
      <c r="N85" s="1">
        <v>9742404</v>
      </c>
    </row>
    <row r="86" spans="1:14" x14ac:dyDescent="0.35">
      <c r="A86" s="1" t="s">
        <v>22</v>
      </c>
      <c r="B86" s="1">
        <v>202605</v>
      </c>
      <c r="C86" s="1" t="str">
        <f>MID(analisis_productividad__4[[#This Row],[Periodo]],1,4)</f>
        <v>2026</v>
      </c>
      <c r="D86" s="1" t="str">
        <f>MID(analisis_productividad__4[[#This Row],[Periodo]],5,2)</f>
        <v>05</v>
      </c>
      <c r="E86" s="1" t="s">
        <v>16</v>
      </c>
      <c r="F86" s="1" t="s">
        <v>21</v>
      </c>
      <c r="G86" s="1">
        <v>125623</v>
      </c>
      <c r="H86" s="1">
        <v>6281220</v>
      </c>
      <c r="I86" s="1">
        <v>50.000463709677327</v>
      </c>
      <c r="J86" s="1">
        <v>100701.16609400834</v>
      </c>
      <c r="K86" s="1">
        <v>59.5</v>
      </c>
      <c r="L86" s="1">
        <v>55.5</v>
      </c>
      <c r="M86" s="1">
        <v>53.278949580299148</v>
      </c>
      <c r="N86" s="1">
        <v>5365252</v>
      </c>
    </row>
    <row r="87" spans="1:14" x14ac:dyDescent="0.35">
      <c r="A87" s="1" t="s">
        <v>25</v>
      </c>
      <c r="B87" s="1">
        <v>202605</v>
      </c>
      <c r="C87" s="1" t="str">
        <f>MID(analisis_productividad__4[[#This Row],[Periodo]],1,4)</f>
        <v>2026</v>
      </c>
      <c r="D87" s="1" t="str">
        <f>MID(analisis_productividad__4[[#This Row],[Periodo]],5,2)</f>
        <v>05</v>
      </c>
      <c r="E87" s="1" t="s">
        <v>16</v>
      </c>
      <c r="F87" s="1" t="s">
        <v>19</v>
      </c>
      <c r="G87" s="1">
        <v>125614</v>
      </c>
      <c r="H87" s="1">
        <v>10527717</v>
      </c>
      <c r="I87" s="1">
        <v>83.809946236558275</v>
      </c>
      <c r="J87" s="1">
        <v>121236.94174037661</v>
      </c>
      <c r="K87" s="1">
        <v>94</v>
      </c>
      <c r="L87" s="1">
        <v>92</v>
      </c>
      <c r="M87" s="1">
        <v>81.933174564661712</v>
      </c>
      <c r="N87" s="1">
        <v>9933328</v>
      </c>
    </row>
    <row r="88" spans="1:14" x14ac:dyDescent="0.35">
      <c r="A88" s="1" t="s">
        <v>32</v>
      </c>
      <c r="B88" s="1">
        <v>202412</v>
      </c>
      <c r="C88" s="1" t="str">
        <f>MID(analisis_productividad__4[[#This Row],[Periodo]],1,4)</f>
        <v>2024</v>
      </c>
      <c r="D88" s="1" t="str">
        <f>MID(analisis_productividad__4[[#This Row],[Periodo]],5,2)</f>
        <v>12</v>
      </c>
      <c r="E88" s="1" t="s">
        <v>11</v>
      </c>
      <c r="F88" s="1" t="s">
        <v>12</v>
      </c>
      <c r="G88" s="1">
        <v>125523</v>
      </c>
      <c r="H88" s="1">
        <v>8758233</v>
      </c>
      <c r="I88" s="1">
        <v>69.773723118279591</v>
      </c>
      <c r="J88" s="1">
        <v>0</v>
      </c>
      <c r="K88" s="1">
        <v>65.5</v>
      </c>
      <c r="L88" s="1">
        <v>66</v>
      </c>
      <c r="M88" s="1"/>
      <c r="N88" s="1">
        <v>0</v>
      </c>
    </row>
    <row r="89" spans="1:14" x14ac:dyDescent="0.35">
      <c r="A89" s="1" t="s">
        <v>40</v>
      </c>
      <c r="B89" s="1">
        <v>202512</v>
      </c>
      <c r="C89" s="1" t="str">
        <f>MID(analisis_productividad__4[[#This Row],[Periodo]],1,4)</f>
        <v>2025</v>
      </c>
      <c r="D89" s="1" t="str">
        <f>MID(analisis_productividad__4[[#This Row],[Periodo]],5,2)</f>
        <v>12</v>
      </c>
      <c r="E89" s="1" t="s">
        <v>11</v>
      </c>
      <c r="F89" s="1" t="s">
        <v>14</v>
      </c>
      <c r="G89" s="1">
        <v>125437</v>
      </c>
      <c r="H89" s="1">
        <v>10564461</v>
      </c>
      <c r="I89" s="1">
        <v>84.221055107526752</v>
      </c>
      <c r="J89" s="1">
        <v>133090.45014279668</v>
      </c>
      <c r="K89" s="1">
        <v>76.5</v>
      </c>
      <c r="L89" s="1">
        <v>75.5</v>
      </c>
      <c r="M89" s="1">
        <v>79.37805085688025</v>
      </c>
      <c r="N89" s="1">
        <v>11910918</v>
      </c>
    </row>
    <row r="90" spans="1:14" x14ac:dyDescent="0.35">
      <c r="A90" s="1" t="s">
        <v>131</v>
      </c>
      <c r="B90" s="1">
        <v>202403</v>
      </c>
      <c r="C90" s="1" t="str">
        <f>MID(analisis_productividad__4[[#This Row],[Periodo]],1,4)</f>
        <v>2024</v>
      </c>
      <c r="D90" s="1" t="str">
        <f>MID(analisis_productividad__4[[#This Row],[Periodo]],5,2)</f>
        <v>03</v>
      </c>
      <c r="E90" s="1" t="s">
        <v>16</v>
      </c>
      <c r="F90" s="1" t="s">
        <v>21</v>
      </c>
      <c r="G90" s="1">
        <v>125360</v>
      </c>
      <c r="H90" s="1">
        <v>15304566</v>
      </c>
      <c r="I90" s="1">
        <v>122.08522177419353</v>
      </c>
      <c r="J90" s="1">
        <v>0</v>
      </c>
      <c r="K90" s="1">
        <v>99</v>
      </c>
      <c r="L90" s="1">
        <v>32.5</v>
      </c>
      <c r="M90" s="1"/>
      <c r="N90" s="1">
        <v>0</v>
      </c>
    </row>
    <row r="91" spans="1:14" x14ac:dyDescent="0.35">
      <c r="A91" s="1" t="s">
        <v>27</v>
      </c>
      <c r="B91" s="1">
        <v>202605</v>
      </c>
      <c r="C91" s="1" t="str">
        <f>MID(analisis_productividad__4[[#This Row],[Periodo]],1,4)</f>
        <v>2026</v>
      </c>
      <c r="D91" s="1" t="str">
        <f>MID(analisis_productividad__4[[#This Row],[Periodo]],5,2)</f>
        <v>05</v>
      </c>
      <c r="E91" s="1" t="s">
        <v>11</v>
      </c>
      <c r="F91" s="1" t="s">
        <v>14</v>
      </c>
      <c r="G91" s="1">
        <v>125355</v>
      </c>
      <c r="H91" s="1">
        <v>9640271</v>
      </c>
      <c r="I91" s="1">
        <v>76.90370295698871</v>
      </c>
      <c r="J91" s="1">
        <v>112556.34636325599</v>
      </c>
      <c r="K91" s="1">
        <v>88</v>
      </c>
      <c r="L91" s="1">
        <v>84</v>
      </c>
      <c r="M91" s="1">
        <v>78.31726123421582</v>
      </c>
      <c r="N91" s="1">
        <v>8815105</v>
      </c>
    </row>
    <row r="92" spans="1:14" x14ac:dyDescent="0.35">
      <c r="A92" s="1" t="s">
        <v>63</v>
      </c>
      <c r="B92" s="1">
        <v>202407</v>
      </c>
      <c r="C92" s="1" t="str">
        <f>MID(analisis_productividad__4[[#This Row],[Periodo]],1,4)</f>
        <v>2024</v>
      </c>
      <c r="D92" s="1" t="str">
        <f>MID(analisis_productividad__4[[#This Row],[Periodo]],5,2)</f>
        <v>07</v>
      </c>
      <c r="E92" s="1" t="s">
        <v>16</v>
      </c>
      <c r="F92" s="1" t="s">
        <v>17</v>
      </c>
      <c r="G92" s="1">
        <v>125261</v>
      </c>
      <c r="H92" s="1">
        <v>11655660</v>
      </c>
      <c r="I92" s="1">
        <v>93.051122311827825</v>
      </c>
      <c r="J92" s="1">
        <v>0</v>
      </c>
      <c r="K92" s="1">
        <v>86.5</v>
      </c>
      <c r="L92" s="1">
        <v>81.5</v>
      </c>
      <c r="M92" s="1"/>
      <c r="N92" s="1">
        <v>0</v>
      </c>
    </row>
    <row r="93" spans="1:14" x14ac:dyDescent="0.35">
      <c r="A93" s="1" t="s">
        <v>46</v>
      </c>
      <c r="B93" s="1">
        <v>202412</v>
      </c>
      <c r="C93" s="1" t="str">
        <f>MID(analisis_productividad__4[[#This Row],[Periodo]],1,4)</f>
        <v>2024</v>
      </c>
      <c r="D93" s="1" t="str">
        <f>MID(analisis_productividad__4[[#This Row],[Periodo]],5,2)</f>
        <v>12</v>
      </c>
      <c r="E93" s="1" t="s">
        <v>11</v>
      </c>
      <c r="F93" s="1" t="s">
        <v>14</v>
      </c>
      <c r="G93" s="1">
        <v>125259</v>
      </c>
      <c r="H93" s="1">
        <v>9604739</v>
      </c>
      <c r="I93" s="1">
        <v>76.678743279569943</v>
      </c>
      <c r="J93" s="1">
        <v>0</v>
      </c>
      <c r="K93" s="1">
        <v>77</v>
      </c>
      <c r="L93" s="1">
        <v>79</v>
      </c>
      <c r="M93" s="1"/>
      <c r="N93" s="1">
        <v>0</v>
      </c>
    </row>
    <row r="94" spans="1:14" x14ac:dyDescent="0.35">
      <c r="A94" s="1" t="s">
        <v>57</v>
      </c>
      <c r="B94" s="1">
        <v>202512</v>
      </c>
      <c r="C94" s="1" t="str">
        <f>MID(analisis_productividad__4[[#This Row],[Periodo]],1,4)</f>
        <v>2025</v>
      </c>
      <c r="D94" s="1" t="str">
        <f>MID(analisis_productividad__4[[#This Row],[Periodo]],5,2)</f>
        <v>12</v>
      </c>
      <c r="E94" s="1" t="s">
        <v>16</v>
      </c>
      <c r="F94" s="1" t="s">
        <v>19</v>
      </c>
      <c r="G94" s="1">
        <v>125209</v>
      </c>
      <c r="H94" s="1">
        <v>9113625</v>
      </c>
      <c r="I94" s="1">
        <v>72.787345430107493</v>
      </c>
      <c r="J94" s="1">
        <v>135987.55497625214</v>
      </c>
      <c r="K94" s="1">
        <v>71</v>
      </c>
      <c r="L94" s="1">
        <v>74.5</v>
      </c>
      <c r="M94" s="1">
        <v>67.018083320871085</v>
      </c>
      <c r="N94" s="1">
        <v>9685862</v>
      </c>
    </row>
    <row r="95" spans="1:14" x14ac:dyDescent="0.35">
      <c r="A95" s="1" t="s">
        <v>63</v>
      </c>
      <c r="B95" s="1">
        <v>202512</v>
      </c>
      <c r="C95" s="1" t="str">
        <f>MID(analisis_productividad__4[[#This Row],[Periodo]],1,4)</f>
        <v>2025</v>
      </c>
      <c r="D95" s="1" t="str">
        <f>MID(analisis_productividad__4[[#This Row],[Periodo]],5,2)</f>
        <v>12</v>
      </c>
      <c r="E95" s="1" t="s">
        <v>16</v>
      </c>
      <c r="F95" s="1" t="s">
        <v>17</v>
      </c>
      <c r="G95" s="1">
        <v>125025</v>
      </c>
      <c r="H95" s="1">
        <v>10485945</v>
      </c>
      <c r="I95" s="1">
        <v>83.870584677419288</v>
      </c>
      <c r="J95" s="1">
        <v>143490.03677808429</v>
      </c>
      <c r="K95" s="1">
        <v>86.5</v>
      </c>
      <c r="L95" s="1">
        <v>81.5</v>
      </c>
      <c r="M95" s="1">
        <v>73.077858473317747</v>
      </c>
      <c r="N95" s="1">
        <v>14761073</v>
      </c>
    </row>
    <row r="96" spans="1:14" x14ac:dyDescent="0.35">
      <c r="A96" s="1" t="s">
        <v>49</v>
      </c>
      <c r="B96" s="1">
        <v>202512</v>
      </c>
      <c r="C96" s="1" t="str">
        <f>MID(analisis_productividad__4[[#This Row],[Periodo]],1,4)</f>
        <v>2025</v>
      </c>
      <c r="D96" s="1" t="str">
        <f>MID(analisis_productividad__4[[#This Row],[Periodo]],5,2)</f>
        <v>12</v>
      </c>
      <c r="E96" s="1" t="s">
        <v>16</v>
      </c>
      <c r="F96" s="1" t="s">
        <v>21</v>
      </c>
      <c r="G96" s="1">
        <v>124674</v>
      </c>
      <c r="H96" s="1">
        <v>8072732</v>
      </c>
      <c r="I96" s="1">
        <v>64.750799731182781</v>
      </c>
      <c r="J96" s="1">
        <v>115243.46339574222</v>
      </c>
      <c r="K96" s="1">
        <v>75.5</v>
      </c>
      <c r="L96" s="1">
        <v>68</v>
      </c>
      <c r="M96" s="1">
        <v>70.04936976146324</v>
      </c>
      <c r="N96" s="1">
        <v>8703573</v>
      </c>
    </row>
    <row r="97" spans="1:14" x14ac:dyDescent="0.35">
      <c r="A97" s="1" t="s">
        <v>10</v>
      </c>
      <c r="B97" s="1">
        <v>202601</v>
      </c>
      <c r="C97" s="1" t="str">
        <f>MID(analisis_productividad__4[[#This Row],[Periodo]],1,4)</f>
        <v>2026</v>
      </c>
      <c r="D97" s="1" t="str">
        <f>MID(analisis_productividad__4[[#This Row],[Periodo]],5,2)</f>
        <v>01</v>
      </c>
      <c r="E97" s="1" t="s">
        <v>11</v>
      </c>
      <c r="F97" s="1" t="s">
        <v>12</v>
      </c>
      <c r="G97" s="1">
        <v>124635</v>
      </c>
      <c r="H97" s="1">
        <v>10522432</v>
      </c>
      <c r="I97" s="1">
        <v>84.426303763440899</v>
      </c>
      <c r="J97" s="1">
        <v>112747.5089768649</v>
      </c>
      <c r="K97" s="1">
        <v>98.5</v>
      </c>
      <c r="L97" s="1">
        <v>96.5</v>
      </c>
      <c r="M97" s="1">
        <v>87.166669283279759</v>
      </c>
      <c r="N97" s="1">
        <v>9827825</v>
      </c>
    </row>
    <row r="98" spans="1:14" x14ac:dyDescent="0.35">
      <c r="A98" s="1" t="s">
        <v>31</v>
      </c>
      <c r="B98" s="1">
        <v>202603</v>
      </c>
      <c r="C98" s="1" t="str">
        <f>MID(analisis_productividad__4[[#This Row],[Periodo]],1,4)</f>
        <v>2026</v>
      </c>
      <c r="D98" s="1" t="str">
        <f>MID(analisis_productividad__4[[#This Row],[Periodo]],5,2)</f>
        <v>03</v>
      </c>
      <c r="E98" s="1" t="s">
        <v>11</v>
      </c>
      <c r="F98" s="1" t="s">
        <v>14</v>
      </c>
      <c r="G98" s="1">
        <v>124619</v>
      </c>
      <c r="H98" s="1">
        <v>10444114</v>
      </c>
      <c r="I98" s="1">
        <v>83.808158602150556</v>
      </c>
      <c r="J98" s="1">
        <v>114740.99096575812</v>
      </c>
      <c r="K98" s="1">
        <v>101.5</v>
      </c>
      <c r="L98" s="1">
        <v>97.5</v>
      </c>
      <c r="M98" s="1">
        <v>87.689184144336366</v>
      </c>
      <c r="N98" s="1">
        <v>10061544</v>
      </c>
    </row>
    <row r="99" spans="1:14" x14ac:dyDescent="0.35">
      <c r="A99" s="1" t="s">
        <v>27</v>
      </c>
      <c r="B99" s="1">
        <v>202604</v>
      </c>
      <c r="C99" s="1" t="str">
        <f>MID(analisis_productividad__4[[#This Row],[Periodo]],1,4)</f>
        <v>2026</v>
      </c>
      <c r="D99" s="1" t="str">
        <f>MID(analisis_productividad__4[[#This Row],[Periodo]],5,2)</f>
        <v>04</v>
      </c>
      <c r="E99" s="1" t="s">
        <v>11</v>
      </c>
      <c r="F99" s="1" t="s">
        <v>14</v>
      </c>
      <c r="G99" s="1">
        <v>124487</v>
      </c>
      <c r="H99" s="1">
        <v>9202315</v>
      </c>
      <c r="I99" s="1">
        <v>73.922041666668335</v>
      </c>
      <c r="J99" s="1">
        <v>107035.70151324039</v>
      </c>
      <c r="K99" s="1">
        <v>88</v>
      </c>
      <c r="L99" s="1">
        <v>84</v>
      </c>
      <c r="M99" s="1">
        <v>78.31726123421582</v>
      </c>
      <c r="N99" s="1">
        <v>8382743</v>
      </c>
    </row>
    <row r="100" spans="1:14" x14ac:dyDescent="0.35">
      <c r="A100" s="1" t="s">
        <v>36</v>
      </c>
      <c r="B100" s="1">
        <v>202511</v>
      </c>
      <c r="C100" s="1" t="str">
        <f>MID(analisis_productividad__4[[#This Row],[Periodo]],1,4)</f>
        <v>2025</v>
      </c>
      <c r="D100" s="1" t="str">
        <f>MID(analisis_productividad__4[[#This Row],[Periodo]],5,2)</f>
        <v>11</v>
      </c>
      <c r="E100" s="1" t="s">
        <v>16</v>
      </c>
      <c r="F100" s="1" t="s">
        <v>17</v>
      </c>
      <c r="G100" s="1">
        <v>124332</v>
      </c>
      <c r="H100" s="1">
        <v>8649497</v>
      </c>
      <c r="I100" s="1">
        <v>69.567555555555586</v>
      </c>
      <c r="J100" s="1">
        <v>118493.87584226183</v>
      </c>
      <c r="K100" s="1">
        <v>76.5</v>
      </c>
      <c r="L100" s="1">
        <v>80</v>
      </c>
      <c r="M100" s="1">
        <v>72.995310588997413</v>
      </c>
      <c r="N100" s="1">
        <v>7853374</v>
      </c>
    </row>
    <row r="101" spans="1:14" x14ac:dyDescent="0.35">
      <c r="A101" s="1" t="s">
        <v>22</v>
      </c>
      <c r="B101" s="1">
        <v>202604</v>
      </c>
      <c r="C101" s="1" t="str">
        <f>MID(analisis_productividad__4[[#This Row],[Periodo]],1,4)</f>
        <v>2026</v>
      </c>
      <c r="D101" s="1" t="str">
        <f>MID(analisis_productividad__4[[#This Row],[Periodo]],5,2)</f>
        <v>04</v>
      </c>
      <c r="E101" s="1" t="s">
        <v>16</v>
      </c>
      <c r="F101" s="1" t="s">
        <v>21</v>
      </c>
      <c r="G101" s="1">
        <v>124230</v>
      </c>
      <c r="H101" s="1">
        <v>6000820</v>
      </c>
      <c r="I101" s="1">
        <v>48.304131944445061</v>
      </c>
      <c r="J101" s="1">
        <v>94792.233174347115</v>
      </c>
      <c r="K101" s="1">
        <v>59.5</v>
      </c>
      <c r="L101" s="1">
        <v>55.5</v>
      </c>
      <c r="M101" s="1">
        <v>53.278949580299148</v>
      </c>
      <c r="N101" s="1">
        <v>5050431</v>
      </c>
    </row>
    <row r="102" spans="1:14" x14ac:dyDescent="0.35">
      <c r="A102" s="1" t="s">
        <v>26</v>
      </c>
      <c r="B102" s="1">
        <v>202606</v>
      </c>
      <c r="C102" s="1" t="str">
        <f>MID(analisis_productividad__4[[#This Row],[Periodo]],1,4)</f>
        <v>2026</v>
      </c>
      <c r="D102" s="1" t="str">
        <f>MID(analisis_productividad__4[[#This Row],[Periodo]],5,2)</f>
        <v>06</v>
      </c>
      <c r="E102" s="1" t="s">
        <v>11</v>
      </c>
      <c r="F102" s="1" t="s">
        <v>12</v>
      </c>
      <c r="G102" s="1">
        <v>124183</v>
      </c>
      <c r="H102" s="1">
        <v>6254351</v>
      </c>
      <c r="I102" s="1">
        <v>50.364173611111141</v>
      </c>
      <c r="J102" s="1">
        <v>108383.53646979666</v>
      </c>
      <c r="K102" s="1">
        <v>65.5</v>
      </c>
      <c r="L102" s="1">
        <v>63</v>
      </c>
      <c r="M102" s="1">
        <v>55.389519717073902</v>
      </c>
      <c r="N102" s="1">
        <v>6003312</v>
      </c>
    </row>
    <row r="103" spans="1:14" x14ac:dyDescent="0.35">
      <c r="A103" s="1" t="s">
        <v>63</v>
      </c>
      <c r="B103" s="1">
        <v>202507</v>
      </c>
      <c r="C103" s="1" t="str">
        <f>MID(analisis_productividad__4[[#This Row],[Periodo]],1,4)</f>
        <v>2025</v>
      </c>
      <c r="D103" s="1" t="str">
        <f>MID(analisis_productividad__4[[#This Row],[Periodo]],5,2)</f>
        <v>07</v>
      </c>
      <c r="E103" s="1" t="s">
        <v>16</v>
      </c>
      <c r="F103" s="1" t="s">
        <v>17</v>
      </c>
      <c r="G103" s="1">
        <v>124052</v>
      </c>
      <c r="H103" s="1">
        <v>10864044</v>
      </c>
      <c r="I103" s="1">
        <v>87.57639784946241</v>
      </c>
      <c r="J103" s="1">
        <v>131523.8636777233</v>
      </c>
      <c r="K103" s="1">
        <v>86.5</v>
      </c>
      <c r="L103" s="1">
        <v>81.5</v>
      </c>
      <c r="M103" s="1">
        <v>82.601312539148623</v>
      </c>
      <c r="N103" s="1">
        <v>12214398</v>
      </c>
    </row>
    <row r="104" spans="1:14" x14ac:dyDescent="0.35">
      <c r="A104" s="1" t="s">
        <v>13</v>
      </c>
      <c r="B104" s="1">
        <v>202403</v>
      </c>
      <c r="C104" s="1" t="str">
        <f>MID(analisis_productividad__4[[#This Row],[Periodo]],1,4)</f>
        <v>2024</v>
      </c>
      <c r="D104" s="1" t="str">
        <f>MID(analisis_productividad__4[[#This Row],[Periodo]],5,2)</f>
        <v>03</v>
      </c>
      <c r="E104" s="1" t="s">
        <v>11</v>
      </c>
      <c r="F104" s="1" t="s">
        <v>14</v>
      </c>
      <c r="G104" s="1">
        <v>124034</v>
      </c>
      <c r="H104" s="1">
        <v>11647939</v>
      </c>
      <c r="I104" s="1">
        <v>93.909469086021531</v>
      </c>
      <c r="J104" s="1">
        <v>0</v>
      </c>
      <c r="K104" s="1">
        <v>100</v>
      </c>
      <c r="L104" s="1">
        <v>98</v>
      </c>
      <c r="M104" s="1"/>
      <c r="N104" s="1">
        <v>0</v>
      </c>
    </row>
    <row r="105" spans="1:14" x14ac:dyDescent="0.35">
      <c r="A105" s="1" t="s">
        <v>15</v>
      </c>
      <c r="B105" s="1">
        <v>202501</v>
      </c>
      <c r="C105" s="1" t="str">
        <f>MID(analisis_productividad__4[[#This Row],[Periodo]],1,4)</f>
        <v>2025</v>
      </c>
      <c r="D105" s="1" t="str">
        <f>MID(analisis_productividad__4[[#This Row],[Periodo]],5,2)</f>
        <v>01</v>
      </c>
      <c r="E105" s="1" t="s">
        <v>16</v>
      </c>
      <c r="F105" s="1" t="s">
        <v>17</v>
      </c>
      <c r="G105" s="1">
        <v>123974</v>
      </c>
      <c r="H105" s="1">
        <v>6603868</v>
      </c>
      <c r="I105" s="1">
        <v>53.268306451612915</v>
      </c>
      <c r="J105" s="1">
        <v>122760.96726608487</v>
      </c>
      <c r="K105" s="1">
        <v>61</v>
      </c>
      <c r="L105" s="1">
        <v>60</v>
      </c>
      <c r="M105" s="1">
        <v>53.794527015139025</v>
      </c>
      <c r="N105" s="1">
        <v>6651407</v>
      </c>
    </row>
    <row r="106" spans="1:14" x14ac:dyDescent="0.35">
      <c r="A106" s="1" t="s">
        <v>26</v>
      </c>
      <c r="B106" s="1">
        <v>202605</v>
      </c>
      <c r="C106" s="1" t="str">
        <f>MID(analisis_productividad__4[[#This Row],[Periodo]],1,4)</f>
        <v>2026</v>
      </c>
      <c r="D106" s="1" t="str">
        <f>MID(analisis_productividad__4[[#This Row],[Periodo]],5,2)</f>
        <v>05</v>
      </c>
      <c r="E106" s="1" t="s">
        <v>11</v>
      </c>
      <c r="F106" s="1" t="s">
        <v>12</v>
      </c>
      <c r="G106" s="1">
        <v>123778</v>
      </c>
      <c r="H106" s="1">
        <v>6998744</v>
      </c>
      <c r="I106" s="1">
        <v>56.542923387096927</v>
      </c>
      <c r="J106" s="1">
        <v>115011.4737867334</v>
      </c>
      <c r="K106" s="1">
        <v>65.5</v>
      </c>
      <c r="L106" s="1">
        <v>63</v>
      </c>
      <c r="M106" s="1">
        <v>55.389519717073902</v>
      </c>
      <c r="N106" s="1">
        <v>6370430</v>
      </c>
    </row>
    <row r="107" spans="1:14" x14ac:dyDescent="0.35">
      <c r="A107" s="1" t="s">
        <v>37</v>
      </c>
      <c r="B107" s="1">
        <v>202511</v>
      </c>
      <c r="C107" s="1" t="str">
        <f>MID(analisis_productividad__4[[#This Row],[Periodo]],1,4)</f>
        <v>2025</v>
      </c>
      <c r="D107" s="1" t="str">
        <f>MID(analisis_productividad__4[[#This Row],[Periodo]],5,2)</f>
        <v>11</v>
      </c>
      <c r="E107" s="1" t="s">
        <v>16</v>
      </c>
      <c r="F107" s="1" t="s">
        <v>17</v>
      </c>
      <c r="G107" s="1">
        <v>123664</v>
      </c>
      <c r="H107" s="1">
        <v>10619792</v>
      </c>
      <c r="I107" s="1">
        <v>85.876486111111163</v>
      </c>
      <c r="J107" s="1">
        <v>100564.50922543666</v>
      </c>
      <c r="K107" s="1">
        <v>107.5</v>
      </c>
      <c r="L107" s="1">
        <v>102.5</v>
      </c>
      <c r="M107" s="1">
        <v>105.6017906495569</v>
      </c>
      <c r="N107" s="1">
        <v>9832946</v>
      </c>
    </row>
    <row r="108" spans="1:14" x14ac:dyDescent="0.35">
      <c r="A108" s="1" t="s">
        <v>32</v>
      </c>
      <c r="B108" s="1">
        <v>202503</v>
      </c>
      <c r="C108" s="1" t="str">
        <f>MID(analisis_productividad__4[[#This Row],[Periodo]],1,4)</f>
        <v>2025</v>
      </c>
      <c r="D108" s="1" t="str">
        <f>MID(analisis_productividad__4[[#This Row],[Periodo]],5,2)</f>
        <v>03</v>
      </c>
      <c r="E108" s="1" t="s">
        <v>11</v>
      </c>
      <c r="F108" s="1" t="s">
        <v>12</v>
      </c>
      <c r="G108" s="1">
        <v>123658</v>
      </c>
      <c r="H108" s="1">
        <v>7417542</v>
      </c>
      <c r="I108" s="1">
        <v>59.984495967741957</v>
      </c>
      <c r="J108" s="1">
        <v>125470.23393001349</v>
      </c>
      <c r="K108" s="1">
        <v>65.5</v>
      </c>
      <c r="L108" s="1">
        <v>66</v>
      </c>
      <c r="M108" s="1">
        <v>59.11794413436305</v>
      </c>
      <c r="N108" s="1">
        <v>7764161</v>
      </c>
    </row>
    <row r="109" spans="1:14" x14ac:dyDescent="0.35">
      <c r="A109" s="1" t="s">
        <v>39</v>
      </c>
      <c r="B109" s="1">
        <v>202512</v>
      </c>
      <c r="C109" s="1" t="str">
        <f>MID(analisis_productividad__4[[#This Row],[Periodo]],1,4)</f>
        <v>2025</v>
      </c>
      <c r="D109" s="1" t="str">
        <f>MID(analisis_productividad__4[[#This Row],[Periodo]],5,2)</f>
        <v>12</v>
      </c>
      <c r="E109" s="1" t="s">
        <v>16</v>
      </c>
      <c r="F109" s="1" t="s">
        <v>17</v>
      </c>
      <c r="G109" s="1">
        <v>123594</v>
      </c>
      <c r="H109" s="1">
        <v>12145136</v>
      </c>
      <c r="I109" s="1">
        <v>98.266592741935341</v>
      </c>
      <c r="J109" s="1">
        <v>120594.04085445596</v>
      </c>
      <c r="K109" s="1">
        <v>93.5</v>
      </c>
      <c r="L109" s="1">
        <v>94</v>
      </c>
      <c r="M109" s="1">
        <v>100.71091609458442</v>
      </c>
      <c r="N109" s="1">
        <v>11941678</v>
      </c>
    </row>
    <row r="110" spans="1:14" x14ac:dyDescent="0.35">
      <c r="A110" s="1" t="s">
        <v>31</v>
      </c>
      <c r="B110" s="1">
        <v>202512</v>
      </c>
      <c r="C110" s="1" t="str">
        <f>MID(analisis_productividad__4[[#This Row],[Periodo]],1,4)</f>
        <v>2025</v>
      </c>
      <c r="D110" s="1" t="str">
        <f>MID(analisis_productividad__4[[#This Row],[Periodo]],5,2)</f>
        <v>12</v>
      </c>
      <c r="E110" s="1" t="s">
        <v>11</v>
      </c>
      <c r="F110" s="1" t="s">
        <v>14</v>
      </c>
      <c r="G110" s="1">
        <v>123536</v>
      </c>
      <c r="H110" s="1">
        <v>10770884</v>
      </c>
      <c r="I110" s="1">
        <v>87.188293010752673</v>
      </c>
      <c r="J110" s="1">
        <v>116064.59778662221</v>
      </c>
      <c r="K110" s="1">
        <v>101.5</v>
      </c>
      <c r="L110" s="1">
        <v>97.5</v>
      </c>
      <c r="M110" s="1">
        <v>92.800768497915442</v>
      </c>
      <c r="N110" s="1">
        <v>12764237</v>
      </c>
    </row>
    <row r="111" spans="1:14" x14ac:dyDescent="0.35">
      <c r="A111" s="1" t="s">
        <v>10</v>
      </c>
      <c r="B111" s="1">
        <v>202606</v>
      </c>
      <c r="C111" s="1" t="str">
        <f>MID(analisis_productividad__4[[#This Row],[Periodo]],1,4)</f>
        <v>2026</v>
      </c>
      <c r="D111" s="1" t="str">
        <f>MID(analisis_productividad__4[[#This Row],[Periodo]],5,2)</f>
        <v>06</v>
      </c>
      <c r="E111" s="1" t="s">
        <v>11</v>
      </c>
      <c r="F111" s="1" t="s">
        <v>12</v>
      </c>
      <c r="G111" s="1">
        <v>123365</v>
      </c>
      <c r="H111" s="1">
        <v>10402007</v>
      </c>
      <c r="I111" s="1">
        <v>84.319277777780243</v>
      </c>
      <c r="J111" s="1">
        <v>115349.41384445751</v>
      </c>
      <c r="K111" s="1">
        <v>98.5</v>
      </c>
      <c r="L111" s="1">
        <v>96.5</v>
      </c>
      <c r="M111" s="1">
        <v>87.166669283279759</v>
      </c>
      <c r="N111" s="1">
        <v>10054624</v>
      </c>
    </row>
    <row r="112" spans="1:14" x14ac:dyDescent="0.35">
      <c r="A112" s="1" t="s">
        <v>15</v>
      </c>
      <c r="B112" s="1">
        <v>202409</v>
      </c>
      <c r="C112" s="1" t="str">
        <f>MID(analisis_productividad__4[[#This Row],[Periodo]],1,4)</f>
        <v>2024</v>
      </c>
      <c r="D112" s="1" t="str">
        <f>MID(analisis_productividad__4[[#This Row],[Periodo]],5,2)</f>
        <v>09</v>
      </c>
      <c r="E112" s="1" t="s">
        <v>16</v>
      </c>
      <c r="F112" s="1" t="s">
        <v>17</v>
      </c>
      <c r="G112" s="1">
        <v>123201</v>
      </c>
      <c r="H112" s="1">
        <v>6618254</v>
      </c>
      <c r="I112" s="1">
        <v>53.719166666666695</v>
      </c>
      <c r="J112" s="1">
        <v>0</v>
      </c>
      <c r="K112" s="1">
        <v>61</v>
      </c>
      <c r="L112" s="1">
        <v>60</v>
      </c>
      <c r="M112" s="1"/>
      <c r="N112" s="1">
        <v>0</v>
      </c>
    </row>
    <row r="113" spans="1:14" x14ac:dyDescent="0.35">
      <c r="A113" s="1" t="s">
        <v>32</v>
      </c>
      <c r="B113" s="1">
        <v>202603</v>
      </c>
      <c r="C113" s="1" t="str">
        <f>MID(analisis_productividad__4[[#This Row],[Periodo]],1,4)</f>
        <v>2026</v>
      </c>
      <c r="D113" s="1" t="str">
        <f>MID(analisis_productividad__4[[#This Row],[Periodo]],5,2)</f>
        <v>03</v>
      </c>
      <c r="E113" s="1" t="s">
        <v>11</v>
      </c>
      <c r="F113" s="1" t="s">
        <v>12</v>
      </c>
      <c r="G113" s="1">
        <v>123057</v>
      </c>
      <c r="H113" s="1">
        <v>7688902</v>
      </c>
      <c r="I113" s="1">
        <v>62.48252688172046</v>
      </c>
      <c r="J113" s="1">
        <v>131553.57762963322</v>
      </c>
      <c r="K113" s="1">
        <v>65.5</v>
      </c>
      <c r="L113" s="1">
        <v>66</v>
      </c>
      <c r="M113" s="1">
        <v>55.812340478272937</v>
      </c>
      <c r="N113" s="1">
        <v>7342313</v>
      </c>
    </row>
    <row r="114" spans="1:14" x14ac:dyDescent="0.35">
      <c r="A114" s="1" t="s">
        <v>63</v>
      </c>
      <c r="B114" s="1">
        <v>202509</v>
      </c>
      <c r="C114" s="1" t="str">
        <f>MID(analisis_productividad__4[[#This Row],[Periodo]],1,4)</f>
        <v>2025</v>
      </c>
      <c r="D114" s="1" t="str">
        <f>MID(analisis_productividad__4[[#This Row],[Periodo]],5,2)</f>
        <v>09</v>
      </c>
      <c r="E114" s="1" t="s">
        <v>16</v>
      </c>
      <c r="F114" s="1" t="s">
        <v>17</v>
      </c>
      <c r="G114" s="1">
        <v>122960</v>
      </c>
      <c r="H114" s="1">
        <v>9606492</v>
      </c>
      <c r="I114" s="1">
        <v>78.126951388888855</v>
      </c>
      <c r="J114" s="1">
        <v>119798.6733219189</v>
      </c>
      <c r="K114" s="1">
        <v>86.5</v>
      </c>
      <c r="L114" s="1">
        <v>81.5</v>
      </c>
      <c r="M114" s="1">
        <v>80.188631757096061</v>
      </c>
      <c r="N114" s="1">
        <v>9754738</v>
      </c>
    </row>
    <row r="115" spans="1:14" x14ac:dyDescent="0.35">
      <c r="A115" s="1" t="s">
        <v>13</v>
      </c>
      <c r="B115" s="1">
        <v>202602</v>
      </c>
      <c r="C115" s="1" t="str">
        <f>MID(analisis_productividad__4[[#This Row],[Periodo]],1,4)</f>
        <v>2026</v>
      </c>
      <c r="D115" s="1" t="str">
        <f>MID(analisis_productividad__4[[#This Row],[Periodo]],5,2)</f>
        <v>02</v>
      </c>
      <c r="E115" s="1" t="s">
        <v>11</v>
      </c>
      <c r="F115" s="1" t="s">
        <v>14</v>
      </c>
      <c r="G115" s="1">
        <v>122901</v>
      </c>
      <c r="H115" s="1">
        <v>10786735</v>
      </c>
      <c r="I115" s="1">
        <v>87.767968749999994</v>
      </c>
      <c r="J115" s="1">
        <v>114540.39380543392</v>
      </c>
      <c r="K115" s="1">
        <v>100</v>
      </c>
      <c r="L115" s="1">
        <v>98</v>
      </c>
      <c r="M115" s="1">
        <v>86.393284871267369</v>
      </c>
      <c r="N115" s="1">
        <v>9895521</v>
      </c>
    </row>
    <row r="116" spans="1:14" x14ac:dyDescent="0.35">
      <c r="A116" s="1" t="s">
        <v>30</v>
      </c>
      <c r="B116" s="1">
        <v>202511</v>
      </c>
      <c r="C116" s="1" t="str">
        <f>MID(analisis_productividad__4[[#This Row],[Periodo]],1,4)</f>
        <v>2025</v>
      </c>
      <c r="D116" s="1" t="str">
        <f>MID(analisis_productividad__4[[#This Row],[Periodo]],5,2)</f>
        <v>11</v>
      </c>
      <c r="E116" s="1" t="s">
        <v>16</v>
      </c>
      <c r="F116" s="1" t="s">
        <v>19</v>
      </c>
      <c r="G116" s="1">
        <v>122790</v>
      </c>
      <c r="H116" s="1">
        <v>10610599</v>
      </c>
      <c r="I116" s="1">
        <v>86.412326388888928</v>
      </c>
      <c r="J116" s="1">
        <v>109492.04868205982</v>
      </c>
      <c r="K116" s="1">
        <v>101</v>
      </c>
      <c r="L116" s="1">
        <v>105</v>
      </c>
      <c r="M116" s="1">
        <v>96.907484769152362</v>
      </c>
      <c r="N116" s="1">
        <v>10457442</v>
      </c>
    </row>
    <row r="117" spans="1:14" x14ac:dyDescent="0.35">
      <c r="A117" s="1" t="s">
        <v>23</v>
      </c>
      <c r="B117" s="1">
        <v>202605</v>
      </c>
      <c r="C117" s="1" t="str">
        <f>MID(analisis_productividad__4[[#This Row],[Periodo]],1,4)</f>
        <v>2026</v>
      </c>
      <c r="D117" s="1" t="str">
        <f>MID(analisis_productividad__4[[#This Row],[Periodo]],5,2)</f>
        <v>05</v>
      </c>
      <c r="E117" s="1" t="s">
        <v>11</v>
      </c>
      <c r="F117" s="1" t="s">
        <v>12</v>
      </c>
      <c r="G117" s="1">
        <v>122732</v>
      </c>
      <c r="H117" s="1">
        <v>7362386</v>
      </c>
      <c r="I117" s="1">
        <v>59.987365591397605</v>
      </c>
      <c r="J117" s="1">
        <v>114648.54931131439</v>
      </c>
      <c r="K117" s="1">
        <v>68.5</v>
      </c>
      <c r="L117" s="1">
        <v>66</v>
      </c>
      <c r="M117" s="1">
        <v>59.179400136818131</v>
      </c>
      <c r="N117" s="1">
        <v>6784832</v>
      </c>
    </row>
    <row r="118" spans="1:14" x14ac:dyDescent="0.35">
      <c r="A118" s="1" t="s">
        <v>30</v>
      </c>
      <c r="B118" s="1">
        <v>202507</v>
      </c>
      <c r="C118" s="1" t="str">
        <f>MID(analisis_productividad__4[[#This Row],[Periodo]],1,4)</f>
        <v>2025</v>
      </c>
      <c r="D118" s="1" t="str">
        <f>MID(analisis_productividad__4[[#This Row],[Periodo]],5,2)</f>
        <v>07</v>
      </c>
      <c r="E118" s="1" t="s">
        <v>16</v>
      </c>
      <c r="F118" s="1" t="s">
        <v>19</v>
      </c>
      <c r="G118" s="1">
        <v>122706</v>
      </c>
      <c r="H118" s="1">
        <v>9625076</v>
      </c>
      <c r="I118" s="1">
        <v>78.440362903225818</v>
      </c>
      <c r="J118" s="1">
        <v>127414.52709941164</v>
      </c>
      <c r="K118" s="1">
        <v>101</v>
      </c>
      <c r="L118" s="1">
        <v>105</v>
      </c>
      <c r="M118" s="1">
        <v>75.541435965855769</v>
      </c>
      <c r="N118" s="1">
        <v>11419719</v>
      </c>
    </row>
    <row r="119" spans="1:14" x14ac:dyDescent="0.35">
      <c r="A119" s="1" t="s">
        <v>20</v>
      </c>
      <c r="B119" s="1">
        <v>202412</v>
      </c>
      <c r="C119" s="1" t="str">
        <f>MID(analisis_productividad__4[[#This Row],[Periodo]],1,4)</f>
        <v>2024</v>
      </c>
      <c r="D119" s="1" t="str">
        <f>MID(analisis_productividad__4[[#This Row],[Periodo]],5,2)</f>
        <v>12</v>
      </c>
      <c r="E119" s="1" t="s">
        <v>16</v>
      </c>
      <c r="F119" s="1" t="s">
        <v>21</v>
      </c>
      <c r="G119" s="1">
        <v>122608</v>
      </c>
      <c r="H119" s="1">
        <v>12278448</v>
      </c>
      <c r="I119" s="1">
        <v>100.14375000000003</v>
      </c>
      <c r="J119" s="1">
        <v>0</v>
      </c>
      <c r="K119" s="1">
        <v>96.5</v>
      </c>
      <c r="L119" s="1">
        <v>94</v>
      </c>
      <c r="M119" s="1"/>
      <c r="N119" s="1">
        <v>0</v>
      </c>
    </row>
    <row r="120" spans="1:14" x14ac:dyDescent="0.35">
      <c r="A120" s="1" t="s">
        <v>24</v>
      </c>
      <c r="B120" s="1">
        <v>202412</v>
      </c>
      <c r="C120" s="1" t="str">
        <f>MID(analisis_productividad__4[[#This Row],[Periodo]],1,4)</f>
        <v>2024</v>
      </c>
      <c r="D120" s="1" t="str">
        <f>MID(analisis_productividad__4[[#This Row],[Periodo]],5,2)</f>
        <v>12</v>
      </c>
      <c r="E120" s="1" t="s">
        <v>16</v>
      </c>
      <c r="F120" s="1" t="s">
        <v>21</v>
      </c>
      <c r="G120" s="1">
        <v>122113</v>
      </c>
      <c r="H120" s="1">
        <v>14393863</v>
      </c>
      <c r="I120" s="1">
        <v>117.87374327956984</v>
      </c>
      <c r="J120" s="1">
        <v>0</v>
      </c>
      <c r="K120" s="1">
        <v>125</v>
      </c>
      <c r="L120" s="1">
        <v>118.5</v>
      </c>
      <c r="M120" s="1"/>
      <c r="N120" s="1">
        <v>0</v>
      </c>
    </row>
    <row r="121" spans="1:14" x14ac:dyDescent="0.35">
      <c r="A121" s="1" t="s">
        <v>33</v>
      </c>
      <c r="B121" s="1">
        <v>202606</v>
      </c>
      <c r="C121" s="1" t="str">
        <f>MID(analisis_productividad__4[[#This Row],[Periodo]],1,4)</f>
        <v>2026</v>
      </c>
      <c r="D121" s="1" t="str">
        <f>MID(analisis_productividad__4[[#This Row],[Periodo]],5,2)</f>
        <v>06</v>
      </c>
      <c r="E121" s="1" t="s">
        <v>34</v>
      </c>
      <c r="F121" s="1" t="s">
        <v>35</v>
      </c>
      <c r="G121" s="1">
        <v>122028</v>
      </c>
      <c r="H121" s="1">
        <v>1165952</v>
      </c>
      <c r="I121" s="1">
        <v>9.5547569444444491</v>
      </c>
      <c r="J121" s="1">
        <v>73326.784872190285</v>
      </c>
      <c r="K121" s="1">
        <v>15</v>
      </c>
      <c r="L121" s="1">
        <v>15</v>
      </c>
      <c r="M121" s="1">
        <v>13.971887755419019</v>
      </c>
      <c r="N121" s="1">
        <v>1024514</v>
      </c>
    </row>
    <row r="122" spans="1:14" x14ac:dyDescent="0.35">
      <c r="A122" s="1" t="s">
        <v>37</v>
      </c>
      <c r="B122" s="1">
        <v>202412</v>
      </c>
      <c r="C122" s="1" t="str">
        <f>MID(analisis_productividad__4[[#This Row],[Periodo]],1,4)</f>
        <v>2024</v>
      </c>
      <c r="D122" s="1" t="str">
        <f>MID(analisis_productividad__4[[#This Row],[Periodo]],5,2)</f>
        <v>12</v>
      </c>
      <c r="E122" s="1" t="s">
        <v>16</v>
      </c>
      <c r="F122" s="1" t="s">
        <v>17</v>
      </c>
      <c r="G122" s="1">
        <v>122017</v>
      </c>
      <c r="H122" s="1">
        <v>14932341</v>
      </c>
      <c r="I122" s="1">
        <v>122.37952284946229</v>
      </c>
      <c r="J122" s="1">
        <v>0</v>
      </c>
      <c r="K122" s="1">
        <v>107.5</v>
      </c>
      <c r="L122" s="1">
        <v>102.5</v>
      </c>
      <c r="M122" s="1"/>
      <c r="N122" s="1">
        <v>0</v>
      </c>
    </row>
    <row r="123" spans="1:14" x14ac:dyDescent="0.35">
      <c r="A123" s="1" t="s">
        <v>36</v>
      </c>
      <c r="B123" s="1">
        <v>202603</v>
      </c>
      <c r="C123" s="1" t="str">
        <f>MID(analisis_productividad__4[[#This Row],[Periodo]],1,4)</f>
        <v>2026</v>
      </c>
      <c r="D123" s="1" t="str">
        <f>MID(analisis_productividad__4[[#This Row],[Periodo]],5,2)</f>
        <v>03</v>
      </c>
      <c r="E123" s="1" t="s">
        <v>16</v>
      </c>
      <c r="F123" s="1" t="s">
        <v>17</v>
      </c>
      <c r="G123" s="1">
        <v>121962</v>
      </c>
      <c r="H123" s="1">
        <v>9334129</v>
      </c>
      <c r="I123" s="1">
        <v>76.532956989247296</v>
      </c>
      <c r="J123" s="1">
        <v>138625.43672875984</v>
      </c>
      <c r="K123" s="1">
        <v>76.5</v>
      </c>
      <c r="L123" s="1">
        <v>80</v>
      </c>
      <c r="M123" s="1">
        <v>67.450733277005639</v>
      </c>
      <c r="N123" s="1">
        <v>9350387</v>
      </c>
    </row>
    <row r="124" spans="1:14" x14ac:dyDescent="0.35">
      <c r="A124" s="1" t="s">
        <v>37</v>
      </c>
      <c r="B124" s="1">
        <v>202603</v>
      </c>
      <c r="C124" s="1" t="str">
        <f>MID(analisis_productividad__4[[#This Row],[Periodo]],1,4)</f>
        <v>2026</v>
      </c>
      <c r="D124" s="1" t="str">
        <f>MID(analisis_productividad__4[[#This Row],[Periodo]],5,2)</f>
        <v>03</v>
      </c>
      <c r="E124" s="1" t="s">
        <v>16</v>
      </c>
      <c r="F124" s="1" t="s">
        <v>17</v>
      </c>
      <c r="G124" s="1">
        <v>121745</v>
      </c>
      <c r="H124" s="1">
        <v>11745132</v>
      </c>
      <c r="I124" s="1">
        <v>96.473595430107508</v>
      </c>
      <c r="J124" s="1">
        <v>115386.39285004592</v>
      </c>
      <c r="K124" s="1">
        <v>107.5</v>
      </c>
      <c r="L124" s="1">
        <v>102.5</v>
      </c>
      <c r="M124" s="1">
        <v>96.70800932222366</v>
      </c>
      <c r="N124" s="1">
        <v>11158788</v>
      </c>
    </row>
    <row r="125" spans="1:14" x14ac:dyDescent="0.35">
      <c r="A125" s="1" t="s">
        <v>38</v>
      </c>
      <c r="B125" s="1">
        <v>202605</v>
      </c>
      <c r="C125" s="1" t="str">
        <f>MID(analisis_productividad__4[[#This Row],[Periodo]],1,4)</f>
        <v>2026</v>
      </c>
      <c r="D125" s="1" t="str">
        <f>MID(analisis_productividad__4[[#This Row],[Periodo]],5,2)</f>
        <v>05</v>
      </c>
      <c r="E125" s="1" t="s">
        <v>34</v>
      </c>
      <c r="F125" s="1" t="s">
        <v>35</v>
      </c>
      <c r="G125" s="1">
        <v>121694</v>
      </c>
      <c r="H125" s="1">
        <v>12787907</v>
      </c>
      <c r="I125" s="1">
        <v>105.08274865591315</v>
      </c>
      <c r="J125" s="1">
        <v>103846.49919956453</v>
      </c>
      <c r="K125" s="1">
        <v>140.5</v>
      </c>
      <c r="L125" s="1">
        <v>125.5</v>
      </c>
      <c r="M125" s="1">
        <v>117.18897502469719</v>
      </c>
      <c r="N125" s="1">
        <v>12169665</v>
      </c>
    </row>
    <row r="126" spans="1:14" x14ac:dyDescent="0.35">
      <c r="A126" s="1" t="s">
        <v>30</v>
      </c>
      <c r="B126" s="1">
        <v>202503</v>
      </c>
      <c r="C126" s="1" t="str">
        <f>MID(analisis_productividad__4[[#This Row],[Periodo]],1,4)</f>
        <v>2025</v>
      </c>
      <c r="D126" s="1" t="str">
        <f>MID(analisis_productividad__4[[#This Row],[Periodo]],5,2)</f>
        <v>03</v>
      </c>
      <c r="E126" s="1" t="s">
        <v>16</v>
      </c>
      <c r="F126" s="1" t="s">
        <v>19</v>
      </c>
      <c r="G126" s="1">
        <v>121503</v>
      </c>
      <c r="H126" s="1">
        <v>10544498</v>
      </c>
      <c r="I126" s="1">
        <v>86.784005376344055</v>
      </c>
      <c r="J126" s="1">
        <v>121842.77484750219</v>
      </c>
      <c r="K126" s="1">
        <v>101</v>
      </c>
      <c r="L126" s="1">
        <v>105</v>
      </c>
      <c r="M126" s="1">
        <v>86.541842905313359</v>
      </c>
      <c r="N126" s="1">
        <v>10553386</v>
      </c>
    </row>
    <row r="127" spans="1:14" x14ac:dyDescent="0.35">
      <c r="A127" s="1" t="s">
        <v>30</v>
      </c>
      <c r="B127" s="1">
        <v>202407</v>
      </c>
      <c r="C127" s="1" t="str">
        <f>MID(analisis_productividad__4[[#This Row],[Periodo]],1,4)</f>
        <v>2024</v>
      </c>
      <c r="D127" s="1" t="str">
        <f>MID(analisis_productividad__4[[#This Row],[Periodo]],5,2)</f>
        <v>07</v>
      </c>
      <c r="E127" s="1" t="s">
        <v>16</v>
      </c>
      <c r="F127" s="1" t="s">
        <v>19</v>
      </c>
      <c r="G127" s="1">
        <v>121347</v>
      </c>
      <c r="H127" s="1">
        <v>10506378</v>
      </c>
      <c r="I127" s="1">
        <v>86.58115591397852</v>
      </c>
      <c r="J127" s="1">
        <v>0</v>
      </c>
      <c r="K127" s="1">
        <v>101</v>
      </c>
      <c r="L127" s="1">
        <v>105</v>
      </c>
      <c r="M127" s="1"/>
      <c r="N127" s="1">
        <v>0</v>
      </c>
    </row>
    <row r="128" spans="1:14" x14ac:dyDescent="0.35">
      <c r="A128" s="1" t="s">
        <v>53</v>
      </c>
      <c r="B128" s="1">
        <v>202512</v>
      </c>
      <c r="C128" s="1" t="str">
        <f>MID(analisis_productividad__4[[#This Row],[Periodo]],1,4)</f>
        <v>2025</v>
      </c>
      <c r="D128" s="1" t="str">
        <f>MID(analisis_productividad__4[[#This Row],[Periodo]],5,2)</f>
        <v>12</v>
      </c>
      <c r="E128" s="1" t="s">
        <v>11</v>
      </c>
      <c r="F128" s="1" t="s">
        <v>12</v>
      </c>
      <c r="G128" s="1">
        <v>121234</v>
      </c>
      <c r="H128" s="1">
        <v>9232864</v>
      </c>
      <c r="I128" s="1">
        <v>76.157130376344043</v>
      </c>
      <c r="J128" s="1">
        <v>116350.807573667</v>
      </c>
      <c r="K128" s="1">
        <v>81</v>
      </c>
      <c r="L128" s="1">
        <v>77</v>
      </c>
      <c r="M128" s="1">
        <v>79.353671732396478</v>
      </c>
      <c r="N128" s="1">
        <v>10159534</v>
      </c>
    </row>
    <row r="129" spans="1:14" x14ac:dyDescent="0.35">
      <c r="A129" s="1" t="s">
        <v>43</v>
      </c>
      <c r="B129" s="1">
        <v>202412</v>
      </c>
      <c r="C129" s="1" t="str">
        <f>MID(analisis_productividad__4[[#This Row],[Periodo]],1,4)</f>
        <v>2024</v>
      </c>
      <c r="D129" s="1" t="str">
        <f>MID(analisis_productividad__4[[#This Row],[Periodo]],5,2)</f>
        <v>12</v>
      </c>
      <c r="E129" s="1" t="s">
        <v>11</v>
      </c>
      <c r="F129" s="1" t="s">
        <v>12</v>
      </c>
      <c r="G129" s="1">
        <v>121229</v>
      </c>
      <c r="H129" s="1">
        <v>10322704</v>
      </c>
      <c r="I129" s="1">
        <v>85.150672043010744</v>
      </c>
      <c r="J129" s="1">
        <v>0</v>
      </c>
      <c r="K129" s="1">
        <v>84.5</v>
      </c>
      <c r="L129" s="1">
        <v>86.5</v>
      </c>
      <c r="M129" s="1"/>
      <c r="N129" s="1">
        <v>0</v>
      </c>
    </row>
    <row r="130" spans="1:14" x14ac:dyDescent="0.35">
      <c r="A130" s="1" t="s">
        <v>63</v>
      </c>
      <c r="B130" s="1">
        <v>202505</v>
      </c>
      <c r="C130" s="1" t="str">
        <f>MID(analisis_productividad__4[[#This Row],[Periodo]],1,4)</f>
        <v>2025</v>
      </c>
      <c r="D130" s="1" t="str">
        <f>MID(analisis_productividad__4[[#This Row],[Periodo]],5,2)</f>
        <v>05</v>
      </c>
      <c r="E130" s="1" t="s">
        <v>16</v>
      </c>
      <c r="F130" s="1" t="s">
        <v>17</v>
      </c>
      <c r="G130" s="1">
        <v>120971</v>
      </c>
      <c r="H130" s="1">
        <v>10406454</v>
      </c>
      <c r="I130" s="1">
        <v>86.024590053763376</v>
      </c>
      <c r="J130" s="1">
        <v>108260.06488602018</v>
      </c>
      <c r="K130" s="1">
        <v>86.5</v>
      </c>
      <c r="L130" s="1">
        <v>81.5</v>
      </c>
      <c r="M130" s="1">
        <v>96.124590549213693</v>
      </c>
      <c r="N130" s="1">
        <v>10085642</v>
      </c>
    </row>
    <row r="131" spans="1:14" x14ac:dyDescent="0.35">
      <c r="A131" s="1" t="s">
        <v>10</v>
      </c>
      <c r="B131" s="1">
        <v>202503</v>
      </c>
      <c r="C131" s="1" t="str">
        <f>MID(analisis_productividad__4[[#This Row],[Periodo]],1,4)</f>
        <v>2025</v>
      </c>
      <c r="D131" s="1" t="str">
        <f>MID(analisis_productividad__4[[#This Row],[Periodo]],5,2)</f>
        <v>03</v>
      </c>
      <c r="E131" s="1" t="s">
        <v>11</v>
      </c>
      <c r="F131" s="1" t="s">
        <v>12</v>
      </c>
      <c r="G131" s="1">
        <v>120956</v>
      </c>
      <c r="H131" s="1">
        <v>11059698</v>
      </c>
      <c r="I131" s="1">
        <v>91.435336021505307</v>
      </c>
      <c r="J131" s="1">
        <v>120896.88741263513</v>
      </c>
      <c r="K131" s="1">
        <v>98.5</v>
      </c>
      <c r="L131" s="1">
        <v>96.5</v>
      </c>
      <c r="M131" s="1">
        <v>91.480416549120633</v>
      </c>
      <c r="N131" s="1">
        <v>12315081</v>
      </c>
    </row>
    <row r="132" spans="1:14" x14ac:dyDescent="0.35">
      <c r="A132" s="1" t="s">
        <v>39</v>
      </c>
      <c r="B132" s="1">
        <v>202603</v>
      </c>
      <c r="C132" s="1" t="str">
        <f>MID(analisis_productividad__4[[#This Row],[Periodo]],1,4)</f>
        <v>2026</v>
      </c>
      <c r="D132" s="1" t="str">
        <f>MID(analisis_productividad__4[[#This Row],[Periodo]],5,2)</f>
        <v>03</v>
      </c>
      <c r="E132" s="1" t="s">
        <v>16</v>
      </c>
      <c r="F132" s="1" t="s">
        <v>17</v>
      </c>
      <c r="G132" s="1">
        <v>120904</v>
      </c>
      <c r="H132" s="1">
        <v>10383142</v>
      </c>
      <c r="I132" s="1">
        <v>85.879038978494563</v>
      </c>
      <c r="J132" s="1">
        <v>117800.62719711983</v>
      </c>
      <c r="K132" s="1">
        <v>93.5</v>
      </c>
      <c r="L132" s="1">
        <v>94</v>
      </c>
      <c r="M132" s="1">
        <v>84.619508156945685</v>
      </c>
      <c r="N132" s="1">
        <v>9968231</v>
      </c>
    </row>
    <row r="133" spans="1:14" x14ac:dyDescent="0.35">
      <c r="A133" s="1" t="s">
        <v>40</v>
      </c>
      <c r="B133" s="1">
        <v>202603</v>
      </c>
      <c r="C133" s="1" t="str">
        <f>MID(analisis_productividad__4[[#This Row],[Periodo]],1,4)</f>
        <v>2026</v>
      </c>
      <c r="D133" s="1" t="str">
        <f>MID(analisis_productividad__4[[#This Row],[Periodo]],5,2)</f>
        <v>03</v>
      </c>
      <c r="E133" s="1" t="s">
        <v>11</v>
      </c>
      <c r="F133" s="1" t="s">
        <v>14</v>
      </c>
      <c r="G133" s="1">
        <v>120499</v>
      </c>
      <c r="H133" s="1">
        <v>8437311</v>
      </c>
      <c r="I133" s="1">
        <v>70.019899193548412</v>
      </c>
      <c r="J133" s="1">
        <v>118051.21856134386</v>
      </c>
      <c r="K133" s="1">
        <v>76.5</v>
      </c>
      <c r="L133" s="1">
        <v>75.5</v>
      </c>
      <c r="M133" s="1">
        <v>67.697971575339096</v>
      </c>
      <c r="N133" s="1">
        <v>7991828</v>
      </c>
    </row>
    <row r="134" spans="1:14" x14ac:dyDescent="0.35">
      <c r="A134" s="1" t="s">
        <v>29</v>
      </c>
      <c r="B134" s="1">
        <v>202601</v>
      </c>
      <c r="C134" s="1" t="str">
        <f>MID(analisis_productividad__4[[#This Row],[Periodo]],1,4)</f>
        <v>2026</v>
      </c>
      <c r="D134" s="1" t="str">
        <f>MID(analisis_productividad__4[[#This Row],[Periodo]],5,2)</f>
        <v>01</v>
      </c>
      <c r="E134" s="1" t="s">
        <v>16</v>
      </c>
      <c r="F134" s="1" t="s">
        <v>19</v>
      </c>
      <c r="G134" s="1">
        <v>120493</v>
      </c>
      <c r="H134" s="1">
        <v>10143449</v>
      </c>
      <c r="I134" s="1">
        <v>84.183232526881724</v>
      </c>
      <c r="J134" s="1">
        <v>129912.11464541998</v>
      </c>
      <c r="K134" s="1">
        <v>96.5</v>
      </c>
      <c r="L134" s="1">
        <v>96</v>
      </c>
      <c r="M134" s="1">
        <v>83.321494048065787</v>
      </c>
      <c r="N134" s="1">
        <v>10824471</v>
      </c>
    </row>
    <row r="135" spans="1:14" x14ac:dyDescent="0.35">
      <c r="A135" s="1" t="s">
        <v>27</v>
      </c>
      <c r="B135" s="1">
        <v>202511</v>
      </c>
      <c r="C135" s="1" t="str">
        <f>MID(analisis_productividad__4[[#This Row],[Periodo]],1,4)</f>
        <v>2025</v>
      </c>
      <c r="D135" s="1" t="str">
        <f>MID(analisis_productividad__4[[#This Row],[Periodo]],5,2)</f>
        <v>11</v>
      </c>
      <c r="E135" s="1" t="s">
        <v>11</v>
      </c>
      <c r="F135" s="1" t="s">
        <v>14</v>
      </c>
      <c r="G135" s="1">
        <v>120361</v>
      </c>
      <c r="H135" s="1">
        <v>9580151</v>
      </c>
      <c r="I135" s="1">
        <v>79.594861111111172</v>
      </c>
      <c r="J135" s="1">
        <v>98943.671012343766</v>
      </c>
      <c r="K135" s="1">
        <v>88</v>
      </c>
      <c r="L135" s="1">
        <v>84</v>
      </c>
      <c r="M135" s="1">
        <v>96.824289941746983</v>
      </c>
      <c r="N135" s="1">
        <v>8608878</v>
      </c>
    </row>
    <row r="136" spans="1:14" x14ac:dyDescent="0.35">
      <c r="A136" s="1" t="s">
        <v>56</v>
      </c>
      <c r="B136" s="1">
        <v>202503</v>
      </c>
      <c r="C136" s="1" t="str">
        <f>MID(analisis_productividad__4[[#This Row],[Periodo]],1,4)</f>
        <v>2025</v>
      </c>
      <c r="D136" s="1" t="str">
        <f>MID(analisis_productividad__4[[#This Row],[Periodo]],5,2)</f>
        <v>03</v>
      </c>
      <c r="E136" s="1" t="s">
        <v>16</v>
      </c>
      <c r="F136" s="1" t="s">
        <v>21</v>
      </c>
      <c r="G136" s="1">
        <v>120289</v>
      </c>
      <c r="H136" s="1">
        <v>7107254</v>
      </c>
      <c r="I136" s="1">
        <v>59.084845430107499</v>
      </c>
      <c r="J136" s="1">
        <v>102617.39737322778</v>
      </c>
      <c r="K136" s="1">
        <v>72.5</v>
      </c>
      <c r="L136" s="1">
        <v>68.5</v>
      </c>
      <c r="M136" s="1">
        <v>69.259741836467953</v>
      </c>
      <c r="N136" s="1">
        <v>6868134</v>
      </c>
    </row>
    <row r="137" spans="1:14" x14ac:dyDescent="0.35">
      <c r="A137" s="1" t="s">
        <v>15</v>
      </c>
      <c r="B137" s="1">
        <v>202405</v>
      </c>
      <c r="C137" s="1" t="str">
        <f>MID(analisis_productividad__4[[#This Row],[Periodo]],1,4)</f>
        <v>2024</v>
      </c>
      <c r="D137" s="1" t="str">
        <f>MID(analisis_productividad__4[[#This Row],[Periodo]],5,2)</f>
        <v>05</v>
      </c>
      <c r="E137" s="1" t="s">
        <v>16</v>
      </c>
      <c r="F137" s="1" t="s">
        <v>17</v>
      </c>
      <c r="G137" s="1">
        <v>120204</v>
      </c>
      <c r="H137" s="1">
        <v>6091120</v>
      </c>
      <c r="I137" s="1">
        <v>50.673319892473131</v>
      </c>
      <c r="J137" s="1">
        <v>0</v>
      </c>
      <c r="K137" s="1">
        <v>61</v>
      </c>
      <c r="L137" s="1">
        <v>60</v>
      </c>
      <c r="M137" s="1"/>
      <c r="N137" s="1">
        <v>0</v>
      </c>
    </row>
    <row r="138" spans="1:14" x14ac:dyDescent="0.35">
      <c r="A138" s="1" t="s">
        <v>8</v>
      </c>
      <c r="B138" s="1">
        <v>202503</v>
      </c>
      <c r="C138" s="1" t="str">
        <f>MID(analisis_productividad__4[[#This Row],[Periodo]],1,4)</f>
        <v>2025</v>
      </c>
      <c r="D138" s="1" t="str">
        <f>MID(analisis_productividad__4[[#This Row],[Periodo]],5,2)</f>
        <v>03</v>
      </c>
      <c r="E138" s="1" t="s">
        <v>9</v>
      </c>
      <c r="F138" s="1" t="s">
        <v>9</v>
      </c>
      <c r="G138" s="1">
        <v>120140</v>
      </c>
      <c r="H138" s="1">
        <v>3107812</v>
      </c>
      <c r="I138" s="1">
        <v>25.868245967741938</v>
      </c>
      <c r="J138" s="1">
        <v>76191.686301223745</v>
      </c>
      <c r="K138" s="1">
        <v>13.5</v>
      </c>
      <c r="L138" s="1">
        <v>12.5</v>
      </c>
      <c r="M138" s="1">
        <v>40.789379141882634</v>
      </c>
      <c r="N138" s="1">
        <v>941378</v>
      </c>
    </row>
    <row r="139" spans="1:14" x14ac:dyDescent="0.35">
      <c r="A139" s="1" t="s">
        <v>41</v>
      </c>
      <c r="B139" s="1">
        <v>202603</v>
      </c>
      <c r="C139" s="1" t="str">
        <f>MID(analisis_productividad__4[[#This Row],[Periodo]],1,4)</f>
        <v>2026</v>
      </c>
      <c r="D139" s="1" t="str">
        <f>MID(analisis_productividad__4[[#This Row],[Periodo]],5,2)</f>
        <v>03</v>
      </c>
      <c r="E139" s="1" t="s">
        <v>16</v>
      </c>
      <c r="F139" s="1" t="s">
        <v>19</v>
      </c>
      <c r="G139" s="1">
        <v>120071</v>
      </c>
      <c r="H139" s="1">
        <v>6484451</v>
      </c>
      <c r="I139" s="1">
        <v>54.005282258064511</v>
      </c>
      <c r="J139" s="1">
        <v>132658.56321990382</v>
      </c>
      <c r="K139" s="1">
        <v>57.5</v>
      </c>
      <c r="L139" s="1">
        <v>56.5</v>
      </c>
      <c r="M139" s="1">
        <v>50.698263574219922</v>
      </c>
      <c r="N139" s="1">
        <v>6725559</v>
      </c>
    </row>
    <row r="140" spans="1:14" x14ac:dyDescent="0.35">
      <c r="A140" s="1" t="s">
        <v>40</v>
      </c>
      <c r="B140" s="1">
        <v>202403</v>
      </c>
      <c r="C140" s="1" t="str">
        <f>MID(analisis_productividad__4[[#This Row],[Periodo]],1,4)</f>
        <v>2024</v>
      </c>
      <c r="D140" s="1" t="str">
        <f>MID(analisis_productividad__4[[#This Row],[Periodo]],5,2)</f>
        <v>03</v>
      </c>
      <c r="E140" s="1" t="s">
        <v>11</v>
      </c>
      <c r="F140" s="1" t="s">
        <v>14</v>
      </c>
      <c r="G140" s="1">
        <v>119878</v>
      </c>
      <c r="H140" s="1">
        <v>9145975</v>
      </c>
      <c r="I140" s="1">
        <v>76.293790322580648</v>
      </c>
      <c r="J140" s="1">
        <v>0</v>
      </c>
      <c r="K140" s="1">
        <v>76.5</v>
      </c>
      <c r="L140" s="1">
        <v>75.5</v>
      </c>
      <c r="M140" s="1"/>
      <c r="N140" s="1">
        <v>0</v>
      </c>
    </row>
    <row r="141" spans="1:14" x14ac:dyDescent="0.35">
      <c r="A141" s="1" t="s">
        <v>29</v>
      </c>
      <c r="B141" s="1">
        <v>202605</v>
      </c>
      <c r="C141" s="1" t="str">
        <f>MID(analisis_productividad__4[[#This Row],[Periodo]],1,4)</f>
        <v>2026</v>
      </c>
      <c r="D141" s="1" t="str">
        <f>MID(analisis_productividad__4[[#This Row],[Periodo]],5,2)</f>
        <v>05</v>
      </c>
      <c r="E141" s="1" t="s">
        <v>16</v>
      </c>
      <c r="F141" s="1" t="s">
        <v>19</v>
      </c>
      <c r="G141" s="1">
        <v>119824</v>
      </c>
      <c r="H141" s="1">
        <v>10442437</v>
      </c>
      <c r="I141" s="1">
        <v>87.148212365590808</v>
      </c>
      <c r="J141" s="1">
        <v>132364.57245519134</v>
      </c>
      <c r="K141" s="1">
        <v>96.5</v>
      </c>
      <c r="L141" s="1">
        <v>96</v>
      </c>
      <c r="M141" s="1">
        <v>83.321494048065787</v>
      </c>
      <c r="N141" s="1">
        <v>11028814</v>
      </c>
    </row>
    <row r="142" spans="1:14" x14ac:dyDescent="0.35">
      <c r="A142" s="1" t="s">
        <v>15</v>
      </c>
      <c r="B142" s="1">
        <v>202506</v>
      </c>
      <c r="C142" s="1" t="str">
        <f>MID(analisis_productividad__4[[#This Row],[Periodo]],1,4)</f>
        <v>2025</v>
      </c>
      <c r="D142" s="1" t="str">
        <f>MID(analisis_productividad__4[[#This Row],[Periodo]],5,2)</f>
        <v>06</v>
      </c>
      <c r="E142" s="1" t="s">
        <v>16</v>
      </c>
      <c r="F142" s="1" t="s">
        <v>17</v>
      </c>
      <c r="G142" s="1">
        <v>119743</v>
      </c>
      <c r="H142" s="1">
        <v>6420726</v>
      </c>
      <c r="I142" s="1">
        <v>53.620826388888894</v>
      </c>
      <c r="J142" s="1">
        <v>134887.29141029992</v>
      </c>
      <c r="K142" s="1">
        <v>61</v>
      </c>
      <c r="L142" s="1">
        <v>60</v>
      </c>
      <c r="M142" s="1">
        <v>47.600675963382244</v>
      </c>
      <c r="N142" s="1">
        <v>6662679</v>
      </c>
    </row>
    <row r="143" spans="1:14" x14ac:dyDescent="0.35">
      <c r="A143" s="1" t="s">
        <v>28</v>
      </c>
      <c r="B143" s="1">
        <v>202403</v>
      </c>
      <c r="C143" s="1" t="str">
        <f>MID(analisis_productividad__4[[#This Row],[Periodo]],1,4)</f>
        <v>2024</v>
      </c>
      <c r="D143" s="1" t="str">
        <f>MID(analisis_productividad__4[[#This Row],[Periodo]],5,2)</f>
        <v>03</v>
      </c>
      <c r="E143" s="1" t="s">
        <v>16</v>
      </c>
      <c r="F143" s="1" t="s">
        <v>17</v>
      </c>
      <c r="G143" s="1">
        <v>119738</v>
      </c>
      <c r="H143" s="1">
        <v>7077844</v>
      </c>
      <c r="I143" s="1">
        <v>59.110860215053783</v>
      </c>
      <c r="J143" s="1">
        <v>0</v>
      </c>
      <c r="K143" s="1">
        <v>64</v>
      </c>
      <c r="L143" s="1">
        <v>67</v>
      </c>
      <c r="M143" s="1"/>
      <c r="N143" s="1">
        <v>0</v>
      </c>
    </row>
    <row r="144" spans="1:14" x14ac:dyDescent="0.35">
      <c r="A144" s="1" t="s">
        <v>29</v>
      </c>
      <c r="B144" s="1">
        <v>202604</v>
      </c>
      <c r="C144" s="1" t="str">
        <f>MID(analisis_productividad__4[[#This Row],[Periodo]],1,4)</f>
        <v>2026</v>
      </c>
      <c r="D144" s="1" t="str">
        <f>MID(analisis_productividad__4[[#This Row],[Periodo]],5,2)</f>
        <v>04</v>
      </c>
      <c r="E144" s="1" t="s">
        <v>16</v>
      </c>
      <c r="F144" s="1" t="s">
        <v>19</v>
      </c>
      <c r="G144" s="1">
        <v>119706</v>
      </c>
      <c r="H144" s="1">
        <v>10206022</v>
      </c>
      <c r="I144" s="1">
        <v>85.258881944446841</v>
      </c>
      <c r="J144" s="1">
        <v>141890.44670970403</v>
      </c>
      <c r="K144" s="1">
        <v>96.5</v>
      </c>
      <c r="L144" s="1">
        <v>96</v>
      </c>
      <c r="M144" s="1">
        <v>83.321494048065787</v>
      </c>
      <c r="N144" s="1">
        <v>11822524</v>
      </c>
    </row>
    <row r="145" spans="1:14" x14ac:dyDescent="0.35">
      <c r="A145" s="1" t="s">
        <v>42</v>
      </c>
      <c r="B145" s="1">
        <v>202603</v>
      </c>
      <c r="C145" s="1" t="str">
        <f>MID(analisis_productividad__4[[#This Row],[Periodo]],1,4)</f>
        <v>2026</v>
      </c>
      <c r="D145" s="1" t="str">
        <f>MID(analisis_productividad__4[[#This Row],[Periodo]],5,2)</f>
        <v>03</v>
      </c>
      <c r="E145" s="1" t="s">
        <v>16</v>
      </c>
      <c r="F145" s="1" t="s">
        <v>19</v>
      </c>
      <c r="G145" s="1">
        <v>119695</v>
      </c>
      <c r="H145" s="1">
        <v>6432504</v>
      </c>
      <c r="I145" s="1">
        <v>53.740665322580661</v>
      </c>
      <c r="J145" s="1">
        <v>107383.13805009029</v>
      </c>
      <c r="K145" s="1">
        <v>62</v>
      </c>
      <c r="L145" s="1">
        <v>58</v>
      </c>
      <c r="M145" s="1">
        <v>54.66595376698497</v>
      </c>
      <c r="N145" s="1">
        <v>5870202</v>
      </c>
    </row>
    <row r="146" spans="1:14" x14ac:dyDescent="0.35">
      <c r="A146" s="1" t="s">
        <v>13</v>
      </c>
      <c r="B146" s="1">
        <v>202511</v>
      </c>
      <c r="C146" s="1" t="str">
        <f>MID(analisis_productividad__4[[#This Row],[Periodo]],1,4)</f>
        <v>2025</v>
      </c>
      <c r="D146" s="1" t="str">
        <f>MID(analisis_productividad__4[[#This Row],[Periodo]],5,2)</f>
        <v>11</v>
      </c>
      <c r="E146" s="1" t="s">
        <v>11</v>
      </c>
      <c r="F146" s="1" t="s">
        <v>14</v>
      </c>
      <c r="G146" s="1">
        <v>119583</v>
      </c>
      <c r="H146" s="1">
        <v>10277193</v>
      </c>
      <c r="I146" s="1">
        <v>85.941819444444505</v>
      </c>
      <c r="J146" s="1">
        <v>103626.71771521609</v>
      </c>
      <c r="K146" s="1">
        <v>100</v>
      </c>
      <c r="L146" s="1">
        <v>98</v>
      </c>
      <c r="M146" s="1">
        <v>99.175124587497606</v>
      </c>
      <c r="N146" s="1">
        <v>9287877</v>
      </c>
    </row>
    <row r="147" spans="1:14" x14ac:dyDescent="0.35">
      <c r="A147" s="1" t="s">
        <v>36</v>
      </c>
      <c r="B147" s="1">
        <v>202507</v>
      </c>
      <c r="C147" s="1" t="str">
        <f>MID(analisis_productividad__4[[#This Row],[Periodo]],1,4)</f>
        <v>2025</v>
      </c>
      <c r="D147" s="1" t="str">
        <f>MID(analisis_productividad__4[[#This Row],[Periodo]],5,2)</f>
        <v>07</v>
      </c>
      <c r="E147" s="1" t="s">
        <v>16</v>
      </c>
      <c r="F147" s="1" t="s">
        <v>17</v>
      </c>
      <c r="G147" s="1">
        <v>119561</v>
      </c>
      <c r="H147" s="1">
        <v>8149070</v>
      </c>
      <c r="I147" s="1">
        <v>68.15826612903227</v>
      </c>
      <c r="J147" s="1">
        <v>124122.63882738908</v>
      </c>
      <c r="K147" s="1">
        <v>76.5</v>
      </c>
      <c r="L147" s="1">
        <v>80</v>
      </c>
      <c r="M147" s="1">
        <v>65.653372317780722</v>
      </c>
      <c r="N147" s="1">
        <v>8471773</v>
      </c>
    </row>
    <row r="148" spans="1:14" x14ac:dyDescent="0.35">
      <c r="A148" s="1" t="s">
        <v>22</v>
      </c>
      <c r="B148" s="1">
        <v>202503</v>
      </c>
      <c r="C148" s="1" t="str">
        <f>MID(analisis_productividad__4[[#This Row],[Periodo]],1,4)</f>
        <v>2025</v>
      </c>
      <c r="D148" s="1" t="str">
        <f>MID(analisis_productividad__4[[#This Row],[Periodo]],5,2)</f>
        <v>03</v>
      </c>
      <c r="E148" s="1" t="s">
        <v>16</v>
      </c>
      <c r="F148" s="1" t="s">
        <v>21</v>
      </c>
      <c r="G148" s="1">
        <v>119551</v>
      </c>
      <c r="H148" s="1">
        <v>6436913</v>
      </c>
      <c r="I148" s="1">
        <v>53.842325268817198</v>
      </c>
      <c r="J148" s="1">
        <v>111379.65905814184</v>
      </c>
      <c r="K148" s="1">
        <v>59.5</v>
      </c>
      <c r="L148" s="1">
        <v>55.5</v>
      </c>
      <c r="M148" s="1">
        <v>57.792538731330069</v>
      </c>
      <c r="N148" s="1">
        <v>6168236</v>
      </c>
    </row>
    <row r="149" spans="1:14" x14ac:dyDescent="0.35">
      <c r="A149" s="1" t="s">
        <v>10</v>
      </c>
      <c r="B149" s="1">
        <v>202511</v>
      </c>
      <c r="C149" s="1" t="str">
        <f>MID(analisis_productividad__4[[#This Row],[Periodo]],1,4)</f>
        <v>2025</v>
      </c>
      <c r="D149" s="1" t="str">
        <f>MID(analisis_productividad__4[[#This Row],[Periodo]],5,2)</f>
        <v>11</v>
      </c>
      <c r="E149" s="1" t="s">
        <v>11</v>
      </c>
      <c r="F149" s="1" t="s">
        <v>12</v>
      </c>
      <c r="G149" s="1">
        <v>119548</v>
      </c>
      <c r="H149" s="1">
        <v>10556503</v>
      </c>
      <c r="I149" s="1">
        <v>88.303444444444509</v>
      </c>
      <c r="J149" s="1">
        <v>109455.43166215495</v>
      </c>
      <c r="K149" s="1">
        <v>98.5</v>
      </c>
      <c r="L149" s="1">
        <v>96.5</v>
      </c>
      <c r="M149" s="1">
        <v>96.445677566588913</v>
      </c>
      <c r="N149" s="1">
        <v>8535997</v>
      </c>
    </row>
    <row r="150" spans="1:14" x14ac:dyDescent="0.35">
      <c r="A150" s="1" t="s">
        <v>32</v>
      </c>
      <c r="B150" s="1">
        <v>202403</v>
      </c>
      <c r="C150" s="1" t="str">
        <f>MID(analisis_productividad__4[[#This Row],[Periodo]],1,4)</f>
        <v>2024</v>
      </c>
      <c r="D150" s="1" t="str">
        <f>MID(analisis_productividad__4[[#This Row],[Periodo]],5,2)</f>
        <v>03</v>
      </c>
      <c r="E150" s="1" t="s">
        <v>11</v>
      </c>
      <c r="F150" s="1" t="s">
        <v>12</v>
      </c>
      <c r="G150" s="1">
        <v>119495</v>
      </c>
      <c r="H150" s="1">
        <v>7545730</v>
      </c>
      <c r="I150" s="1">
        <v>63.146586021505392</v>
      </c>
      <c r="J150" s="1">
        <v>0</v>
      </c>
      <c r="K150" s="1">
        <v>65.5</v>
      </c>
      <c r="L150" s="1">
        <v>66</v>
      </c>
      <c r="M150" s="1"/>
      <c r="N150" s="1">
        <v>0</v>
      </c>
    </row>
    <row r="151" spans="1:14" x14ac:dyDescent="0.35">
      <c r="A151" s="1" t="s">
        <v>13</v>
      </c>
      <c r="B151" s="1">
        <v>202605</v>
      </c>
      <c r="C151" s="1" t="str">
        <f>MID(analisis_productividad__4[[#This Row],[Periodo]],1,4)</f>
        <v>2026</v>
      </c>
      <c r="D151" s="1" t="str">
        <f>MID(analisis_productividad__4[[#This Row],[Periodo]],5,2)</f>
        <v>05</v>
      </c>
      <c r="E151" s="1" t="s">
        <v>11</v>
      </c>
      <c r="F151" s="1" t="s">
        <v>14</v>
      </c>
      <c r="G151" s="1">
        <v>119407</v>
      </c>
      <c r="H151" s="1">
        <v>11118522</v>
      </c>
      <c r="I151" s="1">
        <v>93.114771505377036</v>
      </c>
      <c r="J151" s="1">
        <v>120228.60825326118</v>
      </c>
      <c r="K151" s="1">
        <v>100</v>
      </c>
      <c r="L151" s="1">
        <v>98</v>
      </c>
      <c r="M151" s="1">
        <v>86.393284871267369</v>
      </c>
      <c r="N151" s="1">
        <v>10386944</v>
      </c>
    </row>
    <row r="152" spans="1:14" x14ac:dyDescent="0.35">
      <c r="A152" s="1" t="s">
        <v>38</v>
      </c>
      <c r="B152" s="1">
        <v>202606</v>
      </c>
      <c r="C152" s="1" t="str">
        <f>MID(analisis_productividad__4[[#This Row],[Periodo]],1,4)</f>
        <v>2026</v>
      </c>
      <c r="D152" s="1" t="str">
        <f>MID(analisis_productividad__4[[#This Row],[Periodo]],5,2)</f>
        <v>06</v>
      </c>
      <c r="E152" s="1" t="s">
        <v>34</v>
      </c>
      <c r="F152" s="1" t="s">
        <v>35</v>
      </c>
      <c r="G152" s="1">
        <v>119394</v>
      </c>
      <c r="H152" s="1">
        <v>12302365</v>
      </c>
      <c r="I152" s="1">
        <v>103.04038888889117</v>
      </c>
      <c r="J152" s="1">
        <v>100554.75198683646</v>
      </c>
      <c r="K152" s="1">
        <v>140.5</v>
      </c>
      <c r="L152" s="1">
        <v>125.5</v>
      </c>
      <c r="M152" s="1">
        <v>117.18897502469719</v>
      </c>
      <c r="N152" s="1">
        <v>11783908</v>
      </c>
    </row>
    <row r="153" spans="1:14" x14ac:dyDescent="0.35">
      <c r="A153" s="1" t="s">
        <v>63</v>
      </c>
      <c r="B153" s="1">
        <v>202408</v>
      </c>
      <c r="C153" s="1" t="str">
        <f>MID(analisis_productividad__4[[#This Row],[Periodo]],1,4)</f>
        <v>2024</v>
      </c>
      <c r="D153" s="1" t="str">
        <f>MID(analisis_productividad__4[[#This Row],[Periodo]],5,2)</f>
        <v>08</v>
      </c>
      <c r="E153" s="1" t="s">
        <v>16</v>
      </c>
      <c r="F153" s="1" t="s">
        <v>17</v>
      </c>
      <c r="G153" s="1">
        <v>119257</v>
      </c>
      <c r="H153" s="1">
        <v>11255898</v>
      </c>
      <c r="I153" s="1">
        <v>94.383897849462286</v>
      </c>
      <c r="J153" s="1">
        <v>0</v>
      </c>
      <c r="K153" s="1">
        <v>86.5</v>
      </c>
      <c r="L153" s="1">
        <v>81.5</v>
      </c>
      <c r="M153" s="1"/>
      <c r="N153" s="1">
        <v>0</v>
      </c>
    </row>
    <row r="154" spans="1:14" x14ac:dyDescent="0.35">
      <c r="A154" s="1" t="s">
        <v>48</v>
      </c>
      <c r="B154" s="1">
        <v>202512</v>
      </c>
      <c r="C154" s="1" t="str">
        <f>MID(analisis_productividad__4[[#This Row],[Periodo]],1,4)</f>
        <v>2025</v>
      </c>
      <c r="D154" s="1" t="str">
        <f>MID(analisis_productividad__4[[#This Row],[Periodo]],5,2)</f>
        <v>12</v>
      </c>
      <c r="E154" s="1" t="s">
        <v>16</v>
      </c>
      <c r="F154" s="1" t="s">
        <v>21</v>
      </c>
      <c r="G154" s="1">
        <v>119238</v>
      </c>
      <c r="H154" s="1">
        <v>6746518</v>
      </c>
      <c r="I154" s="1">
        <v>56.580463709677375</v>
      </c>
      <c r="J154" s="1">
        <v>94928.500299965861</v>
      </c>
      <c r="K154" s="1">
        <v>56</v>
      </c>
      <c r="L154" s="1">
        <v>60</v>
      </c>
      <c r="M154" s="1">
        <v>71.069468902190451</v>
      </c>
      <c r="N154" s="1">
        <v>6482598</v>
      </c>
    </row>
    <row r="155" spans="1:14" x14ac:dyDescent="0.35">
      <c r="A155" s="1" t="s">
        <v>13</v>
      </c>
      <c r="B155" s="1">
        <v>202601</v>
      </c>
      <c r="C155" s="1" t="str">
        <f>MID(analisis_productividad__4[[#This Row],[Periodo]],1,4)</f>
        <v>2026</v>
      </c>
      <c r="D155" s="1" t="str">
        <f>MID(analisis_productividad__4[[#This Row],[Periodo]],5,2)</f>
        <v>01</v>
      </c>
      <c r="E155" s="1" t="s">
        <v>11</v>
      </c>
      <c r="F155" s="1" t="s">
        <v>14</v>
      </c>
      <c r="G155" s="1">
        <v>119201</v>
      </c>
      <c r="H155" s="1">
        <v>10454554</v>
      </c>
      <c r="I155" s="1">
        <v>87.704966397849461</v>
      </c>
      <c r="J155" s="1">
        <v>113159.87525613092</v>
      </c>
      <c r="K155" s="1">
        <v>100</v>
      </c>
      <c r="L155" s="1">
        <v>98</v>
      </c>
      <c r="M155" s="1">
        <v>86.393284871267369</v>
      </c>
      <c r="N155" s="1">
        <v>9776253</v>
      </c>
    </row>
    <row r="156" spans="1:14" x14ac:dyDescent="0.35">
      <c r="A156" s="1" t="s">
        <v>30</v>
      </c>
      <c r="B156" s="1">
        <v>202603</v>
      </c>
      <c r="C156" s="1" t="str">
        <f>MID(analisis_productividad__4[[#This Row],[Periodo]],1,4)</f>
        <v>2026</v>
      </c>
      <c r="D156" s="1" t="str">
        <f>MID(analisis_productividad__4[[#This Row],[Periodo]],5,2)</f>
        <v>03</v>
      </c>
      <c r="E156" s="1" t="s">
        <v>16</v>
      </c>
      <c r="F156" s="1" t="s">
        <v>19</v>
      </c>
      <c r="G156" s="1">
        <v>119167</v>
      </c>
      <c r="H156" s="1">
        <v>11426947</v>
      </c>
      <c r="I156" s="1">
        <v>95.890356182795671</v>
      </c>
      <c r="J156" s="1">
        <v>119568.63339234533</v>
      </c>
      <c r="K156" s="1">
        <v>101</v>
      </c>
      <c r="L156" s="1">
        <v>105</v>
      </c>
      <c r="M156" s="1">
        <v>90.439897606894348</v>
      </c>
      <c r="N156" s="1">
        <v>10813775</v>
      </c>
    </row>
    <row r="157" spans="1:14" x14ac:dyDescent="0.35">
      <c r="A157" s="1" t="s">
        <v>10</v>
      </c>
      <c r="B157" s="1">
        <v>202602</v>
      </c>
      <c r="C157" s="1" t="str">
        <f>MID(analisis_productividad__4[[#This Row],[Periodo]],1,4)</f>
        <v>2026</v>
      </c>
      <c r="D157" s="1" t="str">
        <f>MID(analisis_productividad__4[[#This Row],[Periodo]],5,2)</f>
        <v>02</v>
      </c>
      <c r="E157" s="1" t="s">
        <v>11</v>
      </c>
      <c r="F157" s="1" t="s">
        <v>12</v>
      </c>
      <c r="G157" s="1">
        <v>119002</v>
      </c>
      <c r="H157" s="1">
        <v>10786907</v>
      </c>
      <c r="I157" s="1">
        <v>90.644739583333319</v>
      </c>
      <c r="J157" s="1">
        <v>108284.24193226044</v>
      </c>
      <c r="K157" s="1">
        <v>98.5</v>
      </c>
      <c r="L157" s="1">
        <v>96.5</v>
      </c>
      <c r="M157" s="1">
        <v>87.166669283279759</v>
      </c>
      <c r="N157" s="1">
        <v>9438777</v>
      </c>
    </row>
    <row r="158" spans="1:14" x14ac:dyDescent="0.35">
      <c r="A158" s="1" t="s">
        <v>28</v>
      </c>
      <c r="B158" s="1">
        <v>202412</v>
      </c>
      <c r="C158" s="1" t="str">
        <f>MID(analisis_productividad__4[[#This Row],[Periodo]],1,4)</f>
        <v>2024</v>
      </c>
      <c r="D158" s="1" t="str">
        <f>MID(analisis_productividad__4[[#This Row],[Periodo]],5,2)</f>
        <v>12</v>
      </c>
      <c r="E158" s="1" t="s">
        <v>16</v>
      </c>
      <c r="F158" s="1" t="s">
        <v>17</v>
      </c>
      <c r="G158" s="1">
        <v>118789</v>
      </c>
      <c r="H158" s="1">
        <v>7583514</v>
      </c>
      <c r="I158" s="1">
        <v>63.840188172043028</v>
      </c>
      <c r="J158" s="1">
        <v>0</v>
      </c>
      <c r="K158" s="1">
        <v>64</v>
      </c>
      <c r="L158" s="1">
        <v>67</v>
      </c>
      <c r="M158" s="1"/>
      <c r="N158" s="1">
        <v>0</v>
      </c>
    </row>
    <row r="159" spans="1:14" x14ac:dyDescent="0.35">
      <c r="A159" s="1" t="s">
        <v>25</v>
      </c>
      <c r="B159" s="1">
        <v>202511</v>
      </c>
      <c r="C159" s="1" t="str">
        <f>MID(analisis_productividad__4[[#This Row],[Periodo]],1,4)</f>
        <v>2025</v>
      </c>
      <c r="D159" s="1" t="str">
        <f>MID(analisis_productividad__4[[#This Row],[Periodo]],5,2)</f>
        <v>11</v>
      </c>
      <c r="E159" s="1" t="s">
        <v>16</v>
      </c>
      <c r="F159" s="1" t="s">
        <v>19</v>
      </c>
      <c r="G159" s="1">
        <v>118727</v>
      </c>
      <c r="H159" s="1">
        <v>10659761</v>
      </c>
      <c r="I159" s="1">
        <v>89.783798611111166</v>
      </c>
      <c r="J159" s="1">
        <v>111048.84603336702</v>
      </c>
      <c r="K159" s="1">
        <v>94</v>
      </c>
      <c r="L159" s="1">
        <v>92</v>
      </c>
      <c r="M159" s="1">
        <v>95.99164035254401</v>
      </c>
      <c r="N159" s="1">
        <v>8225214</v>
      </c>
    </row>
    <row r="160" spans="1:14" x14ac:dyDescent="0.35">
      <c r="A160" s="1" t="s">
        <v>63</v>
      </c>
      <c r="B160" s="1">
        <v>202411</v>
      </c>
      <c r="C160" s="1" t="str">
        <f>MID(analisis_productividad__4[[#This Row],[Periodo]],1,4)</f>
        <v>2024</v>
      </c>
      <c r="D160" s="1" t="str">
        <f>MID(analisis_productividad__4[[#This Row],[Periodo]],5,2)</f>
        <v>11</v>
      </c>
      <c r="E160" s="1" t="s">
        <v>16</v>
      </c>
      <c r="F160" s="1" t="s">
        <v>17</v>
      </c>
      <c r="G160" s="1">
        <v>118646</v>
      </c>
      <c r="H160" s="1">
        <v>10489145</v>
      </c>
      <c r="I160" s="1">
        <v>88.406986111111095</v>
      </c>
      <c r="J160" s="1">
        <v>0</v>
      </c>
      <c r="K160" s="1">
        <v>86.5</v>
      </c>
      <c r="L160" s="1">
        <v>81.5</v>
      </c>
      <c r="M160" s="1"/>
      <c r="N160" s="1">
        <v>0</v>
      </c>
    </row>
    <row r="161" spans="1:14" x14ac:dyDescent="0.35">
      <c r="A161" s="1" t="s">
        <v>18</v>
      </c>
      <c r="B161" s="1">
        <v>202503</v>
      </c>
      <c r="C161" s="1" t="str">
        <f>MID(analisis_productividad__4[[#This Row],[Periodo]],1,4)</f>
        <v>2025</v>
      </c>
      <c r="D161" s="1" t="str">
        <f>MID(analisis_productividad__4[[#This Row],[Periodo]],5,2)</f>
        <v>03</v>
      </c>
      <c r="E161" s="1" t="s">
        <v>16</v>
      </c>
      <c r="F161" s="1" t="s">
        <v>19</v>
      </c>
      <c r="G161" s="1">
        <v>118554</v>
      </c>
      <c r="H161" s="1">
        <v>8040097</v>
      </c>
      <c r="I161" s="1">
        <v>67.818192204301084</v>
      </c>
      <c r="J161" s="1">
        <v>115289.11671409696</v>
      </c>
      <c r="K161" s="1">
        <v>70.5</v>
      </c>
      <c r="L161" s="1">
        <v>69.5</v>
      </c>
      <c r="M161" s="1">
        <v>69.738561966247588</v>
      </c>
      <c r="N161" s="1">
        <v>7462734</v>
      </c>
    </row>
    <row r="162" spans="1:14" x14ac:dyDescent="0.35">
      <c r="A162" s="1" t="s">
        <v>77</v>
      </c>
      <c r="B162" s="1">
        <v>202512</v>
      </c>
      <c r="C162" s="1" t="str">
        <f>MID(analisis_productividad__4[[#This Row],[Periodo]],1,4)</f>
        <v>2025</v>
      </c>
      <c r="D162" s="1" t="str">
        <f>MID(analisis_productividad__4[[#This Row],[Periodo]],5,2)</f>
        <v>12</v>
      </c>
      <c r="E162" s="1" t="s">
        <v>16</v>
      </c>
      <c r="F162" s="1" t="s">
        <v>21</v>
      </c>
      <c r="G162" s="1">
        <v>118455</v>
      </c>
      <c r="H162" s="1">
        <v>6905514</v>
      </c>
      <c r="I162" s="1">
        <v>58.296639784946194</v>
      </c>
      <c r="J162" s="1">
        <v>107532.26084819695</v>
      </c>
      <c r="K162" s="1">
        <v>60.5</v>
      </c>
      <c r="L162" s="1">
        <v>60.5</v>
      </c>
      <c r="M162" s="1">
        <v>64.218066239195878</v>
      </c>
      <c r="N162" s="1">
        <v>7271704</v>
      </c>
    </row>
    <row r="163" spans="1:14" x14ac:dyDescent="0.35">
      <c r="A163" s="1" t="s">
        <v>30</v>
      </c>
      <c r="B163" s="1">
        <v>202508</v>
      </c>
      <c r="C163" s="1" t="str">
        <f>MID(analisis_productividad__4[[#This Row],[Periodo]],1,4)</f>
        <v>2025</v>
      </c>
      <c r="D163" s="1" t="str">
        <f>MID(analisis_productividad__4[[#This Row],[Periodo]],5,2)</f>
        <v>08</v>
      </c>
      <c r="E163" s="1" t="s">
        <v>16</v>
      </c>
      <c r="F163" s="1" t="s">
        <v>19</v>
      </c>
      <c r="G163" s="1">
        <v>118453</v>
      </c>
      <c r="H163" s="1">
        <v>9312635</v>
      </c>
      <c r="I163" s="1">
        <v>78.618561827957024</v>
      </c>
      <c r="J163" s="1">
        <v>116313.42723881087</v>
      </c>
      <c r="K163" s="1">
        <v>101</v>
      </c>
      <c r="L163" s="1">
        <v>105</v>
      </c>
      <c r="M163" s="1">
        <v>80.065006689894901</v>
      </c>
      <c r="N163" s="1">
        <v>10376580</v>
      </c>
    </row>
    <row r="164" spans="1:14" x14ac:dyDescent="0.35">
      <c r="A164" s="1" t="s">
        <v>15</v>
      </c>
      <c r="B164" s="1">
        <v>202411</v>
      </c>
      <c r="C164" s="1" t="str">
        <f>MID(analisis_productividad__4[[#This Row],[Periodo]],1,4)</f>
        <v>2024</v>
      </c>
      <c r="D164" s="1" t="str">
        <f>MID(analisis_productividad__4[[#This Row],[Periodo]],5,2)</f>
        <v>11</v>
      </c>
      <c r="E164" s="1" t="s">
        <v>16</v>
      </c>
      <c r="F164" s="1" t="s">
        <v>17</v>
      </c>
      <c r="G164" s="1">
        <v>118453</v>
      </c>
      <c r="H164" s="1">
        <v>6827657</v>
      </c>
      <c r="I164" s="1">
        <v>57.64033333333338</v>
      </c>
      <c r="J164" s="1">
        <v>0</v>
      </c>
      <c r="K164" s="1">
        <v>61</v>
      </c>
      <c r="L164" s="1">
        <v>60</v>
      </c>
      <c r="M164" s="1"/>
      <c r="N164" s="1">
        <v>0</v>
      </c>
    </row>
    <row r="165" spans="1:14" x14ac:dyDescent="0.35">
      <c r="A165" s="1" t="s">
        <v>36</v>
      </c>
      <c r="B165" s="1">
        <v>202503</v>
      </c>
      <c r="C165" s="1" t="str">
        <f>MID(analisis_productividad__4[[#This Row],[Periodo]],1,4)</f>
        <v>2025</v>
      </c>
      <c r="D165" s="1" t="str">
        <f>MID(analisis_productividad__4[[#This Row],[Periodo]],5,2)</f>
        <v>03</v>
      </c>
      <c r="E165" s="1" t="s">
        <v>16</v>
      </c>
      <c r="F165" s="1" t="s">
        <v>17</v>
      </c>
      <c r="G165" s="1">
        <v>118438</v>
      </c>
      <c r="H165" s="1">
        <v>8592178</v>
      </c>
      <c r="I165" s="1">
        <v>72.546014784946152</v>
      </c>
      <c r="J165" s="1">
        <v>123490.80790383094</v>
      </c>
      <c r="K165" s="1">
        <v>76.5</v>
      </c>
      <c r="L165" s="1">
        <v>80</v>
      </c>
      <c r="M165" s="1">
        <v>69.577469658237248</v>
      </c>
      <c r="N165" s="1">
        <v>8974387</v>
      </c>
    </row>
    <row r="166" spans="1:14" x14ac:dyDescent="0.35">
      <c r="A166" s="1" t="s">
        <v>43</v>
      </c>
      <c r="B166" s="1">
        <v>202603</v>
      </c>
      <c r="C166" s="1" t="str">
        <f>MID(analisis_productividad__4[[#This Row],[Periodo]],1,4)</f>
        <v>2026</v>
      </c>
      <c r="D166" s="1" t="str">
        <f>MID(analisis_productividad__4[[#This Row],[Periodo]],5,2)</f>
        <v>03</v>
      </c>
      <c r="E166" s="1" t="s">
        <v>11</v>
      </c>
      <c r="F166" s="1" t="s">
        <v>12</v>
      </c>
      <c r="G166" s="1">
        <v>118321</v>
      </c>
      <c r="H166" s="1">
        <v>8836273</v>
      </c>
      <c r="I166" s="1">
        <v>74.680544354838759</v>
      </c>
      <c r="J166" s="1">
        <v>117130.57290755016</v>
      </c>
      <c r="K166" s="1">
        <v>84.5</v>
      </c>
      <c r="L166" s="1">
        <v>86.5</v>
      </c>
      <c r="M166" s="1">
        <v>71.456708642637324</v>
      </c>
      <c r="N166" s="1">
        <v>8369765</v>
      </c>
    </row>
    <row r="167" spans="1:14" x14ac:dyDescent="0.35">
      <c r="A167" s="1" t="s">
        <v>36</v>
      </c>
      <c r="B167" s="1">
        <v>202407</v>
      </c>
      <c r="C167" s="1" t="str">
        <f>MID(analisis_productividad__4[[#This Row],[Periodo]],1,4)</f>
        <v>2024</v>
      </c>
      <c r="D167" s="1" t="str">
        <f>MID(analisis_productividad__4[[#This Row],[Periodo]],5,2)</f>
        <v>07</v>
      </c>
      <c r="E167" s="1" t="s">
        <v>16</v>
      </c>
      <c r="F167" s="1" t="s">
        <v>17</v>
      </c>
      <c r="G167" s="1">
        <v>118212</v>
      </c>
      <c r="H167" s="1">
        <v>8187367</v>
      </c>
      <c r="I167" s="1">
        <v>69.260013440860163</v>
      </c>
      <c r="J167" s="1">
        <v>0</v>
      </c>
      <c r="K167" s="1">
        <v>76.5</v>
      </c>
      <c r="L167" s="1">
        <v>80</v>
      </c>
      <c r="M167" s="1"/>
      <c r="N167" s="1">
        <v>0</v>
      </c>
    </row>
    <row r="168" spans="1:14" x14ac:dyDescent="0.35">
      <c r="A168" s="1" t="s">
        <v>74</v>
      </c>
      <c r="B168" s="1">
        <v>202412</v>
      </c>
      <c r="C168" s="1" t="str">
        <f>MID(analisis_productividad__4[[#This Row],[Periodo]],1,4)</f>
        <v>2024</v>
      </c>
      <c r="D168" s="1" t="str">
        <f>MID(analisis_productividad__4[[#This Row],[Periodo]],5,2)</f>
        <v>12</v>
      </c>
      <c r="E168" s="1" t="s">
        <v>16</v>
      </c>
      <c r="F168" s="1" t="s">
        <v>19</v>
      </c>
      <c r="G168" s="1">
        <v>118081</v>
      </c>
      <c r="H168" s="1">
        <v>5984047</v>
      </c>
      <c r="I168" s="1">
        <v>50.677271505376346</v>
      </c>
      <c r="J168" s="1">
        <v>0</v>
      </c>
      <c r="K168" s="1">
        <v>50.5</v>
      </c>
      <c r="L168" s="1">
        <v>51.5</v>
      </c>
      <c r="M168" s="1"/>
      <c r="N168" s="1">
        <v>0</v>
      </c>
    </row>
    <row r="169" spans="1:14" x14ac:dyDescent="0.35">
      <c r="A169" s="1" t="s">
        <v>36</v>
      </c>
      <c r="B169" s="1">
        <v>202510</v>
      </c>
      <c r="C169" s="1" t="str">
        <f>MID(analisis_productividad__4[[#This Row],[Periodo]],1,4)</f>
        <v>2025</v>
      </c>
      <c r="D169" s="1" t="str">
        <f>MID(analisis_productividad__4[[#This Row],[Periodo]],5,2)</f>
        <v>10</v>
      </c>
      <c r="E169" s="1" t="s">
        <v>16</v>
      </c>
      <c r="F169" s="1" t="s">
        <v>17</v>
      </c>
      <c r="G169" s="1">
        <v>118047</v>
      </c>
      <c r="H169" s="1">
        <v>7592238</v>
      </c>
      <c r="I169" s="1">
        <v>64.315463709677431</v>
      </c>
      <c r="J169" s="1">
        <v>115564.13045130158</v>
      </c>
      <c r="K169" s="1">
        <v>76.5</v>
      </c>
      <c r="L169" s="1">
        <v>80</v>
      </c>
      <c r="M169" s="1">
        <v>65.697182857265119</v>
      </c>
      <c r="N169" s="1">
        <v>8106898</v>
      </c>
    </row>
    <row r="170" spans="1:14" x14ac:dyDescent="0.35">
      <c r="A170" s="1" t="s">
        <v>31</v>
      </c>
      <c r="B170" s="1">
        <v>202403</v>
      </c>
      <c r="C170" s="1" t="str">
        <f>MID(analisis_productividad__4[[#This Row],[Periodo]],1,4)</f>
        <v>2024</v>
      </c>
      <c r="D170" s="1" t="str">
        <f>MID(analisis_productividad__4[[#This Row],[Periodo]],5,2)</f>
        <v>03</v>
      </c>
      <c r="E170" s="1" t="s">
        <v>11</v>
      </c>
      <c r="F170" s="1" t="s">
        <v>14</v>
      </c>
      <c r="G170" s="1">
        <v>117822</v>
      </c>
      <c r="H170" s="1">
        <v>10971023</v>
      </c>
      <c r="I170" s="1">
        <v>93.115336021505414</v>
      </c>
      <c r="J170" s="1">
        <v>0</v>
      </c>
      <c r="K170" s="1">
        <v>101.5</v>
      </c>
      <c r="L170" s="1">
        <v>97.5</v>
      </c>
      <c r="M170" s="1"/>
      <c r="N170" s="1">
        <v>0</v>
      </c>
    </row>
    <row r="171" spans="1:14" x14ac:dyDescent="0.35">
      <c r="A171" s="1" t="s">
        <v>30</v>
      </c>
      <c r="B171" s="1">
        <v>202605</v>
      </c>
      <c r="C171" s="1" t="str">
        <f>MID(analisis_productividad__4[[#This Row],[Periodo]],1,4)</f>
        <v>2026</v>
      </c>
      <c r="D171" s="1" t="str">
        <f>MID(analisis_productividad__4[[#This Row],[Periodo]],5,2)</f>
        <v>05</v>
      </c>
      <c r="E171" s="1" t="s">
        <v>16</v>
      </c>
      <c r="F171" s="1" t="s">
        <v>19</v>
      </c>
      <c r="G171" s="1">
        <v>117692</v>
      </c>
      <c r="H171" s="1">
        <v>10615489</v>
      </c>
      <c r="I171" s="1">
        <v>90.196975806452315</v>
      </c>
      <c r="J171" s="1">
        <v>105834.63492411494</v>
      </c>
      <c r="K171" s="1">
        <v>101</v>
      </c>
      <c r="L171" s="1">
        <v>105</v>
      </c>
      <c r="M171" s="1">
        <v>90.439897606894348</v>
      </c>
      <c r="N171" s="1">
        <v>9571674</v>
      </c>
    </row>
    <row r="172" spans="1:14" x14ac:dyDescent="0.35">
      <c r="A172" s="1" t="s">
        <v>36</v>
      </c>
      <c r="B172" s="1">
        <v>202403</v>
      </c>
      <c r="C172" s="1" t="str">
        <f>MID(analisis_productividad__4[[#This Row],[Periodo]],1,4)</f>
        <v>2024</v>
      </c>
      <c r="D172" s="1" t="str">
        <f>MID(analisis_productividad__4[[#This Row],[Periodo]],5,2)</f>
        <v>03</v>
      </c>
      <c r="E172" s="1" t="s">
        <v>16</v>
      </c>
      <c r="F172" s="1" t="s">
        <v>17</v>
      </c>
      <c r="G172" s="1">
        <v>117610</v>
      </c>
      <c r="H172" s="1">
        <v>8684015</v>
      </c>
      <c r="I172" s="1">
        <v>73.837204301075232</v>
      </c>
      <c r="J172" s="1">
        <v>0</v>
      </c>
      <c r="K172" s="1">
        <v>76.5</v>
      </c>
      <c r="L172" s="1">
        <v>80</v>
      </c>
      <c r="M172" s="1"/>
      <c r="N172" s="1">
        <v>0</v>
      </c>
    </row>
    <row r="173" spans="1:14" x14ac:dyDescent="0.35">
      <c r="A173" s="1" t="s">
        <v>22</v>
      </c>
      <c r="B173" s="1">
        <v>202511</v>
      </c>
      <c r="C173" s="1" t="str">
        <f>MID(analisis_productividad__4[[#This Row],[Periodo]],1,4)</f>
        <v>2025</v>
      </c>
      <c r="D173" s="1" t="str">
        <f>MID(analisis_productividad__4[[#This Row],[Periodo]],5,2)</f>
        <v>11</v>
      </c>
      <c r="E173" s="1" t="s">
        <v>16</v>
      </c>
      <c r="F173" s="1" t="s">
        <v>21</v>
      </c>
      <c r="G173" s="1">
        <v>117561</v>
      </c>
      <c r="H173" s="1">
        <v>5623041</v>
      </c>
      <c r="I173" s="1">
        <v>47.830708333333334</v>
      </c>
      <c r="J173" s="1">
        <v>93253.860877661529</v>
      </c>
      <c r="K173" s="1">
        <v>59.5</v>
      </c>
      <c r="L173" s="1">
        <v>55.5</v>
      </c>
      <c r="M173" s="1">
        <v>60.298206713143912</v>
      </c>
      <c r="N173" s="1">
        <v>4704036</v>
      </c>
    </row>
    <row r="174" spans="1:14" x14ac:dyDescent="0.35">
      <c r="A174" s="1" t="s">
        <v>40</v>
      </c>
      <c r="B174" s="1">
        <v>202503</v>
      </c>
      <c r="C174" s="1" t="str">
        <f>MID(analisis_productividad__4[[#This Row],[Periodo]],1,4)</f>
        <v>2025</v>
      </c>
      <c r="D174" s="1" t="str">
        <f>MID(analisis_productividad__4[[#This Row],[Periodo]],5,2)</f>
        <v>03</v>
      </c>
      <c r="E174" s="1" t="s">
        <v>11</v>
      </c>
      <c r="F174" s="1" t="s">
        <v>14</v>
      </c>
      <c r="G174" s="1">
        <v>117534</v>
      </c>
      <c r="H174" s="1">
        <v>8296699</v>
      </c>
      <c r="I174" s="1">
        <v>70.589872311827904</v>
      </c>
      <c r="J174" s="1">
        <v>125872.28994517167</v>
      </c>
      <c r="K174" s="1">
        <v>76.5</v>
      </c>
      <c r="L174" s="1">
        <v>75.5</v>
      </c>
      <c r="M174" s="1">
        <v>65.913627960641207</v>
      </c>
      <c r="N174" s="1">
        <v>9278367</v>
      </c>
    </row>
    <row r="175" spans="1:14" x14ac:dyDescent="0.35">
      <c r="A175" s="1" t="s">
        <v>54</v>
      </c>
      <c r="B175" s="1">
        <v>202508</v>
      </c>
      <c r="C175" s="1" t="str">
        <f>MID(analisis_productividad__4[[#This Row],[Periodo]],1,4)</f>
        <v>2025</v>
      </c>
      <c r="D175" s="1" t="str">
        <f>MID(analisis_productividad__4[[#This Row],[Periodo]],5,2)</f>
        <v>08</v>
      </c>
      <c r="E175" s="1" t="s">
        <v>11</v>
      </c>
      <c r="F175" s="1" t="s">
        <v>52</v>
      </c>
      <c r="G175" s="1">
        <v>117483</v>
      </c>
      <c r="H175" s="1">
        <v>8604126</v>
      </c>
      <c r="I175" s="1">
        <v>73.237452956989245</v>
      </c>
      <c r="J175" s="1">
        <v>94205.301583426175</v>
      </c>
      <c r="K175" s="1">
        <v>106</v>
      </c>
      <c r="L175" s="1">
        <v>102.5</v>
      </c>
      <c r="M175" s="1">
        <v>91.333777774495758</v>
      </c>
      <c r="N175" s="1">
        <v>9314915</v>
      </c>
    </row>
    <row r="176" spans="1:14" x14ac:dyDescent="0.35">
      <c r="A176" s="1" t="s">
        <v>15</v>
      </c>
      <c r="B176" s="1">
        <v>202401</v>
      </c>
      <c r="C176" s="1" t="str">
        <f>MID(analisis_productividad__4[[#This Row],[Periodo]],1,4)</f>
        <v>2024</v>
      </c>
      <c r="D176" s="1" t="str">
        <f>MID(analisis_productividad__4[[#This Row],[Periodo]],5,2)</f>
        <v>01</v>
      </c>
      <c r="E176" s="1" t="s">
        <v>16</v>
      </c>
      <c r="F176" s="1" t="s">
        <v>17</v>
      </c>
      <c r="G176" s="1">
        <v>116915</v>
      </c>
      <c r="H176" s="1">
        <v>6136360</v>
      </c>
      <c r="I176" s="1">
        <v>52.485557795698924</v>
      </c>
      <c r="J176" s="1">
        <v>0</v>
      </c>
      <c r="K176" s="1">
        <v>61</v>
      </c>
      <c r="L176" s="1">
        <v>60</v>
      </c>
      <c r="M176" s="1"/>
      <c r="N176" s="1">
        <v>0</v>
      </c>
    </row>
    <row r="177" spans="1:14" x14ac:dyDescent="0.35">
      <c r="A177" s="1" t="s">
        <v>79</v>
      </c>
      <c r="B177" s="1">
        <v>202512</v>
      </c>
      <c r="C177" s="1" t="str">
        <f>MID(analisis_productividad__4[[#This Row],[Periodo]],1,4)</f>
        <v>2025</v>
      </c>
      <c r="D177" s="1" t="str">
        <f>MID(analisis_productividad__4[[#This Row],[Periodo]],5,2)</f>
        <v>12</v>
      </c>
      <c r="E177" s="1" t="s">
        <v>11</v>
      </c>
      <c r="F177" s="1" t="s">
        <v>12</v>
      </c>
      <c r="G177" s="1">
        <v>116902</v>
      </c>
      <c r="H177" s="1">
        <v>7631973</v>
      </c>
      <c r="I177" s="1">
        <v>65.285208333333301</v>
      </c>
      <c r="J177" s="1">
        <v>107276.66120107195</v>
      </c>
      <c r="K177" s="1">
        <v>64.5</v>
      </c>
      <c r="L177" s="1">
        <v>64</v>
      </c>
      <c r="M177" s="1">
        <v>71.142899998492297</v>
      </c>
      <c r="N177" s="1">
        <v>7792391</v>
      </c>
    </row>
    <row r="178" spans="1:14" x14ac:dyDescent="0.35">
      <c r="A178" s="1" t="s">
        <v>44</v>
      </c>
      <c r="B178" s="1">
        <v>202603</v>
      </c>
      <c r="C178" s="1" t="str">
        <f>MID(analisis_productividad__4[[#This Row],[Periodo]],1,4)</f>
        <v>2026</v>
      </c>
      <c r="D178" s="1" t="str">
        <f>MID(analisis_productividad__4[[#This Row],[Periodo]],5,2)</f>
        <v>03</v>
      </c>
      <c r="E178" s="1" t="s">
        <v>11</v>
      </c>
      <c r="F178" s="1" t="s">
        <v>12</v>
      </c>
      <c r="G178" s="1">
        <v>116890</v>
      </c>
      <c r="H178" s="1">
        <v>8104568</v>
      </c>
      <c r="I178" s="1">
        <v>69.334905913978503</v>
      </c>
      <c r="J178" s="1">
        <v>105733.12795942808</v>
      </c>
      <c r="K178" s="1">
        <v>78</v>
      </c>
      <c r="L178" s="1">
        <v>74.5</v>
      </c>
      <c r="M178" s="1">
        <v>66.954795775232199</v>
      </c>
      <c r="N178" s="1">
        <v>7079340</v>
      </c>
    </row>
    <row r="179" spans="1:14" x14ac:dyDescent="0.35">
      <c r="A179" s="1" t="s">
        <v>55</v>
      </c>
      <c r="B179" s="1">
        <v>202412</v>
      </c>
      <c r="C179" s="1" t="str">
        <f>MID(analisis_productividad__4[[#This Row],[Periodo]],1,4)</f>
        <v>2024</v>
      </c>
      <c r="D179" s="1" t="str">
        <f>MID(analisis_productividad__4[[#This Row],[Periodo]],5,2)</f>
        <v>12</v>
      </c>
      <c r="E179" s="1" t="s">
        <v>16</v>
      </c>
      <c r="F179" s="1" t="s">
        <v>21</v>
      </c>
      <c r="G179" s="1">
        <v>116853</v>
      </c>
      <c r="H179" s="1">
        <v>6508195</v>
      </c>
      <c r="I179" s="1">
        <v>55.695490591397878</v>
      </c>
      <c r="J179" s="1">
        <v>0</v>
      </c>
      <c r="K179" s="1">
        <v>55</v>
      </c>
      <c r="L179" s="1">
        <v>50.5</v>
      </c>
      <c r="M179" s="1"/>
      <c r="N179" s="1">
        <v>0</v>
      </c>
    </row>
    <row r="180" spans="1:14" x14ac:dyDescent="0.35">
      <c r="A180" s="1" t="s">
        <v>29</v>
      </c>
      <c r="B180" s="1">
        <v>202511</v>
      </c>
      <c r="C180" s="1" t="str">
        <f>MID(analisis_productividad__4[[#This Row],[Periodo]],1,4)</f>
        <v>2025</v>
      </c>
      <c r="D180" s="1" t="str">
        <f>MID(analisis_productividad__4[[#This Row],[Periodo]],5,2)</f>
        <v>11</v>
      </c>
      <c r="E180" s="1" t="s">
        <v>16</v>
      </c>
      <c r="F180" s="1" t="s">
        <v>19</v>
      </c>
      <c r="G180" s="1">
        <v>116846</v>
      </c>
      <c r="H180" s="1">
        <v>10162513</v>
      </c>
      <c r="I180" s="1">
        <v>86.97329861111119</v>
      </c>
      <c r="J180" s="1">
        <v>118678.29156180941</v>
      </c>
      <c r="K180" s="1">
        <v>96.5</v>
      </c>
      <c r="L180" s="1">
        <v>96</v>
      </c>
      <c r="M180" s="1">
        <v>85.630767651447101</v>
      </c>
      <c r="N180" s="1">
        <v>8809430</v>
      </c>
    </row>
    <row r="181" spans="1:14" x14ac:dyDescent="0.35">
      <c r="A181" s="1" t="s">
        <v>31</v>
      </c>
      <c r="B181" s="1">
        <v>202604</v>
      </c>
      <c r="C181" s="1" t="str">
        <f>MID(analisis_productividad__4[[#This Row],[Periodo]],1,4)</f>
        <v>2026</v>
      </c>
      <c r="D181" s="1" t="str">
        <f>MID(analisis_productividad__4[[#This Row],[Periodo]],5,2)</f>
        <v>04</v>
      </c>
      <c r="E181" s="1" t="s">
        <v>11</v>
      </c>
      <c r="F181" s="1" t="s">
        <v>14</v>
      </c>
      <c r="G181" s="1">
        <v>116627</v>
      </c>
      <c r="H181" s="1">
        <v>9248364</v>
      </c>
      <c r="I181" s="1">
        <v>79.298381944446263</v>
      </c>
      <c r="J181" s="1">
        <v>104803.34241077057</v>
      </c>
      <c r="K181" s="1">
        <v>101.5</v>
      </c>
      <c r="L181" s="1">
        <v>97.5</v>
      </c>
      <c r="M181" s="1">
        <v>87.689184144336366</v>
      </c>
      <c r="N181" s="1">
        <v>9190120</v>
      </c>
    </row>
    <row r="182" spans="1:14" x14ac:dyDescent="0.35">
      <c r="A182" s="1" t="s">
        <v>45</v>
      </c>
      <c r="B182" s="1">
        <v>202601</v>
      </c>
      <c r="C182" s="1" t="str">
        <f>MID(analisis_productividad__4[[#This Row],[Periodo]],1,4)</f>
        <v>2026</v>
      </c>
      <c r="D182" s="1" t="str">
        <f>MID(analisis_productividad__4[[#This Row],[Periodo]],5,2)</f>
        <v>01</v>
      </c>
      <c r="E182" s="1" t="s">
        <v>34</v>
      </c>
      <c r="F182" s="1" t="s">
        <v>35</v>
      </c>
      <c r="G182" s="1">
        <v>116590</v>
      </c>
      <c r="H182" s="1">
        <v>2915277</v>
      </c>
      <c r="I182" s="1">
        <v>25.004583333333343</v>
      </c>
      <c r="J182" s="1">
        <v>124095.04450175312</v>
      </c>
      <c r="K182" s="1">
        <v>22.5</v>
      </c>
      <c r="L182" s="1">
        <v>21</v>
      </c>
      <c r="M182" s="1">
        <v>19.647967156057994</v>
      </c>
      <c r="N182" s="1">
        <v>2438215</v>
      </c>
    </row>
    <row r="183" spans="1:14" x14ac:dyDescent="0.35">
      <c r="A183" s="1" t="s">
        <v>29</v>
      </c>
      <c r="B183" s="1">
        <v>202602</v>
      </c>
      <c r="C183" s="1" t="str">
        <f>MID(analisis_productividad__4[[#This Row],[Periodo]],1,4)</f>
        <v>2026</v>
      </c>
      <c r="D183" s="1" t="str">
        <f>MID(analisis_productividad__4[[#This Row],[Periodo]],5,2)</f>
        <v>02</v>
      </c>
      <c r="E183" s="1" t="s">
        <v>16</v>
      </c>
      <c r="F183" s="1" t="s">
        <v>19</v>
      </c>
      <c r="G183" s="1">
        <v>116566</v>
      </c>
      <c r="H183" s="1">
        <v>9772019</v>
      </c>
      <c r="I183" s="1">
        <v>83.832552083333312</v>
      </c>
      <c r="J183" s="1">
        <v>123172.34068534133</v>
      </c>
      <c r="K183" s="1">
        <v>96.5</v>
      </c>
      <c r="L183" s="1">
        <v>96</v>
      </c>
      <c r="M183" s="1">
        <v>83.321494048065787</v>
      </c>
      <c r="N183" s="1">
        <v>10262903</v>
      </c>
    </row>
    <row r="184" spans="1:14" x14ac:dyDescent="0.35">
      <c r="A184" s="1" t="s">
        <v>36</v>
      </c>
      <c r="B184" s="1">
        <v>202508</v>
      </c>
      <c r="C184" s="1" t="str">
        <f>MID(analisis_productividad__4[[#This Row],[Periodo]],1,4)</f>
        <v>2025</v>
      </c>
      <c r="D184" s="1" t="str">
        <f>MID(analisis_productividad__4[[#This Row],[Periodo]],5,2)</f>
        <v>08</v>
      </c>
      <c r="E184" s="1" t="s">
        <v>16</v>
      </c>
      <c r="F184" s="1" t="s">
        <v>17</v>
      </c>
      <c r="G184" s="1">
        <v>116469</v>
      </c>
      <c r="H184" s="1">
        <v>8030241</v>
      </c>
      <c r="I184" s="1">
        <v>68.94717741935483</v>
      </c>
      <c r="J184" s="1">
        <v>119206.4188914056</v>
      </c>
      <c r="K184" s="1">
        <v>76.5</v>
      </c>
      <c r="L184" s="1">
        <v>80</v>
      </c>
      <c r="M184" s="1">
        <v>67.364168680508484</v>
      </c>
      <c r="N184" s="1">
        <v>8065606</v>
      </c>
    </row>
    <row r="185" spans="1:14" x14ac:dyDescent="0.35">
      <c r="A185" s="1" t="s">
        <v>31</v>
      </c>
      <c r="B185" s="1">
        <v>202505</v>
      </c>
      <c r="C185" s="1" t="str">
        <f>MID(analisis_productividad__4[[#This Row],[Periodo]],1,4)</f>
        <v>2025</v>
      </c>
      <c r="D185" s="1" t="str">
        <f>MID(analisis_productividad__4[[#This Row],[Periodo]],5,2)</f>
        <v>05</v>
      </c>
      <c r="E185" s="1" t="s">
        <v>11</v>
      </c>
      <c r="F185" s="1" t="s">
        <v>14</v>
      </c>
      <c r="G185" s="1">
        <v>116346</v>
      </c>
      <c r="H185" s="1">
        <v>9108123</v>
      </c>
      <c r="I185" s="1">
        <v>78.284509408602119</v>
      </c>
      <c r="J185" s="1">
        <v>102349.65532694815</v>
      </c>
      <c r="K185" s="1">
        <v>101.5</v>
      </c>
      <c r="L185" s="1">
        <v>97.5</v>
      </c>
      <c r="M185" s="1">
        <v>88.99026763602474</v>
      </c>
      <c r="N185" s="1">
        <v>9344925</v>
      </c>
    </row>
    <row r="186" spans="1:14" x14ac:dyDescent="0.35">
      <c r="A186" s="1" t="s">
        <v>62</v>
      </c>
      <c r="B186" s="1">
        <v>202512</v>
      </c>
      <c r="C186" s="1" t="str">
        <f>MID(analisis_productividad__4[[#This Row],[Periodo]],1,4)</f>
        <v>2025</v>
      </c>
      <c r="D186" s="1" t="str">
        <f>MID(analisis_productividad__4[[#This Row],[Periodo]],5,2)</f>
        <v>12</v>
      </c>
      <c r="E186" s="1" t="s">
        <v>16</v>
      </c>
      <c r="F186" s="1" t="s">
        <v>17</v>
      </c>
      <c r="G186" s="1">
        <v>116250</v>
      </c>
      <c r="H186" s="1">
        <v>3709388</v>
      </c>
      <c r="I186" s="1">
        <v>31.90880376344084</v>
      </c>
      <c r="J186" s="1">
        <v>113939.94261671984</v>
      </c>
      <c r="K186" s="1">
        <v>32.5</v>
      </c>
      <c r="L186" s="1">
        <v>32</v>
      </c>
      <c r="M186" s="1">
        <v>32.555645498944408</v>
      </c>
      <c r="N186" s="1">
        <v>3613824</v>
      </c>
    </row>
    <row r="187" spans="1:14" x14ac:dyDescent="0.35">
      <c r="A187" s="1" t="s">
        <v>20</v>
      </c>
      <c r="B187" s="1">
        <v>202403</v>
      </c>
      <c r="C187" s="1" t="str">
        <f>MID(analisis_productividad__4[[#This Row],[Periodo]],1,4)</f>
        <v>2024</v>
      </c>
      <c r="D187" s="1" t="str">
        <f>MID(analisis_productividad__4[[#This Row],[Periodo]],5,2)</f>
        <v>03</v>
      </c>
      <c r="E187" s="1" t="s">
        <v>16</v>
      </c>
      <c r="F187" s="1" t="s">
        <v>21</v>
      </c>
      <c r="G187" s="1">
        <v>116074</v>
      </c>
      <c r="H187" s="1">
        <v>10869841</v>
      </c>
      <c r="I187" s="1">
        <v>93.645416666666662</v>
      </c>
      <c r="J187" s="1">
        <v>0</v>
      </c>
      <c r="K187" s="1">
        <v>96.5</v>
      </c>
      <c r="L187" s="1">
        <v>94</v>
      </c>
      <c r="M187" s="1"/>
      <c r="N187" s="1">
        <v>0</v>
      </c>
    </row>
    <row r="188" spans="1:14" x14ac:dyDescent="0.35">
      <c r="A188" s="1" t="s">
        <v>30</v>
      </c>
      <c r="B188" s="1">
        <v>202403</v>
      </c>
      <c r="C188" s="1" t="str">
        <f>MID(analisis_productividad__4[[#This Row],[Periodo]],1,4)</f>
        <v>2024</v>
      </c>
      <c r="D188" s="1" t="str">
        <f>MID(analisis_productividad__4[[#This Row],[Periodo]],5,2)</f>
        <v>03</v>
      </c>
      <c r="E188" s="1" t="s">
        <v>16</v>
      </c>
      <c r="F188" s="1" t="s">
        <v>19</v>
      </c>
      <c r="G188" s="1">
        <v>116041</v>
      </c>
      <c r="H188" s="1">
        <v>10374754</v>
      </c>
      <c r="I188" s="1">
        <v>89.406135752688186</v>
      </c>
      <c r="J188" s="1">
        <v>0</v>
      </c>
      <c r="K188" s="1">
        <v>101</v>
      </c>
      <c r="L188" s="1">
        <v>105</v>
      </c>
      <c r="M188" s="1"/>
      <c r="N188" s="1">
        <v>0</v>
      </c>
    </row>
    <row r="189" spans="1:14" x14ac:dyDescent="0.35">
      <c r="A189" s="1" t="s">
        <v>131</v>
      </c>
      <c r="B189" s="1">
        <v>202412</v>
      </c>
      <c r="C189" s="1" t="str">
        <f>MID(analisis_productividad__4[[#This Row],[Periodo]],1,4)</f>
        <v>2024</v>
      </c>
      <c r="D189" s="1" t="str">
        <f>MID(analisis_productividad__4[[#This Row],[Periodo]],5,2)</f>
        <v>12</v>
      </c>
      <c r="E189" s="1" t="s">
        <v>16</v>
      </c>
      <c r="F189" s="1" t="s">
        <v>21</v>
      </c>
      <c r="G189" s="1">
        <v>116029</v>
      </c>
      <c r="H189" s="1">
        <v>16134149</v>
      </c>
      <c r="I189" s="1">
        <v>139.05227150537627</v>
      </c>
      <c r="J189" s="1">
        <v>0</v>
      </c>
      <c r="K189" s="1">
        <v>99</v>
      </c>
      <c r="L189" s="1">
        <v>32.5</v>
      </c>
      <c r="M189" s="1"/>
      <c r="N189" s="1">
        <v>0</v>
      </c>
    </row>
    <row r="190" spans="1:14" x14ac:dyDescent="0.35">
      <c r="A190" s="1" t="s">
        <v>36</v>
      </c>
      <c r="B190" s="1">
        <v>202601</v>
      </c>
      <c r="C190" s="1" t="str">
        <f>MID(analisis_productividad__4[[#This Row],[Periodo]],1,4)</f>
        <v>2026</v>
      </c>
      <c r="D190" s="1" t="str">
        <f>MID(analisis_productividad__4[[#This Row],[Periodo]],5,2)</f>
        <v>01</v>
      </c>
      <c r="E190" s="1" t="s">
        <v>16</v>
      </c>
      <c r="F190" s="1" t="s">
        <v>17</v>
      </c>
      <c r="G190" s="1">
        <v>115835</v>
      </c>
      <c r="H190" s="1">
        <v>8570756</v>
      </c>
      <c r="I190" s="1">
        <v>73.991317204301012</v>
      </c>
      <c r="J190" s="1">
        <v>130159.94548710033</v>
      </c>
      <c r="K190" s="1">
        <v>76.5</v>
      </c>
      <c r="L190" s="1">
        <v>80</v>
      </c>
      <c r="M190" s="1">
        <v>67.450733277005639</v>
      </c>
      <c r="N190" s="1">
        <v>8779384</v>
      </c>
    </row>
    <row r="191" spans="1:14" x14ac:dyDescent="0.35">
      <c r="A191" s="1" t="s">
        <v>23</v>
      </c>
      <c r="B191" s="1">
        <v>202601</v>
      </c>
      <c r="C191" s="1" t="str">
        <f>MID(analisis_productividad__4[[#This Row],[Periodo]],1,4)</f>
        <v>2026</v>
      </c>
      <c r="D191" s="1" t="str">
        <f>MID(analisis_productividad__4[[#This Row],[Periodo]],5,2)</f>
        <v>01</v>
      </c>
      <c r="E191" s="1" t="s">
        <v>11</v>
      </c>
      <c r="F191" s="1" t="s">
        <v>12</v>
      </c>
      <c r="G191" s="1">
        <v>115829</v>
      </c>
      <c r="H191" s="1">
        <v>6665892</v>
      </c>
      <c r="I191" s="1">
        <v>57.54936155913979</v>
      </c>
      <c r="J191" s="1">
        <v>108205.02870923988</v>
      </c>
      <c r="K191" s="1">
        <v>68.5</v>
      </c>
      <c r="L191" s="1">
        <v>66</v>
      </c>
      <c r="M191" s="1">
        <v>59.179400136818131</v>
      </c>
      <c r="N191" s="1">
        <v>6403509</v>
      </c>
    </row>
    <row r="192" spans="1:14" x14ac:dyDescent="0.35">
      <c r="A192" s="1" t="s">
        <v>18</v>
      </c>
      <c r="B192" s="1">
        <v>202512</v>
      </c>
      <c r="C192" s="1" t="str">
        <f>MID(analisis_productividad__4[[#This Row],[Periodo]],1,4)</f>
        <v>2025</v>
      </c>
      <c r="D192" s="1" t="str">
        <f>MID(analisis_productividad__4[[#This Row],[Periodo]],5,2)</f>
        <v>12</v>
      </c>
      <c r="E192" s="1" t="s">
        <v>16</v>
      </c>
      <c r="F192" s="1" t="s">
        <v>19</v>
      </c>
      <c r="G192" s="1">
        <v>115820</v>
      </c>
      <c r="H192" s="1">
        <v>7787355</v>
      </c>
      <c r="I192" s="1">
        <v>67.236740591397862</v>
      </c>
      <c r="J192" s="1">
        <v>112402.42309663267</v>
      </c>
      <c r="K192" s="1">
        <v>70.5</v>
      </c>
      <c r="L192" s="1">
        <v>69.5</v>
      </c>
      <c r="M192" s="1">
        <v>69.281024692013872</v>
      </c>
      <c r="N192" s="1">
        <v>8072411</v>
      </c>
    </row>
    <row r="193" spans="1:14" x14ac:dyDescent="0.35">
      <c r="A193" s="1" t="s">
        <v>37</v>
      </c>
      <c r="B193" s="1">
        <v>202605</v>
      </c>
      <c r="C193" s="1" t="str">
        <f>MID(analisis_productividad__4[[#This Row],[Periodo]],1,4)</f>
        <v>2026</v>
      </c>
      <c r="D193" s="1" t="str">
        <f>MID(analisis_productividad__4[[#This Row],[Periodo]],5,2)</f>
        <v>05</v>
      </c>
      <c r="E193" s="1" t="s">
        <v>16</v>
      </c>
      <c r="F193" s="1" t="s">
        <v>17</v>
      </c>
      <c r="G193" s="1">
        <v>115778</v>
      </c>
      <c r="H193" s="1">
        <v>10633331</v>
      </c>
      <c r="I193" s="1">
        <v>91.842493279568345</v>
      </c>
      <c r="J193" s="1">
        <v>99185.695008362978</v>
      </c>
      <c r="K193" s="1">
        <v>107.5</v>
      </c>
      <c r="L193" s="1">
        <v>102.5</v>
      </c>
      <c r="M193" s="1">
        <v>96.70800932222366</v>
      </c>
      <c r="N193" s="1">
        <v>9592051</v>
      </c>
    </row>
    <row r="194" spans="1:14" x14ac:dyDescent="0.35">
      <c r="A194" s="1" t="s">
        <v>29</v>
      </c>
      <c r="B194" s="1">
        <v>202503</v>
      </c>
      <c r="C194" s="1" t="str">
        <f>MID(analisis_productividad__4[[#This Row],[Periodo]],1,4)</f>
        <v>2025</v>
      </c>
      <c r="D194" s="1" t="str">
        <f>MID(analisis_productividad__4[[#This Row],[Periodo]],5,2)</f>
        <v>03</v>
      </c>
      <c r="E194" s="1" t="s">
        <v>16</v>
      </c>
      <c r="F194" s="1" t="s">
        <v>19</v>
      </c>
      <c r="G194" s="1">
        <v>115557</v>
      </c>
      <c r="H194" s="1">
        <v>10777878</v>
      </c>
      <c r="I194" s="1">
        <v>93.268743279569861</v>
      </c>
      <c r="J194" s="1">
        <v>116629.38891095745</v>
      </c>
      <c r="K194" s="1">
        <v>96.5</v>
      </c>
      <c r="L194" s="1">
        <v>96</v>
      </c>
      <c r="M194" s="1">
        <v>92.411334918581645</v>
      </c>
      <c r="N194" s="1">
        <v>10232435</v>
      </c>
    </row>
    <row r="195" spans="1:14" x14ac:dyDescent="0.35">
      <c r="A195" s="1" t="s">
        <v>63</v>
      </c>
      <c r="B195" s="1">
        <v>202508</v>
      </c>
      <c r="C195" s="1" t="str">
        <f>MID(analisis_productividad__4[[#This Row],[Periodo]],1,4)</f>
        <v>2025</v>
      </c>
      <c r="D195" s="1" t="str">
        <f>MID(analisis_productividad__4[[#This Row],[Periodo]],5,2)</f>
        <v>08</v>
      </c>
      <c r="E195" s="1" t="s">
        <v>16</v>
      </c>
      <c r="F195" s="1" t="s">
        <v>17</v>
      </c>
      <c r="G195" s="1">
        <v>115552</v>
      </c>
      <c r="H195" s="1">
        <v>10790023</v>
      </c>
      <c r="I195" s="1">
        <v>93.377741935483797</v>
      </c>
      <c r="J195" s="1">
        <v>125219.37791073471</v>
      </c>
      <c r="K195" s="1">
        <v>86.5</v>
      </c>
      <c r="L195" s="1">
        <v>81.5</v>
      </c>
      <c r="M195" s="1">
        <v>86.168952681524217</v>
      </c>
      <c r="N195" s="1">
        <v>11717909</v>
      </c>
    </row>
    <row r="196" spans="1:14" x14ac:dyDescent="0.35">
      <c r="A196" s="1" t="s">
        <v>23</v>
      </c>
      <c r="B196" s="1">
        <v>202606</v>
      </c>
      <c r="C196" s="1" t="str">
        <f>MID(analisis_productividad__4[[#This Row],[Periodo]],1,4)</f>
        <v>2026</v>
      </c>
      <c r="D196" s="1" t="str">
        <f>MID(analisis_productividad__4[[#This Row],[Periodo]],5,2)</f>
        <v>06</v>
      </c>
      <c r="E196" s="1" t="s">
        <v>11</v>
      </c>
      <c r="F196" s="1" t="s">
        <v>12</v>
      </c>
      <c r="G196" s="1">
        <v>115441</v>
      </c>
      <c r="H196" s="1">
        <v>6738012</v>
      </c>
      <c r="I196" s="1">
        <v>58.367409722223101</v>
      </c>
      <c r="J196" s="1">
        <v>106743.32737228795</v>
      </c>
      <c r="K196" s="1">
        <v>68.5</v>
      </c>
      <c r="L196" s="1">
        <v>66</v>
      </c>
      <c r="M196" s="1">
        <v>59.179400136818131</v>
      </c>
      <c r="N196" s="1">
        <v>6317006</v>
      </c>
    </row>
    <row r="197" spans="1:14" x14ac:dyDescent="0.35">
      <c r="A197" s="1" t="s">
        <v>15</v>
      </c>
      <c r="B197" s="1">
        <v>202402</v>
      </c>
      <c r="C197" s="1" t="str">
        <f>MID(analisis_productividad__4[[#This Row],[Periodo]],1,4)</f>
        <v>2024</v>
      </c>
      <c r="D197" s="1" t="str">
        <f>MID(analisis_productividad__4[[#This Row],[Periodo]],5,2)</f>
        <v>02</v>
      </c>
      <c r="E197" s="1" t="s">
        <v>16</v>
      </c>
      <c r="F197" s="1" t="s">
        <v>17</v>
      </c>
      <c r="G197" s="1">
        <v>115420</v>
      </c>
      <c r="H197" s="1">
        <v>6169302</v>
      </c>
      <c r="I197" s="1">
        <v>53.450833333333343</v>
      </c>
      <c r="J197" s="1">
        <v>0</v>
      </c>
      <c r="K197" s="1">
        <v>61</v>
      </c>
      <c r="L197" s="1">
        <v>60</v>
      </c>
      <c r="M197" s="1"/>
      <c r="N197" s="1">
        <v>0</v>
      </c>
    </row>
    <row r="198" spans="1:14" x14ac:dyDescent="0.35">
      <c r="A198" s="1" t="s">
        <v>63</v>
      </c>
      <c r="B198" s="1">
        <v>202510</v>
      </c>
      <c r="C198" s="1" t="str">
        <f>MID(analisis_productividad__4[[#This Row],[Periodo]],1,4)</f>
        <v>2025</v>
      </c>
      <c r="D198" s="1" t="str">
        <f>MID(analisis_productividad__4[[#This Row],[Periodo]],5,2)</f>
        <v>10</v>
      </c>
      <c r="E198" s="1" t="s">
        <v>16</v>
      </c>
      <c r="F198" s="1" t="s">
        <v>17</v>
      </c>
      <c r="G198" s="1">
        <v>115349</v>
      </c>
      <c r="H198" s="1">
        <v>9854178</v>
      </c>
      <c r="I198" s="1">
        <v>85.429354838709671</v>
      </c>
      <c r="J198" s="1">
        <v>119773.46061499079</v>
      </c>
      <c r="K198" s="1">
        <v>86.5</v>
      </c>
      <c r="L198" s="1">
        <v>81.5</v>
      </c>
      <c r="M198" s="1">
        <v>82.273469008932139</v>
      </c>
      <c r="N198" s="1">
        <v>9961736</v>
      </c>
    </row>
    <row r="199" spans="1:14" x14ac:dyDescent="0.35">
      <c r="A199" s="1" t="s">
        <v>10</v>
      </c>
      <c r="B199" s="1">
        <v>202505</v>
      </c>
      <c r="C199" s="1" t="str">
        <f>MID(analisis_productividad__4[[#This Row],[Periodo]],1,4)</f>
        <v>2025</v>
      </c>
      <c r="D199" s="1" t="str">
        <f>MID(analisis_productividad__4[[#This Row],[Periodo]],5,2)</f>
        <v>05</v>
      </c>
      <c r="E199" s="1" t="s">
        <v>11</v>
      </c>
      <c r="F199" s="1" t="s">
        <v>12</v>
      </c>
      <c r="G199" s="1">
        <v>115304</v>
      </c>
      <c r="H199" s="1">
        <v>10640804</v>
      </c>
      <c r="I199" s="1">
        <v>92.28469758064513</v>
      </c>
      <c r="J199" s="1">
        <v>104108.57598034492</v>
      </c>
      <c r="K199" s="1">
        <v>98.5</v>
      </c>
      <c r="L199" s="1">
        <v>96.5</v>
      </c>
      <c r="M199" s="1">
        <v>102.20871508230906</v>
      </c>
      <c r="N199" s="1">
        <v>10280494</v>
      </c>
    </row>
    <row r="200" spans="1:14" x14ac:dyDescent="0.35">
      <c r="A200" s="1" t="s">
        <v>10</v>
      </c>
      <c r="B200" s="1">
        <v>202403</v>
      </c>
      <c r="C200" s="1" t="str">
        <f>MID(analisis_productividad__4[[#This Row],[Periodo]],1,4)</f>
        <v>2024</v>
      </c>
      <c r="D200" s="1" t="str">
        <f>MID(analisis_productividad__4[[#This Row],[Periodo]],5,2)</f>
        <v>03</v>
      </c>
      <c r="E200" s="1" t="s">
        <v>11</v>
      </c>
      <c r="F200" s="1" t="s">
        <v>12</v>
      </c>
      <c r="G200" s="1">
        <v>115140</v>
      </c>
      <c r="H200" s="1">
        <v>11348128</v>
      </c>
      <c r="I200" s="1">
        <v>98.559482526881709</v>
      </c>
      <c r="J200" s="1">
        <v>0</v>
      </c>
      <c r="K200" s="1">
        <v>98.5</v>
      </c>
      <c r="L200" s="1">
        <v>96.5</v>
      </c>
      <c r="M200" s="1"/>
      <c r="N200" s="1">
        <v>0</v>
      </c>
    </row>
    <row r="201" spans="1:14" x14ac:dyDescent="0.35">
      <c r="A201" s="1" t="s">
        <v>20</v>
      </c>
      <c r="B201" s="1">
        <v>202604</v>
      </c>
      <c r="C201" s="1" t="str">
        <f>MID(analisis_productividad__4[[#This Row],[Periodo]],1,4)</f>
        <v>2026</v>
      </c>
      <c r="D201" s="1" t="str">
        <f>MID(analisis_productividad__4[[#This Row],[Periodo]],5,2)</f>
        <v>04</v>
      </c>
      <c r="E201" s="1" t="s">
        <v>16</v>
      </c>
      <c r="F201" s="1" t="s">
        <v>21</v>
      </c>
      <c r="G201" s="1">
        <v>115132</v>
      </c>
      <c r="H201" s="1">
        <v>9436243</v>
      </c>
      <c r="I201" s="1">
        <v>81.960034722224805</v>
      </c>
      <c r="J201" s="1">
        <v>101730.10039471094</v>
      </c>
      <c r="K201" s="1">
        <v>96.5</v>
      </c>
      <c r="L201" s="1">
        <v>94</v>
      </c>
      <c r="M201" s="1">
        <v>87.753564014610347</v>
      </c>
      <c r="N201" s="1">
        <v>8927179</v>
      </c>
    </row>
    <row r="202" spans="1:14" x14ac:dyDescent="0.35">
      <c r="A202" s="1" t="s">
        <v>25</v>
      </c>
      <c r="B202" s="1">
        <v>202412</v>
      </c>
      <c r="C202" s="1" t="str">
        <f>MID(analisis_productividad__4[[#This Row],[Periodo]],1,4)</f>
        <v>2024</v>
      </c>
      <c r="D202" s="1" t="str">
        <f>MID(analisis_productividad__4[[#This Row],[Periodo]],5,2)</f>
        <v>12</v>
      </c>
      <c r="E202" s="1" t="s">
        <v>16</v>
      </c>
      <c r="F202" s="1" t="s">
        <v>19</v>
      </c>
      <c r="G202" s="1">
        <v>115120</v>
      </c>
      <c r="H202" s="1">
        <v>11595524</v>
      </c>
      <c r="I202" s="1">
        <v>100.72510752688173</v>
      </c>
      <c r="J202" s="1">
        <v>0</v>
      </c>
      <c r="K202" s="1">
        <v>94</v>
      </c>
      <c r="L202" s="1">
        <v>92</v>
      </c>
      <c r="M202" s="1"/>
      <c r="N202" s="1">
        <v>0</v>
      </c>
    </row>
    <row r="203" spans="1:14" x14ac:dyDescent="0.35">
      <c r="A203" s="1" t="s">
        <v>36</v>
      </c>
      <c r="B203" s="1">
        <v>202605</v>
      </c>
      <c r="C203" s="1" t="str">
        <f>MID(analisis_productividad__4[[#This Row],[Periodo]],1,4)</f>
        <v>2026</v>
      </c>
      <c r="D203" s="1" t="str">
        <f>MID(analisis_productividad__4[[#This Row],[Periodo]],5,2)</f>
        <v>05</v>
      </c>
      <c r="E203" s="1" t="s">
        <v>16</v>
      </c>
      <c r="F203" s="1" t="s">
        <v>17</v>
      </c>
      <c r="G203" s="1">
        <v>115114</v>
      </c>
      <c r="H203" s="1">
        <v>8596435</v>
      </c>
      <c r="I203" s="1">
        <v>74.677815860214878</v>
      </c>
      <c r="J203" s="1">
        <v>123777.23603853211</v>
      </c>
      <c r="K203" s="1">
        <v>76.5</v>
      </c>
      <c r="L203" s="1">
        <v>80</v>
      </c>
      <c r="M203" s="1">
        <v>67.450733277005639</v>
      </c>
      <c r="N203" s="1">
        <v>8348865</v>
      </c>
    </row>
    <row r="204" spans="1:14" x14ac:dyDescent="0.35">
      <c r="A204" s="1" t="s">
        <v>31</v>
      </c>
      <c r="B204" s="1">
        <v>202501</v>
      </c>
      <c r="C204" s="1" t="str">
        <f>MID(analisis_productividad__4[[#This Row],[Periodo]],1,4)</f>
        <v>2025</v>
      </c>
      <c r="D204" s="1" t="str">
        <f>MID(analisis_productividad__4[[#This Row],[Periodo]],5,2)</f>
        <v>01</v>
      </c>
      <c r="E204" s="1" t="s">
        <v>11</v>
      </c>
      <c r="F204" s="1" t="s">
        <v>14</v>
      </c>
      <c r="G204" s="1">
        <v>114960</v>
      </c>
      <c r="H204" s="1">
        <v>9130389</v>
      </c>
      <c r="I204" s="1">
        <v>79.422197580645104</v>
      </c>
      <c r="J204" s="1">
        <v>106061.04696379416</v>
      </c>
      <c r="K204" s="1">
        <v>101.5</v>
      </c>
      <c r="L204" s="1">
        <v>97.5</v>
      </c>
      <c r="M204" s="1">
        <v>86.086164820877372</v>
      </c>
      <c r="N204" s="1">
        <v>9123322</v>
      </c>
    </row>
    <row r="205" spans="1:14" x14ac:dyDescent="0.35">
      <c r="A205" s="1" t="s">
        <v>27</v>
      </c>
      <c r="B205" s="1">
        <v>202606</v>
      </c>
      <c r="C205" s="1" t="str">
        <f>MID(analisis_productividad__4[[#This Row],[Periodo]],1,4)</f>
        <v>2026</v>
      </c>
      <c r="D205" s="1" t="str">
        <f>MID(analisis_productividad__4[[#This Row],[Periodo]],5,2)</f>
        <v>06</v>
      </c>
      <c r="E205" s="1" t="s">
        <v>11</v>
      </c>
      <c r="F205" s="1" t="s">
        <v>14</v>
      </c>
      <c r="G205" s="1">
        <v>114958</v>
      </c>
      <c r="H205" s="1">
        <v>8419492</v>
      </c>
      <c r="I205" s="1">
        <v>73.239979166668491</v>
      </c>
      <c r="J205" s="1">
        <v>105648.84895751612</v>
      </c>
      <c r="K205" s="1">
        <v>88</v>
      </c>
      <c r="L205" s="1">
        <v>84</v>
      </c>
      <c r="M205" s="1">
        <v>78.31726123421582</v>
      </c>
      <c r="N205" s="1">
        <v>8274129</v>
      </c>
    </row>
    <row r="206" spans="1:14" x14ac:dyDescent="0.35">
      <c r="A206" s="1" t="s">
        <v>31</v>
      </c>
      <c r="B206" s="1">
        <v>202511</v>
      </c>
      <c r="C206" s="1" t="str">
        <f>MID(analisis_productividad__4[[#This Row],[Periodo]],1,4)</f>
        <v>2025</v>
      </c>
      <c r="D206" s="1" t="str">
        <f>MID(analisis_productividad__4[[#This Row],[Periodo]],5,2)</f>
        <v>11</v>
      </c>
      <c r="E206" s="1" t="s">
        <v>11</v>
      </c>
      <c r="F206" s="1" t="s">
        <v>14</v>
      </c>
      <c r="G206" s="1">
        <v>114898</v>
      </c>
      <c r="H206" s="1">
        <v>9049452</v>
      </c>
      <c r="I206" s="1">
        <v>78.761034722222234</v>
      </c>
      <c r="J206" s="1">
        <v>113502.83713522171</v>
      </c>
      <c r="K206" s="1">
        <v>101.5</v>
      </c>
      <c r="L206" s="1">
        <v>97.5</v>
      </c>
      <c r="M206" s="1">
        <v>79.728864655770025</v>
      </c>
      <c r="N206" s="1">
        <v>9891318</v>
      </c>
    </row>
    <row r="207" spans="1:14" x14ac:dyDescent="0.35">
      <c r="A207" s="1" t="s">
        <v>39</v>
      </c>
      <c r="B207" s="1">
        <v>202412</v>
      </c>
      <c r="C207" s="1" t="str">
        <f>MID(analisis_productividad__4[[#This Row],[Periodo]],1,4)</f>
        <v>2024</v>
      </c>
      <c r="D207" s="1" t="str">
        <f>MID(analisis_productividad__4[[#This Row],[Periodo]],5,2)</f>
        <v>12</v>
      </c>
      <c r="E207" s="1" t="s">
        <v>16</v>
      </c>
      <c r="F207" s="1" t="s">
        <v>17</v>
      </c>
      <c r="G207" s="1">
        <v>114851</v>
      </c>
      <c r="H207" s="1">
        <v>11542001</v>
      </c>
      <c r="I207" s="1">
        <v>100.49502016129014</v>
      </c>
      <c r="J207" s="1">
        <v>0</v>
      </c>
      <c r="K207" s="1">
        <v>93.5</v>
      </c>
      <c r="L207" s="1">
        <v>94</v>
      </c>
      <c r="M207" s="1"/>
      <c r="N207" s="1">
        <v>0</v>
      </c>
    </row>
    <row r="208" spans="1:14" x14ac:dyDescent="0.35">
      <c r="A208" s="1" t="s">
        <v>63</v>
      </c>
      <c r="B208" s="1">
        <v>202403</v>
      </c>
      <c r="C208" s="1" t="str">
        <f>MID(analisis_productividad__4[[#This Row],[Periodo]],1,4)</f>
        <v>2024</v>
      </c>
      <c r="D208" s="1" t="str">
        <f>MID(analisis_productividad__4[[#This Row],[Periodo]],5,2)</f>
        <v>03</v>
      </c>
      <c r="E208" s="1" t="s">
        <v>16</v>
      </c>
      <c r="F208" s="1" t="s">
        <v>17</v>
      </c>
      <c r="G208" s="1">
        <v>114631</v>
      </c>
      <c r="H208" s="1">
        <v>10851679</v>
      </c>
      <c r="I208" s="1">
        <v>94.665967741935546</v>
      </c>
      <c r="J208" s="1">
        <v>0</v>
      </c>
      <c r="K208" s="1">
        <v>86.5</v>
      </c>
      <c r="L208" s="1">
        <v>81.5</v>
      </c>
      <c r="M208" s="1"/>
      <c r="N208" s="1">
        <v>0</v>
      </c>
    </row>
    <row r="209" spans="1:14" x14ac:dyDescent="0.35">
      <c r="A209" s="1" t="s">
        <v>42</v>
      </c>
      <c r="B209" s="1">
        <v>202601</v>
      </c>
      <c r="C209" s="1" t="str">
        <f>MID(analisis_productividad__4[[#This Row],[Periodo]],1,4)</f>
        <v>2026</v>
      </c>
      <c r="D209" s="1" t="str">
        <f>MID(analisis_productividad__4[[#This Row],[Periodo]],5,2)</f>
        <v>01</v>
      </c>
      <c r="E209" s="1" t="s">
        <v>16</v>
      </c>
      <c r="F209" s="1" t="s">
        <v>19</v>
      </c>
      <c r="G209" s="1">
        <v>114577</v>
      </c>
      <c r="H209" s="1">
        <v>6102849</v>
      </c>
      <c r="I209" s="1">
        <v>53.264072580645177</v>
      </c>
      <c r="J209" s="1">
        <v>105686.55735389813</v>
      </c>
      <c r="K209" s="1">
        <v>62</v>
      </c>
      <c r="L209" s="1">
        <v>58</v>
      </c>
      <c r="M209" s="1">
        <v>54.66595376698497</v>
      </c>
      <c r="N209" s="1">
        <v>5777456</v>
      </c>
    </row>
    <row r="210" spans="1:14" x14ac:dyDescent="0.35">
      <c r="A210" s="1" t="s">
        <v>36</v>
      </c>
      <c r="B210" s="1">
        <v>202604</v>
      </c>
      <c r="C210" s="1" t="str">
        <f>MID(analisis_productividad__4[[#This Row],[Periodo]],1,4)</f>
        <v>2026</v>
      </c>
      <c r="D210" s="1" t="str">
        <f>MID(analisis_productividad__4[[#This Row],[Periodo]],5,2)</f>
        <v>04</v>
      </c>
      <c r="E210" s="1" t="s">
        <v>16</v>
      </c>
      <c r="F210" s="1" t="s">
        <v>17</v>
      </c>
      <c r="G210" s="1">
        <v>114559</v>
      </c>
      <c r="H210" s="1">
        <v>8231659</v>
      </c>
      <c r="I210" s="1">
        <v>71.855097222222895</v>
      </c>
      <c r="J210" s="1">
        <v>115190.70502008517</v>
      </c>
      <c r="K210" s="1">
        <v>76.5</v>
      </c>
      <c r="L210" s="1">
        <v>80</v>
      </c>
      <c r="M210" s="1">
        <v>67.450733277005639</v>
      </c>
      <c r="N210" s="1">
        <v>7769698</v>
      </c>
    </row>
    <row r="211" spans="1:14" x14ac:dyDescent="0.35">
      <c r="A211" s="1" t="s">
        <v>31</v>
      </c>
      <c r="B211" s="1">
        <v>202504</v>
      </c>
      <c r="C211" s="1" t="str">
        <f>MID(analisis_productividad__4[[#This Row],[Periodo]],1,4)</f>
        <v>2025</v>
      </c>
      <c r="D211" s="1" t="str">
        <f>MID(analisis_productividad__4[[#This Row],[Periodo]],5,2)</f>
        <v>04</v>
      </c>
      <c r="E211" s="1" t="s">
        <v>11</v>
      </c>
      <c r="F211" s="1" t="s">
        <v>14</v>
      </c>
      <c r="G211" s="1">
        <v>114473</v>
      </c>
      <c r="H211" s="1">
        <v>8834966</v>
      </c>
      <c r="I211" s="1">
        <v>77.179375000000036</v>
      </c>
      <c r="J211" s="1">
        <v>107439.33305773434</v>
      </c>
      <c r="K211" s="1">
        <v>101.5</v>
      </c>
      <c r="L211" s="1">
        <v>97.5</v>
      </c>
      <c r="M211" s="1">
        <v>82.232135834763454</v>
      </c>
      <c r="N211" s="1">
        <v>9640378</v>
      </c>
    </row>
    <row r="212" spans="1:14" x14ac:dyDescent="0.35">
      <c r="A212" s="1" t="s">
        <v>20</v>
      </c>
      <c r="B212" s="1">
        <v>202602</v>
      </c>
      <c r="C212" s="1" t="str">
        <f>MID(analisis_productividad__4[[#This Row],[Periodo]],1,4)</f>
        <v>2026</v>
      </c>
      <c r="D212" s="1" t="str">
        <f>MID(analisis_productividad__4[[#This Row],[Periodo]],5,2)</f>
        <v>02</v>
      </c>
      <c r="E212" s="1" t="s">
        <v>16</v>
      </c>
      <c r="F212" s="1" t="s">
        <v>21</v>
      </c>
      <c r="G212" s="1">
        <v>114376</v>
      </c>
      <c r="H212" s="1">
        <v>10208666</v>
      </c>
      <c r="I212" s="1">
        <v>89.255052083333339</v>
      </c>
      <c r="J212" s="1">
        <v>107826.18398865969</v>
      </c>
      <c r="K212" s="1">
        <v>96.5</v>
      </c>
      <c r="L212" s="1">
        <v>94</v>
      </c>
      <c r="M212" s="1">
        <v>87.753564014610347</v>
      </c>
      <c r="N212" s="1">
        <v>9462132</v>
      </c>
    </row>
    <row r="213" spans="1:14" x14ac:dyDescent="0.35">
      <c r="A213" s="1" t="s">
        <v>42</v>
      </c>
      <c r="B213" s="1">
        <v>202602</v>
      </c>
      <c r="C213" s="1" t="str">
        <f>MID(analisis_productividad__4[[#This Row],[Periodo]],1,4)</f>
        <v>2026</v>
      </c>
      <c r="D213" s="1" t="str">
        <f>MID(analisis_productividad__4[[#This Row],[Periodo]],5,2)</f>
        <v>02</v>
      </c>
      <c r="E213" s="1" t="s">
        <v>16</v>
      </c>
      <c r="F213" s="1" t="s">
        <v>19</v>
      </c>
      <c r="G213" s="1">
        <v>114256</v>
      </c>
      <c r="H213" s="1">
        <v>5908629</v>
      </c>
      <c r="I213" s="1">
        <v>51.713854166666657</v>
      </c>
      <c r="J213" s="1">
        <v>101009.50801547768</v>
      </c>
      <c r="K213" s="1">
        <v>62</v>
      </c>
      <c r="L213" s="1">
        <v>58</v>
      </c>
      <c r="M213" s="1">
        <v>54.66595376698497</v>
      </c>
      <c r="N213" s="1">
        <v>5521781</v>
      </c>
    </row>
    <row r="214" spans="1:14" x14ac:dyDescent="0.35">
      <c r="A214" s="1" t="s">
        <v>51</v>
      </c>
      <c r="B214" s="1">
        <v>202512</v>
      </c>
      <c r="C214" s="1" t="str">
        <f>MID(analisis_productividad__4[[#This Row],[Periodo]],1,4)</f>
        <v>2025</v>
      </c>
      <c r="D214" s="1" t="str">
        <f>MID(analisis_productividad__4[[#This Row],[Periodo]],5,2)</f>
        <v>12</v>
      </c>
      <c r="E214" s="1" t="s">
        <v>11</v>
      </c>
      <c r="F214" s="1" t="s">
        <v>52</v>
      </c>
      <c r="G214" s="1">
        <v>114202</v>
      </c>
      <c r="H214" s="1">
        <v>12076142</v>
      </c>
      <c r="I214" s="1">
        <v>105.74346774193535</v>
      </c>
      <c r="J214" s="1">
        <v>112573.49857848899</v>
      </c>
      <c r="K214" s="1">
        <v>117.5</v>
      </c>
      <c r="L214" s="1">
        <v>99</v>
      </c>
      <c r="M214" s="1">
        <v>107.27340202170426</v>
      </c>
      <c r="N214" s="1">
        <v>11484073</v>
      </c>
    </row>
    <row r="215" spans="1:14" x14ac:dyDescent="0.35">
      <c r="A215" s="1" t="s">
        <v>37</v>
      </c>
      <c r="B215" s="1">
        <v>202604</v>
      </c>
      <c r="C215" s="1" t="str">
        <f>MID(analisis_productividad__4[[#This Row],[Periodo]],1,4)</f>
        <v>2026</v>
      </c>
      <c r="D215" s="1" t="str">
        <f>MID(analisis_productividad__4[[#This Row],[Periodo]],5,2)</f>
        <v>04</v>
      </c>
      <c r="E215" s="1" t="s">
        <v>16</v>
      </c>
      <c r="F215" s="1" t="s">
        <v>17</v>
      </c>
      <c r="G215" s="1">
        <v>114189</v>
      </c>
      <c r="H215" s="1">
        <v>10424061</v>
      </c>
      <c r="I215" s="1">
        <v>91.287437500002099</v>
      </c>
      <c r="J215" s="1">
        <v>97644.282781550224</v>
      </c>
      <c r="K215" s="1">
        <v>107.5</v>
      </c>
      <c r="L215" s="1">
        <v>102.5</v>
      </c>
      <c r="M215" s="1">
        <v>96.70800932222366</v>
      </c>
      <c r="N215" s="1">
        <v>9442984</v>
      </c>
    </row>
    <row r="216" spans="1:14" x14ac:dyDescent="0.35">
      <c r="A216" s="1" t="s">
        <v>65</v>
      </c>
      <c r="B216" s="1">
        <v>202512</v>
      </c>
      <c r="C216" s="1" t="str">
        <f>MID(analisis_productividad__4[[#This Row],[Periodo]],1,4)</f>
        <v>2025</v>
      </c>
      <c r="D216" s="1" t="str">
        <f>MID(analisis_productividad__4[[#This Row],[Periodo]],5,2)</f>
        <v>12</v>
      </c>
      <c r="E216" s="1" t="s">
        <v>16</v>
      </c>
      <c r="F216" s="1" t="s">
        <v>19</v>
      </c>
      <c r="G216" s="1">
        <v>114186</v>
      </c>
      <c r="H216" s="1">
        <v>7893106</v>
      </c>
      <c r="I216" s="1">
        <v>69.124858870967685</v>
      </c>
      <c r="J216" s="1">
        <v>107320.04919763489</v>
      </c>
      <c r="K216" s="1">
        <v>68</v>
      </c>
      <c r="L216" s="1">
        <v>68.5</v>
      </c>
      <c r="M216" s="1">
        <v>73.547354469289104</v>
      </c>
      <c r="N216" s="1">
        <v>7560103</v>
      </c>
    </row>
    <row r="217" spans="1:14" x14ac:dyDescent="0.35">
      <c r="A217" s="1" t="s">
        <v>46</v>
      </c>
      <c r="B217" s="1">
        <v>202603</v>
      </c>
      <c r="C217" s="1" t="str">
        <f>MID(analisis_productividad__4[[#This Row],[Periodo]],1,4)</f>
        <v>2026</v>
      </c>
      <c r="D217" s="1" t="str">
        <f>MID(analisis_productividad__4[[#This Row],[Periodo]],5,2)</f>
        <v>03</v>
      </c>
      <c r="E217" s="1" t="s">
        <v>11</v>
      </c>
      <c r="F217" s="1" t="s">
        <v>14</v>
      </c>
      <c r="G217" s="1">
        <v>114164</v>
      </c>
      <c r="H217" s="1">
        <v>8308574</v>
      </c>
      <c r="I217" s="1">
        <v>72.777278225806484</v>
      </c>
      <c r="J217" s="1">
        <v>123815.08932177197</v>
      </c>
      <c r="K217" s="1">
        <v>77</v>
      </c>
      <c r="L217" s="1">
        <v>79</v>
      </c>
      <c r="M217" s="1">
        <v>66.09086292651952</v>
      </c>
      <c r="N217" s="1">
        <v>8183046</v>
      </c>
    </row>
    <row r="218" spans="1:14" x14ac:dyDescent="0.35">
      <c r="A218" s="1" t="s">
        <v>63</v>
      </c>
      <c r="B218" s="1">
        <v>202409</v>
      </c>
      <c r="C218" s="1" t="str">
        <f>MID(analisis_productividad__4[[#This Row],[Periodo]],1,4)</f>
        <v>2024</v>
      </c>
      <c r="D218" s="1" t="str">
        <f>MID(analisis_productividad__4[[#This Row],[Periodo]],5,2)</f>
        <v>09</v>
      </c>
      <c r="E218" s="1" t="s">
        <v>16</v>
      </c>
      <c r="F218" s="1" t="s">
        <v>17</v>
      </c>
      <c r="G218" s="1">
        <v>114094</v>
      </c>
      <c r="H218" s="1">
        <v>10320356</v>
      </c>
      <c r="I218" s="1">
        <v>90.45487499999993</v>
      </c>
      <c r="J218" s="1">
        <v>0</v>
      </c>
      <c r="K218" s="1">
        <v>86.5</v>
      </c>
      <c r="L218" s="1">
        <v>81.5</v>
      </c>
      <c r="M218" s="1"/>
      <c r="N218" s="1">
        <v>0</v>
      </c>
    </row>
    <row r="219" spans="1:14" x14ac:dyDescent="0.35">
      <c r="A219" s="1" t="s">
        <v>63</v>
      </c>
      <c r="B219" s="1">
        <v>202410</v>
      </c>
      <c r="C219" s="1" t="str">
        <f>MID(analisis_productividad__4[[#This Row],[Periodo]],1,4)</f>
        <v>2024</v>
      </c>
      <c r="D219" s="1" t="str">
        <f>MID(analisis_productividad__4[[#This Row],[Periodo]],5,2)</f>
        <v>10</v>
      </c>
      <c r="E219" s="1" t="s">
        <v>16</v>
      </c>
      <c r="F219" s="1" t="s">
        <v>17</v>
      </c>
      <c r="G219" s="1">
        <v>114070</v>
      </c>
      <c r="H219" s="1">
        <v>10230129</v>
      </c>
      <c r="I219" s="1">
        <v>89.68293682795688</v>
      </c>
      <c r="J219" s="1">
        <v>0</v>
      </c>
      <c r="K219" s="1">
        <v>86.5</v>
      </c>
      <c r="L219" s="1">
        <v>81.5</v>
      </c>
      <c r="M219" s="1"/>
      <c r="N219" s="1">
        <v>0</v>
      </c>
    </row>
    <row r="220" spans="1:14" x14ac:dyDescent="0.35">
      <c r="A220" s="1" t="s">
        <v>29</v>
      </c>
      <c r="B220" s="1">
        <v>202606</v>
      </c>
      <c r="C220" s="1" t="str">
        <f>MID(analisis_productividad__4[[#This Row],[Periodo]],1,4)</f>
        <v>2026</v>
      </c>
      <c r="D220" s="1" t="str">
        <f>MID(analisis_productividad__4[[#This Row],[Periodo]],5,2)</f>
        <v>06</v>
      </c>
      <c r="E220" s="1" t="s">
        <v>16</v>
      </c>
      <c r="F220" s="1" t="s">
        <v>19</v>
      </c>
      <c r="G220" s="1">
        <v>113900</v>
      </c>
      <c r="H220" s="1">
        <v>9759385</v>
      </c>
      <c r="I220" s="1">
        <v>85.684083333335607</v>
      </c>
      <c r="J220" s="1">
        <v>125461.29316247745</v>
      </c>
      <c r="K220" s="1">
        <v>96.5</v>
      </c>
      <c r="L220" s="1">
        <v>96</v>
      </c>
      <c r="M220" s="1">
        <v>83.321494048065787</v>
      </c>
      <c r="N220" s="1">
        <v>10453622</v>
      </c>
    </row>
    <row r="221" spans="1:14" x14ac:dyDescent="0.35">
      <c r="A221" s="1" t="s">
        <v>80</v>
      </c>
      <c r="B221" s="1">
        <v>202412</v>
      </c>
      <c r="C221" s="1" t="str">
        <f>MID(analisis_productividad__4[[#This Row],[Periodo]],1,4)</f>
        <v>2024</v>
      </c>
      <c r="D221" s="1" t="str">
        <f>MID(analisis_productividad__4[[#This Row],[Periodo]],5,2)</f>
        <v>12</v>
      </c>
      <c r="E221" s="1" t="s">
        <v>16</v>
      </c>
      <c r="F221" s="1" t="s">
        <v>17</v>
      </c>
      <c r="G221" s="1">
        <v>113878</v>
      </c>
      <c r="H221" s="1">
        <v>6913636</v>
      </c>
      <c r="I221" s="1">
        <v>60.710981182795706</v>
      </c>
      <c r="J221" s="1">
        <v>0</v>
      </c>
      <c r="K221" s="1">
        <v>58</v>
      </c>
      <c r="L221" s="1">
        <v>58.5</v>
      </c>
      <c r="M221" s="1"/>
      <c r="N221" s="1">
        <v>0</v>
      </c>
    </row>
    <row r="222" spans="1:14" x14ac:dyDescent="0.35">
      <c r="A222" s="1" t="s">
        <v>47</v>
      </c>
      <c r="B222" s="1">
        <v>202605</v>
      </c>
      <c r="C222" s="1" t="str">
        <f>MID(analisis_productividad__4[[#This Row],[Periodo]],1,4)</f>
        <v>2026</v>
      </c>
      <c r="D222" s="1" t="str">
        <f>MID(analisis_productividad__4[[#This Row],[Periodo]],5,2)</f>
        <v>05</v>
      </c>
      <c r="E222" s="1" t="s">
        <v>11</v>
      </c>
      <c r="F222" s="1" t="s">
        <v>14</v>
      </c>
      <c r="G222" s="1">
        <v>113845</v>
      </c>
      <c r="H222" s="1">
        <v>4505835</v>
      </c>
      <c r="I222" s="1">
        <v>39.578649193548237</v>
      </c>
      <c r="J222" s="1">
        <v>87459.384834373748</v>
      </c>
      <c r="K222" s="1">
        <v>61.5</v>
      </c>
      <c r="L222" s="1">
        <v>48.5</v>
      </c>
      <c r="M222" s="1">
        <v>53.715920394326645</v>
      </c>
      <c r="N222" s="1">
        <v>4697961</v>
      </c>
    </row>
    <row r="223" spans="1:14" x14ac:dyDescent="0.35">
      <c r="A223" s="1" t="s">
        <v>31</v>
      </c>
      <c r="B223" s="1">
        <v>202508</v>
      </c>
      <c r="C223" s="1" t="str">
        <f>MID(analisis_productividad__4[[#This Row],[Periodo]],1,4)</f>
        <v>2025</v>
      </c>
      <c r="D223" s="1" t="str">
        <f>MID(analisis_productividad__4[[#This Row],[Periodo]],5,2)</f>
        <v>08</v>
      </c>
      <c r="E223" s="1" t="s">
        <v>11</v>
      </c>
      <c r="F223" s="1" t="s">
        <v>14</v>
      </c>
      <c r="G223" s="1">
        <v>113819</v>
      </c>
      <c r="H223" s="1">
        <v>8708722</v>
      </c>
      <c r="I223" s="1">
        <v>76.513998655914008</v>
      </c>
      <c r="J223" s="1">
        <v>116893.381312774</v>
      </c>
      <c r="K223" s="1">
        <v>101.5</v>
      </c>
      <c r="L223" s="1">
        <v>97.5</v>
      </c>
      <c r="M223" s="1">
        <v>74.501415240080149</v>
      </c>
      <c r="N223" s="1">
        <v>9381613</v>
      </c>
    </row>
    <row r="224" spans="1:14" x14ac:dyDescent="0.35">
      <c r="A224" s="1" t="s">
        <v>80</v>
      </c>
      <c r="B224" s="1">
        <v>202512</v>
      </c>
      <c r="C224" s="1" t="str">
        <f>MID(analisis_productividad__4[[#This Row],[Periodo]],1,4)</f>
        <v>2025</v>
      </c>
      <c r="D224" s="1" t="str">
        <f>MID(analisis_productividad__4[[#This Row],[Periodo]],5,2)</f>
        <v>12</v>
      </c>
      <c r="E224" s="1" t="s">
        <v>16</v>
      </c>
      <c r="F224" s="1" t="s">
        <v>17</v>
      </c>
      <c r="G224" s="1">
        <v>113816</v>
      </c>
      <c r="H224" s="1">
        <v>6577991</v>
      </c>
      <c r="I224" s="1">
        <v>57.795161290322547</v>
      </c>
      <c r="J224" s="1">
        <v>119571.73802944807</v>
      </c>
      <c r="K224" s="1">
        <v>58</v>
      </c>
      <c r="L224" s="1">
        <v>58.5</v>
      </c>
      <c r="M224" s="1">
        <v>55.012923441657897</v>
      </c>
      <c r="N224" s="1">
        <v>7340783</v>
      </c>
    </row>
    <row r="225" spans="1:14" x14ac:dyDescent="0.35">
      <c r="A225" s="1" t="s">
        <v>56</v>
      </c>
      <c r="B225" s="1">
        <v>202412</v>
      </c>
      <c r="C225" s="1" t="str">
        <f>MID(analisis_productividad__4[[#This Row],[Periodo]],1,4)</f>
        <v>2024</v>
      </c>
      <c r="D225" s="1" t="str">
        <f>MID(analisis_productividad__4[[#This Row],[Periodo]],5,2)</f>
        <v>12</v>
      </c>
      <c r="E225" s="1" t="s">
        <v>16</v>
      </c>
      <c r="F225" s="1" t="s">
        <v>21</v>
      </c>
      <c r="G225" s="1">
        <v>113802</v>
      </c>
      <c r="H225" s="1">
        <v>8856171</v>
      </c>
      <c r="I225" s="1">
        <v>77.821041666666659</v>
      </c>
      <c r="J225" s="1">
        <v>0</v>
      </c>
      <c r="K225" s="1">
        <v>72.5</v>
      </c>
      <c r="L225" s="1">
        <v>68.5</v>
      </c>
      <c r="M225" s="1"/>
      <c r="N225" s="1">
        <v>0</v>
      </c>
    </row>
    <row r="226" spans="1:14" x14ac:dyDescent="0.35">
      <c r="A226" s="1" t="s">
        <v>39</v>
      </c>
      <c r="B226" s="1">
        <v>202605</v>
      </c>
      <c r="C226" s="1" t="str">
        <f>MID(analisis_productividad__4[[#This Row],[Periodo]],1,4)</f>
        <v>2026</v>
      </c>
      <c r="D226" s="1" t="str">
        <f>MID(analisis_productividad__4[[#This Row],[Periodo]],5,2)</f>
        <v>05</v>
      </c>
      <c r="E226" s="1" t="s">
        <v>16</v>
      </c>
      <c r="F226" s="1" t="s">
        <v>17</v>
      </c>
      <c r="G226" s="1">
        <v>113745</v>
      </c>
      <c r="H226" s="1">
        <v>9421685</v>
      </c>
      <c r="I226" s="1">
        <v>82.831922043010792</v>
      </c>
      <c r="J226" s="1">
        <v>108438.12906216738</v>
      </c>
      <c r="K226" s="1">
        <v>93.5</v>
      </c>
      <c r="L226" s="1">
        <v>94</v>
      </c>
      <c r="M226" s="1">
        <v>84.619508156945685</v>
      </c>
      <c r="N226" s="1">
        <v>9175981</v>
      </c>
    </row>
    <row r="227" spans="1:14" x14ac:dyDescent="0.35">
      <c r="A227" s="1" t="s">
        <v>49</v>
      </c>
      <c r="B227" s="1">
        <v>202503</v>
      </c>
      <c r="C227" s="1" t="str">
        <f>MID(analisis_productividad__4[[#This Row],[Periodo]],1,4)</f>
        <v>2025</v>
      </c>
      <c r="D227" s="1" t="str">
        <f>MID(analisis_productividad__4[[#This Row],[Periodo]],5,2)</f>
        <v>03</v>
      </c>
      <c r="E227" s="1" t="s">
        <v>16</v>
      </c>
      <c r="F227" s="1" t="s">
        <v>21</v>
      </c>
      <c r="G227" s="1">
        <v>113640</v>
      </c>
      <c r="H227" s="1">
        <v>7510713</v>
      </c>
      <c r="I227" s="1">
        <v>66.091948924731128</v>
      </c>
      <c r="J227" s="1">
        <v>95306.852716712892</v>
      </c>
      <c r="K227" s="1">
        <v>75.5</v>
      </c>
      <c r="L227" s="1">
        <v>68</v>
      </c>
      <c r="M227" s="1">
        <v>78.80559032123962</v>
      </c>
      <c r="N227" s="1">
        <v>6833724</v>
      </c>
    </row>
    <row r="228" spans="1:14" x14ac:dyDescent="0.35">
      <c r="A228" s="1" t="s">
        <v>26</v>
      </c>
      <c r="B228" s="1">
        <v>202604</v>
      </c>
      <c r="C228" s="1" t="str">
        <f>MID(analisis_productividad__4[[#This Row],[Periodo]],1,4)</f>
        <v>2026</v>
      </c>
      <c r="D228" s="1" t="str">
        <f>MID(analisis_productividad__4[[#This Row],[Periodo]],5,2)</f>
        <v>04</v>
      </c>
      <c r="E228" s="1" t="s">
        <v>11</v>
      </c>
      <c r="F228" s="1" t="s">
        <v>12</v>
      </c>
      <c r="G228" s="1">
        <v>113601</v>
      </c>
      <c r="H228" s="1">
        <v>6454839</v>
      </c>
      <c r="I228" s="1">
        <v>56.82006944444543</v>
      </c>
      <c r="J228" s="1">
        <v>108045.81832211188</v>
      </c>
      <c r="K228" s="1">
        <v>65.5</v>
      </c>
      <c r="L228" s="1">
        <v>63</v>
      </c>
      <c r="M228" s="1">
        <v>55.389519717073902</v>
      </c>
      <c r="N228" s="1">
        <v>5984606</v>
      </c>
    </row>
    <row r="229" spans="1:14" x14ac:dyDescent="0.35">
      <c r="A229" s="1" t="s">
        <v>28</v>
      </c>
      <c r="B229" s="1">
        <v>202602</v>
      </c>
      <c r="C229" s="1" t="str">
        <f>MID(analisis_productividad__4[[#This Row],[Periodo]],1,4)</f>
        <v>2026</v>
      </c>
      <c r="D229" s="1" t="str">
        <f>MID(analisis_productividad__4[[#This Row],[Periodo]],5,2)</f>
        <v>02</v>
      </c>
      <c r="E229" s="1" t="s">
        <v>16</v>
      </c>
      <c r="F229" s="1" t="s">
        <v>17</v>
      </c>
      <c r="G229" s="1">
        <v>113574</v>
      </c>
      <c r="H229" s="1">
        <v>6425457</v>
      </c>
      <c r="I229" s="1">
        <v>56.57531250000001</v>
      </c>
      <c r="J229" s="1">
        <v>114589.300985807</v>
      </c>
      <c r="K229" s="1">
        <v>64</v>
      </c>
      <c r="L229" s="1">
        <v>67</v>
      </c>
      <c r="M229" s="1">
        <v>56.429371630436094</v>
      </c>
      <c r="N229" s="1">
        <v>6466202</v>
      </c>
    </row>
    <row r="230" spans="1:14" x14ac:dyDescent="0.35">
      <c r="A230" s="1" t="s">
        <v>36</v>
      </c>
      <c r="B230" s="1">
        <v>202409</v>
      </c>
      <c r="C230" s="1" t="str">
        <f>MID(analisis_productividad__4[[#This Row],[Periodo]],1,4)</f>
        <v>2024</v>
      </c>
      <c r="D230" s="1" t="str">
        <f>MID(analisis_productividad__4[[#This Row],[Periodo]],5,2)</f>
        <v>09</v>
      </c>
      <c r="E230" s="1" t="s">
        <v>16</v>
      </c>
      <c r="F230" s="1" t="s">
        <v>17</v>
      </c>
      <c r="G230" s="1">
        <v>113546</v>
      </c>
      <c r="H230" s="1">
        <v>7203165</v>
      </c>
      <c r="I230" s="1">
        <v>63.438131944444457</v>
      </c>
      <c r="J230" s="1">
        <v>0</v>
      </c>
      <c r="K230" s="1">
        <v>76.5</v>
      </c>
      <c r="L230" s="1">
        <v>80</v>
      </c>
      <c r="M230" s="1"/>
      <c r="N230" s="1">
        <v>0</v>
      </c>
    </row>
    <row r="231" spans="1:14" x14ac:dyDescent="0.35">
      <c r="A231" s="1" t="s">
        <v>50</v>
      </c>
      <c r="B231" s="1">
        <v>202512</v>
      </c>
      <c r="C231" s="1" t="str">
        <f>MID(analisis_productividad__4[[#This Row],[Periodo]],1,4)</f>
        <v>2025</v>
      </c>
      <c r="D231" s="1" t="str">
        <f>MID(analisis_productividad__4[[#This Row],[Periodo]],5,2)</f>
        <v>12</v>
      </c>
      <c r="E231" s="1" t="s">
        <v>34</v>
      </c>
      <c r="F231" s="1" t="s">
        <v>35</v>
      </c>
      <c r="G231" s="1">
        <v>113531</v>
      </c>
      <c r="H231" s="1">
        <v>7816020</v>
      </c>
      <c r="I231" s="1">
        <v>68.844717741935526</v>
      </c>
      <c r="J231" s="1">
        <v>114263.59947629497</v>
      </c>
      <c r="K231" s="1">
        <v>79.5</v>
      </c>
      <c r="L231" s="1">
        <v>72.5</v>
      </c>
      <c r="M231" s="1">
        <v>68.403409973282905</v>
      </c>
      <c r="N231" s="1">
        <v>7788591</v>
      </c>
    </row>
    <row r="232" spans="1:14" x14ac:dyDescent="0.35">
      <c r="A232" s="1" t="s">
        <v>36</v>
      </c>
      <c r="B232" s="1">
        <v>202408</v>
      </c>
      <c r="C232" s="1" t="str">
        <f>MID(analisis_productividad__4[[#This Row],[Periodo]],1,4)</f>
        <v>2024</v>
      </c>
      <c r="D232" s="1" t="str">
        <f>MID(analisis_productividad__4[[#This Row],[Periodo]],5,2)</f>
        <v>08</v>
      </c>
      <c r="E232" s="1" t="s">
        <v>16</v>
      </c>
      <c r="F232" s="1" t="s">
        <v>17</v>
      </c>
      <c r="G232" s="1">
        <v>113530</v>
      </c>
      <c r="H232" s="1">
        <v>7838078</v>
      </c>
      <c r="I232" s="1">
        <v>69.039758064516064</v>
      </c>
      <c r="J232" s="1">
        <v>0</v>
      </c>
      <c r="K232" s="1">
        <v>76.5</v>
      </c>
      <c r="L232" s="1">
        <v>80</v>
      </c>
      <c r="M232" s="1"/>
      <c r="N232" s="1">
        <v>0</v>
      </c>
    </row>
    <row r="233" spans="1:14" x14ac:dyDescent="0.35">
      <c r="A233" s="1" t="s">
        <v>30</v>
      </c>
      <c r="B233" s="1">
        <v>202510</v>
      </c>
      <c r="C233" s="1" t="str">
        <f>MID(analisis_productividad__4[[#This Row],[Periodo]],1,4)</f>
        <v>2025</v>
      </c>
      <c r="D233" s="1" t="str">
        <f>MID(analisis_productividad__4[[#This Row],[Periodo]],5,2)</f>
        <v>10</v>
      </c>
      <c r="E233" s="1" t="s">
        <v>16</v>
      </c>
      <c r="F233" s="1" t="s">
        <v>19</v>
      </c>
      <c r="G233" s="1">
        <v>113507</v>
      </c>
      <c r="H233" s="1">
        <v>9141348</v>
      </c>
      <c r="I233" s="1">
        <v>80.535611559139824</v>
      </c>
      <c r="J233" s="1">
        <v>105686.79949896064</v>
      </c>
      <c r="K233" s="1">
        <v>101</v>
      </c>
      <c r="L233" s="1">
        <v>105</v>
      </c>
      <c r="M233" s="1">
        <v>86.494697287998548</v>
      </c>
      <c r="N233" s="1">
        <v>10394525</v>
      </c>
    </row>
    <row r="234" spans="1:14" x14ac:dyDescent="0.35">
      <c r="A234" s="1" t="s">
        <v>46</v>
      </c>
      <c r="B234" s="1">
        <v>202503</v>
      </c>
      <c r="C234" s="1" t="str">
        <f>MID(analisis_productividad__4[[#This Row],[Periodo]],1,4)</f>
        <v>2025</v>
      </c>
      <c r="D234" s="1" t="str">
        <f>MID(analisis_productividad__4[[#This Row],[Periodo]],5,2)</f>
        <v>03</v>
      </c>
      <c r="E234" s="1" t="s">
        <v>11</v>
      </c>
      <c r="F234" s="1" t="s">
        <v>14</v>
      </c>
      <c r="G234" s="1">
        <v>113423</v>
      </c>
      <c r="H234" s="1">
        <v>7890988</v>
      </c>
      <c r="I234" s="1">
        <v>69.571485215053769</v>
      </c>
      <c r="J234" s="1">
        <v>116623.24429289803</v>
      </c>
      <c r="K234" s="1">
        <v>77</v>
      </c>
      <c r="L234" s="1">
        <v>79</v>
      </c>
      <c r="M234" s="1">
        <v>67.662219893161847</v>
      </c>
      <c r="N234" s="1">
        <v>7473181</v>
      </c>
    </row>
    <row r="235" spans="1:14" x14ac:dyDescent="0.35">
      <c r="A235" s="1" t="s">
        <v>72</v>
      </c>
      <c r="B235" s="1">
        <v>202412</v>
      </c>
      <c r="C235" s="1" t="str">
        <f>MID(analisis_productividad__4[[#This Row],[Periodo]],1,4)</f>
        <v>2024</v>
      </c>
      <c r="D235" s="1" t="str">
        <f>MID(analisis_productividad__4[[#This Row],[Periodo]],5,2)</f>
        <v>12</v>
      </c>
      <c r="E235" s="1" t="s">
        <v>11</v>
      </c>
      <c r="F235" s="1" t="s">
        <v>14</v>
      </c>
      <c r="G235" s="1">
        <v>113417</v>
      </c>
      <c r="H235" s="1">
        <v>7192880</v>
      </c>
      <c r="I235" s="1">
        <v>63.419576612903235</v>
      </c>
      <c r="J235" s="1">
        <v>0</v>
      </c>
      <c r="K235" s="1">
        <v>66</v>
      </c>
      <c r="L235" s="1">
        <v>64.5</v>
      </c>
      <c r="M235" s="1"/>
      <c r="N235" s="1">
        <v>0</v>
      </c>
    </row>
    <row r="236" spans="1:14" x14ac:dyDescent="0.35">
      <c r="A236" s="1" t="s">
        <v>48</v>
      </c>
      <c r="B236" s="1">
        <v>202603</v>
      </c>
      <c r="C236" s="1" t="str">
        <f>MID(analisis_productividad__4[[#This Row],[Periodo]],1,4)</f>
        <v>2026</v>
      </c>
      <c r="D236" s="1" t="str">
        <f>MID(analisis_productividad__4[[#This Row],[Periodo]],5,2)</f>
        <v>03</v>
      </c>
      <c r="E236" s="1" t="s">
        <v>16</v>
      </c>
      <c r="F236" s="1" t="s">
        <v>21</v>
      </c>
      <c r="G236" s="1">
        <v>113388</v>
      </c>
      <c r="H236" s="1">
        <v>6308309</v>
      </c>
      <c r="I236" s="1">
        <v>55.634616935483884</v>
      </c>
      <c r="J236" s="1">
        <v>126513.57646179434</v>
      </c>
      <c r="K236" s="1">
        <v>56</v>
      </c>
      <c r="L236" s="1">
        <v>60</v>
      </c>
      <c r="M236" s="1">
        <v>48.493991244906013</v>
      </c>
      <c r="N236" s="1">
        <v>6135148</v>
      </c>
    </row>
    <row r="237" spans="1:14" x14ac:dyDescent="0.35">
      <c r="A237" s="1" t="s">
        <v>10</v>
      </c>
      <c r="B237" s="1">
        <v>202407</v>
      </c>
      <c r="C237" s="1" t="str">
        <f>MID(analisis_productividad__4[[#This Row],[Periodo]],1,4)</f>
        <v>2024</v>
      </c>
      <c r="D237" s="1" t="str">
        <f>MID(analisis_productividad__4[[#This Row],[Periodo]],5,2)</f>
        <v>07</v>
      </c>
      <c r="E237" s="1" t="s">
        <v>11</v>
      </c>
      <c r="F237" s="1" t="s">
        <v>12</v>
      </c>
      <c r="G237" s="1">
        <v>113273</v>
      </c>
      <c r="H237" s="1">
        <v>11069671</v>
      </c>
      <c r="I237" s="1">
        <v>97.725598118279592</v>
      </c>
      <c r="J237" s="1">
        <v>0</v>
      </c>
      <c r="K237" s="1">
        <v>98.5</v>
      </c>
      <c r="L237" s="1">
        <v>96.5</v>
      </c>
      <c r="M237" s="1"/>
      <c r="N237" s="1">
        <v>0</v>
      </c>
    </row>
    <row r="238" spans="1:14" x14ac:dyDescent="0.35">
      <c r="A238" s="1" t="s">
        <v>54</v>
      </c>
      <c r="B238" s="1">
        <v>202512</v>
      </c>
      <c r="C238" s="1" t="str">
        <f>MID(analisis_productividad__4[[#This Row],[Periodo]],1,4)</f>
        <v>2025</v>
      </c>
      <c r="D238" s="1" t="str">
        <f>MID(analisis_productividad__4[[#This Row],[Periodo]],5,2)</f>
        <v>12</v>
      </c>
      <c r="E238" s="1" t="s">
        <v>11</v>
      </c>
      <c r="F238" s="1" t="s">
        <v>52</v>
      </c>
      <c r="G238" s="1">
        <v>113271</v>
      </c>
      <c r="H238" s="1">
        <v>11925593</v>
      </c>
      <c r="I238" s="1">
        <v>105.28338709677412</v>
      </c>
      <c r="J238" s="1">
        <v>109906.54280138739</v>
      </c>
      <c r="K238" s="1">
        <v>106</v>
      </c>
      <c r="L238" s="1">
        <v>102.5</v>
      </c>
      <c r="M238" s="1">
        <v>108.50667481690138</v>
      </c>
      <c r="N238" s="1">
        <v>13582118</v>
      </c>
    </row>
    <row r="239" spans="1:14" x14ac:dyDescent="0.35">
      <c r="A239" s="1" t="s">
        <v>30</v>
      </c>
      <c r="B239" s="1">
        <v>202406</v>
      </c>
      <c r="C239" s="1" t="str">
        <f>MID(analisis_productividad__4[[#This Row],[Periodo]],1,4)</f>
        <v>2024</v>
      </c>
      <c r="D239" s="1" t="str">
        <f>MID(analisis_productividad__4[[#This Row],[Periodo]],5,2)</f>
        <v>06</v>
      </c>
      <c r="E239" s="1" t="s">
        <v>16</v>
      </c>
      <c r="F239" s="1" t="s">
        <v>19</v>
      </c>
      <c r="G239" s="1">
        <v>113231</v>
      </c>
      <c r="H239" s="1">
        <v>9303796</v>
      </c>
      <c r="I239" s="1">
        <v>82.166194444444443</v>
      </c>
      <c r="J239" s="1">
        <v>0</v>
      </c>
      <c r="K239" s="1">
        <v>101</v>
      </c>
      <c r="L239" s="1">
        <v>105</v>
      </c>
      <c r="M239" s="1"/>
      <c r="N239" s="1">
        <v>0</v>
      </c>
    </row>
    <row r="240" spans="1:14" x14ac:dyDescent="0.35">
      <c r="A240" s="1" t="s">
        <v>46</v>
      </c>
      <c r="B240" s="1">
        <v>202605</v>
      </c>
      <c r="C240" s="1" t="str">
        <f>MID(analisis_productividad__4[[#This Row],[Periodo]],1,4)</f>
        <v>2026</v>
      </c>
      <c r="D240" s="1" t="str">
        <f>MID(analisis_productividad__4[[#This Row],[Periodo]],5,2)</f>
        <v>05</v>
      </c>
      <c r="E240" s="1" t="s">
        <v>11</v>
      </c>
      <c r="F240" s="1" t="s">
        <v>14</v>
      </c>
      <c r="G240" s="1">
        <v>113228</v>
      </c>
      <c r="H240" s="1">
        <v>7841199</v>
      </c>
      <c r="I240" s="1">
        <v>69.251122311828112</v>
      </c>
      <c r="J240" s="1">
        <v>108025.58602446713</v>
      </c>
      <c r="K240" s="1">
        <v>77</v>
      </c>
      <c r="L240" s="1">
        <v>79</v>
      </c>
      <c r="M240" s="1">
        <v>66.09086292651952</v>
      </c>
      <c r="N240" s="1">
        <v>7139504</v>
      </c>
    </row>
    <row r="241" spans="1:14" x14ac:dyDescent="0.35">
      <c r="A241" s="1" t="s">
        <v>23</v>
      </c>
      <c r="B241" s="1">
        <v>202511</v>
      </c>
      <c r="C241" s="1" t="str">
        <f>MID(analisis_productividad__4[[#This Row],[Periodo]],1,4)</f>
        <v>2025</v>
      </c>
      <c r="D241" s="1" t="str">
        <f>MID(analisis_productividad__4[[#This Row],[Periodo]],5,2)</f>
        <v>11</v>
      </c>
      <c r="E241" s="1" t="s">
        <v>11</v>
      </c>
      <c r="F241" s="1" t="s">
        <v>12</v>
      </c>
      <c r="G241" s="1">
        <v>113218</v>
      </c>
      <c r="H241" s="1">
        <v>6664780</v>
      </c>
      <c r="I241" s="1">
        <v>58.866840277777797</v>
      </c>
      <c r="J241" s="1">
        <v>101986.27833970977</v>
      </c>
      <c r="K241" s="1">
        <v>68.5</v>
      </c>
      <c r="L241" s="1">
        <v>66</v>
      </c>
      <c r="M241" s="1">
        <v>65.349771542795622</v>
      </c>
      <c r="N241" s="1">
        <v>5482192</v>
      </c>
    </row>
    <row r="242" spans="1:14" x14ac:dyDescent="0.35">
      <c r="A242" s="1" t="s">
        <v>60</v>
      </c>
      <c r="B242" s="1">
        <v>202512</v>
      </c>
      <c r="C242" s="1" t="str">
        <f>MID(analisis_productividad__4[[#This Row],[Periodo]],1,4)</f>
        <v>2025</v>
      </c>
      <c r="D242" s="1" t="str">
        <f>MID(analisis_productividad__4[[#This Row],[Periodo]],5,2)</f>
        <v>12</v>
      </c>
      <c r="E242" s="1" t="s">
        <v>11</v>
      </c>
      <c r="F242" s="1" t="s">
        <v>14</v>
      </c>
      <c r="G242" s="1">
        <v>113122</v>
      </c>
      <c r="H242" s="1">
        <v>8279830</v>
      </c>
      <c r="I242" s="1">
        <v>73.194126344086001</v>
      </c>
      <c r="J242" s="1">
        <v>114418.82787974927</v>
      </c>
      <c r="K242" s="1">
        <v>75.5</v>
      </c>
      <c r="L242" s="1">
        <v>74</v>
      </c>
      <c r="M242" s="1">
        <v>72.364230200835934</v>
      </c>
      <c r="N242" s="1">
        <v>10680923</v>
      </c>
    </row>
    <row r="243" spans="1:14" x14ac:dyDescent="0.35">
      <c r="A243" s="1" t="s">
        <v>49</v>
      </c>
      <c r="B243" s="1">
        <v>202603</v>
      </c>
      <c r="C243" s="1" t="str">
        <f>MID(analisis_productividad__4[[#This Row],[Periodo]],1,4)</f>
        <v>2026</v>
      </c>
      <c r="D243" s="1" t="str">
        <f>MID(analisis_productividad__4[[#This Row],[Periodo]],5,2)</f>
        <v>03</v>
      </c>
      <c r="E243" s="1" t="s">
        <v>16</v>
      </c>
      <c r="F243" s="1" t="s">
        <v>21</v>
      </c>
      <c r="G243" s="1">
        <v>113038</v>
      </c>
      <c r="H243" s="1">
        <v>7311690</v>
      </c>
      <c r="I243" s="1">
        <v>64.683198924731201</v>
      </c>
      <c r="J243" s="1">
        <v>109425.83890846046</v>
      </c>
      <c r="K243" s="1">
        <v>75.5</v>
      </c>
      <c r="L243" s="1">
        <v>68</v>
      </c>
      <c r="M243" s="1">
        <v>66.56902434528007</v>
      </c>
      <c r="N243" s="1">
        <v>7284371</v>
      </c>
    </row>
    <row r="244" spans="1:14" x14ac:dyDescent="0.35">
      <c r="A244" s="1" t="s">
        <v>29</v>
      </c>
      <c r="B244" s="1">
        <v>202411</v>
      </c>
      <c r="C244" s="1" t="str">
        <f>MID(analisis_productividad__4[[#This Row],[Periodo]],1,4)</f>
        <v>2024</v>
      </c>
      <c r="D244" s="1" t="str">
        <f>MID(analisis_productividad__4[[#This Row],[Periodo]],5,2)</f>
        <v>11</v>
      </c>
      <c r="E244" s="1" t="s">
        <v>16</v>
      </c>
      <c r="F244" s="1" t="s">
        <v>19</v>
      </c>
      <c r="G244" s="1">
        <v>113027</v>
      </c>
      <c r="H244" s="1">
        <v>9877133</v>
      </c>
      <c r="I244" s="1">
        <v>87.387416666666738</v>
      </c>
      <c r="J244" s="1">
        <v>0</v>
      </c>
      <c r="K244" s="1">
        <v>96.5</v>
      </c>
      <c r="L244" s="1">
        <v>96</v>
      </c>
      <c r="M244" s="1"/>
      <c r="N244" s="1">
        <v>0</v>
      </c>
    </row>
    <row r="245" spans="1:14" x14ac:dyDescent="0.35">
      <c r="A245" s="1" t="s">
        <v>73</v>
      </c>
      <c r="B245" s="1">
        <v>202512</v>
      </c>
      <c r="C245" s="1" t="str">
        <f>MID(analisis_productividad__4[[#This Row],[Periodo]],1,4)</f>
        <v>2025</v>
      </c>
      <c r="D245" s="1" t="str">
        <f>MID(analisis_productividad__4[[#This Row],[Periodo]],5,2)</f>
        <v>12</v>
      </c>
      <c r="E245" s="1" t="s">
        <v>16</v>
      </c>
      <c r="F245" s="1" t="s">
        <v>21</v>
      </c>
      <c r="G245" s="1">
        <v>112935</v>
      </c>
      <c r="H245" s="1">
        <v>4221961</v>
      </c>
      <c r="I245" s="1">
        <v>37.383998655913963</v>
      </c>
      <c r="J245" s="1">
        <v>96698.888088882144</v>
      </c>
      <c r="K245" s="1">
        <v>43.5</v>
      </c>
      <c r="L245" s="1">
        <v>41</v>
      </c>
      <c r="M245" s="1">
        <v>43.660905760563921</v>
      </c>
      <c r="N245" s="1">
        <v>4543170</v>
      </c>
    </row>
    <row r="246" spans="1:14" x14ac:dyDescent="0.35">
      <c r="A246" s="1" t="s">
        <v>36</v>
      </c>
      <c r="B246" s="1">
        <v>202411</v>
      </c>
      <c r="C246" s="1" t="str">
        <f>MID(analisis_productividad__4[[#This Row],[Periodo]],1,4)</f>
        <v>2024</v>
      </c>
      <c r="D246" s="1" t="str">
        <f>MID(analisis_productividad__4[[#This Row],[Periodo]],5,2)</f>
        <v>11</v>
      </c>
      <c r="E246" s="1" t="s">
        <v>16</v>
      </c>
      <c r="F246" s="1" t="s">
        <v>17</v>
      </c>
      <c r="G246" s="1">
        <v>112851</v>
      </c>
      <c r="H246" s="1">
        <v>7632668</v>
      </c>
      <c r="I246" s="1">
        <v>67.634729166666631</v>
      </c>
      <c r="J246" s="1">
        <v>0</v>
      </c>
      <c r="K246" s="1">
        <v>76.5</v>
      </c>
      <c r="L246" s="1">
        <v>80</v>
      </c>
      <c r="M246" s="1"/>
      <c r="N246" s="1">
        <v>0</v>
      </c>
    </row>
    <row r="247" spans="1:14" x14ac:dyDescent="0.35">
      <c r="A247" s="1" t="s">
        <v>50</v>
      </c>
      <c r="B247" s="1">
        <v>202603</v>
      </c>
      <c r="C247" s="1" t="str">
        <f>MID(analisis_productividad__4[[#This Row],[Periodo]],1,4)</f>
        <v>2026</v>
      </c>
      <c r="D247" s="1" t="str">
        <f>MID(analisis_productividad__4[[#This Row],[Periodo]],5,2)</f>
        <v>03</v>
      </c>
      <c r="E247" s="1" t="s">
        <v>34</v>
      </c>
      <c r="F247" s="1" t="s">
        <v>35</v>
      </c>
      <c r="G247" s="1">
        <v>112841</v>
      </c>
      <c r="H247" s="1">
        <v>7288715</v>
      </c>
      <c r="I247" s="1">
        <v>64.59301747311828</v>
      </c>
      <c r="J247" s="1">
        <v>117601.53215495934</v>
      </c>
      <c r="K247" s="1">
        <v>79.5</v>
      </c>
      <c r="L247" s="1">
        <v>72.5</v>
      </c>
      <c r="M247" s="1">
        <v>64.209802769832038</v>
      </c>
      <c r="N247" s="1">
        <v>7551171</v>
      </c>
    </row>
    <row r="248" spans="1:14" x14ac:dyDescent="0.35">
      <c r="A248" s="1" t="s">
        <v>26</v>
      </c>
      <c r="B248" s="1">
        <v>202602</v>
      </c>
      <c r="C248" s="1" t="str">
        <f>MID(analisis_productividad__4[[#This Row],[Periodo]],1,4)</f>
        <v>2026</v>
      </c>
      <c r="D248" s="1" t="str">
        <f>MID(analisis_productividad__4[[#This Row],[Periodo]],5,2)</f>
        <v>02</v>
      </c>
      <c r="E248" s="1" t="s">
        <v>11</v>
      </c>
      <c r="F248" s="1" t="s">
        <v>12</v>
      </c>
      <c r="G248" s="1">
        <v>112809</v>
      </c>
      <c r="H248" s="1">
        <v>6631508</v>
      </c>
      <c r="I248" s="1">
        <v>58.785260416666652</v>
      </c>
      <c r="J248" s="1">
        <v>95873.406646692165</v>
      </c>
      <c r="K248" s="1">
        <v>65.5</v>
      </c>
      <c r="L248" s="1">
        <v>63</v>
      </c>
      <c r="M248" s="1">
        <v>55.389519717073902</v>
      </c>
      <c r="N248" s="1">
        <v>5310382</v>
      </c>
    </row>
    <row r="249" spans="1:14" x14ac:dyDescent="0.35">
      <c r="A249" s="1" t="s">
        <v>38</v>
      </c>
      <c r="B249" s="1">
        <v>202512</v>
      </c>
      <c r="C249" s="1" t="str">
        <f>MID(analisis_productividad__4[[#This Row],[Periodo]],1,4)</f>
        <v>2025</v>
      </c>
      <c r="D249" s="1" t="str">
        <f>MID(analisis_productividad__4[[#This Row],[Periodo]],5,2)</f>
        <v>12</v>
      </c>
      <c r="E249" s="1" t="s">
        <v>34</v>
      </c>
      <c r="F249" s="1" t="s">
        <v>35</v>
      </c>
      <c r="G249" s="1">
        <v>112766</v>
      </c>
      <c r="H249" s="1">
        <v>14605856</v>
      </c>
      <c r="I249" s="1">
        <v>129.52314516129019</v>
      </c>
      <c r="J249" s="1">
        <v>110829.52287331934</v>
      </c>
      <c r="K249" s="1">
        <v>140.5</v>
      </c>
      <c r="L249" s="1">
        <v>125.5</v>
      </c>
      <c r="M249" s="1">
        <v>131.78669168047247</v>
      </c>
      <c r="N249" s="1">
        <v>15121050</v>
      </c>
    </row>
    <row r="250" spans="1:14" x14ac:dyDescent="0.35">
      <c r="A250" s="1" t="s">
        <v>41</v>
      </c>
      <c r="B250" s="1">
        <v>202412</v>
      </c>
      <c r="C250" s="1" t="str">
        <f>MID(analisis_productividad__4[[#This Row],[Periodo]],1,4)</f>
        <v>2024</v>
      </c>
      <c r="D250" s="1" t="str">
        <f>MID(analisis_productividad__4[[#This Row],[Periodo]],5,2)</f>
        <v>12</v>
      </c>
      <c r="E250" s="1" t="s">
        <v>16</v>
      </c>
      <c r="F250" s="1" t="s">
        <v>19</v>
      </c>
      <c r="G250" s="1">
        <v>112691</v>
      </c>
      <c r="H250" s="1">
        <v>7326613</v>
      </c>
      <c r="I250" s="1">
        <v>65.015275537634423</v>
      </c>
      <c r="J250" s="1">
        <v>0</v>
      </c>
      <c r="K250" s="1">
        <v>57.5</v>
      </c>
      <c r="L250" s="1">
        <v>56.5</v>
      </c>
      <c r="M250" s="1"/>
      <c r="N250" s="1">
        <v>0</v>
      </c>
    </row>
    <row r="251" spans="1:14" x14ac:dyDescent="0.35">
      <c r="A251" s="1" t="s">
        <v>13</v>
      </c>
      <c r="B251" s="1">
        <v>202606</v>
      </c>
      <c r="C251" s="1" t="str">
        <f>MID(analisis_productividad__4[[#This Row],[Periodo]],1,4)</f>
        <v>2026</v>
      </c>
      <c r="D251" s="1" t="str">
        <f>MID(analisis_productividad__4[[#This Row],[Periodo]],5,2)</f>
        <v>06</v>
      </c>
      <c r="E251" s="1" t="s">
        <v>11</v>
      </c>
      <c r="F251" s="1" t="s">
        <v>14</v>
      </c>
      <c r="G251" s="1">
        <v>112676</v>
      </c>
      <c r="H251" s="1">
        <v>9874453</v>
      </c>
      <c r="I251" s="1">
        <v>87.635576388891252</v>
      </c>
      <c r="J251" s="1">
        <v>110012.30028771533</v>
      </c>
      <c r="K251" s="1">
        <v>100</v>
      </c>
      <c r="L251" s="1">
        <v>98</v>
      </c>
      <c r="M251" s="1">
        <v>86.393284871267369</v>
      </c>
      <c r="N251" s="1">
        <v>9504324</v>
      </c>
    </row>
    <row r="252" spans="1:14" x14ac:dyDescent="0.35">
      <c r="A252" s="1" t="s">
        <v>10</v>
      </c>
      <c r="B252" s="1">
        <v>202507</v>
      </c>
      <c r="C252" s="1" t="str">
        <f>MID(analisis_productividad__4[[#This Row],[Periodo]],1,4)</f>
        <v>2025</v>
      </c>
      <c r="D252" s="1" t="str">
        <f>MID(analisis_productividad__4[[#This Row],[Periodo]],5,2)</f>
        <v>07</v>
      </c>
      <c r="E252" s="1" t="s">
        <v>11</v>
      </c>
      <c r="F252" s="1" t="s">
        <v>12</v>
      </c>
      <c r="G252" s="1">
        <v>112663</v>
      </c>
      <c r="H252" s="1">
        <v>10570689</v>
      </c>
      <c r="I252" s="1">
        <v>93.825873655913981</v>
      </c>
      <c r="J252" s="1">
        <v>118936.64682340669</v>
      </c>
      <c r="K252" s="1">
        <v>98.5</v>
      </c>
      <c r="L252" s="1">
        <v>96.5</v>
      </c>
      <c r="M252" s="1">
        <v>88.876632495743877</v>
      </c>
      <c r="N252" s="1">
        <v>11329608</v>
      </c>
    </row>
    <row r="253" spans="1:14" x14ac:dyDescent="0.35">
      <c r="A253" s="1" t="s">
        <v>31</v>
      </c>
      <c r="B253" s="1">
        <v>202507</v>
      </c>
      <c r="C253" s="1" t="str">
        <f>MID(analisis_productividad__4[[#This Row],[Periodo]],1,4)</f>
        <v>2025</v>
      </c>
      <c r="D253" s="1" t="str">
        <f>MID(analisis_productividad__4[[#This Row],[Periodo]],5,2)</f>
        <v>07</v>
      </c>
      <c r="E253" s="1" t="s">
        <v>11</v>
      </c>
      <c r="F253" s="1" t="s">
        <v>14</v>
      </c>
      <c r="G253" s="1">
        <v>112646</v>
      </c>
      <c r="H253" s="1">
        <v>8679367</v>
      </c>
      <c r="I253" s="1">
        <v>77.050053763440872</v>
      </c>
      <c r="J253" s="1">
        <v>116798.02756990527</v>
      </c>
      <c r="K253" s="1">
        <v>101.5</v>
      </c>
      <c r="L253" s="1">
        <v>97.5</v>
      </c>
      <c r="M253" s="1">
        <v>74.310906447502063</v>
      </c>
      <c r="N253" s="1">
        <v>10044018</v>
      </c>
    </row>
    <row r="254" spans="1:14" x14ac:dyDescent="0.35">
      <c r="A254" s="1" t="s">
        <v>76</v>
      </c>
      <c r="B254" s="1">
        <v>202512</v>
      </c>
      <c r="C254" s="1" t="str">
        <f>MID(analisis_productividad__4[[#This Row],[Periodo]],1,4)</f>
        <v>2025</v>
      </c>
      <c r="D254" s="1" t="str">
        <f>MID(analisis_productividad__4[[#This Row],[Periodo]],5,2)</f>
        <v>12</v>
      </c>
      <c r="E254" s="1" t="s">
        <v>11</v>
      </c>
      <c r="F254" s="1" t="s">
        <v>14</v>
      </c>
      <c r="G254" s="1">
        <v>112637</v>
      </c>
      <c r="H254" s="1">
        <v>8640643</v>
      </c>
      <c r="I254" s="1">
        <v>76.712143817204236</v>
      </c>
      <c r="J254" s="1">
        <v>114005.53612066893</v>
      </c>
      <c r="K254" s="1">
        <v>80</v>
      </c>
      <c r="L254" s="1">
        <v>78</v>
      </c>
      <c r="M254" s="1">
        <v>75.791433416481894</v>
      </c>
      <c r="N254" s="1">
        <v>9340407</v>
      </c>
    </row>
    <row r="255" spans="1:14" x14ac:dyDescent="0.35">
      <c r="A255" s="1" t="s">
        <v>63</v>
      </c>
      <c r="B255" s="1">
        <v>202501</v>
      </c>
      <c r="C255" s="1" t="str">
        <f>MID(analisis_productividad__4[[#This Row],[Periodo]],1,4)</f>
        <v>2025</v>
      </c>
      <c r="D255" s="1" t="str">
        <f>MID(analisis_productividad__4[[#This Row],[Periodo]],5,2)</f>
        <v>01</v>
      </c>
      <c r="E255" s="1" t="s">
        <v>16</v>
      </c>
      <c r="F255" s="1" t="s">
        <v>17</v>
      </c>
      <c r="G255" s="1">
        <v>112628</v>
      </c>
      <c r="H255" s="1">
        <v>10022142</v>
      </c>
      <c r="I255" s="1">
        <v>88.984583333333205</v>
      </c>
      <c r="J255" s="1">
        <v>112155.22207329926</v>
      </c>
      <c r="K255" s="1">
        <v>86.5</v>
      </c>
      <c r="L255" s="1">
        <v>81.5</v>
      </c>
      <c r="M255" s="1">
        <v>89.35956957447786</v>
      </c>
      <c r="N255" s="1">
        <v>9614086</v>
      </c>
    </row>
    <row r="256" spans="1:14" x14ac:dyDescent="0.35">
      <c r="A256" s="1" t="s">
        <v>30</v>
      </c>
      <c r="B256" s="1">
        <v>202505</v>
      </c>
      <c r="C256" s="1" t="str">
        <f>MID(analisis_productividad__4[[#This Row],[Periodo]],1,4)</f>
        <v>2025</v>
      </c>
      <c r="D256" s="1" t="str">
        <f>MID(analisis_productividad__4[[#This Row],[Periodo]],5,2)</f>
        <v>05</v>
      </c>
      <c r="E256" s="1" t="s">
        <v>16</v>
      </c>
      <c r="F256" s="1" t="s">
        <v>19</v>
      </c>
      <c r="G256" s="1">
        <v>112608</v>
      </c>
      <c r="H256" s="1">
        <v>9158754</v>
      </c>
      <c r="I256" s="1">
        <v>81.33303763440864</v>
      </c>
      <c r="J256" s="1">
        <v>107838.91998409382</v>
      </c>
      <c r="K256" s="1">
        <v>101</v>
      </c>
      <c r="L256" s="1">
        <v>105</v>
      </c>
      <c r="M256" s="1">
        <v>84.929952853301117</v>
      </c>
      <c r="N256" s="1">
        <v>9413634</v>
      </c>
    </row>
    <row r="257" spans="1:14" x14ac:dyDescent="0.35">
      <c r="A257" s="1" t="s">
        <v>63</v>
      </c>
      <c r="B257" s="1">
        <v>202502</v>
      </c>
      <c r="C257" s="1" t="str">
        <f>MID(analisis_productividad__4[[#This Row],[Periodo]],1,4)</f>
        <v>2025</v>
      </c>
      <c r="D257" s="1" t="str">
        <f>MID(analisis_productividad__4[[#This Row],[Periodo]],5,2)</f>
        <v>02</v>
      </c>
      <c r="E257" s="1" t="s">
        <v>16</v>
      </c>
      <c r="F257" s="1" t="s">
        <v>17</v>
      </c>
      <c r="G257" s="1">
        <v>112557</v>
      </c>
      <c r="H257" s="1">
        <v>9340743</v>
      </c>
      <c r="I257" s="1">
        <v>82.986666666666665</v>
      </c>
      <c r="J257" s="1">
        <v>100220.17229747995</v>
      </c>
      <c r="K257" s="1">
        <v>86.5</v>
      </c>
      <c r="L257" s="1">
        <v>81.5</v>
      </c>
      <c r="M257" s="1">
        <v>93.20222132799978</v>
      </c>
      <c r="N257" s="1">
        <v>8812657</v>
      </c>
    </row>
    <row r="258" spans="1:14" x14ac:dyDescent="0.35">
      <c r="A258" s="1" t="s">
        <v>45</v>
      </c>
      <c r="B258" s="1">
        <v>202602</v>
      </c>
      <c r="C258" s="1" t="str">
        <f>MID(analisis_productividad__4[[#This Row],[Periodo]],1,4)</f>
        <v>2026</v>
      </c>
      <c r="D258" s="1" t="str">
        <f>MID(analisis_productividad__4[[#This Row],[Periodo]],5,2)</f>
        <v>02</v>
      </c>
      <c r="E258" s="1" t="s">
        <v>34</v>
      </c>
      <c r="F258" s="1" t="s">
        <v>35</v>
      </c>
      <c r="G258" s="1">
        <v>112510</v>
      </c>
      <c r="H258" s="1">
        <v>2639017</v>
      </c>
      <c r="I258" s="1">
        <v>23.455937500000008</v>
      </c>
      <c r="J258" s="1">
        <v>123027.24641692521</v>
      </c>
      <c r="K258" s="1">
        <v>22.5</v>
      </c>
      <c r="L258" s="1">
        <v>21</v>
      </c>
      <c r="M258" s="1">
        <v>19.647967156057994</v>
      </c>
      <c r="N258" s="1">
        <v>2417235</v>
      </c>
    </row>
    <row r="259" spans="1:14" x14ac:dyDescent="0.35">
      <c r="A259" s="1" t="s">
        <v>20</v>
      </c>
      <c r="B259" s="1">
        <v>202503</v>
      </c>
      <c r="C259" s="1" t="str">
        <f>MID(analisis_productividad__4[[#This Row],[Periodo]],1,4)</f>
        <v>2025</v>
      </c>
      <c r="D259" s="1" t="str">
        <f>MID(analisis_productividad__4[[#This Row],[Periodo]],5,2)</f>
        <v>03</v>
      </c>
      <c r="E259" s="1" t="s">
        <v>16</v>
      </c>
      <c r="F259" s="1" t="s">
        <v>21</v>
      </c>
      <c r="G259" s="1">
        <v>112300</v>
      </c>
      <c r="H259" s="1">
        <v>11175328</v>
      </c>
      <c r="I259" s="1">
        <v>99.512997311827988</v>
      </c>
      <c r="J259" s="1">
        <v>121878.17850313014</v>
      </c>
      <c r="K259" s="1">
        <v>96.5</v>
      </c>
      <c r="L259" s="1">
        <v>94</v>
      </c>
      <c r="M259" s="1">
        <v>91.692607382649655</v>
      </c>
      <c r="N259" s="1">
        <v>10799054</v>
      </c>
    </row>
    <row r="260" spans="1:14" x14ac:dyDescent="0.35">
      <c r="A260" s="1" t="s">
        <v>51</v>
      </c>
      <c r="B260" s="1">
        <v>202605</v>
      </c>
      <c r="C260" s="1" t="str">
        <f>MID(analisis_productividad__4[[#This Row],[Periodo]],1,4)</f>
        <v>2026</v>
      </c>
      <c r="D260" s="1" t="str">
        <f>MID(analisis_productividad__4[[#This Row],[Periodo]],5,2)</f>
        <v>05</v>
      </c>
      <c r="E260" s="1" t="s">
        <v>11</v>
      </c>
      <c r="F260" s="1" t="s">
        <v>52</v>
      </c>
      <c r="G260" s="1">
        <v>112187</v>
      </c>
      <c r="H260" s="1">
        <v>9852862</v>
      </c>
      <c r="I260" s="1">
        <v>87.82506720430159</v>
      </c>
      <c r="J260" s="1">
        <v>99247.099121789361</v>
      </c>
      <c r="K260" s="1">
        <v>117.5</v>
      </c>
      <c r="L260" s="1">
        <v>99</v>
      </c>
      <c r="M260" s="1">
        <v>98.005014700369543</v>
      </c>
      <c r="N260" s="1">
        <v>9726713</v>
      </c>
    </row>
    <row r="261" spans="1:14" x14ac:dyDescent="0.35">
      <c r="A261" s="1" t="s">
        <v>69</v>
      </c>
      <c r="B261" s="1">
        <v>202512</v>
      </c>
      <c r="C261" s="1" t="str">
        <f>MID(analisis_productividad__4[[#This Row],[Periodo]],1,4)</f>
        <v>2025</v>
      </c>
      <c r="D261" s="1" t="str">
        <f>MID(analisis_productividad__4[[#This Row],[Periodo]],5,2)</f>
        <v>12</v>
      </c>
      <c r="E261" s="1" t="s">
        <v>11</v>
      </c>
      <c r="F261" s="1" t="s">
        <v>52</v>
      </c>
      <c r="G261" s="1">
        <v>112175</v>
      </c>
      <c r="H261" s="1">
        <v>6930340</v>
      </c>
      <c r="I261" s="1">
        <v>61.781774193548337</v>
      </c>
      <c r="J261" s="1">
        <v>107087.48614588447</v>
      </c>
      <c r="K261" s="1">
        <v>68</v>
      </c>
      <c r="L261" s="1">
        <v>60.5</v>
      </c>
      <c r="M261" s="1">
        <v>64.716617593944193</v>
      </c>
      <c r="N261" s="1">
        <v>7477236</v>
      </c>
    </row>
    <row r="262" spans="1:14" x14ac:dyDescent="0.35">
      <c r="A262" s="1" t="s">
        <v>38</v>
      </c>
      <c r="B262" s="1">
        <v>202604</v>
      </c>
      <c r="C262" s="1" t="str">
        <f>MID(analisis_productividad__4[[#This Row],[Periodo]],1,4)</f>
        <v>2026</v>
      </c>
      <c r="D262" s="1" t="str">
        <f>MID(analisis_productividad__4[[#This Row],[Periodo]],5,2)</f>
        <v>04</v>
      </c>
      <c r="E262" s="1" t="s">
        <v>34</v>
      </c>
      <c r="F262" s="1" t="s">
        <v>35</v>
      </c>
      <c r="G262" s="1">
        <v>112023</v>
      </c>
      <c r="H262" s="1">
        <v>12413583</v>
      </c>
      <c r="I262" s="1">
        <v>110.81277083333538</v>
      </c>
      <c r="J262" s="1">
        <v>104364.30202775045</v>
      </c>
      <c r="K262" s="1">
        <v>140.5</v>
      </c>
      <c r="L262" s="1">
        <v>125.5</v>
      </c>
      <c r="M262" s="1">
        <v>117.18897502469719</v>
      </c>
      <c r="N262" s="1">
        <v>12230346</v>
      </c>
    </row>
    <row r="263" spans="1:14" x14ac:dyDescent="0.35">
      <c r="A263" s="1" t="s">
        <v>27</v>
      </c>
      <c r="B263" s="1">
        <v>202508</v>
      </c>
      <c r="C263" s="1" t="str">
        <f>MID(analisis_productividad__4[[#This Row],[Periodo]],1,4)</f>
        <v>2025</v>
      </c>
      <c r="D263" s="1" t="str">
        <f>MID(analisis_productividad__4[[#This Row],[Periodo]],5,2)</f>
        <v>08</v>
      </c>
      <c r="E263" s="1" t="s">
        <v>11</v>
      </c>
      <c r="F263" s="1" t="s">
        <v>14</v>
      </c>
      <c r="G263" s="1">
        <v>112009</v>
      </c>
      <c r="H263" s="1">
        <v>8084035</v>
      </c>
      <c r="I263" s="1">
        <v>72.173104838709719</v>
      </c>
      <c r="J263" s="1">
        <v>102473.78464691582</v>
      </c>
      <c r="K263" s="1">
        <v>88</v>
      </c>
      <c r="L263" s="1">
        <v>84</v>
      </c>
      <c r="M263" s="1">
        <v>78.888807882468555</v>
      </c>
      <c r="N263" s="1">
        <v>7941669</v>
      </c>
    </row>
    <row r="264" spans="1:14" x14ac:dyDescent="0.35">
      <c r="A264" s="1" t="s">
        <v>13</v>
      </c>
      <c r="B264" s="1">
        <v>202505</v>
      </c>
      <c r="C264" s="1" t="str">
        <f>MID(analisis_productividad__4[[#This Row],[Periodo]],1,4)</f>
        <v>2025</v>
      </c>
      <c r="D264" s="1" t="str">
        <f>MID(analisis_productividad__4[[#This Row],[Periodo]],5,2)</f>
        <v>05</v>
      </c>
      <c r="E264" s="1" t="s">
        <v>11</v>
      </c>
      <c r="F264" s="1" t="s">
        <v>14</v>
      </c>
      <c r="G264" s="1">
        <v>112007</v>
      </c>
      <c r="H264" s="1">
        <v>9939149</v>
      </c>
      <c r="I264" s="1">
        <v>88.736948924731195</v>
      </c>
      <c r="J264" s="1">
        <v>110379.5220813425</v>
      </c>
      <c r="K264" s="1">
        <v>100</v>
      </c>
      <c r="L264" s="1">
        <v>98</v>
      </c>
      <c r="M264" s="1">
        <v>90.045226982188723</v>
      </c>
      <c r="N264" s="1">
        <v>10084544</v>
      </c>
    </row>
    <row r="265" spans="1:14" x14ac:dyDescent="0.35">
      <c r="A265" s="1" t="s">
        <v>10</v>
      </c>
      <c r="B265" s="1">
        <v>202508</v>
      </c>
      <c r="C265" s="1" t="str">
        <f>MID(analisis_productividad__4[[#This Row],[Periodo]],1,4)</f>
        <v>2025</v>
      </c>
      <c r="D265" s="1" t="str">
        <f>MID(analisis_productividad__4[[#This Row],[Periodo]],5,2)</f>
        <v>08</v>
      </c>
      <c r="E265" s="1" t="s">
        <v>11</v>
      </c>
      <c r="F265" s="1" t="s">
        <v>12</v>
      </c>
      <c r="G265" s="1">
        <v>111956</v>
      </c>
      <c r="H265" s="1">
        <v>9998396</v>
      </c>
      <c r="I265" s="1">
        <v>89.306310483870917</v>
      </c>
      <c r="J265" s="1">
        <v>111137.79398593061</v>
      </c>
      <c r="K265" s="1">
        <v>98.5</v>
      </c>
      <c r="L265" s="1">
        <v>96.5</v>
      </c>
      <c r="M265" s="1">
        <v>89.963957996734564</v>
      </c>
      <c r="N265" s="1">
        <v>10154262</v>
      </c>
    </row>
    <row r="266" spans="1:14" x14ac:dyDescent="0.35">
      <c r="A266" s="1" t="s">
        <v>66</v>
      </c>
      <c r="B266" s="1">
        <v>202503</v>
      </c>
      <c r="C266" s="1" t="str">
        <f>MID(analisis_productividad__4[[#This Row],[Periodo]],1,4)</f>
        <v>2025</v>
      </c>
      <c r="D266" s="1" t="str">
        <f>MID(analisis_productividad__4[[#This Row],[Periodo]],5,2)</f>
        <v>03</v>
      </c>
      <c r="E266" s="1" t="s">
        <v>11</v>
      </c>
      <c r="F266" s="1" t="s">
        <v>12</v>
      </c>
      <c r="G266" s="1">
        <v>111907</v>
      </c>
      <c r="H266" s="1">
        <v>8746879</v>
      </c>
      <c r="I266" s="1">
        <v>78.161821236559135</v>
      </c>
      <c r="J266" s="1">
        <v>96449.25833410272</v>
      </c>
      <c r="K266" s="1">
        <v>80</v>
      </c>
      <c r="L266" s="1">
        <v>80.5</v>
      </c>
      <c r="M266" s="1">
        <v>90.688916649836628</v>
      </c>
      <c r="N266" s="1">
        <v>7743438</v>
      </c>
    </row>
    <row r="267" spans="1:14" x14ac:dyDescent="0.35">
      <c r="A267" s="1" t="s">
        <v>86</v>
      </c>
      <c r="B267" s="1">
        <v>202512</v>
      </c>
      <c r="C267" s="1" t="str">
        <f>MID(analisis_productividad__4[[#This Row],[Periodo]],1,4)</f>
        <v>2025</v>
      </c>
      <c r="D267" s="1" t="str">
        <f>MID(analisis_productividad__4[[#This Row],[Periodo]],5,2)</f>
        <v>12</v>
      </c>
      <c r="E267" s="1" t="s">
        <v>11</v>
      </c>
      <c r="F267" s="1" t="s">
        <v>14</v>
      </c>
      <c r="G267" s="1">
        <v>111879</v>
      </c>
      <c r="H267" s="1">
        <v>6595512</v>
      </c>
      <c r="I267" s="1">
        <v>58.951948924731155</v>
      </c>
      <c r="J267" s="1">
        <v>116008.86282863523</v>
      </c>
      <c r="K267" s="1">
        <v>69.5</v>
      </c>
      <c r="L267" s="1">
        <v>59</v>
      </c>
      <c r="M267" s="1">
        <v>56.853521439501499</v>
      </c>
      <c r="N267" s="1">
        <v>8471976</v>
      </c>
    </row>
    <row r="268" spans="1:14" x14ac:dyDescent="0.35">
      <c r="A268" s="1" t="s">
        <v>61</v>
      </c>
      <c r="B268" s="1">
        <v>202412</v>
      </c>
      <c r="C268" s="1" t="str">
        <f>MID(analisis_productividad__4[[#This Row],[Periodo]],1,4)</f>
        <v>2024</v>
      </c>
      <c r="D268" s="1" t="str">
        <f>MID(analisis_productividad__4[[#This Row],[Periodo]],5,2)</f>
        <v>12</v>
      </c>
      <c r="E268" s="1" t="s">
        <v>11</v>
      </c>
      <c r="F268" s="1" t="s">
        <v>52</v>
      </c>
      <c r="G268" s="1">
        <v>111799</v>
      </c>
      <c r="H268" s="1">
        <v>11909829</v>
      </c>
      <c r="I268" s="1">
        <v>106.52936827956984</v>
      </c>
      <c r="J268" s="1">
        <v>0</v>
      </c>
      <c r="K268" s="1">
        <v>104.5</v>
      </c>
      <c r="L268" s="1">
        <v>99</v>
      </c>
      <c r="M268" s="1"/>
      <c r="N268" s="1">
        <v>0</v>
      </c>
    </row>
    <row r="269" spans="1:14" x14ac:dyDescent="0.35">
      <c r="A269" s="1" t="s">
        <v>38</v>
      </c>
      <c r="B269" s="1">
        <v>202503</v>
      </c>
      <c r="C269" s="1" t="str">
        <f>MID(analisis_productividad__4[[#This Row],[Periodo]],1,4)</f>
        <v>2025</v>
      </c>
      <c r="D269" s="1" t="str">
        <f>MID(analisis_productividad__4[[#This Row],[Periodo]],5,2)</f>
        <v>03</v>
      </c>
      <c r="E269" s="1" t="s">
        <v>34</v>
      </c>
      <c r="F269" s="1" t="s">
        <v>35</v>
      </c>
      <c r="G269" s="1">
        <v>111742</v>
      </c>
      <c r="H269" s="1">
        <v>12988869</v>
      </c>
      <c r="I269" s="1">
        <v>116.23979838709668</v>
      </c>
      <c r="J269" s="1">
        <v>105012.76278606373</v>
      </c>
      <c r="K269" s="1">
        <v>140.5</v>
      </c>
      <c r="L269" s="1">
        <v>125.5</v>
      </c>
      <c r="M269" s="1">
        <v>123.68847809919494</v>
      </c>
      <c r="N269" s="1">
        <v>12488503</v>
      </c>
    </row>
    <row r="270" spans="1:14" x14ac:dyDescent="0.35">
      <c r="A270" s="1" t="s">
        <v>53</v>
      </c>
      <c r="B270" s="1">
        <v>202603</v>
      </c>
      <c r="C270" s="1" t="str">
        <f>MID(analisis_productividad__4[[#This Row],[Periodo]],1,4)</f>
        <v>2026</v>
      </c>
      <c r="D270" s="1" t="str">
        <f>MID(analisis_productividad__4[[#This Row],[Periodo]],5,2)</f>
        <v>03</v>
      </c>
      <c r="E270" s="1" t="s">
        <v>11</v>
      </c>
      <c r="F270" s="1" t="s">
        <v>12</v>
      </c>
      <c r="G270" s="1">
        <v>111742</v>
      </c>
      <c r="H270" s="1">
        <v>8123887</v>
      </c>
      <c r="I270" s="1">
        <v>72.702291666666682</v>
      </c>
      <c r="J270" s="1">
        <v>107563.72139819503</v>
      </c>
      <c r="K270" s="1">
        <v>81</v>
      </c>
      <c r="L270" s="1">
        <v>77</v>
      </c>
      <c r="M270" s="1">
        <v>69.978560745726568</v>
      </c>
      <c r="N270" s="1">
        <v>7527154</v>
      </c>
    </row>
    <row r="271" spans="1:14" x14ac:dyDescent="0.35">
      <c r="A271" s="1" t="s">
        <v>56</v>
      </c>
      <c r="B271" s="1">
        <v>202504</v>
      </c>
      <c r="C271" s="1" t="str">
        <f>MID(analisis_productividad__4[[#This Row],[Periodo]],1,4)</f>
        <v>2025</v>
      </c>
      <c r="D271" s="1" t="str">
        <f>MID(analisis_productividad__4[[#This Row],[Periodo]],5,2)</f>
        <v>04</v>
      </c>
      <c r="E271" s="1" t="s">
        <v>16</v>
      </c>
      <c r="F271" s="1" t="s">
        <v>21</v>
      </c>
      <c r="G271" s="1">
        <v>111708</v>
      </c>
      <c r="H271" s="1">
        <v>6293126</v>
      </c>
      <c r="I271" s="1">
        <v>56.335659722222246</v>
      </c>
      <c r="J271" s="1">
        <v>86279.360496622845</v>
      </c>
      <c r="K271" s="1">
        <v>72.5</v>
      </c>
      <c r="L271" s="1">
        <v>68.5</v>
      </c>
      <c r="M271" s="1">
        <v>72.938949869086343</v>
      </c>
      <c r="N271" s="1">
        <v>6005486</v>
      </c>
    </row>
    <row r="272" spans="1:14" x14ac:dyDescent="0.35">
      <c r="A272" s="1" t="s">
        <v>25</v>
      </c>
      <c r="B272" s="1">
        <v>202503</v>
      </c>
      <c r="C272" s="1" t="str">
        <f>MID(analisis_productividad__4[[#This Row],[Periodo]],1,4)</f>
        <v>2025</v>
      </c>
      <c r="D272" s="1" t="str">
        <f>MID(analisis_productividad__4[[#This Row],[Periodo]],5,2)</f>
        <v>03</v>
      </c>
      <c r="E272" s="1" t="s">
        <v>16</v>
      </c>
      <c r="F272" s="1" t="s">
        <v>19</v>
      </c>
      <c r="G272" s="1">
        <v>111589</v>
      </c>
      <c r="H272" s="1">
        <v>9712754</v>
      </c>
      <c r="I272" s="1">
        <v>87.040295698924751</v>
      </c>
      <c r="J272" s="1">
        <v>110717.68015118259</v>
      </c>
      <c r="K272" s="1">
        <v>94</v>
      </c>
      <c r="L272" s="1">
        <v>92</v>
      </c>
      <c r="M272" s="1">
        <v>87.725409950221533</v>
      </c>
      <c r="N272" s="1">
        <v>8717409</v>
      </c>
    </row>
    <row r="273" spans="1:14" x14ac:dyDescent="0.35">
      <c r="A273" s="1" t="s">
        <v>26</v>
      </c>
      <c r="B273" s="1">
        <v>202511</v>
      </c>
      <c r="C273" s="1" t="str">
        <f>MID(analisis_productividad__4[[#This Row],[Periodo]],1,4)</f>
        <v>2025</v>
      </c>
      <c r="D273" s="1" t="str">
        <f>MID(analisis_productividad__4[[#This Row],[Periodo]],5,2)</f>
        <v>11</v>
      </c>
      <c r="E273" s="1" t="s">
        <v>11</v>
      </c>
      <c r="F273" s="1" t="s">
        <v>12</v>
      </c>
      <c r="G273" s="1">
        <v>111571</v>
      </c>
      <c r="H273" s="1">
        <v>6420690</v>
      </c>
      <c r="I273" s="1">
        <v>57.54777777777781</v>
      </c>
      <c r="J273" s="1">
        <v>98049.065197058284</v>
      </c>
      <c r="K273" s="1">
        <v>65.5</v>
      </c>
      <c r="L273" s="1">
        <v>63</v>
      </c>
      <c r="M273" s="1">
        <v>65.484455635510116</v>
      </c>
      <c r="N273" s="1">
        <v>4412180</v>
      </c>
    </row>
    <row r="274" spans="1:14" x14ac:dyDescent="0.35">
      <c r="A274" s="1" t="s">
        <v>27</v>
      </c>
      <c r="B274" s="1">
        <v>202601</v>
      </c>
      <c r="C274" s="1" t="str">
        <f>MID(analisis_productividad__4[[#This Row],[Periodo]],1,4)</f>
        <v>2026</v>
      </c>
      <c r="D274" s="1" t="str">
        <f>MID(analisis_productividad__4[[#This Row],[Periodo]],5,2)</f>
        <v>01</v>
      </c>
      <c r="E274" s="1" t="s">
        <v>11</v>
      </c>
      <c r="F274" s="1" t="s">
        <v>14</v>
      </c>
      <c r="G274" s="1">
        <v>111534</v>
      </c>
      <c r="H274" s="1">
        <v>8810471</v>
      </c>
      <c r="I274" s="1">
        <v>78.993588709677411</v>
      </c>
      <c r="J274" s="1">
        <v>103102.31612864764</v>
      </c>
      <c r="K274" s="1">
        <v>88</v>
      </c>
      <c r="L274" s="1">
        <v>84</v>
      </c>
      <c r="M274" s="1">
        <v>78.31726123421582</v>
      </c>
      <c r="N274" s="1">
        <v>8074691</v>
      </c>
    </row>
    <row r="275" spans="1:14" x14ac:dyDescent="0.35">
      <c r="A275" s="1" t="s">
        <v>63</v>
      </c>
      <c r="B275" s="1">
        <v>202506</v>
      </c>
      <c r="C275" s="1" t="str">
        <f>MID(analisis_productividad__4[[#This Row],[Periodo]],1,4)</f>
        <v>2025</v>
      </c>
      <c r="D275" s="1" t="str">
        <f>MID(analisis_productividad__4[[#This Row],[Periodo]],5,2)</f>
        <v>06</v>
      </c>
      <c r="E275" s="1" t="s">
        <v>16</v>
      </c>
      <c r="F275" s="1" t="s">
        <v>17</v>
      </c>
      <c r="G275" s="1">
        <v>111464</v>
      </c>
      <c r="H275" s="1">
        <v>10118432</v>
      </c>
      <c r="I275" s="1">
        <v>90.777312499999979</v>
      </c>
      <c r="J275" s="1">
        <v>116196.2081967853</v>
      </c>
      <c r="K275" s="1">
        <v>86.5</v>
      </c>
      <c r="L275" s="1">
        <v>81.5</v>
      </c>
      <c r="M275" s="1">
        <v>87.080572912188543</v>
      </c>
      <c r="N275" s="1">
        <v>10586056</v>
      </c>
    </row>
    <row r="276" spans="1:14" x14ac:dyDescent="0.35">
      <c r="A276" s="1" t="s">
        <v>28</v>
      </c>
      <c r="B276" s="1">
        <v>202508</v>
      </c>
      <c r="C276" s="1" t="str">
        <f>MID(analisis_productividad__4[[#This Row],[Periodo]],1,4)</f>
        <v>2025</v>
      </c>
      <c r="D276" s="1" t="str">
        <f>MID(analisis_productividad__4[[#This Row],[Periodo]],5,2)</f>
        <v>08</v>
      </c>
      <c r="E276" s="1" t="s">
        <v>16</v>
      </c>
      <c r="F276" s="1" t="s">
        <v>17</v>
      </c>
      <c r="G276" s="1">
        <v>111410</v>
      </c>
      <c r="H276" s="1">
        <v>5937900</v>
      </c>
      <c r="I276" s="1">
        <v>53.297802419354859</v>
      </c>
      <c r="J276" s="1">
        <v>105731.88988755093</v>
      </c>
      <c r="K276" s="1">
        <v>64</v>
      </c>
      <c r="L276" s="1">
        <v>67</v>
      </c>
      <c r="M276" s="1">
        <v>56.15996901516786</v>
      </c>
      <c r="N276" s="1">
        <v>5555332</v>
      </c>
    </row>
    <row r="277" spans="1:14" x14ac:dyDescent="0.35">
      <c r="A277" s="1" t="s">
        <v>28</v>
      </c>
      <c r="B277" s="1">
        <v>202402</v>
      </c>
      <c r="C277" s="1" t="str">
        <f>MID(analisis_productividad__4[[#This Row],[Periodo]],1,4)</f>
        <v>2024</v>
      </c>
      <c r="D277" s="1" t="str">
        <f>MID(analisis_productividad__4[[#This Row],[Periodo]],5,2)</f>
        <v>02</v>
      </c>
      <c r="E277" s="1" t="s">
        <v>16</v>
      </c>
      <c r="F277" s="1" t="s">
        <v>17</v>
      </c>
      <c r="G277" s="1">
        <v>111390</v>
      </c>
      <c r="H277" s="1">
        <v>5827306</v>
      </c>
      <c r="I277" s="1">
        <v>52.314590517241385</v>
      </c>
      <c r="J277" s="1">
        <v>0</v>
      </c>
      <c r="K277" s="1">
        <v>64</v>
      </c>
      <c r="L277" s="1">
        <v>67</v>
      </c>
      <c r="M277" s="1"/>
      <c r="N277" s="1">
        <v>0</v>
      </c>
    </row>
    <row r="278" spans="1:14" x14ac:dyDescent="0.35">
      <c r="A278" s="1" t="s">
        <v>44</v>
      </c>
      <c r="B278" s="1">
        <v>202412</v>
      </c>
      <c r="C278" s="1" t="str">
        <f>MID(analisis_productividad__4[[#This Row],[Periodo]],1,4)</f>
        <v>2024</v>
      </c>
      <c r="D278" s="1" t="str">
        <f>MID(analisis_productividad__4[[#This Row],[Periodo]],5,2)</f>
        <v>12</v>
      </c>
      <c r="E278" s="1" t="s">
        <v>11</v>
      </c>
      <c r="F278" s="1" t="s">
        <v>12</v>
      </c>
      <c r="G278" s="1">
        <v>111335</v>
      </c>
      <c r="H278" s="1">
        <v>9277996</v>
      </c>
      <c r="I278" s="1">
        <v>83.334294354838732</v>
      </c>
      <c r="J278" s="1">
        <v>0</v>
      </c>
      <c r="K278" s="1">
        <v>78</v>
      </c>
      <c r="L278" s="1">
        <v>74.5</v>
      </c>
      <c r="M278" s="1"/>
      <c r="N278" s="1">
        <v>0</v>
      </c>
    </row>
    <row r="279" spans="1:14" x14ac:dyDescent="0.35">
      <c r="A279" s="1" t="s">
        <v>31</v>
      </c>
      <c r="B279" s="1">
        <v>202408</v>
      </c>
      <c r="C279" s="1" t="str">
        <f>MID(analisis_productividad__4[[#This Row],[Periodo]],1,4)</f>
        <v>2024</v>
      </c>
      <c r="D279" s="1" t="str">
        <f>MID(analisis_productividad__4[[#This Row],[Periodo]],5,2)</f>
        <v>08</v>
      </c>
      <c r="E279" s="1" t="s">
        <v>11</v>
      </c>
      <c r="F279" s="1" t="s">
        <v>14</v>
      </c>
      <c r="G279" s="1">
        <v>111327</v>
      </c>
      <c r="H279" s="1">
        <v>9098427</v>
      </c>
      <c r="I279" s="1">
        <v>81.727022849462344</v>
      </c>
      <c r="J279" s="1">
        <v>0</v>
      </c>
      <c r="K279" s="1">
        <v>101.5</v>
      </c>
      <c r="L279" s="1">
        <v>97.5</v>
      </c>
      <c r="M279" s="1"/>
      <c r="N279" s="1">
        <v>0</v>
      </c>
    </row>
    <row r="280" spans="1:14" x14ac:dyDescent="0.35">
      <c r="A280" s="1" t="s">
        <v>56</v>
      </c>
      <c r="B280" s="1">
        <v>202407</v>
      </c>
      <c r="C280" s="1" t="str">
        <f>MID(analisis_productividad__4[[#This Row],[Periodo]],1,4)</f>
        <v>2024</v>
      </c>
      <c r="D280" s="1" t="str">
        <f>MID(analisis_productividad__4[[#This Row],[Periodo]],5,2)</f>
        <v>07</v>
      </c>
      <c r="E280" s="1" t="s">
        <v>16</v>
      </c>
      <c r="F280" s="1" t="s">
        <v>21</v>
      </c>
      <c r="G280" s="1">
        <v>111280</v>
      </c>
      <c r="H280" s="1">
        <v>6556586</v>
      </c>
      <c r="I280" s="1">
        <v>58.919536290322583</v>
      </c>
      <c r="J280" s="1">
        <v>0</v>
      </c>
      <c r="K280" s="1">
        <v>72.5</v>
      </c>
      <c r="L280" s="1">
        <v>68.5</v>
      </c>
      <c r="M280" s="1"/>
      <c r="N280" s="1">
        <v>0</v>
      </c>
    </row>
    <row r="281" spans="1:14" x14ac:dyDescent="0.35">
      <c r="A281" s="1" t="s">
        <v>31</v>
      </c>
      <c r="B281" s="1">
        <v>202407</v>
      </c>
      <c r="C281" s="1" t="str">
        <f>MID(analisis_productividad__4[[#This Row],[Periodo]],1,4)</f>
        <v>2024</v>
      </c>
      <c r="D281" s="1" t="str">
        <f>MID(analisis_productividad__4[[#This Row],[Periodo]],5,2)</f>
        <v>07</v>
      </c>
      <c r="E281" s="1" t="s">
        <v>11</v>
      </c>
      <c r="F281" s="1" t="s">
        <v>14</v>
      </c>
      <c r="G281" s="1">
        <v>111236</v>
      </c>
      <c r="H281" s="1">
        <v>9643425</v>
      </c>
      <c r="I281" s="1">
        <v>86.693212365591421</v>
      </c>
      <c r="J281" s="1">
        <v>0</v>
      </c>
      <c r="K281" s="1">
        <v>101.5</v>
      </c>
      <c r="L281" s="1">
        <v>97.5</v>
      </c>
      <c r="M281" s="1"/>
      <c r="N281" s="1">
        <v>0</v>
      </c>
    </row>
    <row r="282" spans="1:14" x14ac:dyDescent="0.35">
      <c r="A282" s="1" t="s">
        <v>20</v>
      </c>
      <c r="B282" s="1">
        <v>202605</v>
      </c>
      <c r="C282" s="1" t="str">
        <f>MID(analisis_productividad__4[[#This Row],[Periodo]],1,4)</f>
        <v>2026</v>
      </c>
      <c r="D282" s="1" t="str">
        <f>MID(analisis_productividad__4[[#This Row],[Periodo]],5,2)</f>
        <v>05</v>
      </c>
      <c r="E282" s="1" t="s">
        <v>16</v>
      </c>
      <c r="F282" s="1" t="s">
        <v>21</v>
      </c>
      <c r="G282" s="1">
        <v>111235</v>
      </c>
      <c r="H282" s="1">
        <v>9115554</v>
      </c>
      <c r="I282" s="1">
        <v>81.948877688171194</v>
      </c>
      <c r="J282" s="1">
        <v>102554.75771447453</v>
      </c>
      <c r="K282" s="1">
        <v>96.5</v>
      </c>
      <c r="L282" s="1">
        <v>94</v>
      </c>
      <c r="M282" s="1">
        <v>87.753564014610347</v>
      </c>
      <c r="N282" s="1">
        <v>8999545</v>
      </c>
    </row>
    <row r="283" spans="1:14" x14ac:dyDescent="0.35">
      <c r="A283" s="1" t="s">
        <v>30</v>
      </c>
      <c r="B283" s="1">
        <v>202606</v>
      </c>
      <c r="C283" s="1" t="str">
        <f>MID(analisis_productividad__4[[#This Row],[Periodo]],1,4)</f>
        <v>2026</v>
      </c>
      <c r="D283" s="1" t="str">
        <f>MID(analisis_productividad__4[[#This Row],[Periodo]],5,2)</f>
        <v>06</v>
      </c>
      <c r="E283" s="1" t="s">
        <v>16</v>
      </c>
      <c r="F283" s="1" t="s">
        <v>19</v>
      </c>
      <c r="G283" s="1">
        <v>111213</v>
      </c>
      <c r="H283" s="1">
        <v>9523313</v>
      </c>
      <c r="I283" s="1">
        <v>85.631437500002036</v>
      </c>
      <c r="J283" s="1">
        <v>98147.556110494057</v>
      </c>
      <c r="K283" s="1">
        <v>101</v>
      </c>
      <c r="L283" s="1">
        <v>105</v>
      </c>
      <c r="M283" s="1">
        <v>90.439897606894348</v>
      </c>
      <c r="N283" s="1">
        <v>8876455</v>
      </c>
    </row>
    <row r="284" spans="1:14" x14ac:dyDescent="0.35">
      <c r="A284" s="1" t="s">
        <v>36</v>
      </c>
      <c r="B284" s="1">
        <v>202505</v>
      </c>
      <c r="C284" s="1" t="str">
        <f>MID(analisis_productividad__4[[#This Row],[Periodo]],1,4)</f>
        <v>2025</v>
      </c>
      <c r="D284" s="1" t="str">
        <f>MID(analisis_productividad__4[[#This Row],[Periodo]],5,2)</f>
        <v>05</v>
      </c>
      <c r="E284" s="1" t="s">
        <v>16</v>
      </c>
      <c r="F284" s="1" t="s">
        <v>17</v>
      </c>
      <c r="G284" s="1">
        <v>111168</v>
      </c>
      <c r="H284" s="1">
        <v>7799406</v>
      </c>
      <c r="I284" s="1">
        <v>70.159005376344041</v>
      </c>
      <c r="J284" s="1">
        <v>106664.00732659786</v>
      </c>
      <c r="K284" s="1">
        <v>76.5</v>
      </c>
      <c r="L284" s="1">
        <v>80</v>
      </c>
      <c r="M284" s="1">
        <v>73.121253602621124</v>
      </c>
      <c r="N284" s="1">
        <v>7767000</v>
      </c>
    </row>
    <row r="285" spans="1:14" x14ac:dyDescent="0.35">
      <c r="A285" s="1" t="s">
        <v>29</v>
      </c>
      <c r="B285" s="1">
        <v>202501</v>
      </c>
      <c r="C285" s="1" t="str">
        <f>MID(analisis_productividad__4[[#This Row],[Periodo]],1,4)</f>
        <v>2025</v>
      </c>
      <c r="D285" s="1" t="str">
        <f>MID(analisis_productividad__4[[#This Row],[Periodo]],5,2)</f>
        <v>01</v>
      </c>
      <c r="E285" s="1" t="s">
        <v>16</v>
      </c>
      <c r="F285" s="1" t="s">
        <v>19</v>
      </c>
      <c r="G285" s="1">
        <v>111167</v>
      </c>
      <c r="H285" s="1">
        <v>9611332</v>
      </c>
      <c r="I285" s="1">
        <v>86.458467741935451</v>
      </c>
      <c r="J285" s="1">
        <v>111072.02177140661</v>
      </c>
      <c r="K285" s="1">
        <v>96.5</v>
      </c>
      <c r="L285" s="1">
        <v>96</v>
      </c>
      <c r="M285" s="1">
        <v>86.532432620887562</v>
      </c>
      <c r="N285" s="1">
        <v>9212826</v>
      </c>
    </row>
    <row r="286" spans="1:14" x14ac:dyDescent="0.35">
      <c r="A286" s="1" t="s">
        <v>24</v>
      </c>
      <c r="B286" s="1">
        <v>202403</v>
      </c>
      <c r="C286" s="1" t="str">
        <f>MID(analisis_productividad__4[[#This Row],[Periodo]],1,4)</f>
        <v>2024</v>
      </c>
      <c r="D286" s="1" t="str">
        <f>MID(analisis_productividad__4[[#This Row],[Periodo]],5,2)</f>
        <v>03</v>
      </c>
      <c r="E286" s="1" t="s">
        <v>16</v>
      </c>
      <c r="F286" s="1" t="s">
        <v>21</v>
      </c>
      <c r="G286" s="1">
        <v>111150</v>
      </c>
      <c r="H286" s="1">
        <v>12471200</v>
      </c>
      <c r="I286" s="1">
        <v>112.20125000000007</v>
      </c>
      <c r="J286" s="1">
        <v>0</v>
      </c>
      <c r="K286" s="1">
        <v>125</v>
      </c>
      <c r="L286" s="1">
        <v>118.5</v>
      </c>
      <c r="M286" s="1"/>
      <c r="N286" s="1">
        <v>0</v>
      </c>
    </row>
    <row r="287" spans="1:14" x14ac:dyDescent="0.35">
      <c r="A287" s="1" t="s">
        <v>29</v>
      </c>
      <c r="B287" s="1">
        <v>202403</v>
      </c>
      <c r="C287" s="1" t="str">
        <f>MID(analisis_productividad__4[[#This Row],[Periodo]],1,4)</f>
        <v>2024</v>
      </c>
      <c r="D287" s="1" t="str">
        <f>MID(analisis_productividad__4[[#This Row],[Periodo]],5,2)</f>
        <v>03</v>
      </c>
      <c r="E287" s="1" t="s">
        <v>16</v>
      </c>
      <c r="F287" s="1" t="s">
        <v>19</v>
      </c>
      <c r="G287" s="1">
        <v>111076</v>
      </c>
      <c r="H287" s="1">
        <v>10383992</v>
      </c>
      <c r="I287" s="1">
        <v>93.485799731182766</v>
      </c>
      <c r="J287" s="1">
        <v>0</v>
      </c>
      <c r="K287" s="1">
        <v>96.5</v>
      </c>
      <c r="L287" s="1">
        <v>96</v>
      </c>
      <c r="M287" s="1"/>
      <c r="N287" s="1">
        <v>0</v>
      </c>
    </row>
    <row r="288" spans="1:14" x14ac:dyDescent="0.35">
      <c r="A288" s="1" t="s">
        <v>46</v>
      </c>
      <c r="B288" s="1">
        <v>202403</v>
      </c>
      <c r="C288" s="1" t="str">
        <f>MID(analisis_productividad__4[[#This Row],[Periodo]],1,4)</f>
        <v>2024</v>
      </c>
      <c r="D288" s="1" t="str">
        <f>MID(analisis_productividad__4[[#This Row],[Periodo]],5,2)</f>
        <v>03</v>
      </c>
      <c r="E288" s="1" t="s">
        <v>11</v>
      </c>
      <c r="F288" s="1" t="s">
        <v>14</v>
      </c>
      <c r="G288" s="1">
        <v>111070</v>
      </c>
      <c r="H288" s="1">
        <v>7404395</v>
      </c>
      <c r="I288" s="1">
        <v>66.664368279569885</v>
      </c>
      <c r="J288" s="1">
        <v>0</v>
      </c>
      <c r="K288" s="1">
        <v>77</v>
      </c>
      <c r="L288" s="1">
        <v>79</v>
      </c>
      <c r="M288" s="1"/>
      <c r="N288" s="1">
        <v>0</v>
      </c>
    </row>
    <row r="289" spans="1:14" x14ac:dyDescent="0.35">
      <c r="A289" s="1" t="s">
        <v>25</v>
      </c>
      <c r="B289" s="1">
        <v>202602</v>
      </c>
      <c r="C289" s="1" t="str">
        <f>MID(analisis_productividad__4[[#This Row],[Periodo]],1,4)</f>
        <v>2026</v>
      </c>
      <c r="D289" s="1" t="str">
        <f>MID(analisis_productividad__4[[#This Row],[Periodo]],5,2)</f>
        <v>02</v>
      </c>
      <c r="E289" s="1" t="s">
        <v>16</v>
      </c>
      <c r="F289" s="1" t="s">
        <v>19</v>
      </c>
      <c r="G289" s="1">
        <v>111022</v>
      </c>
      <c r="H289" s="1">
        <v>9209972</v>
      </c>
      <c r="I289" s="1">
        <v>82.955937500000005</v>
      </c>
      <c r="J289" s="1">
        <v>96949.833778636981</v>
      </c>
      <c r="K289" s="1">
        <v>94</v>
      </c>
      <c r="L289" s="1">
        <v>92</v>
      </c>
      <c r="M289" s="1">
        <v>81.933174564661712</v>
      </c>
      <c r="N289" s="1">
        <v>7943408</v>
      </c>
    </row>
    <row r="290" spans="1:14" x14ac:dyDescent="0.35">
      <c r="A290" s="1" t="s">
        <v>53</v>
      </c>
      <c r="B290" s="1">
        <v>202605</v>
      </c>
      <c r="C290" s="1" t="str">
        <f>MID(analisis_productividad__4[[#This Row],[Periodo]],1,4)</f>
        <v>2026</v>
      </c>
      <c r="D290" s="1" t="str">
        <f>MID(analisis_productividad__4[[#This Row],[Periodo]],5,2)</f>
        <v>05</v>
      </c>
      <c r="E290" s="1" t="s">
        <v>11</v>
      </c>
      <c r="F290" s="1" t="s">
        <v>12</v>
      </c>
      <c r="G290" s="1">
        <v>110956</v>
      </c>
      <c r="H290" s="1">
        <v>7695273</v>
      </c>
      <c r="I290" s="1">
        <v>69.354287634408436</v>
      </c>
      <c r="J290" s="1">
        <v>93403.795211652076</v>
      </c>
      <c r="K290" s="1">
        <v>81</v>
      </c>
      <c r="L290" s="1">
        <v>77</v>
      </c>
      <c r="M290" s="1">
        <v>69.978560745726568</v>
      </c>
      <c r="N290" s="1">
        <v>6536263</v>
      </c>
    </row>
    <row r="291" spans="1:14" x14ac:dyDescent="0.35">
      <c r="A291" s="1" t="s">
        <v>33</v>
      </c>
      <c r="B291" s="1">
        <v>202512</v>
      </c>
      <c r="C291" s="1" t="str">
        <f>MID(analisis_productividad__4[[#This Row],[Periodo]],1,4)</f>
        <v>2025</v>
      </c>
      <c r="D291" s="1" t="str">
        <f>MID(analisis_productividad__4[[#This Row],[Periodo]],5,2)</f>
        <v>12</v>
      </c>
      <c r="E291" s="1" t="s">
        <v>34</v>
      </c>
      <c r="F291" s="1" t="s">
        <v>35</v>
      </c>
      <c r="G291" s="1">
        <v>110948</v>
      </c>
      <c r="H291" s="1">
        <v>1591718</v>
      </c>
      <c r="I291" s="1">
        <v>14.346471774193535</v>
      </c>
      <c r="J291" s="1">
        <v>109360.52258677871</v>
      </c>
      <c r="K291" s="1">
        <v>15</v>
      </c>
      <c r="L291" s="1">
        <v>15</v>
      </c>
      <c r="M291" s="1">
        <v>14.554772438445104</v>
      </c>
      <c r="N291" s="1">
        <v>1527267</v>
      </c>
    </row>
    <row r="292" spans="1:14" x14ac:dyDescent="0.35">
      <c r="A292" s="1" t="s">
        <v>53</v>
      </c>
      <c r="B292" s="1">
        <v>202412</v>
      </c>
      <c r="C292" s="1" t="str">
        <f>MID(analisis_productividad__4[[#This Row],[Periodo]],1,4)</f>
        <v>2024</v>
      </c>
      <c r="D292" s="1" t="str">
        <f>MID(analisis_productividad__4[[#This Row],[Periodo]],5,2)</f>
        <v>12</v>
      </c>
      <c r="E292" s="1" t="s">
        <v>11</v>
      </c>
      <c r="F292" s="1" t="s">
        <v>12</v>
      </c>
      <c r="G292" s="1">
        <v>110810</v>
      </c>
      <c r="H292" s="1">
        <v>9158060</v>
      </c>
      <c r="I292" s="1">
        <v>82.646290322580654</v>
      </c>
      <c r="J292" s="1">
        <v>0</v>
      </c>
      <c r="K292" s="1">
        <v>81</v>
      </c>
      <c r="L292" s="1">
        <v>77</v>
      </c>
      <c r="M292" s="1"/>
      <c r="N292" s="1">
        <v>0</v>
      </c>
    </row>
    <row r="293" spans="1:14" x14ac:dyDescent="0.35">
      <c r="A293" s="1" t="s">
        <v>30</v>
      </c>
      <c r="B293" s="1">
        <v>202408</v>
      </c>
      <c r="C293" s="1" t="str">
        <f>MID(analisis_productividad__4[[#This Row],[Periodo]],1,4)</f>
        <v>2024</v>
      </c>
      <c r="D293" s="1" t="str">
        <f>MID(analisis_productividad__4[[#This Row],[Periodo]],5,2)</f>
        <v>08</v>
      </c>
      <c r="E293" s="1" t="s">
        <v>16</v>
      </c>
      <c r="F293" s="1" t="s">
        <v>19</v>
      </c>
      <c r="G293" s="1">
        <v>110775</v>
      </c>
      <c r="H293" s="1">
        <v>9520567</v>
      </c>
      <c r="I293" s="1">
        <v>85.945322580645168</v>
      </c>
      <c r="J293" s="1">
        <v>0</v>
      </c>
      <c r="K293" s="1">
        <v>101</v>
      </c>
      <c r="L293" s="1">
        <v>105</v>
      </c>
      <c r="M293" s="1"/>
      <c r="N293" s="1">
        <v>0</v>
      </c>
    </row>
    <row r="294" spans="1:14" x14ac:dyDescent="0.35">
      <c r="A294" s="1" t="s">
        <v>46</v>
      </c>
      <c r="B294" s="1">
        <v>202407</v>
      </c>
      <c r="C294" s="1" t="str">
        <f>MID(analisis_productividad__4[[#This Row],[Periodo]],1,4)</f>
        <v>2024</v>
      </c>
      <c r="D294" s="1" t="str">
        <f>MID(analisis_productividad__4[[#This Row],[Periodo]],5,2)</f>
        <v>07</v>
      </c>
      <c r="E294" s="1" t="s">
        <v>11</v>
      </c>
      <c r="F294" s="1" t="s">
        <v>14</v>
      </c>
      <c r="G294" s="1">
        <v>110770</v>
      </c>
      <c r="H294" s="1">
        <v>7572535</v>
      </c>
      <c r="I294" s="1">
        <v>68.362856182795724</v>
      </c>
      <c r="J294" s="1">
        <v>0</v>
      </c>
      <c r="K294" s="1">
        <v>77</v>
      </c>
      <c r="L294" s="1">
        <v>79</v>
      </c>
      <c r="M294" s="1"/>
      <c r="N294" s="1">
        <v>0</v>
      </c>
    </row>
    <row r="295" spans="1:14" x14ac:dyDescent="0.35">
      <c r="A295" s="1" t="s">
        <v>54</v>
      </c>
      <c r="B295" s="1">
        <v>202505</v>
      </c>
      <c r="C295" s="1" t="str">
        <f>MID(analisis_productividad__4[[#This Row],[Periodo]],1,4)</f>
        <v>2025</v>
      </c>
      <c r="D295" s="1" t="str">
        <f>MID(analisis_productividad__4[[#This Row],[Periodo]],5,2)</f>
        <v>05</v>
      </c>
      <c r="E295" s="1" t="s">
        <v>11</v>
      </c>
      <c r="F295" s="1" t="s">
        <v>52</v>
      </c>
      <c r="G295" s="1">
        <v>110744</v>
      </c>
      <c r="H295" s="1">
        <v>9124921</v>
      </c>
      <c r="I295" s="1">
        <v>82.396586021505428</v>
      </c>
      <c r="J295" s="1">
        <v>87833.923215744595</v>
      </c>
      <c r="K295" s="1">
        <v>106</v>
      </c>
      <c r="L295" s="1">
        <v>102.5</v>
      </c>
      <c r="M295" s="1">
        <v>103.88834980747303</v>
      </c>
      <c r="N295" s="1">
        <v>9644611</v>
      </c>
    </row>
    <row r="296" spans="1:14" x14ac:dyDescent="0.35">
      <c r="A296" s="1" t="s">
        <v>63</v>
      </c>
      <c r="B296" s="1">
        <v>202504</v>
      </c>
      <c r="C296" s="1" t="str">
        <f>MID(analisis_productividad__4[[#This Row],[Periodo]],1,4)</f>
        <v>2025</v>
      </c>
      <c r="D296" s="1" t="str">
        <f>MID(analisis_productividad__4[[#This Row],[Periodo]],5,2)</f>
        <v>04</v>
      </c>
      <c r="E296" s="1" t="s">
        <v>16</v>
      </c>
      <c r="F296" s="1" t="s">
        <v>17</v>
      </c>
      <c r="G296" s="1">
        <v>110725</v>
      </c>
      <c r="H296" s="1">
        <v>9747705</v>
      </c>
      <c r="I296" s="1">
        <v>88.035305555555553</v>
      </c>
      <c r="J296" s="1">
        <v>102298.86971491559</v>
      </c>
      <c r="K296" s="1">
        <v>86.5</v>
      </c>
      <c r="L296" s="1">
        <v>81.5</v>
      </c>
      <c r="M296" s="1">
        <v>95.286539012256014</v>
      </c>
      <c r="N296" s="1">
        <v>10042147</v>
      </c>
    </row>
    <row r="297" spans="1:14" x14ac:dyDescent="0.35">
      <c r="A297" s="1" t="s">
        <v>27</v>
      </c>
      <c r="B297" s="1">
        <v>202602</v>
      </c>
      <c r="C297" s="1" t="str">
        <f>MID(analisis_productividad__4[[#This Row],[Periodo]],1,4)</f>
        <v>2026</v>
      </c>
      <c r="D297" s="1" t="str">
        <f>MID(analisis_productividad__4[[#This Row],[Periodo]],5,2)</f>
        <v>02</v>
      </c>
      <c r="E297" s="1" t="s">
        <v>11</v>
      </c>
      <c r="F297" s="1" t="s">
        <v>14</v>
      </c>
      <c r="G297" s="1">
        <v>110701</v>
      </c>
      <c r="H297" s="1">
        <v>8794025</v>
      </c>
      <c r="I297" s="1">
        <v>79.439114583333321</v>
      </c>
      <c r="J297" s="1">
        <v>103341.3836829127</v>
      </c>
      <c r="K297" s="1">
        <v>88</v>
      </c>
      <c r="L297" s="1">
        <v>84</v>
      </c>
      <c r="M297" s="1">
        <v>78.31726123421582</v>
      </c>
      <c r="N297" s="1">
        <v>8093414</v>
      </c>
    </row>
    <row r="298" spans="1:14" x14ac:dyDescent="0.35">
      <c r="A298" s="1" t="s">
        <v>36</v>
      </c>
      <c r="B298" s="1">
        <v>202501</v>
      </c>
      <c r="C298" s="1" t="str">
        <f>MID(analisis_productividad__4[[#This Row],[Periodo]],1,4)</f>
        <v>2025</v>
      </c>
      <c r="D298" s="1" t="str">
        <f>MID(analisis_productividad__4[[#This Row],[Periodo]],5,2)</f>
        <v>01</v>
      </c>
      <c r="E298" s="1" t="s">
        <v>16</v>
      </c>
      <c r="F298" s="1" t="s">
        <v>17</v>
      </c>
      <c r="G298" s="1">
        <v>110686</v>
      </c>
      <c r="H298" s="1">
        <v>7809154</v>
      </c>
      <c r="I298" s="1">
        <v>70.552096774193487</v>
      </c>
      <c r="J298" s="1">
        <v>115958.24421871296</v>
      </c>
      <c r="K298" s="1">
        <v>76.5</v>
      </c>
      <c r="L298" s="1">
        <v>80</v>
      </c>
      <c r="M298" s="1">
        <v>67.344532703262374</v>
      </c>
      <c r="N298" s="1">
        <v>8028642</v>
      </c>
    </row>
    <row r="299" spans="1:14" x14ac:dyDescent="0.35">
      <c r="A299" s="1" t="s">
        <v>63</v>
      </c>
      <c r="B299" s="1">
        <v>202406</v>
      </c>
      <c r="C299" s="1" t="str">
        <f>MID(analisis_productividad__4[[#This Row],[Periodo]],1,4)</f>
        <v>2024</v>
      </c>
      <c r="D299" s="1" t="str">
        <f>MID(analisis_productividad__4[[#This Row],[Periodo]],5,2)</f>
        <v>06</v>
      </c>
      <c r="E299" s="1" t="s">
        <v>16</v>
      </c>
      <c r="F299" s="1" t="s">
        <v>17</v>
      </c>
      <c r="G299" s="1">
        <v>110663</v>
      </c>
      <c r="H299" s="1">
        <v>10346385</v>
      </c>
      <c r="I299" s="1">
        <v>93.494479166666622</v>
      </c>
      <c r="J299" s="1">
        <v>0</v>
      </c>
      <c r="K299" s="1">
        <v>86.5</v>
      </c>
      <c r="L299" s="1">
        <v>81.5</v>
      </c>
      <c r="M299" s="1"/>
      <c r="N299" s="1">
        <v>0</v>
      </c>
    </row>
    <row r="300" spans="1:14" x14ac:dyDescent="0.35">
      <c r="A300" s="1" t="s">
        <v>23</v>
      </c>
      <c r="B300" s="1">
        <v>202604</v>
      </c>
      <c r="C300" s="1" t="str">
        <f>MID(analisis_productividad__4[[#This Row],[Periodo]],1,4)</f>
        <v>2026</v>
      </c>
      <c r="D300" s="1" t="str">
        <f>MID(analisis_productividad__4[[#This Row],[Periodo]],5,2)</f>
        <v>04</v>
      </c>
      <c r="E300" s="1" t="s">
        <v>11</v>
      </c>
      <c r="F300" s="1" t="s">
        <v>12</v>
      </c>
      <c r="G300" s="1">
        <v>110663</v>
      </c>
      <c r="H300" s="1">
        <v>6763465</v>
      </c>
      <c r="I300" s="1">
        <v>61.117826388890578</v>
      </c>
      <c r="J300" s="1">
        <v>104982.59167440828</v>
      </c>
      <c r="K300" s="1">
        <v>68.5</v>
      </c>
      <c r="L300" s="1">
        <v>66</v>
      </c>
      <c r="M300" s="1">
        <v>59.179400136818131</v>
      </c>
      <c r="N300" s="1">
        <v>6212807</v>
      </c>
    </row>
    <row r="301" spans="1:14" x14ac:dyDescent="0.35">
      <c r="A301" s="1" t="s">
        <v>13</v>
      </c>
      <c r="B301" s="1">
        <v>202504</v>
      </c>
      <c r="C301" s="1" t="str">
        <f>MID(analisis_productividad__4[[#This Row],[Periodo]],1,4)</f>
        <v>2025</v>
      </c>
      <c r="D301" s="1" t="str">
        <f>MID(analisis_productividad__4[[#This Row],[Periodo]],5,2)</f>
        <v>04</v>
      </c>
      <c r="E301" s="1" t="s">
        <v>11</v>
      </c>
      <c r="F301" s="1" t="s">
        <v>14</v>
      </c>
      <c r="G301" s="1">
        <v>110654</v>
      </c>
      <c r="H301" s="1">
        <v>9508746</v>
      </c>
      <c r="I301" s="1">
        <v>85.932000000000045</v>
      </c>
      <c r="J301" s="1">
        <v>103125.87984484779</v>
      </c>
      <c r="K301" s="1">
        <v>100</v>
      </c>
      <c r="L301" s="1">
        <v>98</v>
      </c>
      <c r="M301" s="1">
        <v>92.205239890373264</v>
      </c>
      <c r="N301" s="1">
        <v>10359067</v>
      </c>
    </row>
    <row r="302" spans="1:14" x14ac:dyDescent="0.35">
      <c r="A302" s="1" t="s">
        <v>53</v>
      </c>
      <c r="B302" s="1">
        <v>202606</v>
      </c>
      <c r="C302" s="1" t="str">
        <f>MID(analisis_productividad__4[[#This Row],[Periodo]],1,4)</f>
        <v>2026</v>
      </c>
      <c r="D302" s="1" t="str">
        <f>MID(analisis_productividad__4[[#This Row],[Periodo]],5,2)</f>
        <v>06</v>
      </c>
      <c r="E302" s="1" t="s">
        <v>11</v>
      </c>
      <c r="F302" s="1" t="s">
        <v>12</v>
      </c>
      <c r="G302" s="1">
        <v>110583</v>
      </c>
      <c r="H302" s="1">
        <v>6657495</v>
      </c>
      <c r="I302" s="1">
        <v>60.203500000001135</v>
      </c>
      <c r="J302" s="1">
        <v>86555.598595529693</v>
      </c>
      <c r="K302" s="1">
        <v>81</v>
      </c>
      <c r="L302" s="1">
        <v>77</v>
      </c>
      <c r="M302" s="1">
        <v>69.978560745726568</v>
      </c>
      <c r="N302" s="1">
        <v>6057036</v>
      </c>
    </row>
    <row r="303" spans="1:14" x14ac:dyDescent="0.35">
      <c r="A303" s="1" t="s">
        <v>31</v>
      </c>
      <c r="B303" s="1">
        <v>202412</v>
      </c>
      <c r="C303" s="1" t="str">
        <f>MID(analisis_productividad__4[[#This Row],[Periodo]],1,4)</f>
        <v>2024</v>
      </c>
      <c r="D303" s="1" t="str">
        <f>MID(analisis_productividad__4[[#This Row],[Periodo]],5,2)</f>
        <v>12</v>
      </c>
      <c r="E303" s="1" t="s">
        <v>11</v>
      </c>
      <c r="F303" s="1" t="s">
        <v>14</v>
      </c>
      <c r="G303" s="1">
        <v>110538</v>
      </c>
      <c r="H303" s="1">
        <v>10830091</v>
      </c>
      <c r="I303" s="1">
        <v>97.976431451612797</v>
      </c>
      <c r="J303" s="1">
        <v>0</v>
      </c>
      <c r="K303" s="1">
        <v>101.5</v>
      </c>
      <c r="L303" s="1">
        <v>97.5</v>
      </c>
      <c r="M303" s="1"/>
      <c r="N303" s="1">
        <v>0</v>
      </c>
    </row>
    <row r="304" spans="1:14" x14ac:dyDescent="0.35">
      <c r="A304" s="1" t="s">
        <v>59</v>
      </c>
      <c r="B304" s="1">
        <v>202412</v>
      </c>
      <c r="C304" s="1" t="str">
        <f>MID(analisis_productividad__4[[#This Row],[Periodo]],1,4)</f>
        <v>2024</v>
      </c>
      <c r="D304" s="1" t="str">
        <f>MID(analisis_productividad__4[[#This Row],[Periodo]],5,2)</f>
        <v>12</v>
      </c>
      <c r="E304" s="1" t="s">
        <v>11</v>
      </c>
      <c r="F304" s="1" t="s">
        <v>12</v>
      </c>
      <c r="G304" s="1">
        <v>110535</v>
      </c>
      <c r="H304" s="1">
        <v>12374027</v>
      </c>
      <c r="I304" s="1">
        <v>111.94702956989246</v>
      </c>
      <c r="J304" s="1">
        <v>0</v>
      </c>
      <c r="K304" s="1">
        <v>94.5</v>
      </c>
      <c r="L304" s="1">
        <v>97</v>
      </c>
      <c r="M304" s="1"/>
      <c r="N304" s="1">
        <v>0</v>
      </c>
    </row>
    <row r="305" spans="1:14" x14ac:dyDescent="0.35">
      <c r="A305" s="1" t="s">
        <v>15</v>
      </c>
      <c r="B305" s="1">
        <v>202502</v>
      </c>
      <c r="C305" s="1" t="str">
        <f>MID(analisis_productividad__4[[#This Row],[Periodo]],1,4)</f>
        <v>2025</v>
      </c>
      <c r="D305" s="1" t="str">
        <f>MID(analisis_productividad__4[[#This Row],[Periodo]],5,2)</f>
        <v>02</v>
      </c>
      <c r="E305" s="1" t="s">
        <v>16</v>
      </c>
      <c r="F305" s="1" t="s">
        <v>17</v>
      </c>
      <c r="G305" s="1">
        <v>110485</v>
      </c>
      <c r="H305" s="1">
        <v>6269034</v>
      </c>
      <c r="I305" s="1">
        <v>56.741093750000005</v>
      </c>
      <c r="J305" s="1">
        <v>121191.12840772673</v>
      </c>
      <c r="K305" s="1">
        <v>61</v>
      </c>
      <c r="L305" s="1">
        <v>60</v>
      </c>
      <c r="M305" s="1">
        <v>51.728493350675883</v>
      </c>
      <c r="N305" s="1">
        <v>6362513</v>
      </c>
    </row>
    <row r="306" spans="1:14" x14ac:dyDescent="0.35">
      <c r="A306" s="1" t="s">
        <v>86</v>
      </c>
      <c r="B306" s="1">
        <v>202412</v>
      </c>
      <c r="C306" s="1" t="str">
        <f>MID(analisis_productividad__4[[#This Row],[Periodo]],1,4)</f>
        <v>2024</v>
      </c>
      <c r="D306" s="1" t="str">
        <f>MID(analisis_productividad__4[[#This Row],[Periodo]],5,2)</f>
        <v>12</v>
      </c>
      <c r="E306" s="1" t="s">
        <v>11</v>
      </c>
      <c r="F306" s="1" t="s">
        <v>14</v>
      </c>
      <c r="G306" s="1">
        <v>110485</v>
      </c>
      <c r="H306" s="1">
        <v>7641850</v>
      </c>
      <c r="I306" s="1">
        <v>69.166633064516162</v>
      </c>
      <c r="J306" s="1">
        <v>0</v>
      </c>
      <c r="K306" s="1">
        <v>69.5</v>
      </c>
      <c r="L306" s="1">
        <v>59</v>
      </c>
      <c r="M306" s="1"/>
      <c r="N306" s="1">
        <v>0</v>
      </c>
    </row>
    <row r="307" spans="1:14" x14ac:dyDescent="0.35">
      <c r="A307" s="1" t="s">
        <v>36</v>
      </c>
      <c r="B307" s="1">
        <v>202401</v>
      </c>
      <c r="C307" s="1" t="str">
        <f>MID(analisis_productividad__4[[#This Row],[Periodo]],1,4)</f>
        <v>2024</v>
      </c>
      <c r="D307" s="1" t="str">
        <f>MID(analisis_productividad__4[[#This Row],[Periodo]],5,2)</f>
        <v>01</v>
      </c>
      <c r="E307" s="1" t="s">
        <v>16</v>
      </c>
      <c r="F307" s="1" t="s">
        <v>17</v>
      </c>
      <c r="G307" s="1">
        <v>110436</v>
      </c>
      <c r="H307" s="1">
        <v>7572520</v>
      </c>
      <c r="I307" s="1">
        <v>68.569045698924697</v>
      </c>
      <c r="J307" s="1">
        <v>0</v>
      </c>
      <c r="K307" s="1">
        <v>76.5</v>
      </c>
      <c r="L307" s="1">
        <v>80</v>
      </c>
      <c r="M307" s="1"/>
      <c r="N307" s="1">
        <v>0</v>
      </c>
    </row>
    <row r="308" spans="1:14" x14ac:dyDescent="0.35">
      <c r="A308" s="1" t="s">
        <v>38</v>
      </c>
      <c r="B308" s="1">
        <v>202603</v>
      </c>
      <c r="C308" s="1" t="str">
        <f>MID(analisis_productividad__4[[#This Row],[Periodo]],1,4)</f>
        <v>2026</v>
      </c>
      <c r="D308" s="1" t="str">
        <f>MID(analisis_productividad__4[[#This Row],[Periodo]],5,2)</f>
        <v>03</v>
      </c>
      <c r="E308" s="1" t="s">
        <v>34</v>
      </c>
      <c r="F308" s="1" t="s">
        <v>35</v>
      </c>
      <c r="G308" s="1">
        <v>110399</v>
      </c>
      <c r="H308" s="1">
        <v>13175582</v>
      </c>
      <c r="I308" s="1">
        <v>119.34553091397841</v>
      </c>
      <c r="J308" s="1">
        <v>114549.61121360562</v>
      </c>
      <c r="K308" s="1">
        <v>140.5</v>
      </c>
      <c r="L308" s="1">
        <v>125.5</v>
      </c>
      <c r="M308" s="1">
        <v>117.18897502469719</v>
      </c>
      <c r="N308" s="1">
        <v>13423952</v>
      </c>
    </row>
    <row r="309" spans="1:14" x14ac:dyDescent="0.35">
      <c r="A309" s="1" t="s">
        <v>131</v>
      </c>
      <c r="B309" s="1">
        <v>202406</v>
      </c>
      <c r="C309" s="1" t="str">
        <f>MID(analisis_productividad__4[[#This Row],[Periodo]],1,4)</f>
        <v>2024</v>
      </c>
      <c r="D309" s="1" t="str">
        <f>MID(analisis_productividad__4[[#This Row],[Periodo]],5,2)</f>
        <v>06</v>
      </c>
      <c r="E309" s="1" t="s">
        <v>16</v>
      </c>
      <c r="F309" s="1" t="s">
        <v>21</v>
      </c>
      <c r="G309" s="1">
        <v>110237</v>
      </c>
      <c r="H309" s="1">
        <v>11594317</v>
      </c>
      <c r="I309" s="1">
        <v>105.17660416666673</v>
      </c>
      <c r="J309" s="1">
        <v>0</v>
      </c>
      <c r="K309" s="1">
        <v>99</v>
      </c>
      <c r="L309" s="1">
        <v>32.5</v>
      </c>
      <c r="M309" s="1"/>
      <c r="N309" s="1">
        <v>0</v>
      </c>
    </row>
    <row r="310" spans="1:14" x14ac:dyDescent="0.35">
      <c r="A310" s="1" t="s">
        <v>54</v>
      </c>
      <c r="B310" s="1">
        <v>202603</v>
      </c>
      <c r="C310" s="1" t="str">
        <f>MID(analisis_productividad__4[[#This Row],[Periodo]],1,4)</f>
        <v>2026</v>
      </c>
      <c r="D310" s="1" t="str">
        <f>MID(analisis_productividad__4[[#This Row],[Periodo]],5,2)</f>
        <v>03</v>
      </c>
      <c r="E310" s="1" t="s">
        <v>11</v>
      </c>
      <c r="F310" s="1" t="s">
        <v>52</v>
      </c>
      <c r="G310" s="1">
        <v>110226</v>
      </c>
      <c r="H310" s="1">
        <v>10091243</v>
      </c>
      <c r="I310" s="1">
        <v>91.550591397849416</v>
      </c>
      <c r="J310" s="1">
        <v>114056.08013723641</v>
      </c>
      <c r="K310" s="1">
        <v>106</v>
      </c>
      <c r="L310" s="1">
        <v>102.5</v>
      </c>
      <c r="M310" s="1">
        <v>90.060822135394957</v>
      </c>
      <c r="N310" s="1">
        <v>10271984</v>
      </c>
    </row>
    <row r="311" spans="1:14" x14ac:dyDescent="0.35">
      <c r="A311" s="1" t="s">
        <v>13</v>
      </c>
      <c r="B311" s="1">
        <v>202507</v>
      </c>
      <c r="C311" s="1" t="str">
        <f>MID(analisis_productividad__4[[#This Row],[Periodo]],1,4)</f>
        <v>2025</v>
      </c>
      <c r="D311" s="1" t="str">
        <f>MID(analisis_productividad__4[[#This Row],[Periodo]],5,2)</f>
        <v>07</v>
      </c>
      <c r="E311" s="1" t="s">
        <v>11</v>
      </c>
      <c r="F311" s="1" t="s">
        <v>14</v>
      </c>
      <c r="G311" s="1">
        <v>110189</v>
      </c>
      <c r="H311" s="1">
        <v>9776787</v>
      </c>
      <c r="I311" s="1">
        <v>88.727352150537669</v>
      </c>
      <c r="J311" s="1">
        <v>111263.55492807068</v>
      </c>
      <c r="K311" s="1">
        <v>100</v>
      </c>
      <c r="L311" s="1">
        <v>98</v>
      </c>
      <c r="M311" s="1">
        <v>87.870526843407688</v>
      </c>
      <c r="N311" s="1">
        <v>10189414</v>
      </c>
    </row>
    <row r="312" spans="1:14" x14ac:dyDescent="0.35">
      <c r="A312" s="1" t="s">
        <v>23</v>
      </c>
      <c r="B312" s="1">
        <v>202602</v>
      </c>
      <c r="C312" s="1" t="str">
        <f>MID(analisis_productividad__4[[#This Row],[Periodo]],1,4)</f>
        <v>2026</v>
      </c>
      <c r="D312" s="1" t="str">
        <f>MID(analisis_productividad__4[[#This Row],[Periodo]],5,2)</f>
        <v>02</v>
      </c>
      <c r="E312" s="1" t="s">
        <v>11</v>
      </c>
      <c r="F312" s="1" t="s">
        <v>12</v>
      </c>
      <c r="G312" s="1">
        <v>110154</v>
      </c>
      <c r="H312" s="1">
        <v>6817105</v>
      </c>
      <c r="I312" s="1">
        <v>61.886979166666691</v>
      </c>
      <c r="J312" s="1">
        <v>103811.10089823078</v>
      </c>
      <c r="K312" s="1">
        <v>68.5</v>
      </c>
      <c r="L312" s="1">
        <v>66</v>
      </c>
      <c r="M312" s="1">
        <v>59.179400136818131</v>
      </c>
      <c r="N312" s="1">
        <v>6143479</v>
      </c>
    </row>
    <row r="313" spans="1:14" x14ac:dyDescent="0.35">
      <c r="A313" s="1" t="s">
        <v>36</v>
      </c>
      <c r="B313" s="1">
        <v>202410</v>
      </c>
      <c r="C313" s="1" t="str">
        <f>MID(analisis_productividad__4[[#This Row],[Periodo]],1,4)</f>
        <v>2024</v>
      </c>
      <c r="D313" s="1" t="str">
        <f>MID(analisis_productividad__4[[#This Row],[Periodo]],5,2)</f>
        <v>10</v>
      </c>
      <c r="E313" s="1" t="s">
        <v>16</v>
      </c>
      <c r="F313" s="1" t="s">
        <v>17</v>
      </c>
      <c r="G313" s="1">
        <v>110061</v>
      </c>
      <c r="H313" s="1">
        <v>7260782</v>
      </c>
      <c r="I313" s="1">
        <v>65.970483870967726</v>
      </c>
      <c r="J313" s="1">
        <v>0</v>
      </c>
      <c r="K313" s="1">
        <v>76.5</v>
      </c>
      <c r="L313" s="1">
        <v>80</v>
      </c>
      <c r="M313" s="1"/>
      <c r="N313" s="1">
        <v>0</v>
      </c>
    </row>
    <row r="314" spans="1:14" x14ac:dyDescent="0.35">
      <c r="A314" s="1" t="s">
        <v>37</v>
      </c>
      <c r="B314" s="1">
        <v>202606</v>
      </c>
      <c r="C314" s="1" t="str">
        <f>MID(analisis_productividad__4[[#This Row],[Periodo]],1,4)</f>
        <v>2026</v>
      </c>
      <c r="D314" s="1" t="str">
        <f>MID(analisis_productividad__4[[#This Row],[Periodo]],5,2)</f>
        <v>06</v>
      </c>
      <c r="E314" s="1" t="s">
        <v>16</v>
      </c>
      <c r="F314" s="1" t="s">
        <v>17</v>
      </c>
      <c r="G314" s="1">
        <v>110050</v>
      </c>
      <c r="H314" s="1">
        <v>9765595</v>
      </c>
      <c r="I314" s="1">
        <v>88.738125000002739</v>
      </c>
      <c r="J314" s="1">
        <v>93000.708306723303</v>
      </c>
      <c r="K314" s="1">
        <v>107.5</v>
      </c>
      <c r="L314" s="1">
        <v>102.5</v>
      </c>
      <c r="M314" s="1">
        <v>96.70800932222366</v>
      </c>
      <c r="N314" s="1">
        <v>8993913</v>
      </c>
    </row>
    <row r="315" spans="1:14" x14ac:dyDescent="0.35">
      <c r="A315" s="1" t="s">
        <v>30</v>
      </c>
      <c r="B315" s="1">
        <v>202504</v>
      </c>
      <c r="C315" s="1" t="str">
        <f>MID(analisis_productividad__4[[#This Row],[Periodo]],1,4)</f>
        <v>2025</v>
      </c>
      <c r="D315" s="1" t="str">
        <f>MID(analisis_productividad__4[[#This Row],[Periodo]],5,2)</f>
        <v>04</v>
      </c>
      <c r="E315" s="1" t="s">
        <v>16</v>
      </c>
      <c r="F315" s="1" t="s">
        <v>19</v>
      </c>
      <c r="G315" s="1">
        <v>110002</v>
      </c>
      <c r="H315" s="1">
        <v>9071064</v>
      </c>
      <c r="I315" s="1">
        <v>82.462527777777865</v>
      </c>
      <c r="J315" s="1">
        <v>109637.28017857777</v>
      </c>
      <c r="K315" s="1">
        <v>101</v>
      </c>
      <c r="L315" s="1">
        <v>105</v>
      </c>
      <c r="M315" s="1">
        <v>82.737035844240253</v>
      </c>
      <c r="N315" s="1">
        <v>9802363</v>
      </c>
    </row>
    <row r="316" spans="1:14" x14ac:dyDescent="0.35">
      <c r="A316" s="1" t="s">
        <v>10</v>
      </c>
      <c r="B316" s="1">
        <v>202509</v>
      </c>
      <c r="C316" s="1" t="str">
        <f>MID(analisis_productividad__4[[#This Row],[Periodo]],1,4)</f>
        <v>2025</v>
      </c>
      <c r="D316" s="1" t="str">
        <f>MID(analisis_productividad__4[[#This Row],[Periodo]],5,2)</f>
        <v>09</v>
      </c>
      <c r="E316" s="1" t="s">
        <v>11</v>
      </c>
      <c r="F316" s="1" t="s">
        <v>12</v>
      </c>
      <c r="G316" s="1">
        <v>109969</v>
      </c>
      <c r="H316" s="1">
        <v>8986833</v>
      </c>
      <c r="I316" s="1">
        <v>81.721451388888951</v>
      </c>
      <c r="J316" s="1">
        <v>103048.32384519652</v>
      </c>
      <c r="K316" s="1">
        <v>98.5</v>
      </c>
      <c r="L316" s="1">
        <v>96.5</v>
      </c>
      <c r="M316" s="1">
        <v>87.209888377227728</v>
      </c>
      <c r="N316" s="1">
        <v>9449895</v>
      </c>
    </row>
    <row r="317" spans="1:14" x14ac:dyDescent="0.35">
      <c r="A317" s="1" t="s">
        <v>20</v>
      </c>
      <c r="B317" s="1">
        <v>202511</v>
      </c>
      <c r="C317" s="1" t="str">
        <f>MID(analisis_productividad__4[[#This Row],[Periodo]],1,4)</f>
        <v>2025</v>
      </c>
      <c r="D317" s="1" t="str">
        <f>MID(analisis_productividad__4[[#This Row],[Periodo]],5,2)</f>
        <v>11</v>
      </c>
      <c r="E317" s="1" t="s">
        <v>16</v>
      </c>
      <c r="F317" s="1" t="s">
        <v>21</v>
      </c>
      <c r="G317" s="1">
        <v>109801</v>
      </c>
      <c r="H317" s="1">
        <v>9055149</v>
      </c>
      <c r="I317" s="1">
        <v>82.469090277777809</v>
      </c>
      <c r="J317" s="1">
        <v>99988.056001644392</v>
      </c>
      <c r="K317" s="1">
        <v>96.5</v>
      </c>
      <c r="L317" s="1">
        <v>94</v>
      </c>
      <c r="M317" s="1">
        <v>90.562307360501919</v>
      </c>
      <c r="N317" s="1">
        <v>8241357</v>
      </c>
    </row>
    <row r="318" spans="1:14" x14ac:dyDescent="0.35">
      <c r="A318" s="1" t="s">
        <v>18</v>
      </c>
      <c r="B318" s="1">
        <v>202403</v>
      </c>
      <c r="C318" s="1" t="str">
        <f>MID(analisis_productividad__4[[#This Row],[Periodo]],1,4)</f>
        <v>2024</v>
      </c>
      <c r="D318" s="1" t="str">
        <f>MID(analisis_productividad__4[[#This Row],[Periodo]],5,2)</f>
        <v>03</v>
      </c>
      <c r="E318" s="1" t="s">
        <v>16</v>
      </c>
      <c r="F318" s="1" t="s">
        <v>19</v>
      </c>
      <c r="G318" s="1">
        <v>109799</v>
      </c>
      <c r="H318" s="1">
        <v>7494314</v>
      </c>
      <c r="I318" s="1">
        <v>68.254751344086031</v>
      </c>
      <c r="J318" s="1">
        <v>0</v>
      </c>
      <c r="K318" s="1">
        <v>70.5</v>
      </c>
      <c r="L318" s="1">
        <v>69.5</v>
      </c>
      <c r="M318" s="1"/>
      <c r="N318" s="1">
        <v>0</v>
      </c>
    </row>
    <row r="319" spans="1:14" x14ac:dyDescent="0.35">
      <c r="A319" s="1" t="s">
        <v>49</v>
      </c>
      <c r="B319" s="1">
        <v>202412</v>
      </c>
      <c r="C319" s="1" t="str">
        <f>MID(analisis_productividad__4[[#This Row],[Periodo]],1,4)</f>
        <v>2024</v>
      </c>
      <c r="D319" s="1" t="str">
        <f>MID(analisis_productividad__4[[#This Row],[Periodo]],5,2)</f>
        <v>12</v>
      </c>
      <c r="E319" s="1" t="s">
        <v>16</v>
      </c>
      <c r="F319" s="1" t="s">
        <v>21</v>
      </c>
      <c r="G319" s="1">
        <v>109756</v>
      </c>
      <c r="H319" s="1">
        <v>7967134</v>
      </c>
      <c r="I319" s="1">
        <v>72.589717741935473</v>
      </c>
      <c r="J319" s="1">
        <v>0</v>
      </c>
      <c r="K319" s="1">
        <v>75.5</v>
      </c>
      <c r="L319" s="1">
        <v>68</v>
      </c>
      <c r="M319" s="1"/>
      <c r="N319" s="1">
        <v>0</v>
      </c>
    </row>
    <row r="320" spans="1:14" x14ac:dyDescent="0.35">
      <c r="A320" s="1" t="s">
        <v>36</v>
      </c>
      <c r="B320" s="1">
        <v>202606</v>
      </c>
      <c r="C320" s="1" t="str">
        <f>MID(analisis_productividad__4[[#This Row],[Periodo]],1,4)</f>
        <v>2026</v>
      </c>
      <c r="D320" s="1" t="str">
        <f>MID(analisis_productividad__4[[#This Row],[Periodo]],5,2)</f>
        <v>06</v>
      </c>
      <c r="E320" s="1" t="s">
        <v>16</v>
      </c>
      <c r="F320" s="1" t="s">
        <v>17</v>
      </c>
      <c r="G320" s="1">
        <v>109674</v>
      </c>
      <c r="H320" s="1">
        <v>7796493</v>
      </c>
      <c r="I320" s="1">
        <v>71.087625000001495</v>
      </c>
      <c r="J320" s="1">
        <v>121294.30267571435</v>
      </c>
      <c r="K320" s="1">
        <v>76.5</v>
      </c>
      <c r="L320" s="1">
        <v>80</v>
      </c>
      <c r="M320" s="1">
        <v>67.450733277005639</v>
      </c>
      <c r="N320" s="1">
        <v>8181390</v>
      </c>
    </row>
    <row r="321" spans="1:14" x14ac:dyDescent="0.35">
      <c r="A321" s="1" t="s">
        <v>27</v>
      </c>
      <c r="B321" s="1">
        <v>202403</v>
      </c>
      <c r="C321" s="1" t="str">
        <f>MID(analisis_productividad__4[[#This Row],[Periodo]],1,4)</f>
        <v>2024</v>
      </c>
      <c r="D321" s="1" t="str">
        <f>MID(analisis_productividad__4[[#This Row],[Periodo]],5,2)</f>
        <v>03</v>
      </c>
      <c r="E321" s="1" t="s">
        <v>11</v>
      </c>
      <c r="F321" s="1" t="s">
        <v>14</v>
      </c>
      <c r="G321" s="1">
        <v>109670</v>
      </c>
      <c r="H321" s="1">
        <v>9355427</v>
      </c>
      <c r="I321" s="1">
        <v>85.30492607526881</v>
      </c>
      <c r="J321" s="1">
        <v>0</v>
      </c>
      <c r="K321" s="1">
        <v>88</v>
      </c>
      <c r="L321" s="1">
        <v>84</v>
      </c>
      <c r="M321" s="1"/>
      <c r="N321" s="1">
        <v>0</v>
      </c>
    </row>
    <row r="322" spans="1:14" x14ac:dyDescent="0.35">
      <c r="A322" s="1" t="s">
        <v>47</v>
      </c>
      <c r="B322" s="1">
        <v>202512</v>
      </c>
      <c r="C322" s="1" t="str">
        <f>MID(analisis_productividad__4[[#This Row],[Periodo]],1,4)</f>
        <v>2025</v>
      </c>
      <c r="D322" s="1" t="str">
        <f>MID(analisis_productividad__4[[#This Row],[Periodo]],5,2)</f>
        <v>12</v>
      </c>
      <c r="E322" s="1" t="s">
        <v>11</v>
      </c>
      <c r="F322" s="1" t="s">
        <v>14</v>
      </c>
      <c r="G322" s="1">
        <v>109665</v>
      </c>
      <c r="H322" s="1">
        <v>5613454</v>
      </c>
      <c r="I322" s="1">
        <v>51.18721774193547</v>
      </c>
      <c r="J322" s="1">
        <v>98723.498187989404</v>
      </c>
      <c r="K322" s="1">
        <v>61.5</v>
      </c>
      <c r="L322" s="1">
        <v>48.5</v>
      </c>
      <c r="M322" s="1">
        <v>56.860368028195808</v>
      </c>
      <c r="N322" s="1">
        <v>6567747</v>
      </c>
    </row>
    <row r="323" spans="1:14" x14ac:dyDescent="0.35">
      <c r="A323" s="1" t="s">
        <v>37</v>
      </c>
      <c r="B323" s="1">
        <v>202507</v>
      </c>
      <c r="C323" s="1" t="str">
        <f>MID(analisis_productividad__4[[#This Row],[Periodo]],1,4)</f>
        <v>2025</v>
      </c>
      <c r="D323" s="1" t="str">
        <f>MID(analisis_productividad__4[[#This Row],[Periodo]],5,2)</f>
        <v>07</v>
      </c>
      <c r="E323" s="1" t="s">
        <v>16</v>
      </c>
      <c r="F323" s="1" t="s">
        <v>17</v>
      </c>
      <c r="G323" s="1">
        <v>109575</v>
      </c>
      <c r="H323" s="1">
        <v>10512165</v>
      </c>
      <c r="I323" s="1">
        <v>95.935893817204345</v>
      </c>
      <c r="J323" s="1">
        <v>106631.81353985007</v>
      </c>
      <c r="K323" s="1">
        <v>107.5</v>
      </c>
      <c r="L323" s="1">
        <v>102.5</v>
      </c>
      <c r="M323" s="1">
        <v>98.583759958949116</v>
      </c>
      <c r="N323" s="1">
        <v>11151548</v>
      </c>
    </row>
    <row r="324" spans="1:14" x14ac:dyDescent="0.35">
      <c r="A324" s="1" t="s">
        <v>23</v>
      </c>
      <c r="B324" s="1">
        <v>202403</v>
      </c>
      <c r="C324" s="1" t="str">
        <f>MID(analisis_productividad__4[[#This Row],[Periodo]],1,4)</f>
        <v>2024</v>
      </c>
      <c r="D324" s="1" t="str">
        <f>MID(analisis_productividad__4[[#This Row],[Periodo]],5,2)</f>
        <v>03</v>
      </c>
      <c r="E324" s="1" t="s">
        <v>11</v>
      </c>
      <c r="F324" s="1" t="s">
        <v>12</v>
      </c>
      <c r="G324" s="1">
        <v>109449</v>
      </c>
      <c r="H324" s="1">
        <v>6976996</v>
      </c>
      <c r="I324" s="1">
        <v>63.746572580645157</v>
      </c>
      <c r="J324" s="1">
        <v>0</v>
      </c>
      <c r="K324" s="1">
        <v>68.5</v>
      </c>
      <c r="L324" s="1">
        <v>66</v>
      </c>
      <c r="M324" s="1"/>
      <c r="N324" s="1">
        <v>0</v>
      </c>
    </row>
    <row r="325" spans="1:14" x14ac:dyDescent="0.35">
      <c r="A325" s="1" t="s">
        <v>10</v>
      </c>
      <c r="B325" s="1">
        <v>202504</v>
      </c>
      <c r="C325" s="1" t="str">
        <f>MID(analisis_productividad__4[[#This Row],[Periodo]],1,4)</f>
        <v>2025</v>
      </c>
      <c r="D325" s="1" t="str">
        <f>MID(analisis_productividad__4[[#This Row],[Periodo]],5,2)</f>
        <v>04</v>
      </c>
      <c r="E325" s="1" t="s">
        <v>11</v>
      </c>
      <c r="F325" s="1" t="s">
        <v>12</v>
      </c>
      <c r="G325" s="1">
        <v>109401</v>
      </c>
      <c r="H325" s="1">
        <v>9825275</v>
      </c>
      <c r="I325" s="1">
        <v>89.809562500000069</v>
      </c>
      <c r="J325" s="1">
        <v>102565.80748755697</v>
      </c>
      <c r="K325" s="1">
        <v>98.5</v>
      </c>
      <c r="L325" s="1">
        <v>96.5</v>
      </c>
      <c r="M325" s="1">
        <v>95.794840022021717</v>
      </c>
      <c r="N325" s="1">
        <v>10896040</v>
      </c>
    </row>
    <row r="326" spans="1:14" x14ac:dyDescent="0.35">
      <c r="A326" s="1" t="s">
        <v>18</v>
      </c>
      <c r="B326" s="1">
        <v>202602</v>
      </c>
      <c r="C326" s="1" t="str">
        <f>MID(analisis_productividad__4[[#This Row],[Periodo]],1,4)</f>
        <v>2026</v>
      </c>
      <c r="D326" s="1" t="str">
        <f>MID(analisis_productividad__4[[#This Row],[Periodo]],5,2)</f>
        <v>02</v>
      </c>
      <c r="E326" s="1" t="s">
        <v>16</v>
      </c>
      <c r="F326" s="1" t="s">
        <v>19</v>
      </c>
      <c r="G326" s="1">
        <v>109324</v>
      </c>
      <c r="H326" s="1">
        <v>6256659</v>
      </c>
      <c r="I326" s="1">
        <v>57.23020833333333</v>
      </c>
      <c r="J326" s="1">
        <v>83735.853013819302</v>
      </c>
      <c r="K326" s="1">
        <v>70.5</v>
      </c>
      <c r="L326" s="1">
        <v>69.5</v>
      </c>
      <c r="M326" s="1">
        <v>63.576561684054447</v>
      </c>
      <c r="N326" s="1">
        <v>5323638</v>
      </c>
    </row>
    <row r="327" spans="1:14" x14ac:dyDescent="0.35">
      <c r="A327" s="1" t="s">
        <v>13</v>
      </c>
      <c r="B327" s="1">
        <v>202508</v>
      </c>
      <c r="C327" s="1" t="str">
        <f>MID(analisis_productividad__4[[#This Row],[Periodo]],1,4)</f>
        <v>2025</v>
      </c>
      <c r="D327" s="1" t="str">
        <f>MID(analisis_productividad__4[[#This Row],[Periodo]],5,2)</f>
        <v>08</v>
      </c>
      <c r="E327" s="1" t="s">
        <v>11</v>
      </c>
      <c r="F327" s="1" t="s">
        <v>14</v>
      </c>
      <c r="G327" s="1">
        <v>109283</v>
      </c>
      <c r="H327" s="1">
        <v>9546020</v>
      </c>
      <c r="I327" s="1">
        <v>87.351202956989241</v>
      </c>
      <c r="J327" s="1">
        <v>105401.8628119015</v>
      </c>
      <c r="K327" s="1">
        <v>100</v>
      </c>
      <c r="L327" s="1">
        <v>98</v>
      </c>
      <c r="M327" s="1">
        <v>90.56785255338113</v>
      </c>
      <c r="N327" s="1">
        <v>9264086</v>
      </c>
    </row>
    <row r="328" spans="1:14" x14ac:dyDescent="0.35">
      <c r="A328" s="1" t="s">
        <v>27</v>
      </c>
      <c r="B328" s="1">
        <v>202507</v>
      </c>
      <c r="C328" s="1" t="str">
        <f>MID(analisis_productividad__4[[#This Row],[Periodo]],1,4)</f>
        <v>2025</v>
      </c>
      <c r="D328" s="1" t="str">
        <f>MID(analisis_productividad__4[[#This Row],[Periodo]],5,2)</f>
        <v>07</v>
      </c>
      <c r="E328" s="1" t="s">
        <v>11</v>
      </c>
      <c r="F328" s="1" t="s">
        <v>14</v>
      </c>
      <c r="G328" s="1">
        <v>109240</v>
      </c>
      <c r="H328" s="1">
        <v>8678149</v>
      </c>
      <c r="I328" s="1">
        <v>79.441108870967753</v>
      </c>
      <c r="J328" s="1">
        <v>113025.44549054602</v>
      </c>
      <c r="K328" s="1">
        <v>88</v>
      </c>
      <c r="L328" s="1">
        <v>84</v>
      </c>
      <c r="M328" s="1">
        <v>76.780486308509012</v>
      </c>
      <c r="N328" s="1">
        <v>8985639</v>
      </c>
    </row>
    <row r="329" spans="1:14" x14ac:dyDescent="0.35">
      <c r="A329" s="1" t="s">
        <v>10</v>
      </c>
      <c r="B329" s="1">
        <v>202510</v>
      </c>
      <c r="C329" s="1" t="str">
        <f>MID(analisis_productividad__4[[#This Row],[Periodo]],1,4)</f>
        <v>2025</v>
      </c>
      <c r="D329" s="1" t="str">
        <f>MID(analisis_productividad__4[[#This Row],[Periodo]],5,2)</f>
        <v>10</v>
      </c>
      <c r="E329" s="1" t="s">
        <v>11</v>
      </c>
      <c r="F329" s="1" t="s">
        <v>12</v>
      </c>
      <c r="G329" s="1">
        <v>109205</v>
      </c>
      <c r="H329" s="1">
        <v>9214774</v>
      </c>
      <c r="I329" s="1">
        <v>84.380625000000038</v>
      </c>
      <c r="J329" s="1">
        <v>108936.98038214205</v>
      </c>
      <c r="K329" s="1">
        <v>98.5</v>
      </c>
      <c r="L329" s="1">
        <v>96.5</v>
      </c>
      <c r="M329" s="1">
        <v>84.588120559935817</v>
      </c>
      <c r="N329" s="1">
        <v>9115655</v>
      </c>
    </row>
    <row r="330" spans="1:14" x14ac:dyDescent="0.35">
      <c r="A330" s="1" t="s">
        <v>22</v>
      </c>
      <c r="B330" s="1">
        <v>202606</v>
      </c>
      <c r="C330" s="1" t="str">
        <f>MID(analisis_productividad__4[[#This Row],[Periodo]],1,4)</f>
        <v>2026</v>
      </c>
      <c r="D330" s="1" t="str">
        <f>MID(analisis_productividad__4[[#This Row],[Periodo]],5,2)</f>
        <v>06</v>
      </c>
      <c r="E330" s="1" t="s">
        <v>16</v>
      </c>
      <c r="F330" s="1" t="s">
        <v>21</v>
      </c>
      <c r="G330" s="1">
        <v>109201</v>
      </c>
      <c r="H330" s="1">
        <v>5245173</v>
      </c>
      <c r="I330" s="1">
        <v>48.032104166666819</v>
      </c>
      <c r="J330" s="1">
        <v>88681.5792300662</v>
      </c>
      <c r="K330" s="1">
        <v>59.5</v>
      </c>
      <c r="L330" s="1">
        <v>55.5</v>
      </c>
      <c r="M330" s="1">
        <v>53.278949580299148</v>
      </c>
      <c r="N330" s="1">
        <v>4724861</v>
      </c>
    </row>
    <row r="331" spans="1:14" x14ac:dyDescent="0.35">
      <c r="A331" s="1" t="s">
        <v>18</v>
      </c>
      <c r="B331" s="1">
        <v>202604</v>
      </c>
      <c r="C331" s="1" t="str">
        <f>MID(analisis_productividad__4[[#This Row],[Periodo]],1,4)</f>
        <v>2026</v>
      </c>
      <c r="D331" s="1" t="str">
        <f>MID(analisis_productividad__4[[#This Row],[Periodo]],5,2)</f>
        <v>04</v>
      </c>
      <c r="E331" s="1" t="s">
        <v>16</v>
      </c>
      <c r="F331" s="1" t="s">
        <v>19</v>
      </c>
      <c r="G331" s="1">
        <v>109172</v>
      </c>
      <c r="H331" s="1">
        <v>6572691</v>
      </c>
      <c r="I331" s="1">
        <v>60.205152777779077</v>
      </c>
      <c r="J331" s="1">
        <v>85212.529921365058</v>
      </c>
      <c r="K331" s="1">
        <v>70.5</v>
      </c>
      <c r="L331" s="1">
        <v>69.5</v>
      </c>
      <c r="M331" s="1">
        <v>63.576561684054447</v>
      </c>
      <c r="N331" s="1">
        <v>5417520</v>
      </c>
    </row>
    <row r="332" spans="1:14" x14ac:dyDescent="0.35">
      <c r="A332" s="1" t="s">
        <v>55</v>
      </c>
      <c r="B332" s="1">
        <v>202603</v>
      </c>
      <c r="C332" s="1" t="str">
        <f>MID(analisis_productividad__4[[#This Row],[Periodo]],1,4)</f>
        <v>2026</v>
      </c>
      <c r="D332" s="1" t="str">
        <f>MID(analisis_productividad__4[[#This Row],[Periodo]],5,2)</f>
        <v>03</v>
      </c>
      <c r="E332" s="1" t="s">
        <v>16</v>
      </c>
      <c r="F332" s="1" t="s">
        <v>21</v>
      </c>
      <c r="G332" s="1">
        <v>109158</v>
      </c>
      <c r="H332" s="1">
        <v>5143510</v>
      </c>
      <c r="I332" s="1">
        <v>47.119643817204299</v>
      </c>
      <c r="J332" s="1">
        <v>112881.47564209858</v>
      </c>
      <c r="K332" s="1">
        <v>55</v>
      </c>
      <c r="L332" s="1">
        <v>50.5</v>
      </c>
      <c r="M332" s="1">
        <v>48.493991244906027</v>
      </c>
      <c r="N332" s="1">
        <v>5474073</v>
      </c>
    </row>
    <row r="333" spans="1:14" x14ac:dyDescent="0.35">
      <c r="A333" s="1" t="s">
        <v>23</v>
      </c>
      <c r="B333" s="1">
        <v>202505</v>
      </c>
      <c r="C333" s="1" t="str">
        <f>MID(analisis_productividad__4[[#This Row],[Periodo]],1,4)</f>
        <v>2025</v>
      </c>
      <c r="D333" s="1" t="str">
        <f>MID(analisis_productividad__4[[#This Row],[Periodo]],5,2)</f>
        <v>05</v>
      </c>
      <c r="E333" s="1" t="s">
        <v>11</v>
      </c>
      <c r="F333" s="1" t="s">
        <v>12</v>
      </c>
      <c r="G333" s="1">
        <v>109157</v>
      </c>
      <c r="H333" s="1">
        <v>6405895</v>
      </c>
      <c r="I333" s="1">
        <v>58.685309139784955</v>
      </c>
      <c r="J333" s="1">
        <v>99663.778448527824</v>
      </c>
      <c r="K333" s="1">
        <v>68.5</v>
      </c>
      <c r="L333" s="1">
        <v>66</v>
      </c>
      <c r="M333" s="1">
        <v>64.275058900244048</v>
      </c>
      <c r="N333" s="1">
        <v>6228071</v>
      </c>
    </row>
    <row r="334" spans="1:14" x14ac:dyDescent="0.35">
      <c r="A334" s="1" t="s">
        <v>31</v>
      </c>
      <c r="B334" s="1">
        <v>202605</v>
      </c>
      <c r="C334" s="1" t="str">
        <f>MID(analisis_productividad__4[[#This Row],[Periodo]],1,4)</f>
        <v>2026</v>
      </c>
      <c r="D334" s="1" t="str">
        <f>MID(analisis_productividad__4[[#This Row],[Periodo]],5,2)</f>
        <v>05</v>
      </c>
      <c r="E334" s="1" t="s">
        <v>11</v>
      </c>
      <c r="F334" s="1" t="s">
        <v>14</v>
      </c>
      <c r="G334" s="1">
        <v>109070</v>
      </c>
      <c r="H334" s="1">
        <v>9696481</v>
      </c>
      <c r="I334" s="1">
        <v>88.901081989247189</v>
      </c>
      <c r="J334" s="1">
        <v>104797.06014454384</v>
      </c>
      <c r="K334" s="1">
        <v>101.5</v>
      </c>
      <c r="L334" s="1">
        <v>97.5</v>
      </c>
      <c r="M334" s="1">
        <v>87.689184144336366</v>
      </c>
      <c r="N334" s="1">
        <v>9189569</v>
      </c>
    </row>
    <row r="335" spans="1:14" x14ac:dyDescent="0.35">
      <c r="A335" s="1" t="s">
        <v>37</v>
      </c>
      <c r="B335" s="1">
        <v>202508</v>
      </c>
      <c r="C335" s="1" t="str">
        <f>MID(analisis_productividad__4[[#This Row],[Periodo]],1,4)</f>
        <v>2025</v>
      </c>
      <c r="D335" s="1" t="str">
        <f>MID(analisis_productividad__4[[#This Row],[Periodo]],5,2)</f>
        <v>08</v>
      </c>
      <c r="E335" s="1" t="s">
        <v>16</v>
      </c>
      <c r="F335" s="1" t="s">
        <v>17</v>
      </c>
      <c r="G335" s="1">
        <v>109030</v>
      </c>
      <c r="H335" s="1">
        <v>10146125</v>
      </c>
      <c r="I335" s="1">
        <v>93.058508064516147</v>
      </c>
      <c r="J335" s="1">
        <v>104672.81663635101</v>
      </c>
      <c r="K335" s="1">
        <v>107.5</v>
      </c>
      <c r="L335" s="1">
        <v>102.5</v>
      </c>
      <c r="M335" s="1">
        <v>96.931804130667047</v>
      </c>
      <c r="N335" s="1">
        <v>10454639</v>
      </c>
    </row>
    <row r="336" spans="1:14" x14ac:dyDescent="0.35">
      <c r="A336" s="1" t="s">
        <v>36</v>
      </c>
      <c r="B336" s="1">
        <v>202602</v>
      </c>
      <c r="C336" s="1" t="str">
        <f>MID(analisis_productividad__4[[#This Row],[Periodo]],1,4)</f>
        <v>2026</v>
      </c>
      <c r="D336" s="1" t="str">
        <f>MID(analisis_productividad__4[[#This Row],[Periodo]],5,2)</f>
        <v>02</v>
      </c>
      <c r="E336" s="1" t="s">
        <v>16</v>
      </c>
      <c r="F336" s="1" t="s">
        <v>17</v>
      </c>
      <c r="G336" s="1">
        <v>109020</v>
      </c>
      <c r="H336" s="1">
        <v>7937803</v>
      </c>
      <c r="I336" s="1">
        <v>72.810312500000009</v>
      </c>
      <c r="J336" s="1">
        <v>116004.55495073838</v>
      </c>
      <c r="K336" s="1">
        <v>76.5</v>
      </c>
      <c r="L336" s="1">
        <v>80</v>
      </c>
      <c r="M336" s="1">
        <v>67.450733277005639</v>
      </c>
      <c r="N336" s="1">
        <v>7824592</v>
      </c>
    </row>
    <row r="337" spans="1:14" x14ac:dyDescent="0.35">
      <c r="A337" s="1" t="s">
        <v>60</v>
      </c>
      <c r="B337" s="1">
        <v>202412</v>
      </c>
      <c r="C337" s="1" t="str">
        <f>MID(analisis_productividad__4[[#This Row],[Periodo]],1,4)</f>
        <v>2024</v>
      </c>
      <c r="D337" s="1" t="str">
        <f>MID(analisis_productividad__4[[#This Row],[Periodo]],5,2)</f>
        <v>12</v>
      </c>
      <c r="E337" s="1" t="s">
        <v>11</v>
      </c>
      <c r="F337" s="1" t="s">
        <v>14</v>
      </c>
      <c r="G337" s="1">
        <v>108970</v>
      </c>
      <c r="H337" s="1">
        <v>9268448</v>
      </c>
      <c r="I337" s="1">
        <v>85.054798387096753</v>
      </c>
      <c r="J337" s="1">
        <v>0</v>
      </c>
      <c r="K337" s="1">
        <v>75.5</v>
      </c>
      <c r="L337" s="1">
        <v>74</v>
      </c>
      <c r="M337" s="1"/>
      <c r="N337" s="1">
        <v>0</v>
      </c>
    </row>
    <row r="338" spans="1:14" x14ac:dyDescent="0.35">
      <c r="A338" s="1" t="s">
        <v>31</v>
      </c>
      <c r="B338" s="1">
        <v>202406</v>
      </c>
      <c r="C338" s="1" t="str">
        <f>MID(analisis_productividad__4[[#This Row],[Periodo]],1,4)</f>
        <v>2024</v>
      </c>
      <c r="D338" s="1" t="str">
        <f>MID(analisis_productividad__4[[#This Row],[Periodo]],5,2)</f>
        <v>06</v>
      </c>
      <c r="E338" s="1" t="s">
        <v>11</v>
      </c>
      <c r="F338" s="1" t="s">
        <v>14</v>
      </c>
      <c r="G338" s="1">
        <v>108900</v>
      </c>
      <c r="H338" s="1">
        <v>9368328</v>
      </c>
      <c r="I338" s="1">
        <v>86.0269861111111</v>
      </c>
      <c r="J338" s="1">
        <v>0</v>
      </c>
      <c r="K338" s="1">
        <v>101.5</v>
      </c>
      <c r="L338" s="1">
        <v>97.5</v>
      </c>
      <c r="M338" s="1"/>
      <c r="N338" s="1">
        <v>0</v>
      </c>
    </row>
    <row r="339" spans="1:14" x14ac:dyDescent="0.35">
      <c r="A339" s="1" t="s">
        <v>30</v>
      </c>
      <c r="B339" s="1">
        <v>202401</v>
      </c>
      <c r="C339" s="1" t="str">
        <f>MID(analisis_productividad__4[[#This Row],[Periodo]],1,4)</f>
        <v>2024</v>
      </c>
      <c r="D339" s="1" t="str">
        <f>MID(analisis_productividad__4[[#This Row],[Periodo]],5,2)</f>
        <v>01</v>
      </c>
      <c r="E339" s="1" t="s">
        <v>16</v>
      </c>
      <c r="F339" s="1" t="s">
        <v>19</v>
      </c>
      <c r="G339" s="1">
        <v>108831</v>
      </c>
      <c r="H339" s="1">
        <v>8696416</v>
      </c>
      <c r="I339" s="1">
        <v>79.907305107526838</v>
      </c>
      <c r="J339" s="1">
        <v>0</v>
      </c>
      <c r="K339" s="1">
        <v>101</v>
      </c>
      <c r="L339" s="1">
        <v>105</v>
      </c>
      <c r="M339" s="1"/>
      <c r="N339" s="1">
        <v>0</v>
      </c>
    </row>
    <row r="340" spans="1:14" x14ac:dyDescent="0.35">
      <c r="A340" s="1" t="s">
        <v>50</v>
      </c>
      <c r="B340" s="1">
        <v>202412</v>
      </c>
      <c r="C340" s="1" t="str">
        <f>MID(analisis_productividad__4[[#This Row],[Periodo]],1,4)</f>
        <v>2024</v>
      </c>
      <c r="D340" s="1" t="str">
        <f>MID(analisis_productividad__4[[#This Row],[Periodo]],5,2)</f>
        <v>12</v>
      </c>
      <c r="E340" s="1" t="s">
        <v>34</v>
      </c>
      <c r="F340" s="1" t="s">
        <v>35</v>
      </c>
      <c r="G340" s="1">
        <v>108822</v>
      </c>
      <c r="H340" s="1">
        <v>7327512</v>
      </c>
      <c r="I340" s="1">
        <v>67.334543010752668</v>
      </c>
      <c r="J340" s="1">
        <v>0</v>
      </c>
      <c r="K340" s="1">
        <v>79.5</v>
      </c>
      <c r="L340" s="1">
        <v>72.5</v>
      </c>
      <c r="M340" s="1"/>
      <c r="N340" s="1">
        <v>0</v>
      </c>
    </row>
    <row r="341" spans="1:14" x14ac:dyDescent="0.35">
      <c r="A341" s="1" t="s">
        <v>10</v>
      </c>
      <c r="B341" s="1">
        <v>202501</v>
      </c>
      <c r="C341" s="1" t="str">
        <f>MID(analisis_productividad__4[[#This Row],[Periodo]],1,4)</f>
        <v>2025</v>
      </c>
      <c r="D341" s="1" t="str">
        <f>MID(analisis_productividad__4[[#This Row],[Periodo]],5,2)</f>
        <v>01</v>
      </c>
      <c r="E341" s="1" t="s">
        <v>11</v>
      </c>
      <c r="F341" s="1" t="s">
        <v>12</v>
      </c>
      <c r="G341" s="1">
        <v>108773</v>
      </c>
      <c r="H341" s="1">
        <v>9602129</v>
      </c>
      <c r="I341" s="1">
        <v>88.276538978494514</v>
      </c>
      <c r="J341" s="1">
        <v>87350.543497883307</v>
      </c>
      <c r="K341" s="1">
        <v>98.5</v>
      </c>
      <c r="L341" s="1">
        <v>96.5</v>
      </c>
      <c r="M341" s="1">
        <v>109.92637773607761</v>
      </c>
      <c r="N341" s="1">
        <v>9867847</v>
      </c>
    </row>
    <row r="342" spans="1:14" x14ac:dyDescent="0.35">
      <c r="A342" s="1" t="s">
        <v>56</v>
      </c>
      <c r="B342" s="1">
        <v>202605</v>
      </c>
      <c r="C342" s="1" t="str">
        <f>MID(analisis_productividad__4[[#This Row],[Periodo]],1,4)</f>
        <v>2026</v>
      </c>
      <c r="D342" s="1" t="str">
        <f>MID(analisis_productividad__4[[#This Row],[Periodo]],5,2)</f>
        <v>05</v>
      </c>
      <c r="E342" s="1" t="s">
        <v>16</v>
      </c>
      <c r="F342" s="1" t="s">
        <v>21</v>
      </c>
      <c r="G342" s="1">
        <v>108634</v>
      </c>
      <c r="H342" s="1">
        <v>6293447</v>
      </c>
      <c r="I342" s="1">
        <v>57.932715053764007</v>
      </c>
      <c r="J342" s="1">
        <v>118516.65281528508</v>
      </c>
      <c r="K342" s="1">
        <v>72.5</v>
      </c>
      <c r="L342" s="1">
        <v>68.5</v>
      </c>
      <c r="M342" s="1">
        <v>63.042188618377821</v>
      </c>
      <c r="N342" s="1">
        <v>7471549</v>
      </c>
    </row>
    <row r="343" spans="1:14" x14ac:dyDescent="0.35">
      <c r="A343" s="1" t="s">
        <v>76</v>
      </c>
      <c r="B343" s="1">
        <v>202412</v>
      </c>
      <c r="C343" s="1" t="str">
        <f>MID(analisis_productividad__4[[#This Row],[Periodo]],1,4)</f>
        <v>2024</v>
      </c>
      <c r="D343" s="1" t="str">
        <f>MID(analisis_productividad__4[[#This Row],[Periodo]],5,2)</f>
        <v>12</v>
      </c>
      <c r="E343" s="1" t="s">
        <v>11</v>
      </c>
      <c r="F343" s="1" t="s">
        <v>14</v>
      </c>
      <c r="G343" s="1">
        <v>108577</v>
      </c>
      <c r="H343" s="1">
        <v>8975065</v>
      </c>
      <c r="I343" s="1">
        <v>82.661061827957013</v>
      </c>
      <c r="J343" s="1">
        <v>0</v>
      </c>
      <c r="K343" s="1">
        <v>80</v>
      </c>
      <c r="L343" s="1">
        <v>78</v>
      </c>
      <c r="M343" s="1"/>
      <c r="N343" s="1">
        <v>0</v>
      </c>
    </row>
    <row r="344" spans="1:14" x14ac:dyDescent="0.35">
      <c r="A344" s="1" t="s">
        <v>57</v>
      </c>
      <c r="B344" s="1">
        <v>202503</v>
      </c>
      <c r="C344" s="1" t="str">
        <f>MID(analisis_productividad__4[[#This Row],[Periodo]],1,4)</f>
        <v>2025</v>
      </c>
      <c r="D344" s="1" t="str">
        <f>MID(analisis_productividad__4[[#This Row],[Periodo]],5,2)</f>
        <v>03</v>
      </c>
      <c r="E344" s="1" t="s">
        <v>16</v>
      </c>
      <c r="F344" s="1" t="s">
        <v>19</v>
      </c>
      <c r="G344" s="1">
        <v>108560</v>
      </c>
      <c r="H344" s="1">
        <v>7136134</v>
      </c>
      <c r="I344" s="1">
        <v>65.734516129032258</v>
      </c>
      <c r="J344" s="1">
        <v>108805.40326338074</v>
      </c>
      <c r="K344" s="1">
        <v>71</v>
      </c>
      <c r="L344" s="1">
        <v>74.5</v>
      </c>
      <c r="M344" s="1">
        <v>65.586213698651093</v>
      </c>
      <c r="N344" s="1">
        <v>7045355</v>
      </c>
    </row>
    <row r="345" spans="1:14" x14ac:dyDescent="0.35">
      <c r="A345" s="1" t="s">
        <v>62</v>
      </c>
      <c r="B345" s="1">
        <v>202412</v>
      </c>
      <c r="C345" s="1" t="str">
        <f>MID(analisis_productividad__4[[#This Row],[Periodo]],1,4)</f>
        <v>2024</v>
      </c>
      <c r="D345" s="1" t="str">
        <f>MID(analisis_productividad__4[[#This Row],[Periodo]],5,2)</f>
        <v>12</v>
      </c>
      <c r="E345" s="1" t="s">
        <v>16</v>
      </c>
      <c r="F345" s="1" t="s">
        <v>17</v>
      </c>
      <c r="G345" s="1">
        <v>108514</v>
      </c>
      <c r="H345" s="1">
        <v>3591365</v>
      </c>
      <c r="I345" s="1">
        <v>33.095793010752701</v>
      </c>
      <c r="J345" s="1">
        <v>0</v>
      </c>
      <c r="K345" s="1">
        <v>32.5</v>
      </c>
      <c r="L345" s="1">
        <v>32</v>
      </c>
      <c r="M345" s="1"/>
      <c r="N345" s="1">
        <v>0</v>
      </c>
    </row>
    <row r="346" spans="1:14" x14ac:dyDescent="0.35">
      <c r="A346" s="1" t="s">
        <v>24</v>
      </c>
      <c r="B346" s="1">
        <v>202604</v>
      </c>
      <c r="C346" s="1" t="str">
        <f>MID(analisis_productividad__4[[#This Row],[Periodo]],1,4)</f>
        <v>2026</v>
      </c>
      <c r="D346" s="1" t="str">
        <f>MID(analisis_productividad__4[[#This Row],[Periodo]],5,2)</f>
        <v>04</v>
      </c>
      <c r="E346" s="1" t="s">
        <v>16</v>
      </c>
      <c r="F346" s="1" t="s">
        <v>21</v>
      </c>
      <c r="G346" s="1">
        <v>108452</v>
      </c>
      <c r="H346" s="1">
        <v>11096009</v>
      </c>
      <c r="I346" s="1">
        <v>102.31268055555807</v>
      </c>
      <c r="J346" s="1">
        <v>99505.456439394111</v>
      </c>
      <c r="K346" s="1">
        <v>125</v>
      </c>
      <c r="L346" s="1">
        <v>118.5</v>
      </c>
      <c r="M346" s="1">
        <v>102.97612103755296</v>
      </c>
      <c r="N346" s="1">
        <v>10246686</v>
      </c>
    </row>
    <row r="347" spans="1:14" x14ac:dyDescent="0.35">
      <c r="A347" s="1" t="s">
        <v>27</v>
      </c>
      <c r="B347" s="1">
        <v>202505</v>
      </c>
      <c r="C347" s="1" t="str">
        <f>MID(analisis_productividad__4[[#This Row],[Periodo]],1,4)</f>
        <v>2025</v>
      </c>
      <c r="D347" s="1" t="str">
        <f>MID(analisis_productividad__4[[#This Row],[Periodo]],5,2)</f>
        <v>05</v>
      </c>
      <c r="E347" s="1" t="s">
        <v>11</v>
      </c>
      <c r="F347" s="1" t="s">
        <v>14</v>
      </c>
      <c r="G347" s="1">
        <v>108385</v>
      </c>
      <c r="H347" s="1">
        <v>8610995</v>
      </c>
      <c r="I347" s="1">
        <v>79.44807123655913</v>
      </c>
      <c r="J347" s="1">
        <v>99620.645477740021</v>
      </c>
      <c r="K347" s="1">
        <v>88</v>
      </c>
      <c r="L347" s="1">
        <v>84</v>
      </c>
      <c r="M347" s="1">
        <v>86.437859328306672</v>
      </c>
      <c r="N347" s="1">
        <v>8374079</v>
      </c>
    </row>
    <row r="348" spans="1:14" x14ac:dyDescent="0.35">
      <c r="A348" s="1" t="s">
        <v>37</v>
      </c>
      <c r="B348" s="1">
        <v>202601</v>
      </c>
      <c r="C348" s="1" t="str">
        <f>MID(analisis_productividad__4[[#This Row],[Periodo]],1,4)</f>
        <v>2026</v>
      </c>
      <c r="D348" s="1" t="str">
        <f>MID(analisis_productividad__4[[#This Row],[Periodo]],5,2)</f>
        <v>01</v>
      </c>
      <c r="E348" s="1" t="s">
        <v>16</v>
      </c>
      <c r="F348" s="1" t="s">
        <v>17</v>
      </c>
      <c r="G348" s="1">
        <v>108357</v>
      </c>
      <c r="H348" s="1">
        <v>9803963</v>
      </c>
      <c r="I348" s="1">
        <v>90.478434139784994</v>
      </c>
      <c r="J348" s="1">
        <v>103489.82257873937</v>
      </c>
      <c r="K348" s="1">
        <v>107.5</v>
      </c>
      <c r="L348" s="1">
        <v>102.5</v>
      </c>
      <c r="M348" s="1">
        <v>96.70800932222366</v>
      </c>
      <c r="N348" s="1">
        <v>10008295</v>
      </c>
    </row>
    <row r="349" spans="1:14" x14ac:dyDescent="0.35">
      <c r="A349" s="1" t="s">
        <v>29</v>
      </c>
      <c r="B349" s="1">
        <v>202407</v>
      </c>
      <c r="C349" s="1" t="str">
        <f>MID(analisis_productividad__4[[#This Row],[Periodo]],1,4)</f>
        <v>2024</v>
      </c>
      <c r="D349" s="1" t="str">
        <f>MID(analisis_productividad__4[[#This Row],[Periodo]],5,2)</f>
        <v>07</v>
      </c>
      <c r="E349" s="1" t="s">
        <v>16</v>
      </c>
      <c r="F349" s="1" t="s">
        <v>19</v>
      </c>
      <c r="G349" s="1">
        <v>108345</v>
      </c>
      <c r="H349" s="1">
        <v>9805646</v>
      </c>
      <c r="I349" s="1">
        <v>90.50426075268814</v>
      </c>
      <c r="J349" s="1">
        <v>0</v>
      </c>
      <c r="K349" s="1">
        <v>96.5</v>
      </c>
      <c r="L349" s="1">
        <v>96</v>
      </c>
      <c r="M349" s="1"/>
      <c r="N349" s="1">
        <v>0</v>
      </c>
    </row>
    <row r="350" spans="1:14" x14ac:dyDescent="0.35">
      <c r="A350" s="1" t="s">
        <v>22</v>
      </c>
      <c r="B350" s="1">
        <v>202412</v>
      </c>
      <c r="C350" s="1" t="str">
        <f>MID(analisis_productividad__4[[#This Row],[Periodo]],1,4)</f>
        <v>2024</v>
      </c>
      <c r="D350" s="1" t="str">
        <f>MID(analisis_productividad__4[[#This Row],[Periodo]],5,2)</f>
        <v>12</v>
      </c>
      <c r="E350" s="1" t="s">
        <v>16</v>
      </c>
      <c r="F350" s="1" t="s">
        <v>21</v>
      </c>
      <c r="G350" s="1">
        <v>108267</v>
      </c>
      <c r="H350" s="1">
        <v>7162352</v>
      </c>
      <c r="I350" s="1">
        <v>66.154798387096761</v>
      </c>
      <c r="J350" s="1">
        <v>0</v>
      </c>
      <c r="K350" s="1">
        <v>59.5</v>
      </c>
      <c r="L350" s="1">
        <v>55.5</v>
      </c>
      <c r="M350" s="1"/>
      <c r="N350" s="1">
        <v>0</v>
      </c>
    </row>
    <row r="351" spans="1:14" x14ac:dyDescent="0.35">
      <c r="A351" s="1" t="s">
        <v>36</v>
      </c>
      <c r="B351" s="1">
        <v>202506</v>
      </c>
      <c r="C351" s="1" t="str">
        <f>MID(analisis_productividad__4[[#This Row],[Periodo]],1,4)</f>
        <v>2025</v>
      </c>
      <c r="D351" s="1" t="str">
        <f>MID(analisis_productividad__4[[#This Row],[Periodo]],5,2)</f>
        <v>06</v>
      </c>
      <c r="E351" s="1" t="s">
        <v>16</v>
      </c>
      <c r="F351" s="1" t="s">
        <v>17</v>
      </c>
      <c r="G351" s="1">
        <v>108184</v>
      </c>
      <c r="H351" s="1">
        <v>7435945</v>
      </c>
      <c r="I351" s="1">
        <v>68.734458333333379</v>
      </c>
      <c r="J351" s="1">
        <v>112384.57976399391</v>
      </c>
      <c r="K351" s="1">
        <v>76.5</v>
      </c>
      <c r="L351" s="1">
        <v>80</v>
      </c>
      <c r="M351" s="1">
        <v>66.165167726883723</v>
      </c>
      <c r="N351" s="1">
        <v>7565211</v>
      </c>
    </row>
    <row r="352" spans="1:14" x14ac:dyDescent="0.35">
      <c r="A352" s="1" t="s">
        <v>36</v>
      </c>
      <c r="B352" s="1">
        <v>202509</v>
      </c>
      <c r="C352" s="1" t="str">
        <f>MID(analisis_productividad__4[[#This Row],[Periodo]],1,4)</f>
        <v>2025</v>
      </c>
      <c r="D352" s="1" t="str">
        <f>MID(analisis_productividad__4[[#This Row],[Periodo]],5,2)</f>
        <v>09</v>
      </c>
      <c r="E352" s="1" t="s">
        <v>16</v>
      </c>
      <c r="F352" s="1" t="s">
        <v>17</v>
      </c>
      <c r="G352" s="1">
        <v>108136</v>
      </c>
      <c r="H352" s="1">
        <v>7477486</v>
      </c>
      <c r="I352" s="1">
        <v>69.148673611111178</v>
      </c>
      <c r="J352" s="1">
        <v>119223.60769739456</v>
      </c>
      <c r="K352" s="1">
        <v>76.5</v>
      </c>
      <c r="L352" s="1">
        <v>80</v>
      </c>
      <c r="M352" s="1">
        <v>62.718164081889384</v>
      </c>
      <c r="N352" s="1">
        <v>7610625</v>
      </c>
    </row>
    <row r="353" spans="1:14" x14ac:dyDescent="0.35">
      <c r="A353" s="1" t="s">
        <v>31</v>
      </c>
      <c r="B353" s="1">
        <v>202411</v>
      </c>
      <c r="C353" s="1" t="str">
        <f>MID(analisis_productividad__4[[#This Row],[Periodo]],1,4)</f>
        <v>2024</v>
      </c>
      <c r="D353" s="1" t="str">
        <f>MID(analisis_productividad__4[[#This Row],[Periodo]],5,2)</f>
        <v>11</v>
      </c>
      <c r="E353" s="1" t="s">
        <v>11</v>
      </c>
      <c r="F353" s="1" t="s">
        <v>14</v>
      </c>
      <c r="G353" s="1">
        <v>108098</v>
      </c>
      <c r="H353" s="1">
        <v>9422543</v>
      </c>
      <c r="I353" s="1">
        <v>87.166722222222234</v>
      </c>
      <c r="J353" s="1">
        <v>0</v>
      </c>
      <c r="K353" s="1">
        <v>101.5</v>
      </c>
      <c r="L353" s="1">
        <v>97.5</v>
      </c>
      <c r="M353" s="1"/>
      <c r="N353" s="1">
        <v>0</v>
      </c>
    </row>
    <row r="354" spans="1:14" x14ac:dyDescent="0.35">
      <c r="A354" s="1" t="s">
        <v>66</v>
      </c>
      <c r="B354" s="1">
        <v>202512</v>
      </c>
      <c r="C354" s="1" t="str">
        <f>MID(analisis_productividad__4[[#This Row],[Periodo]],1,4)</f>
        <v>2025</v>
      </c>
      <c r="D354" s="1" t="str">
        <f>MID(analisis_productividad__4[[#This Row],[Periodo]],5,2)</f>
        <v>12</v>
      </c>
      <c r="E354" s="1" t="s">
        <v>11</v>
      </c>
      <c r="F354" s="1" t="s">
        <v>12</v>
      </c>
      <c r="G354" s="1">
        <v>107941</v>
      </c>
      <c r="H354" s="1">
        <v>8484826</v>
      </c>
      <c r="I354" s="1">
        <v>78.606189516129007</v>
      </c>
      <c r="J354" s="1">
        <v>101372.15897226818</v>
      </c>
      <c r="K354" s="1">
        <v>80</v>
      </c>
      <c r="L354" s="1">
        <v>80.5</v>
      </c>
      <c r="M354" s="1">
        <v>83.699765359847419</v>
      </c>
      <c r="N354" s="1">
        <v>10051524</v>
      </c>
    </row>
    <row r="355" spans="1:14" x14ac:dyDescent="0.35">
      <c r="A355" s="1" t="s">
        <v>13</v>
      </c>
      <c r="B355" s="1">
        <v>202510</v>
      </c>
      <c r="C355" s="1" t="str">
        <f>MID(analisis_productividad__4[[#This Row],[Periodo]],1,4)</f>
        <v>2025</v>
      </c>
      <c r="D355" s="1" t="str">
        <f>MID(analisis_productividad__4[[#This Row],[Periodo]],5,2)</f>
        <v>10</v>
      </c>
      <c r="E355" s="1" t="s">
        <v>11</v>
      </c>
      <c r="F355" s="1" t="s">
        <v>14</v>
      </c>
      <c r="G355" s="1">
        <v>107892</v>
      </c>
      <c r="H355" s="1">
        <v>9021708</v>
      </c>
      <c r="I355" s="1">
        <v>83.618104838709712</v>
      </c>
      <c r="J355" s="1">
        <v>104564.68277775752</v>
      </c>
      <c r="K355" s="1">
        <v>100</v>
      </c>
      <c r="L355" s="1">
        <v>98</v>
      </c>
      <c r="M355" s="1">
        <v>86.278727198692877</v>
      </c>
      <c r="N355" s="1">
        <v>9671467</v>
      </c>
    </row>
    <row r="356" spans="1:14" x14ac:dyDescent="0.35">
      <c r="A356" s="1" t="s">
        <v>57</v>
      </c>
      <c r="B356" s="1">
        <v>202603</v>
      </c>
      <c r="C356" s="1" t="str">
        <f>MID(analisis_productividad__4[[#This Row],[Periodo]],1,4)</f>
        <v>2026</v>
      </c>
      <c r="D356" s="1" t="str">
        <f>MID(analisis_productividad__4[[#This Row],[Periodo]],5,2)</f>
        <v>03</v>
      </c>
      <c r="E356" s="1" t="s">
        <v>16</v>
      </c>
      <c r="F356" s="1" t="s">
        <v>19</v>
      </c>
      <c r="G356" s="1">
        <v>107881</v>
      </c>
      <c r="H356" s="1">
        <v>7356206</v>
      </c>
      <c r="I356" s="1">
        <v>68.187856182795727</v>
      </c>
      <c r="J356" s="1">
        <v>109301.10356113937</v>
      </c>
      <c r="K356" s="1">
        <v>71</v>
      </c>
      <c r="L356" s="1">
        <v>74.5</v>
      </c>
      <c r="M356" s="1">
        <v>62.681117153293116</v>
      </c>
      <c r="N356" s="1">
        <v>6851115</v>
      </c>
    </row>
    <row r="357" spans="1:14" x14ac:dyDescent="0.35">
      <c r="A357" s="1" t="s">
        <v>56</v>
      </c>
      <c r="B357" s="1">
        <v>202512</v>
      </c>
      <c r="C357" s="1" t="str">
        <f>MID(analisis_productividad__4[[#This Row],[Periodo]],1,4)</f>
        <v>2025</v>
      </c>
      <c r="D357" s="1" t="str">
        <f>MID(analisis_productividad__4[[#This Row],[Periodo]],5,2)</f>
        <v>12</v>
      </c>
      <c r="E357" s="1" t="s">
        <v>16</v>
      </c>
      <c r="F357" s="1" t="s">
        <v>21</v>
      </c>
      <c r="G357" s="1">
        <v>107781</v>
      </c>
      <c r="H357" s="1">
        <v>8432968</v>
      </c>
      <c r="I357" s="1">
        <v>78.241935483870904</v>
      </c>
      <c r="J357" s="1">
        <v>119491.83927440362</v>
      </c>
      <c r="K357" s="1">
        <v>72.5</v>
      </c>
      <c r="L357" s="1">
        <v>68.5</v>
      </c>
      <c r="M357" s="1">
        <v>70.57358938658858</v>
      </c>
      <c r="N357" s="1">
        <v>8386515</v>
      </c>
    </row>
    <row r="358" spans="1:14" x14ac:dyDescent="0.35">
      <c r="A358" s="1" t="s">
        <v>67</v>
      </c>
      <c r="B358" s="1">
        <v>202512</v>
      </c>
      <c r="C358" s="1" t="str">
        <f>MID(analisis_productividad__4[[#This Row],[Periodo]],1,4)</f>
        <v>2025</v>
      </c>
      <c r="D358" s="1" t="str">
        <f>MID(analisis_productividad__4[[#This Row],[Periodo]],5,2)</f>
        <v>12</v>
      </c>
      <c r="E358" s="1" t="s">
        <v>16</v>
      </c>
      <c r="F358" s="1" t="s">
        <v>19</v>
      </c>
      <c r="G358" s="1">
        <v>107755</v>
      </c>
      <c r="H358" s="1">
        <v>8543718</v>
      </c>
      <c r="I358" s="1">
        <v>79.28831317204299</v>
      </c>
      <c r="J358" s="1">
        <v>100022.09602496725</v>
      </c>
      <c r="K358" s="1">
        <v>79.5</v>
      </c>
      <c r="L358" s="1">
        <v>81.5</v>
      </c>
      <c r="M358" s="1">
        <v>85.418305849812782</v>
      </c>
      <c r="N358" s="1">
        <v>9075372</v>
      </c>
    </row>
    <row r="359" spans="1:14" x14ac:dyDescent="0.35">
      <c r="A359" s="1" t="s">
        <v>58</v>
      </c>
      <c r="B359" s="1">
        <v>202603</v>
      </c>
      <c r="C359" s="1" t="str">
        <f>MID(analisis_productividad__4[[#This Row],[Periodo]],1,4)</f>
        <v>2026</v>
      </c>
      <c r="D359" s="1" t="str">
        <f>MID(analisis_productividad__4[[#This Row],[Periodo]],5,2)</f>
        <v>03</v>
      </c>
      <c r="E359" s="1" t="s">
        <v>34</v>
      </c>
      <c r="F359" s="1" t="s">
        <v>35</v>
      </c>
      <c r="G359" s="1">
        <v>107730</v>
      </c>
      <c r="H359" s="1">
        <v>4505513</v>
      </c>
      <c r="I359" s="1">
        <v>41.82217741935483</v>
      </c>
      <c r="J359" s="1">
        <v>106988.45546499165</v>
      </c>
      <c r="K359" s="1">
        <v>53.5</v>
      </c>
      <c r="L359" s="1">
        <v>52</v>
      </c>
      <c r="M359" s="1">
        <v>43.483853774506514</v>
      </c>
      <c r="N359" s="1">
        <v>4652270</v>
      </c>
    </row>
    <row r="360" spans="1:14" x14ac:dyDescent="0.35">
      <c r="A360" s="1" t="s">
        <v>27</v>
      </c>
      <c r="B360" s="1">
        <v>202407</v>
      </c>
      <c r="C360" s="1" t="str">
        <f>MID(analisis_productividad__4[[#This Row],[Periodo]],1,4)</f>
        <v>2024</v>
      </c>
      <c r="D360" s="1" t="str">
        <f>MID(analisis_productividad__4[[#This Row],[Periodo]],5,2)</f>
        <v>07</v>
      </c>
      <c r="E360" s="1" t="s">
        <v>11</v>
      </c>
      <c r="F360" s="1" t="s">
        <v>14</v>
      </c>
      <c r="G360" s="1">
        <v>107643</v>
      </c>
      <c r="H360" s="1">
        <v>8975410</v>
      </c>
      <c r="I360" s="1">
        <v>83.381055107526933</v>
      </c>
      <c r="J360" s="1">
        <v>0</v>
      </c>
      <c r="K360" s="1">
        <v>88</v>
      </c>
      <c r="L360" s="1">
        <v>84</v>
      </c>
      <c r="M360" s="1"/>
      <c r="N360" s="1">
        <v>0</v>
      </c>
    </row>
    <row r="361" spans="1:14" x14ac:dyDescent="0.35">
      <c r="A361" s="1" t="s">
        <v>15</v>
      </c>
      <c r="B361" s="1">
        <v>202504</v>
      </c>
      <c r="C361" s="1" t="str">
        <f>MID(analisis_productividad__4[[#This Row],[Periodo]],1,4)</f>
        <v>2025</v>
      </c>
      <c r="D361" s="1" t="str">
        <f>MID(analisis_productividad__4[[#This Row],[Periodo]],5,2)</f>
        <v>04</v>
      </c>
      <c r="E361" s="1" t="s">
        <v>16</v>
      </c>
      <c r="F361" s="1" t="s">
        <v>17</v>
      </c>
      <c r="G361" s="1">
        <v>107627</v>
      </c>
      <c r="H361" s="1">
        <v>5907237</v>
      </c>
      <c r="I361" s="1">
        <v>54.886270833333313</v>
      </c>
      <c r="J361" s="1">
        <v>112655.66131259392</v>
      </c>
      <c r="K361" s="1">
        <v>61</v>
      </c>
      <c r="L361" s="1">
        <v>60</v>
      </c>
      <c r="M361" s="1">
        <v>52.436222478058639</v>
      </c>
      <c r="N361" s="1">
        <v>6501964</v>
      </c>
    </row>
    <row r="362" spans="1:14" x14ac:dyDescent="0.35">
      <c r="A362" s="1" t="s">
        <v>28</v>
      </c>
      <c r="B362" s="1">
        <v>202511</v>
      </c>
      <c r="C362" s="1" t="str">
        <f>MID(analisis_productividad__4[[#This Row],[Periodo]],1,4)</f>
        <v>2025</v>
      </c>
      <c r="D362" s="1" t="str">
        <f>MID(analisis_productividad__4[[#This Row],[Periodo]],5,2)</f>
        <v>11</v>
      </c>
      <c r="E362" s="1" t="s">
        <v>16</v>
      </c>
      <c r="F362" s="1" t="s">
        <v>17</v>
      </c>
      <c r="G362" s="1">
        <v>107622</v>
      </c>
      <c r="H362" s="1">
        <v>6136504</v>
      </c>
      <c r="I362" s="1">
        <v>57.018888888888895</v>
      </c>
      <c r="J362" s="1">
        <v>107831.8428212568</v>
      </c>
      <c r="K362" s="1">
        <v>64</v>
      </c>
      <c r="L362" s="1">
        <v>67</v>
      </c>
      <c r="M362" s="1">
        <v>56.908088830234824</v>
      </c>
      <c r="N362" s="1">
        <v>4852398</v>
      </c>
    </row>
    <row r="363" spans="1:14" x14ac:dyDescent="0.35">
      <c r="A363" s="1" t="s">
        <v>10</v>
      </c>
      <c r="B363" s="1">
        <v>202406</v>
      </c>
      <c r="C363" s="1" t="str">
        <f>MID(analisis_productividad__4[[#This Row],[Periodo]],1,4)</f>
        <v>2024</v>
      </c>
      <c r="D363" s="1" t="str">
        <f>MID(analisis_productividad__4[[#This Row],[Periodo]],5,2)</f>
        <v>06</v>
      </c>
      <c r="E363" s="1" t="s">
        <v>11</v>
      </c>
      <c r="F363" s="1" t="s">
        <v>12</v>
      </c>
      <c r="G363" s="1">
        <v>107617</v>
      </c>
      <c r="H363" s="1">
        <v>10246701</v>
      </c>
      <c r="I363" s="1">
        <v>95.214777777777769</v>
      </c>
      <c r="J363" s="1">
        <v>0</v>
      </c>
      <c r="K363" s="1">
        <v>98.5</v>
      </c>
      <c r="L363" s="1">
        <v>96.5</v>
      </c>
      <c r="M363" s="1"/>
      <c r="N363" s="1">
        <v>0</v>
      </c>
    </row>
    <row r="364" spans="1:14" x14ac:dyDescent="0.35">
      <c r="A364" s="1" t="s">
        <v>50</v>
      </c>
      <c r="B364" s="1">
        <v>202606</v>
      </c>
      <c r="C364" s="1" t="str">
        <f>MID(analisis_productividad__4[[#This Row],[Periodo]],1,4)</f>
        <v>2026</v>
      </c>
      <c r="D364" s="1" t="str">
        <f>MID(analisis_productividad__4[[#This Row],[Periodo]],5,2)</f>
        <v>06</v>
      </c>
      <c r="E364" s="1" t="s">
        <v>34</v>
      </c>
      <c r="F364" s="1" t="s">
        <v>35</v>
      </c>
      <c r="G364" s="1">
        <v>107588</v>
      </c>
      <c r="H364" s="1">
        <v>6418284</v>
      </c>
      <c r="I364" s="1">
        <v>59.655993055557062</v>
      </c>
      <c r="J364" s="1">
        <v>92906.652912237332</v>
      </c>
      <c r="K364" s="1">
        <v>79.5</v>
      </c>
      <c r="L364" s="1">
        <v>72.5</v>
      </c>
      <c r="M364" s="1">
        <v>64.209802769832038</v>
      </c>
      <c r="N364" s="1">
        <v>5965518</v>
      </c>
    </row>
    <row r="365" spans="1:14" x14ac:dyDescent="0.35">
      <c r="A365" s="1" t="s">
        <v>23</v>
      </c>
      <c r="B365" s="1">
        <v>202508</v>
      </c>
      <c r="C365" s="1" t="str">
        <f>MID(analisis_productividad__4[[#This Row],[Periodo]],1,4)</f>
        <v>2025</v>
      </c>
      <c r="D365" s="1" t="str">
        <f>MID(analisis_productividad__4[[#This Row],[Periodo]],5,2)</f>
        <v>08</v>
      </c>
      <c r="E365" s="1" t="s">
        <v>11</v>
      </c>
      <c r="F365" s="1" t="s">
        <v>12</v>
      </c>
      <c r="G365" s="1">
        <v>107568</v>
      </c>
      <c r="H365" s="1">
        <v>6207557</v>
      </c>
      <c r="I365" s="1">
        <v>57.708131720430089</v>
      </c>
      <c r="J365" s="1">
        <v>106327.68283905581</v>
      </c>
      <c r="K365" s="1">
        <v>68.5</v>
      </c>
      <c r="L365" s="1">
        <v>66</v>
      </c>
      <c r="M365" s="1">
        <v>58.381380504606156</v>
      </c>
      <c r="N365" s="1">
        <v>6023653</v>
      </c>
    </row>
    <row r="366" spans="1:14" x14ac:dyDescent="0.35">
      <c r="A366" s="1" t="s">
        <v>97</v>
      </c>
      <c r="B366" s="1">
        <v>202512</v>
      </c>
      <c r="C366" s="1" t="str">
        <f>MID(analisis_productividad__4[[#This Row],[Periodo]],1,4)</f>
        <v>2025</v>
      </c>
      <c r="D366" s="1" t="str">
        <f>MID(analisis_productividad__4[[#This Row],[Periodo]],5,2)</f>
        <v>12</v>
      </c>
      <c r="E366" s="1" t="s">
        <v>11</v>
      </c>
      <c r="F366" s="1" t="s">
        <v>12</v>
      </c>
      <c r="G366" s="1">
        <v>107424</v>
      </c>
      <c r="H366" s="1">
        <v>6359032</v>
      </c>
      <c r="I366" s="1">
        <v>59.195537634408602</v>
      </c>
      <c r="J366" s="1">
        <v>106043.42091129776</v>
      </c>
      <c r="K366" s="1">
        <v>66.5</v>
      </c>
      <c r="L366" s="1">
        <v>63.5</v>
      </c>
      <c r="M366" s="1">
        <v>59.966306210728</v>
      </c>
      <c r="N366" s="1">
        <v>6845366</v>
      </c>
    </row>
    <row r="367" spans="1:14" x14ac:dyDescent="0.35">
      <c r="A367" s="1" t="s">
        <v>30</v>
      </c>
      <c r="B367" s="1">
        <v>202506</v>
      </c>
      <c r="C367" s="1" t="str">
        <f>MID(analisis_productividad__4[[#This Row],[Periodo]],1,4)</f>
        <v>2025</v>
      </c>
      <c r="D367" s="1" t="str">
        <f>MID(analisis_productividad__4[[#This Row],[Periodo]],5,2)</f>
        <v>06</v>
      </c>
      <c r="E367" s="1" t="s">
        <v>16</v>
      </c>
      <c r="F367" s="1" t="s">
        <v>19</v>
      </c>
      <c r="G367" s="1">
        <v>107421</v>
      </c>
      <c r="H367" s="1">
        <v>8509559</v>
      </c>
      <c r="I367" s="1">
        <v>79.216958333333352</v>
      </c>
      <c r="J367" s="1">
        <v>118893.00680835548</v>
      </c>
      <c r="K367" s="1">
        <v>101</v>
      </c>
      <c r="L367" s="1">
        <v>105</v>
      </c>
      <c r="M367" s="1">
        <v>71.573248742178919</v>
      </c>
      <c r="N367" s="1">
        <v>9799888</v>
      </c>
    </row>
    <row r="368" spans="1:14" x14ac:dyDescent="0.35">
      <c r="A368" s="1" t="s">
        <v>61</v>
      </c>
      <c r="B368" s="1">
        <v>202505</v>
      </c>
      <c r="C368" s="1" t="str">
        <f>MID(analisis_productividad__4[[#This Row],[Periodo]],1,4)</f>
        <v>2025</v>
      </c>
      <c r="D368" s="1" t="str">
        <f>MID(analisis_productividad__4[[#This Row],[Periodo]],5,2)</f>
        <v>05</v>
      </c>
      <c r="E368" s="1" t="s">
        <v>11</v>
      </c>
      <c r="F368" s="1" t="s">
        <v>52</v>
      </c>
      <c r="G368" s="1">
        <v>107420</v>
      </c>
      <c r="H368" s="1">
        <v>9008388</v>
      </c>
      <c r="I368" s="1">
        <v>83.861081989247239</v>
      </c>
      <c r="J368" s="1">
        <v>94025.938743418563</v>
      </c>
      <c r="K368" s="1">
        <v>104.5</v>
      </c>
      <c r="L368" s="1">
        <v>99</v>
      </c>
      <c r="M368" s="1">
        <v>95.807482279782633</v>
      </c>
      <c r="N368" s="1">
        <v>9335897</v>
      </c>
    </row>
    <row r="369" spans="1:14" x14ac:dyDescent="0.35">
      <c r="A369" s="1" t="s">
        <v>75</v>
      </c>
      <c r="B369" s="1">
        <v>202412</v>
      </c>
      <c r="C369" s="1" t="str">
        <f>MID(analisis_productividad__4[[#This Row],[Periodo]],1,4)</f>
        <v>2024</v>
      </c>
      <c r="D369" s="1" t="str">
        <f>MID(analisis_productividad__4[[#This Row],[Periodo]],5,2)</f>
        <v>12</v>
      </c>
      <c r="E369" s="1" t="s">
        <v>11</v>
      </c>
      <c r="F369" s="1" t="s">
        <v>52</v>
      </c>
      <c r="G369" s="1">
        <v>107361</v>
      </c>
      <c r="H369" s="1">
        <v>12342686</v>
      </c>
      <c r="I369" s="1">
        <v>114.9640389784946</v>
      </c>
      <c r="J369" s="1">
        <v>0</v>
      </c>
      <c r="K369" s="1">
        <v>118</v>
      </c>
      <c r="L369" s="1">
        <v>106</v>
      </c>
      <c r="M369" s="1"/>
      <c r="N369" s="1">
        <v>0</v>
      </c>
    </row>
    <row r="370" spans="1:14" x14ac:dyDescent="0.35">
      <c r="A370" s="1" t="s">
        <v>43</v>
      </c>
      <c r="B370" s="1">
        <v>202511</v>
      </c>
      <c r="C370" s="1" t="str">
        <f>MID(analisis_productividad__4[[#This Row],[Periodo]],1,4)</f>
        <v>2025</v>
      </c>
      <c r="D370" s="1" t="str">
        <f>MID(analisis_productividad__4[[#This Row],[Periodo]],5,2)</f>
        <v>11</v>
      </c>
      <c r="E370" s="1" t="s">
        <v>11</v>
      </c>
      <c r="F370" s="1" t="s">
        <v>12</v>
      </c>
      <c r="G370" s="1">
        <v>107341</v>
      </c>
      <c r="H370" s="1">
        <v>7489290</v>
      </c>
      <c r="I370" s="1">
        <v>69.770750000000035</v>
      </c>
      <c r="J370" s="1">
        <v>93487.481008159462</v>
      </c>
      <c r="K370" s="1">
        <v>84.5</v>
      </c>
      <c r="L370" s="1">
        <v>86.5</v>
      </c>
      <c r="M370" s="1">
        <v>80.110087888092139</v>
      </c>
      <c r="N370" s="1">
        <v>6537255</v>
      </c>
    </row>
    <row r="371" spans="1:14" x14ac:dyDescent="0.35">
      <c r="A371" s="1" t="s">
        <v>10</v>
      </c>
      <c r="B371" s="1">
        <v>202506</v>
      </c>
      <c r="C371" s="1" t="str">
        <f>MID(analisis_productividad__4[[#This Row],[Periodo]],1,4)</f>
        <v>2025</v>
      </c>
      <c r="D371" s="1" t="str">
        <f>MID(analisis_productividad__4[[#This Row],[Periodo]],5,2)</f>
        <v>06</v>
      </c>
      <c r="E371" s="1" t="s">
        <v>11</v>
      </c>
      <c r="F371" s="1" t="s">
        <v>12</v>
      </c>
      <c r="G371" s="1">
        <v>107293</v>
      </c>
      <c r="H371" s="1">
        <v>9844291</v>
      </c>
      <c r="I371" s="1">
        <v>91.751868055555533</v>
      </c>
      <c r="J371" s="1">
        <v>112997.54221566915</v>
      </c>
      <c r="K371" s="1">
        <v>98.5</v>
      </c>
      <c r="L371" s="1">
        <v>96.5</v>
      </c>
      <c r="M371" s="1">
        <v>87.119511690006547</v>
      </c>
      <c r="N371" s="1">
        <v>10265541</v>
      </c>
    </row>
    <row r="372" spans="1:14" x14ac:dyDescent="0.35">
      <c r="A372" s="1" t="s">
        <v>15</v>
      </c>
      <c r="B372" s="1">
        <v>202404</v>
      </c>
      <c r="C372" s="1" t="str">
        <f>MID(analisis_productividad__4[[#This Row],[Periodo]],1,4)</f>
        <v>2024</v>
      </c>
      <c r="D372" s="1" t="str">
        <f>MID(analisis_productividad__4[[#This Row],[Periodo]],5,2)</f>
        <v>04</v>
      </c>
      <c r="E372" s="1" t="s">
        <v>16</v>
      </c>
      <c r="F372" s="1" t="s">
        <v>17</v>
      </c>
      <c r="G372" s="1">
        <v>107291</v>
      </c>
      <c r="H372" s="1">
        <v>5495693</v>
      </c>
      <c r="I372" s="1">
        <v>51.222256944444482</v>
      </c>
      <c r="J372" s="1">
        <v>0</v>
      </c>
      <c r="K372" s="1">
        <v>61</v>
      </c>
      <c r="L372" s="1">
        <v>60</v>
      </c>
      <c r="M372" s="1"/>
      <c r="N372" s="1">
        <v>0</v>
      </c>
    </row>
    <row r="373" spans="1:14" x14ac:dyDescent="0.35">
      <c r="A373" s="1" t="s">
        <v>51</v>
      </c>
      <c r="B373" s="1">
        <v>202412</v>
      </c>
      <c r="C373" s="1" t="str">
        <f>MID(analisis_productividad__4[[#This Row],[Periodo]],1,4)</f>
        <v>2024</v>
      </c>
      <c r="D373" s="1" t="str">
        <f>MID(analisis_productividad__4[[#This Row],[Periodo]],5,2)</f>
        <v>12</v>
      </c>
      <c r="E373" s="1" t="s">
        <v>11</v>
      </c>
      <c r="F373" s="1" t="s">
        <v>52</v>
      </c>
      <c r="G373" s="1">
        <v>107213</v>
      </c>
      <c r="H373" s="1">
        <v>12610184</v>
      </c>
      <c r="I373" s="1">
        <v>117.61820564516131</v>
      </c>
      <c r="J373" s="1">
        <v>0</v>
      </c>
      <c r="K373" s="1">
        <v>117.5</v>
      </c>
      <c r="L373" s="1">
        <v>99</v>
      </c>
      <c r="M373" s="1"/>
      <c r="N373" s="1">
        <v>0</v>
      </c>
    </row>
    <row r="374" spans="1:14" x14ac:dyDescent="0.35">
      <c r="A374" s="1" t="s">
        <v>30</v>
      </c>
      <c r="B374" s="1">
        <v>202509</v>
      </c>
      <c r="C374" s="1" t="str">
        <f>MID(analisis_productividad__4[[#This Row],[Periodo]],1,4)</f>
        <v>2025</v>
      </c>
      <c r="D374" s="1" t="str">
        <f>MID(analisis_productividad__4[[#This Row],[Periodo]],5,2)</f>
        <v>09</v>
      </c>
      <c r="E374" s="1" t="s">
        <v>16</v>
      </c>
      <c r="F374" s="1" t="s">
        <v>19</v>
      </c>
      <c r="G374" s="1">
        <v>107076</v>
      </c>
      <c r="H374" s="1">
        <v>8593179</v>
      </c>
      <c r="I374" s="1">
        <v>80.252715277777824</v>
      </c>
      <c r="J374" s="1">
        <v>102363.61310532382</v>
      </c>
      <c r="K374" s="1">
        <v>101</v>
      </c>
      <c r="L374" s="1">
        <v>105</v>
      </c>
      <c r="M374" s="1">
        <v>83.947597581948571</v>
      </c>
      <c r="N374" s="1">
        <v>9642057</v>
      </c>
    </row>
    <row r="375" spans="1:14" x14ac:dyDescent="0.35">
      <c r="A375" s="1" t="s">
        <v>40</v>
      </c>
      <c r="B375" s="1">
        <v>202407</v>
      </c>
      <c r="C375" s="1" t="str">
        <f>MID(analisis_productividad__4[[#This Row],[Periodo]],1,4)</f>
        <v>2024</v>
      </c>
      <c r="D375" s="1" t="str">
        <f>MID(analisis_productividad__4[[#This Row],[Periodo]],5,2)</f>
        <v>07</v>
      </c>
      <c r="E375" s="1" t="s">
        <v>11</v>
      </c>
      <c r="F375" s="1" t="s">
        <v>14</v>
      </c>
      <c r="G375" s="1">
        <v>107069</v>
      </c>
      <c r="H375" s="1">
        <v>6934056</v>
      </c>
      <c r="I375" s="1">
        <v>64.76265456989249</v>
      </c>
      <c r="J375" s="1">
        <v>0</v>
      </c>
      <c r="K375" s="1">
        <v>76.5</v>
      </c>
      <c r="L375" s="1">
        <v>75.5</v>
      </c>
      <c r="M375" s="1"/>
      <c r="N375" s="1">
        <v>0</v>
      </c>
    </row>
    <row r="376" spans="1:14" x14ac:dyDescent="0.35">
      <c r="A376" s="1" t="s">
        <v>18</v>
      </c>
      <c r="B376" s="1">
        <v>202412</v>
      </c>
      <c r="C376" s="1" t="str">
        <f>MID(analisis_productividad__4[[#This Row],[Periodo]],1,4)</f>
        <v>2024</v>
      </c>
      <c r="D376" s="1" t="str">
        <f>MID(analisis_productividad__4[[#This Row],[Periodo]],5,2)</f>
        <v>12</v>
      </c>
      <c r="E376" s="1" t="s">
        <v>16</v>
      </c>
      <c r="F376" s="1" t="s">
        <v>19</v>
      </c>
      <c r="G376" s="1">
        <v>107050</v>
      </c>
      <c r="H376" s="1">
        <v>7859845</v>
      </c>
      <c r="I376" s="1">
        <v>73.422237903225778</v>
      </c>
      <c r="J376" s="1">
        <v>0</v>
      </c>
      <c r="K376" s="1">
        <v>70.5</v>
      </c>
      <c r="L376" s="1">
        <v>69.5</v>
      </c>
      <c r="M376" s="1"/>
      <c r="N376" s="1">
        <v>0</v>
      </c>
    </row>
    <row r="377" spans="1:14" x14ac:dyDescent="0.35">
      <c r="A377" s="1" t="s">
        <v>36</v>
      </c>
      <c r="B377" s="1">
        <v>202406</v>
      </c>
      <c r="C377" s="1" t="str">
        <f>MID(analisis_productividad__4[[#This Row],[Periodo]],1,4)</f>
        <v>2024</v>
      </c>
      <c r="D377" s="1" t="str">
        <f>MID(analisis_productividad__4[[#This Row],[Periodo]],5,2)</f>
        <v>06</v>
      </c>
      <c r="E377" s="1" t="s">
        <v>16</v>
      </c>
      <c r="F377" s="1" t="s">
        <v>17</v>
      </c>
      <c r="G377" s="1">
        <v>107033</v>
      </c>
      <c r="H377" s="1">
        <v>7427294</v>
      </c>
      <c r="I377" s="1">
        <v>69.392604166666615</v>
      </c>
      <c r="J377" s="1">
        <v>0</v>
      </c>
      <c r="K377" s="1">
        <v>76.5</v>
      </c>
      <c r="L377" s="1">
        <v>80</v>
      </c>
      <c r="M377" s="1"/>
      <c r="N377" s="1">
        <v>0</v>
      </c>
    </row>
    <row r="378" spans="1:14" x14ac:dyDescent="0.35">
      <c r="A378" s="1" t="s">
        <v>64</v>
      </c>
      <c r="B378" s="1">
        <v>202512</v>
      </c>
      <c r="C378" s="1" t="str">
        <f>MID(analisis_productividad__4[[#This Row],[Periodo]],1,4)</f>
        <v>2025</v>
      </c>
      <c r="D378" s="1" t="str">
        <f>MID(analisis_productividad__4[[#This Row],[Periodo]],5,2)</f>
        <v>12</v>
      </c>
      <c r="E378" s="1" t="s">
        <v>16</v>
      </c>
      <c r="F378" s="1" t="s">
        <v>21</v>
      </c>
      <c r="G378" s="1">
        <v>106905</v>
      </c>
      <c r="H378" s="1">
        <v>13089041</v>
      </c>
      <c r="I378" s="1">
        <v>122.43663306451614</v>
      </c>
      <c r="J378" s="1">
        <v>108625.67128443321</v>
      </c>
      <c r="K378" s="1">
        <v>88.5</v>
      </c>
      <c r="L378" s="1">
        <v>92.5</v>
      </c>
      <c r="M378" s="1">
        <v>120.49675583340442</v>
      </c>
      <c r="N378" s="1">
        <v>9905528</v>
      </c>
    </row>
    <row r="379" spans="1:14" x14ac:dyDescent="0.35">
      <c r="A379" s="1" t="s">
        <v>48</v>
      </c>
      <c r="B379" s="1">
        <v>202503</v>
      </c>
      <c r="C379" s="1" t="str">
        <f>MID(analisis_productividad__4[[#This Row],[Periodo]],1,4)</f>
        <v>2025</v>
      </c>
      <c r="D379" s="1" t="str">
        <f>MID(analisis_productividad__4[[#This Row],[Periodo]],5,2)</f>
        <v>03</v>
      </c>
      <c r="E379" s="1" t="s">
        <v>16</v>
      </c>
      <c r="F379" s="1" t="s">
        <v>21</v>
      </c>
      <c r="G379" s="1">
        <v>106836</v>
      </c>
      <c r="H379" s="1">
        <v>5799927</v>
      </c>
      <c r="I379" s="1">
        <v>54.288010752688159</v>
      </c>
      <c r="J379" s="1">
        <v>85505.532722375516</v>
      </c>
      <c r="K379" s="1">
        <v>56</v>
      </c>
      <c r="L379" s="1">
        <v>60</v>
      </c>
      <c r="M379" s="1">
        <v>67.831018945072842</v>
      </c>
      <c r="N379" s="1">
        <v>5529759</v>
      </c>
    </row>
    <row r="380" spans="1:14" x14ac:dyDescent="0.35">
      <c r="A380" s="1" t="s">
        <v>51</v>
      </c>
      <c r="B380" s="1">
        <v>202606</v>
      </c>
      <c r="C380" s="1" t="str">
        <f>MID(analisis_productividad__4[[#This Row],[Periodo]],1,4)</f>
        <v>2026</v>
      </c>
      <c r="D380" s="1" t="str">
        <f>MID(analisis_productividad__4[[#This Row],[Periodo]],5,2)</f>
        <v>06</v>
      </c>
      <c r="E380" s="1" t="s">
        <v>11</v>
      </c>
      <c r="F380" s="1" t="s">
        <v>52</v>
      </c>
      <c r="G380" s="1">
        <v>106831</v>
      </c>
      <c r="H380" s="1">
        <v>9332724</v>
      </c>
      <c r="I380" s="1">
        <v>87.359756944446133</v>
      </c>
      <c r="J380" s="1">
        <v>87868.82580374254</v>
      </c>
      <c r="K380" s="1">
        <v>117.5</v>
      </c>
      <c r="L380" s="1">
        <v>99</v>
      </c>
      <c r="M380" s="1">
        <v>98.005014700369543</v>
      </c>
      <c r="N380" s="1">
        <v>8611586</v>
      </c>
    </row>
    <row r="381" spans="1:14" x14ac:dyDescent="0.35">
      <c r="A381" s="1" t="s">
        <v>63</v>
      </c>
      <c r="B381" s="1">
        <v>202401</v>
      </c>
      <c r="C381" s="1" t="str">
        <f>MID(analisis_productividad__4[[#This Row],[Periodo]],1,4)</f>
        <v>2024</v>
      </c>
      <c r="D381" s="1" t="str">
        <f>MID(analisis_productividad__4[[#This Row],[Periodo]],5,2)</f>
        <v>01</v>
      </c>
      <c r="E381" s="1" t="s">
        <v>16</v>
      </c>
      <c r="F381" s="1" t="s">
        <v>17</v>
      </c>
      <c r="G381" s="1">
        <v>106814</v>
      </c>
      <c r="H381" s="1">
        <v>9058449</v>
      </c>
      <c r="I381" s="1">
        <v>84.805423387096752</v>
      </c>
      <c r="J381" s="1">
        <v>0</v>
      </c>
      <c r="K381" s="1">
        <v>86.5</v>
      </c>
      <c r="L381" s="1">
        <v>81.5</v>
      </c>
      <c r="M381" s="1"/>
      <c r="N381" s="1">
        <v>0</v>
      </c>
    </row>
    <row r="382" spans="1:14" x14ac:dyDescent="0.35">
      <c r="A382" s="1" t="s">
        <v>29</v>
      </c>
      <c r="B382" s="1">
        <v>202410</v>
      </c>
      <c r="C382" s="1" t="str">
        <f>MID(analisis_productividad__4[[#This Row],[Periodo]],1,4)</f>
        <v>2024</v>
      </c>
      <c r="D382" s="1" t="str">
        <f>MID(analisis_productividad__4[[#This Row],[Periodo]],5,2)</f>
        <v>10</v>
      </c>
      <c r="E382" s="1" t="s">
        <v>16</v>
      </c>
      <c r="F382" s="1" t="s">
        <v>19</v>
      </c>
      <c r="G382" s="1">
        <v>106800</v>
      </c>
      <c r="H382" s="1">
        <v>9301387</v>
      </c>
      <c r="I382" s="1">
        <v>87.091948924731156</v>
      </c>
      <c r="J382" s="1">
        <v>0</v>
      </c>
      <c r="K382" s="1">
        <v>96.5</v>
      </c>
      <c r="L382" s="1">
        <v>96</v>
      </c>
      <c r="M382" s="1"/>
      <c r="N382" s="1">
        <v>0</v>
      </c>
    </row>
    <row r="383" spans="1:14" x14ac:dyDescent="0.35">
      <c r="A383" s="1" t="s">
        <v>28</v>
      </c>
      <c r="B383" s="1">
        <v>202505</v>
      </c>
      <c r="C383" s="1" t="str">
        <f>MID(analisis_productividad__4[[#This Row],[Periodo]],1,4)</f>
        <v>2025</v>
      </c>
      <c r="D383" s="1" t="str">
        <f>MID(analisis_productividad__4[[#This Row],[Periodo]],5,2)</f>
        <v>05</v>
      </c>
      <c r="E383" s="1" t="s">
        <v>16</v>
      </c>
      <c r="F383" s="1" t="s">
        <v>17</v>
      </c>
      <c r="G383" s="1">
        <v>106748</v>
      </c>
      <c r="H383" s="1">
        <v>6027624</v>
      </c>
      <c r="I383" s="1">
        <v>56.465725806451616</v>
      </c>
      <c r="J383" s="1">
        <v>97004.406206876811</v>
      </c>
      <c r="K383" s="1">
        <v>64</v>
      </c>
      <c r="L383" s="1">
        <v>67</v>
      </c>
      <c r="M383" s="1">
        <v>62.137629471646527</v>
      </c>
      <c r="N383" s="1">
        <v>5814137</v>
      </c>
    </row>
    <row r="384" spans="1:14" x14ac:dyDescent="0.35">
      <c r="A384" s="1" t="s">
        <v>26</v>
      </c>
      <c r="B384" s="1">
        <v>202504</v>
      </c>
      <c r="C384" s="1" t="str">
        <f>MID(analisis_productividad__4[[#This Row],[Periodo]],1,4)</f>
        <v>2025</v>
      </c>
      <c r="D384" s="1" t="str">
        <f>MID(analisis_productividad__4[[#This Row],[Periodo]],5,2)</f>
        <v>04</v>
      </c>
      <c r="E384" s="1" t="s">
        <v>11</v>
      </c>
      <c r="F384" s="1" t="s">
        <v>12</v>
      </c>
      <c r="G384" s="1">
        <v>106490</v>
      </c>
      <c r="H384" s="1">
        <v>5654294</v>
      </c>
      <c r="I384" s="1">
        <v>53.096701388888903</v>
      </c>
      <c r="J384" s="1">
        <v>70926.927223961218</v>
      </c>
      <c r="K384" s="1">
        <v>65.5</v>
      </c>
      <c r="L384" s="1">
        <v>63</v>
      </c>
      <c r="M384" s="1">
        <v>79.719992833551245</v>
      </c>
      <c r="N384" s="1">
        <v>5127387</v>
      </c>
    </row>
    <row r="385" spans="1:14" x14ac:dyDescent="0.35">
      <c r="A385" s="1" t="s">
        <v>26</v>
      </c>
      <c r="B385" s="1">
        <v>202601</v>
      </c>
      <c r="C385" s="1" t="str">
        <f>MID(analisis_productividad__4[[#This Row],[Periodo]],1,4)</f>
        <v>2026</v>
      </c>
      <c r="D385" s="1" t="str">
        <f>MID(analisis_productividad__4[[#This Row],[Periodo]],5,2)</f>
        <v>01</v>
      </c>
      <c r="E385" s="1" t="s">
        <v>11</v>
      </c>
      <c r="F385" s="1" t="s">
        <v>12</v>
      </c>
      <c r="G385" s="1">
        <v>106480</v>
      </c>
      <c r="H385" s="1">
        <v>6201146</v>
      </c>
      <c r="I385" s="1">
        <v>58.237788978494621</v>
      </c>
      <c r="J385" s="1">
        <v>96604.228827616796</v>
      </c>
      <c r="K385" s="1">
        <v>65.5</v>
      </c>
      <c r="L385" s="1">
        <v>63</v>
      </c>
      <c r="M385" s="1">
        <v>55.389519717073902</v>
      </c>
      <c r="N385" s="1">
        <v>5350862</v>
      </c>
    </row>
    <row r="386" spans="1:14" x14ac:dyDescent="0.35">
      <c r="A386" s="1" t="s">
        <v>41</v>
      </c>
      <c r="B386" s="1">
        <v>202503</v>
      </c>
      <c r="C386" s="1" t="str">
        <f>MID(analisis_productividad__4[[#This Row],[Periodo]],1,4)</f>
        <v>2025</v>
      </c>
      <c r="D386" s="1" t="str">
        <f>MID(analisis_productividad__4[[#This Row],[Periodo]],5,2)</f>
        <v>03</v>
      </c>
      <c r="E386" s="1" t="s">
        <v>16</v>
      </c>
      <c r="F386" s="1" t="s">
        <v>19</v>
      </c>
      <c r="G386" s="1">
        <v>106437</v>
      </c>
      <c r="H386" s="1">
        <v>5861082</v>
      </c>
      <c r="I386" s="1">
        <v>55.066102150537638</v>
      </c>
      <c r="J386" s="1">
        <v>105673.0274846556</v>
      </c>
      <c r="K386" s="1">
        <v>57.5</v>
      </c>
      <c r="L386" s="1">
        <v>56.5</v>
      </c>
      <c r="M386" s="1">
        <v>55.464313169707054</v>
      </c>
      <c r="N386" s="1">
        <v>5791094</v>
      </c>
    </row>
    <row r="387" spans="1:14" x14ac:dyDescent="0.35">
      <c r="A387" s="1" t="s">
        <v>24</v>
      </c>
      <c r="B387" s="1">
        <v>202511</v>
      </c>
      <c r="C387" s="1" t="str">
        <f>MID(analisis_productividad__4[[#This Row],[Periodo]],1,4)</f>
        <v>2025</v>
      </c>
      <c r="D387" s="1" t="str">
        <f>MID(analisis_productividad__4[[#This Row],[Periodo]],5,2)</f>
        <v>11</v>
      </c>
      <c r="E387" s="1" t="s">
        <v>16</v>
      </c>
      <c r="F387" s="1" t="s">
        <v>21</v>
      </c>
      <c r="G387" s="1">
        <v>106338</v>
      </c>
      <c r="H387" s="1">
        <v>10432010</v>
      </c>
      <c r="I387" s="1">
        <v>98.102472222222232</v>
      </c>
      <c r="J387" s="1">
        <v>97686.454064170946</v>
      </c>
      <c r="K387" s="1">
        <v>125</v>
      </c>
      <c r="L387" s="1">
        <v>118.5</v>
      </c>
      <c r="M387" s="1">
        <v>106.79075333359053</v>
      </c>
      <c r="N387" s="1">
        <v>9407386</v>
      </c>
    </row>
    <row r="388" spans="1:14" x14ac:dyDescent="0.35">
      <c r="A388" s="1" t="s">
        <v>13</v>
      </c>
      <c r="B388" s="1">
        <v>202501</v>
      </c>
      <c r="C388" s="1" t="str">
        <f>MID(analisis_productividad__4[[#This Row],[Periodo]],1,4)</f>
        <v>2025</v>
      </c>
      <c r="D388" s="1" t="str">
        <f>MID(analisis_productividad__4[[#This Row],[Periodo]],5,2)</f>
        <v>01</v>
      </c>
      <c r="E388" s="1" t="s">
        <v>11</v>
      </c>
      <c r="F388" s="1" t="s">
        <v>14</v>
      </c>
      <c r="G388" s="1">
        <v>106283</v>
      </c>
      <c r="H388" s="1">
        <v>9376441</v>
      </c>
      <c r="I388" s="1">
        <v>88.221075268817216</v>
      </c>
      <c r="J388" s="1">
        <v>110874.79503333212</v>
      </c>
      <c r="K388" s="1">
        <v>100</v>
      </c>
      <c r="L388" s="1">
        <v>98</v>
      </c>
      <c r="M388" s="1">
        <v>84.567830201455351</v>
      </c>
      <c r="N388" s="1">
        <v>9454267</v>
      </c>
    </row>
    <row r="389" spans="1:14" x14ac:dyDescent="0.35">
      <c r="A389" s="1" t="s">
        <v>51</v>
      </c>
      <c r="B389" s="1">
        <v>202511</v>
      </c>
      <c r="C389" s="1" t="str">
        <f>MID(analisis_productividad__4[[#This Row],[Periodo]],1,4)</f>
        <v>2025</v>
      </c>
      <c r="D389" s="1" t="str">
        <f>MID(analisis_productividad__4[[#This Row],[Periodo]],5,2)</f>
        <v>11</v>
      </c>
      <c r="E389" s="1" t="s">
        <v>11</v>
      </c>
      <c r="F389" s="1" t="s">
        <v>52</v>
      </c>
      <c r="G389" s="1">
        <v>106274</v>
      </c>
      <c r="H389" s="1">
        <v>9492395</v>
      </c>
      <c r="I389" s="1">
        <v>89.320000000000022</v>
      </c>
      <c r="J389" s="1">
        <v>100904.94566071444</v>
      </c>
      <c r="K389" s="1">
        <v>117.5</v>
      </c>
      <c r="L389" s="1">
        <v>99</v>
      </c>
      <c r="M389" s="1">
        <v>94.072641413608139</v>
      </c>
      <c r="N389" s="1">
        <v>8439071</v>
      </c>
    </row>
    <row r="390" spans="1:14" x14ac:dyDescent="0.35">
      <c r="A390" s="1" t="s">
        <v>43</v>
      </c>
      <c r="B390" s="1">
        <v>202503</v>
      </c>
      <c r="C390" s="1" t="str">
        <f>MID(analisis_productividad__4[[#This Row],[Periodo]],1,4)</f>
        <v>2025</v>
      </c>
      <c r="D390" s="1" t="str">
        <f>MID(analisis_productividad__4[[#This Row],[Periodo]],5,2)</f>
        <v>03</v>
      </c>
      <c r="E390" s="1" t="s">
        <v>11</v>
      </c>
      <c r="F390" s="1" t="s">
        <v>12</v>
      </c>
      <c r="G390" s="1">
        <v>106219</v>
      </c>
      <c r="H390" s="1">
        <v>8161892</v>
      </c>
      <c r="I390" s="1">
        <v>76.840430107526842</v>
      </c>
      <c r="J390" s="1">
        <v>107130.91749358042</v>
      </c>
      <c r="K390" s="1">
        <v>84.5</v>
      </c>
      <c r="L390" s="1">
        <v>86.5</v>
      </c>
      <c r="M390" s="1">
        <v>76.186148508334043</v>
      </c>
      <c r="N390" s="1">
        <v>8223943</v>
      </c>
    </row>
    <row r="391" spans="1:14" x14ac:dyDescent="0.35">
      <c r="A391" s="1" t="s">
        <v>26</v>
      </c>
      <c r="B391" s="1">
        <v>202505</v>
      </c>
      <c r="C391" s="1" t="str">
        <f>MID(analisis_productividad__4[[#This Row],[Periodo]],1,4)</f>
        <v>2025</v>
      </c>
      <c r="D391" s="1" t="str">
        <f>MID(analisis_productividad__4[[#This Row],[Periodo]],5,2)</f>
        <v>05</v>
      </c>
      <c r="E391" s="1" t="s">
        <v>11</v>
      </c>
      <c r="F391" s="1" t="s">
        <v>12</v>
      </c>
      <c r="G391" s="1">
        <v>106130</v>
      </c>
      <c r="H391" s="1">
        <v>6023437</v>
      </c>
      <c r="I391" s="1">
        <v>56.755369623655923</v>
      </c>
      <c r="J391" s="1">
        <v>77060.961099533059</v>
      </c>
      <c r="K391" s="1">
        <v>65.5</v>
      </c>
      <c r="L391" s="1">
        <v>63</v>
      </c>
      <c r="M391" s="1">
        <v>78.164567558663606</v>
      </c>
      <c r="N391" s="1">
        <v>5068743</v>
      </c>
    </row>
    <row r="392" spans="1:14" x14ac:dyDescent="0.35">
      <c r="A392" s="1" t="s">
        <v>31</v>
      </c>
      <c r="B392" s="1">
        <v>202506</v>
      </c>
      <c r="C392" s="1" t="str">
        <f>MID(analisis_productividad__4[[#This Row],[Periodo]],1,4)</f>
        <v>2025</v>
      </c>
      <c r="D392" s="1" t="str">
        <f>MID(analisis_productividad__4[[#This Row],[Periodo]],5,2)</f>
        <v>06</v>
      </c>
      <c r="E392" s="1" t="s">
        <v>11</v>
      </c>
      <c r="F392" s="1" t="s">
        <v>14</v>
      </c>
      <c r="G392" s="1">
        <v>106091</v>
      </c>
      <c r="H392" s="1">
        <v>8553825</v>
      </c>
      <c r="I392" s="1">
        <v>80.627215277777736</v>
      </c>
      <c r="J392" s="1">
        <v>114344.8686996313</v>
      </c>
      <c r="K392" s="1">
        <v>101.5</v>
      </c>
      <c r="L392" s="1">
        <v>97.5</v>
      </c>
      <c r="M392" s="1">
        <v>74.807249833569344</v>
      </c>
      <c r="N392" s="1">
        <v>9427621</v>
      </c>
    </row>
    <row r="393" spans="1:14" x14ac:dyDescent="0.35">
      <c r="A393" s="1" t="s">
        <v>22</v>
      </c>
      <c r="B393" s="1">
        <v>202403</v>
      </c>
      <c r="C393" s="1" t="str">
        <f>MID(analisis_productividad__4[[#This Row],[Periodo]],1,4)</f>
        <v>2024</v>
      </c>
      <c r="D393" s="1" t="str">
        <f>MID(analisis_productividad__4[[#This Row],[Periodo]],5,2)</f>
        <v>03</v>
      </c>
      <c r="E393" s="1" t="s">
        <v>16</v>
      </c>
      <c r="F393" s="1" t="s">
        <v>21</v>
      </c>
      <c r="G393" s="1">
        <v>106076</v>
      </c>
      <c r="H393" s="1">
        <v>6488249</v>
      </c>
      <c r="I393" s="1">
        <v>61.166122311827955</v>
      </c>
      <c r="J393" s="1">
        <v>0</v>
      </c>
      <c r="K393" s="1">
        <v>59.5</v>
      </c>
      <c r="L393" s="1">
        <v>55.5</v>
      </c>
      <c r="M393" s="1"/>
      <c r="N393" s="1">
        <v>0</v>
      </c>
    </row>
    <row r="394" spans="1:14" x14ac:dyDescent="0.35">
      <c r="A394" s="1" t="s">
        <v>29</v>
      </c>
      <c r="B394" s="1">
        <v>202510</v>
      </c>
      <c r="C394" s="1" t="str">
        <f>MID(analisis_productividad__4[[#This Row],[Periodo]],1,4)</f>
        <v>2025</v>
      </c>
      <c r="D394" s="1" t="str">
        <f>MID(analisis_productividad__4[[#This Row],[Periodo]],5,2)</f>
        <v>10</v>
      </c>
      <c r="E394" s="1" t="s">
        <v>16</v>
      </c>
      <c r="F394" s="1" t="s">
        <v>19</v>
      </c>
      <c r="G394" s="1">
        <v>106030</v>
      </c>
      <c r="H394" s="1">
        <v>9006152</v>
      </c>
      <c r="I394" s="1">
        <v>84.93991935483875</v>
      </c>
      <c r="J394" s="1">
        <v>112139.60160015043</v>
      </c>
      <c r="K394" s="1">
        <v>96.5</v>
      </c>
      <c r="L394" s="1">
        <v>96</v>
      </c>
      <c r="M394" s="1">
        <v>80.311970985171726</v>
      </c>
      <c r="N394" s="1">
        <v>8643706</v>
      </c>
    </row>
    <row r="395" spans="1:14" x14ac:dyDescent="0.35">
      <c r="A395" s="1" t="s">
        <v>42</v>
      </c>
      <c r="B395" s="1">
        <v>202412</v>
      </c>
      <c r="C395" s="1" t="str">
        <f>MID(analisis_productividad__4[[#This Row],[Periodo]],1,4)</f>
        <v>2024</v>
      </c>
      <c r="D395" s="1" t="str">
        <f>MID(analisis_productividad__4[[#This Row],[Periodo]],5,2)</f>
        <v>12</v>
      </c>
      <c r="E395" s="1" t="s">
        <v>16</v>
      </c>
      <c r="F395" s="1" t="s">
        <v>19</v>
      </c>
      <c r="G395" s="1">
        <v>105979</v>
      </c>
      <c r="H395" s="1">
        <v>7231168</v>
      </c>
      <c r="I395" s="1">
        <v>68.231794354838698</v>
      </c>
      <c r="J395" s="1">
        <v>0</v>
      </c>
      <c r="K395" s="1">
        <v>62</v>
      </c>
      <c r="L395" s="1">
        <v>58</v>
      </c>
      <c r="M395" s="1"/>
      <c r="N395" s="1">
        <v>0</v>
      </c>
    </row>
    <row r="396" spans="1:14" x14ac:dyDescent="0.35">
      <c r="A396" s="1" t="s">
        <v>13</v>
      </c>
      <c r="B396" s="1">
        <v>202407</v>
      </c>
      <c r="C396" s="1" t="str">
        <f>MID(analisis_productividad__4[[#This Row],[Periodo]],1,4)</f>
        <v>2024</v>
      </c>
      <c r="D396" s="1" t="str">
        <f>MID(analisis_productividad__4[[#This Row],[Periodo]],5,2)</f>
        <v>07</v>
      </c>
      <c r="E396" s="1" t="s">
        <v>11</v>
      </c>
      <c r="F396" s="1" t="s">
        <v>14</v>
      </c>
      <c r="G396" s="1">
        <v>105965</v>
      </c>
      <c r="H396" s="1">
        <v>9803615</v>
      </c>
      <c r="I396" s="1">
        <v>92.517231182795697</v>
      </c>
      <c r="J396" s="1">
        <v>0</v>
      </c>
      <c r="K396" s="1">
        <v>100</v>
      </c>
      <c r="L396" s="1">
        <v>98</v>
      </c>
      <c r="M396" s="1"/>
      <c r="N396" s="1">
        <v>0</v>
      </c>
    </row>
    <row r="397" spans="1:14" x14ac:dyDescent="0.35">
      <c r="A397" s="1" t="s">
        <v>59</v>
      </c>
      <c r="B397" s="1">
        <v>202603</v>
      </c>
      <c r="C397" s="1" t="str">
        <f>MID(analisis_productividad__4[[#This Row],[Periodo]],1,4)</f>
        <v>2026</v>
      </c>
      <c r="D397" s="1" t="str">
        <f>MID(analisis_productividad__4[[#This Row],[Periodo]],5,2)</f>
        <v>03</v>
      </c>
      <c r="E397" s="1" t="s">
        <v>11</v>
      </c>
      <c r="F397" s="1" t="s">
        <v>12</v>
      </c>
      <c r="G397" s="1">
        <v>105964</v>
      </c>
      <c r="H397" s="1">
        <v>9971997</v>
      </c>
      <c r="I397" s="1">
        <v>94.107614247311872</v>
      </c>
      <c r="J397" s="1">
        <v>111233.83704237548</v>
      </c>
      <c r="K397" s="1">
        <v>94.5</v>
      </c>
      <c r="L397" s="1">
        <v>97</v>
      </c>
      <c r="M397" s="1">
        <v>83.184435661200979</v>
      </c>
      <c r="N397" s="1">
        <v>9252924</v>
      </c>
    </row>
    <row r="398" spans="1:14" x14ac:dyDescent="0.35">
      <c r="A398" s="1" t="s">
        <v>51</v>
      </c>
      <c r="B398" s="1">
        <v>202604</v>
      </c>
      <c r="C398" s="1" t="str">
        <f>MID(analisis_productividad__4[[#This Row],[Periodo]],1,4)</f>
        <v>2026</v>
      </c>
      <c r="D398" s="1" t="str">
        <f>MID(analisis_productividad__4[[#This Row],[Periodo]],5,2)</f>
        <v>04</v>
      </c>
      <c r="E398" s="1" t="s">
        <v>11</v>
      </c>
      <c r="F398" s="1" t="s">
        <v>52</v>
      </c>
      <c r="G398" s="1">
        <v>105948</v>
      </c>
      <c r="H398" s="1">
        <v>9158680</v>
      </c>
      <c r="I398" s="1">
        <v>86.444750000001889</v>
      </c>
      <c r="J398" s="1">
        <v>96861.10709459646</v>
      </c>
      <c r="K398" s="1">
        <v>117.5</v>
      </c>
      <c r="L398" s="1">
        <v>99</v>
      </c>
      <c r="M398" s="1">
        <v>98.005014700369543</v>
      </c>
      <c r="N398" s="1">
        <v>9492874</v>
      </c>
    </row>
    <row r="399" spans="1:14" x14ac:dyDescent="0.35">
      <c r="A399" s="1" t="s">
        <v>24</v>
      </c>
      <c r="B399" s="1">
        <v>202601</v>
      </c>
      <c r="C399" s="1" t="str">
        <f>MID(analisis_productividad__4[[#This Row],[Periodo]],1,4)</f>
        <v>2026</v>
      </c>
      <c r="D399" s="1" t="str">
        <f>MID(analisis_productividad__4[[#This Row],[Periodo]],5,2)</f>
        <v>01</v>
      </c>
      <c r="E399" s="1" t="s">
        <v>16</v>
      </c>
      <c r="F399" s="1" t="s">
        <v>21</v>
      </c>
      <c r="G399" s="1">
        <v>105915</v>
      </c>
      <c r="H399" s="1">
        <v>9845910</v>
      </c>
      <c r="I399" s="1">
        <v>92.960658602150474</v>
      </c>
      <c r="J399" s="1">
        <v>92458.434258053996</v>
      </c>
      <c r="K399" s="1">
        <v>125</v>
      </c>
      <c r="L399" s="1">
        <v>118.5</v>
      </c>
      <c r="M399" s="1">
        <v>102.97612103755296</v>
      </c>
      <c r="N399" s="1">
        <v>9521011</v>
      </c>
    </row>
    <row r="400" spans="1:14" x14ac:dyDescent="0.35">
      <c r="A400" s="1" t="s">
        <v>10</v>
      </c>
      <c r="B400" s="1">
        <v>202408</v>
      </c>
      <c r="C400" s="1" t="str">
        <f>MID(analisis_productividad__4[[#This Row],[Periodo]],1,4)</f>
        <v>2024</v>
      </c>
      <c r="D400" s="1" t="str">
        <f>MID(analisis_productividad__4[[#This Row],[Periodo]],5,2)</f>
        <v>08</v>
      </c>
      <c r="E400" s="1" t="s">
        <v>11</v>
      </c>
      <c r="F400" s="1" t="s">
        <v>12</v>
      </c>
      <c r="G400" s="1">
        <v>105846</v>
      </c>
      <c r="H400" s="1">
        <v>9999369</v>
      </c>
      <c r="I400" s="1">
        <v>94.471350806451625</v>
      </c>
      <c r="J400" s="1">
        <v>0</v>
      </c>
      <c r="K400" s="1">
        <v>98.5</v>
      </c>
      <c r="L400" s="1">
        <v>96.5</v>
      </c>
      <c r="M400" s="1"/>
      <c r="N400" s="1">
        <v>0</v>
      </c>
    </row>
    <row r="401" spans="1:14" x14ac:dyDescent="0.35">
      <c r="A401" s="1" t="s">
        <v>57</v>
      </c>
      <c r="B401" s="1">
        <v>202401</v>
      </c>
      <c r="C401" s="1" t="str">
        <f>MID(analisis_productividad__4[[#This Row],[Periodo]],1,4)</f>
        <v>2024</v>
      </c>
      <c r="D401" s="1" t="str">
        <f>MID(analisis_productividad__4[[#This Row],[Periodo]],5,2)</f>
        <v>01</v>
      </c>
      <c r="E401" s="1" t="s">
        <v>16</v>
      </c>
      <c r="F401" s="1" t="s">
        <v>19</v>
      </c>
      <c r="G401" s="1">
        <v>105832</v>
      </c>
      <c r="H401" s="1">
        <v>6231859</v>
      </c>
      <c r="I401" s="1">
        <v>58.884348118279554</v>
      </c>
      <c r="J401" s="1">
        <v>0</v>
      </c>
      <c r="K401" s="1">
        <v>71</v>
      </c>
      <c r="L401" s="1">
        <v>74.5</v>
      </c>
      <c r="M401" s="1"/>
      <c r="N401" s="1">
        <v>0</v>
      </c>
    </row>
    <row r="402" spans="1:14" x14ac:dyDescent="0.35">
      <c r="A402" s="1" t="s">
        <v>29</v>
      </c>
      <c r="B402" s="1">
        <v>202401</v>
      </c>
      <c r="C402" s="1" t="str">
        <f>MID(analisis_productividad__4[[#This Row],[Periodo]],1,4)</f>
        <v>2024</v>
      </c>
      <c r="D402" s="1" t="str">
        <f>MID(analisis_productividad__4[[#This Row],[Periodo]],5,2)</f>
        <v>01</v>
      </c>
      <c r="E402" s="1" t="s">
        <v>16</v>
      </c>
      <c r="F402" s="1" t="s">
        <v>19</v>
      </c>
      <c r="G402" s="1">
        <v>105783</v>
      </c>
      <c r="H402" s="1">
        <v>9050374</v>
      </c>
      <c r="I402" s="1">
        <v>85.556135752688192</v>
      </c>
      <c r="J402" s="1">
        <v>0</v>
      </c>
      <c r="K402" s="1">
        <v>96.5</v>
      </c>
      <c r="L402" s="1">
        <v>96</v>
      </c>
      <c r="M402" s="1"/>
      <c r="N402" s="1">
        <v>0</v>
      </c>
    </row>
    <row r="403" spans="1:14" x14ac:dyDescent="0.35">
      <c r="A403" s="1" t="s">
        <v>29</v>
      </c>
      <c r="B403" s="1">
        <v>202507</v>
      </c>
      <c r="C403" s="1" t="str">
        <f>MID(analisis_productividad__4[[#This Row],[Periodo]],1,4)</f>
        <v>2025</v>
      </c>
      <c r="D403" s="1" t="str">
        <f>MID(analisis_productividad__4[[#This Row],[Periodo]],5,2)</f>
        <v>07</v>
      </c>
      <c r="E403" s="1" t="s">
        <v>16</v>
      </c>
      <c r="F403" s="1" t="s">
        <v>19</v>
      </c>
      <c r="G403" s="1">
        <v>105782</v>
      </c>
      <c r="H403" s="1">
        <v>9396947</v>
      </c>
      <c r="I403" s="1">
        <v>88.83286962365591</v>
      </c>
      <c r="J403" s="1">
        <v>113761.80784609295</v>
      </c>
      <c r="K403" s="1">
        <v>96.5</v>
      </c>
      <c r="L403" s="1">
        <v>96</v>
      </c>
      <c r="M403" s="1">
        <v>82.601947858573254</v>
      </c>
      <c r="N403" s="1">
        <v>9645197</v>
      </c>
    </row>
    <row r="404" spans="1:14" x14ac:dyDescent="0.35">
      <c r="A404" s="1" t="s">
        <v>33</v>
      </c>
      <c r="B404" s="1">
        <v>202603</v>
      </c>
      <c r="C404" s="1" t="str">
        <f>MID(analisis_productividad__4[[#This Row],[Periodo]],1,4)</f>
        <v>2026</v>
      </c>
      <c r="D404" s="1" t="str">
        <f>MID(analisis_productividad__4[[#This Row],[Periodo]],5,2)</f>
        <v>03</v>
      </c>
      <c r="E404" s="1" t="s">
        <v>34</v>
      </c>
      <c r="F404" s="1" t="s">
        <v>35</v>
      </c>
      <c r="G404" s="1">
        <v>105768</v>
      </c>
      <c r="H404" s="1">
        <v>1258609</v>
      </c>
      <c r="I404" s="1">
        <v>11.899764784946232</v>
      </c>
      <c r="J404" s="1">
        <v>85152.732667678036</v>
      </c>
      <c r="K404" s="1">
        <v>15</v>
      </c>
      <c r="L404" s="1">
        <v>15</v>
      </c>
      <c r="M404" s="1">
        <v>13.971887755419019</v>
      </c>
      <c r="N404" s="1">
        <v>1189744</v>
      </c>
    </row>
    <row r="405" spans="1:14" x14ac:dyDescent="0.35">
      <c r="A405" s="1" t="s">
        <v>71</v>
      </c>
      <c r="B405" s="1">
        <v>202512</v>
      </c>
      <c r="C405" s="1" t="str">
        <f>MID(analisis_productividad__4[[#This Row],[Periodo]],1,4)</f>
        <v>2025</v>
      </c>
      <c r="D405" s="1" t="str">
        <f>MID(analisis_productividad__4[[#This Row],[Periodo]],5,2)</f>
        <v>12</v>
      </c>
      <c r="E405" s="1" t="s">
        <v>16</v>
      </c>
      <c r="F405" s="1" t="s">
        <v>19</v>
      </c>
      <c r="G405" s="1">
        <v>105765</v>
      </c>
      <c r="H405" s="1">
        <v>3860864</v>
      </c>
      <c r="I405" s="1">
        <v>36.504200268817186</v>
      </c>
      <c r="J405" s="1">
        <v>84062.660973939506</v>
      </c>
      <c r="K405" s="1">
        <v>41.5</v>
      </c>
      <c r="L405" s="1">
        <v>35.5</v>
      </c>
      <c r="M405" s="1">
        <v>45.928406206376422</v>
      </c>
      <c r="N405" s="1">
        <v>2990896</v>
      </c>
    </row>
    <row r="406" spans="1:14" x14ac:dyDescent="0.35">
      <c r="A406" s="1" t="s">
        <v>25</v>
      </c>
      <c r="B406" s="1">
        <v>202411</v>
      </c>
      <c r="C406" s="1" t="str">
        <f>MID(analisis_productividad__4[[#This Row],[Periodo]],1,4)</f>
        <v>2024</v>
      </c>
      <c r="D406" s="1" t="str">
        <f>MID(analisis_productividad__4[[#This Row],[Periodo]],5,2)</f>
        <v>11</v>
      </c>
      <c r="E406" s="1" t="s">
        <v>16</v>
      </c>
      <c r="F406" s="1" t="s">
        <v>19</v>
      </c>
      <c r="G406" s="1">
        <v>105761</v>
      </c>
      <c r="H406" s="1">
        <v>9358420</v>
      </c>
      <c r="I406" s="1">
        <v>88.486659722222271</v>
      </c>
      <c r="J406" s="1">
        <v>0</v>
      </c>
      <c r="K406" s="1">
        <v>94</v>
      </c>
      <c r="L406" s="1">
        <v>92</v>
      </c>
      <c r="M406" s="1"/>
      <c r="N406" s="1">
        <v>0</v>
      </c>
    </row>
    <row r="407" spans="1:14" x14ac:dyDescent="0.35">
      <c r="A407" s="1" t="s">
        <v>61</v>
      </c>
      <c r="B407" s="1">
        <v>202503</v>
      </c>
      <c r="C407" s="1" t="str">
        <f>MID(analisis_productividad__4[[#This Row],[Periodo]],1,4)</f>
        <v>2025</v>
      </c>
      <c r="D407" s="1" t="str">
        <f>MID(analisis_productividad__4[[#This Row],[Periodo]],5,2)</f>
        <v>03</v>
      </c>
      <c r="E407" s="1" t="s">
        <v>11</v>
      </c>
      <c r="F407" s="1" t="s">
        <v>52</v>
      </c>
      <c r="G407" s="1">
        <v>105616</v>
      </c>
      <c r="H407" s="1">
        <v>9287982</v>
      </c>
      <c r="I407" s="1">
        <v>87.941357526881688</v>
      </c>
      <c r="J407" s="1">
        <v>101104.94861025721</v>
      </c>
      <c r="K407" s="1">
        <v>104.5</v>
      </c>
      <c r="L407" s="1">
        <v>99</v>
      </c>
      <c r="M407" s="1">
        <v>91.864759912035822</v>
      </c>
      <c r="N407" s="1">
        <v>9869013</v>
      </c>
    </row>
    <row r="408" spans="1:14" x14ac:dyDescent="0.35">
      <c r="A408" s="1" t="s">
        <v>13</v>
      </c>
      <c r="B408" s="1">
        <v>202401</v>
      </c>
      <c r="C408" s="1" t="str">
        <f>MID(analisis_productividad__4[[#This Row],[Periodo]],1,4)</f>
        <v>2024</v>
      </c>
      <c r="D408" s="1" t="str">
        <f>MID(analisis_productividad__4[[#This Row],[Periodo]],5,2)</f>
        <v>01</v>
      </c>
      <c r="E408" s="1" t="s">
        <v>11</v>
      </c>
      <c r="F408" s="1" t="s">
        <v>14</v>
      </c>
      <c r="G408" s="1">
        <v>105595</v>
      </c>
      <c r="H408" s="1">
        <v>9060334</v>
      </c>
      <c r="I408" s="1">
        <v>85.802641129032224</v>
      </c>
      <c r="J408" s="1">
        <v>0</v>
      </c>
      <c r="K408" s="1">
        <v>100</v>
      </c>
      <c r="L408" s="1">
        <v>98</v>
      </c>
      <c r="M408" s="1"/>
      <c r="N408" s="1">
        <v>0</v>
      </c>
    </row>
    <row r="409" spans="1:14" x14ac:dyDescent="0.35">
      <c r="A409" s="1" t="s">
        <v>38</v>
      </c>
      <c r="B409" s="1">
        <v>202412</v>
      </c>
      <c r="C409" s="1" t="str">
        <f>MID(analisis_productividad__4[[#This Row],[Periodo]],1,4)</f>
        <v>2024</v>
      </c>
      <c r="D409" s="1" t="str">
        <f>MID(analisis_productividad__4[[#This Row],[Periodo]],5,2)</f>
        <v>12</v>
      </c>
      <c r="E409" s="1" t="s">
        <v>34</v>
      </c>
      <c r="F409" s="1" t="s">
        <v>35</v>
      </c>
      <c r="G409" s="1">
        <v>105552</v>
      </c>
      <c r="H409" s="1">
        <v>14365631</v>
      </c>
      <c r="I409" s="1">
        <v>136.10013440860209</v>
      </c>
      <c r="J409" s="1">
        <v>0</v>
      </c>
      <c r="K409" s="1">
        <v>140.5</v>
      </c>
      <c r="L409" s="1">
        <v>125.5</v>
      </c>
      <c r="M409" s="1"/>
      <c r="N409" s="1">
        <v>0</v>
      </c>
    </row>
    <row r="410" spans="1:14" x14ac:dyDescent="0.35">
      <c r="A410" s="1" t="s">
        <v>38</v>
      </c>
      <c r="B410" s="1">
        <v>202504</v>
      </c>
      <c r="C410" s="1" t="str">
        <f>MID(analisis_productividad__4[[#This Row],[Periodo]],1,4)</f>
        <v>2025</v>
      </c>
      <c r="D410" s="1" t="str">
        <f>MID(analisis_productividad__4[[#This Row],[Periodo]],5,2)</f>
        <v>04</v>
      </c>
      <c r="E410" s="1" t="s">
        <v>34</v>
      </c>
      <c r="F410" s="1" t="s">
        <v>35</v>
      </c>
      <c r="G410" s="1">
        <v>105546</v>
      </c>
      <c r="H410" s="1">
        <v>11784903</v>
      </c>
      <c r="I410" s="1">
        <v>111.65656249999994</v>
      </c>
      <c r="J410" s="1">
        <v>95444.229306874622</v>
      </c>
      <c r="K410" s="1">
        <v>140.5</v>
      </c>
      <c r="L410" s="1">
        <v>125.5</v>
      </c>
      <c r="M410" s="1">
        <v>123.47422998313387</v>
      </c>
      <c r="N410" s="1">
        <v>12212836</v>
      </c>
    </row>
    <row r="411" spans="1:14" x14ac:dyDescent="0.35">
      <c r="A411" s="1" t="s">
        <v>13</v>
      </c>
      <c r="B411" s="1">
        <v>202502</v>
      </c>
      <c r="C411" s="1" t="str">
        <f>MID(analisis_productividad__4[[#This Row],[Periodo]],1,4)</f>
        <v>2025</v>
      </c>
      <c r="D411" s="1" t="str">
        <f>MID(analisis_productividad__4[[#This Row],[Periodo]],5,2)</f>
        <v>02</v>
      </c>
      <c r="E411" s="1" t="s">
        <v>11</v>
      </c>
      <c r="F411" s="1" t="s">
        <v>14</v>
      </c>
      <c r="G411" s="1">
        <v>105517</v>
      </c>
      <c r="H411" s="1">
        <v>9714100</v>
      </c>
      <c r="I411" s="1">
        <v>92.062239583333309</v>
      </c>
      <c r="J411" s="1">
        <v>99095.377054368</v>
      </c>
      <c r="K411" s="1">
        <v>100</v>
      </c>
      <c r="L411" s="1">
        <v>98</v>
      </c>
      <c r="M411" s="1">
        <v>98.027778376285156</v>
      </c>
      <c r="N411" s="1">
        <v>9605863</v>
      </c>
    </row>
    <row r="412" spans="1:14" x14ac:dyDescent="0.35">
      <c r="A412" s="1" t="s">
        <v>32</v>
      </c>
      <c r="B412" s="1">
        <v>202511</v>
      </c>
      <c r="C412" s="1" t="str">
        <f>MID(analisis_productividad__4[[#This Row],[Periodo]],1,4)</f>
        <v>2025</v>
      </c>
      <c r="D412" s="1" t="str">
        <f>MID(analisis_productividad__4[[#This Row],[Periodo]],5,2)</f>
        <v>11</v>
      </c>
      <c r="E412" s="1" t="s">
        <v>11</v>
      </c>
      <c r="F412" s="1" t="s">
        <v>12</v>
      </c>
      <c r="G412" s="1">
        <v>105505</v>
      </c>
      <c r="H412" s="1">
        <v>5812994</v>
      </c>
      <c r="I412" s="1">
        <v>55.09704861111112</v>
      </c>
      <c r="J412" s="1">
        <v>90585.841260537491</v>
      </c>
      <c r="K412" s="1">
        <v>65.5</v>
      </c>
      <c r="L412" s="1">
        <v>66</v>
      </c>
      <c r="M412" s="1">
        <v>64.171105430053032</v>
      </c>
      <c r="N412" s="1">
        <v>6105832</v>
      </c>
    </row>
    <row r="413" spans="1:14" x14ac:dyDescent="0.35">
      <c r="A413" s="1" t="s">
        <v>55</v>
      </c>
      <c r="B413" s="1">
        <v>202605</v>
      </c>
      <c r="C413" s="1" t="str">
        <f>MID(analisis_productividad__4[[#This Row],[Periodo]],1,4)</f>
        <v>2026</v>
      </c>
      <c r="D413" s="1" t="str">
        <f>MID(analisis_productividad__4[[#This Row],[Periodo]],5,2)</f>
        <v>05</v>
      </c>
      <c r="E413" s="1" t="s">
        <v>16</v>
      </c>
      <c r="F413" s="1" t="s">
        <v>21</v>
      </c>
      <c r="G413" s="1">
        <v>105498</v>
      </c>
      <c r="H413" s="1">
        <v>4820413</v>
      </c>
      <c r="I413" s="1">
        <v>45.691982526882263</v>
      </c>
      <c r="J413" s="1">
        <v>100614.73024686392</v>
      </c>
      <c r="K413" s="1">
        <v>55</v>
      </c>
      <c r="L413" s="1">
        <v>50.5</v>
      </c>
      <c r="M413" s="1">
        <v>48.493991244906027</v>
      </c>
      <c r="N413" s="1">
        <v>4879210</v>
      </c>
    </row>
    <row r="414" spans="1:14" x14ac:dyDescent="0.35">
      <c r="A414" s="1" t="s">
        <v>38</v>
      </c>
      <c r="B414" s="1">
        <v>202508</v>
      </c>
      <c r="C414" s="1" t="str">
        <f>MID(analisis_productividad__4[[#This Row],[Periodo]],1,4)</f>
        <v>2025</v>
      </c>
      <c r="D414" s="1" t="str">
        <f>MID(analisis_productividad__4[[#This Row],[Periodo]],5,2)</f>
        <v>08</v>
      </c>
      <c r="E414" s="1" t="s">
        <v>34</v>
      </c>
      <c r="F414" s="1" t="s">
        <v>35</v>
      </c>
      <c r="G414" s="1">
        <v>105495</v>
      </c>
      <c r="H414" s="1">
        <v>11808830</v>
      </c>
      <c r="I414" s="1">
        <v>111.93780913978495</v>
      </c>
      <c r="J414" s="1">
        <v>104533.06841877493</v>
      </c>
      <c r="K414" s="1">
        <v>140.5</v>
      </c>
      <c r="L414" s="1">
        <v>125.5</v>
      </c>
      <c r="M414" s="1">
        <v>112.96740656929809</v>
      </c>
      <c r="N414" s="1">
        <v>12074434</v>
      </c>
    </row>
    <row r="415" spans="1:14" x14ac:dyDescent="0.35">
      <c r="A415" s="1" t="s">
        <v>25</v>
      </c>
      <c r="B415" s="1">
        <v>202403</v>
      </c>
      <c r="C415" s="1" t="str">
        <f>MID(analisis_productividad__4[[#This Row],[Periodo]],1,4)</f>
        <v>2024</v>
      </c>
      <c r="D415" s="1" t="str">
        <f>MID(analisis_productividad__4[[#This Row],[Periodo]],5,2)</f>
        <v>03</v>
      </c>
      <c r="E415" s="1" t="s">
        <v>16</v>
      </c>
      <c r="F415" s="1" t="s">
        <v>19</v>
      </c>
      <c r="G415" s="1">
        <v>105445</v>
      </c>
      <c r="H415" s="1">
        <v>8777630</v>
      </c>
      <c r="I415" s="1">
        <v>83.243360215053769</v>
      </c>
      <c r="J415" s="1">
        <v>0</v>
      </c>
      <c r="K415" s="1">
        <v>94</v>
      </c>
      <c r="L415" s="1">
        <v>92</v>
      </c>
      <c r="M415" s="1"/>
      <c r="N415" s="1">
        <v>0</v>
      </c>
    </row>
    <row r="416" spans="1:14" x14ac:dyDescent="0.35">
      <c r="A416" s="1" t="s">
        <v>38</v>
      </c>
      <c r="B416" s="1">
        <v>202401</v>
      </c>
      <c r="C416" s="1" t="str">
        <f>MID(analisis_productividad__4[[#This Row],[Periodo]],1,4)</f>
        <v>2024</v>
      </c>
      <c r="D416" s="1" t="str">
        <f>MID(analisis_productividad__4[[#This Row],[Periodo]],5,2)</f>
        <v>01</v>
      </c>
      <c r="E416" s="1" t="s">
        <v>34</v>
      </c>
      <c r="F416" s="1" t="s">
        <v>35</v>
      </c>
      <c r="G416" s="1">
        <v>105427</v>
      </c>
      <c r="H416" s="1">
        <v>11061633</v>
      </c>
      <c r="I416" s="1">
        <v>104.92176747311835</v>
      </c>
      <c r="J416" s="1">
        <v>0</v>
      </c>
      <c r="K416" s="1">
        <v>140.5</v>
      </c>
      <c r="L416" s="1">
        <v>125.5</v>
      </c>
      <c r="M416" s="1"/>
      <c r="N416" s="1">
        <v>0</v>
      </c>
    </row>
    <row r="417" spans="1:14" x14ac:dyDescent="0.35">
      <c r="A417" s="1" t="s">
        <v>60</v>
      </c>
      <c r="B417" s="1">
        <v>202603</v>
      </c>
      <c r="C417" s="1" t="str">
        <f>MID(analisis_productividad__4[[#This Row],[Periodo]],1,4)</f>
        <v>2026</v>
      </c>
      <c r="D417" s="1" t="str">
        <f>MID(analisis_productividad__4[[#This Row],[Periodo]],5,2)</f>
        <v>03</v>
      </c>
      <c r="E417" s="1" t="s">
        <v>11</v>
      </c>
      <c r="F417" s="1" t="s">
        <v>14</v>
      </c>
      <c r="G417" s="1">
        <v>105327</v>
      </c>
      <c r="H417" s="1">
        <v>7166385</v>
      </c>
      <c r="I417" s="1">
        <v>68.039153225806444</v>
      </c>
      <c r="J417" s="1">
        <v>113522.21694288925</v>
      </c>
      <c r="K417" s="1">
        <v>75.5</v>
      </c>
      <c r="L417" s="1">
        <v>74</v>
      </c>
      <c r="M417" s="1">
        <v>63.845934941054651</v>
      </c>
      <c r="N417" s="1">
        <v>7247932</v>
      </c>
    </row>
    <row r="418" spans="1:14" x14ac:dyDescent="0.35">
      <c r="A418" s="1" t="s">
        <v>55</v>
      </c>
      <c r="B418" s="1">
        <v>202511</v>
      </c>
      <c r="C418" s="1" t="str">
        <f>MID(analisis_productividad__4[[#This Row],[Periodo]],1,4)</f>
        <v>2025</v>
      </c>
      <c r="D418" s="1" t="str">
        <f>MID(analisis_productividad__4[[#This Row],[Periodo]],5,2)</f>
        <v>11</v>
      </c>
      <c r="E418" s="1" t="s">
        <v>16</v>
      </c>
      <c r="F418" s="1" t="s">
        <v>21</v>
      </c>
      <c r="G418" s="1">
        <v>105251</v>
      </c>
      <c r="H418" s="1">
        <v>4807212</v>
      </c>
      <c r="I418" s="1">
        <v>45.673833333333334</v>
      </c>
      <c r="J418" s="1">
        <v>95769.308337767594</v>
      </c>
      <c r="K418" s="1">
        <v>55</v>
      </c>
      <c r="L418" s="1">
        <v>50.5</v>
      </c>
      <c r="M418" s="1">
        <v>50.19574948840085</v>
      </c>
      <c r="N418" s="1">
        <v>4656231</v>
      </c>
    </row>
    <row r="419" spans="1:14" x14ac:dyDescent="0.35">
      <c r="A419" s="1" t="s">
        <v>70</v>
      </c>
      <c r="B419" s="1">
        <v>202503</v>
      </c>
      <c r="C419" s="1" t="str">
        <f>MID(analisis_productividad__4[[#This Row],[Periodo]],1,4)</f>
        <v>2025</v>
      </c>
      <c r="D419" s="1" t="str">
        <f>MID(analisis_productividad__4[[#This Row],[Periodo]],5,2)</f>
        <v>03</v>
      </c>
      <c r="E419" s="1" t="s">
        <v>11</v>
      </c>
      <c r="F419" s="1" t="s">
        <v>14</v>
      </c>
      <c r="G419" s="1">
        <v>105249</v>
      </c>
      <c r="H419" s="1">
        <v>5983425</v>
      </c>
      <c r="I419" s="1">
        <v>56.849926075268826</v>
      </c>
      <c r="J419" s="1">
        <v>101000.18468849287</v>
      </c>
      <c r="K419" s="1">
        <v>65</v>
      </c>
      <c r="L419" s="1">
        <v>67.5</v>
      </c>
      <c r="M419" s="1">
        <v>59.241721175601988</v>
      </c>
      <c r="N419" s="1">
        <v>5893246</v>
      </c>
    </row>
    <row r="420" spans="1:14" x14ac:dyDescent="0.35">
      <c r="A420" s="1" t="s">
        <v>29</v>
      </c>
      <c r="B420" s="1">
        <v>202505</v>
      </c>
      <c r="C420" s="1" t="str">
        <f>MID(analisis_productividad__4[[#This Row],[Periodo]],1,4)</f>
        <v>2025</v>
      </c>
      <c r="D420" s="1" t="str">
        <f>MID(analisis_productividad__4[[#This Row],[Periodo]],5,2)</f>
        <v>05</v>
      </c>
      <c r="E420" s="1" t="s">
        <v>16</v>
      </c>
      <c r="F420" s="1" t="s">
        <v>19</v>
      </c>
      <c r="G420" s="1">
        <v>105127</v>
      </c>
      <c r="H420" s="1">
        <v>9273271</v>
      </c>
      <c r="I420" s="1">
        <v>88.210114247311822</v>
      </c>
      <c r="J420" s="1">
        <v>101733.64098081054</v>
      </c>
      <c r="K420" s="1">
        <v>96.5</v>
      </c>
      <c r="L420" s="1">
        <v>96</v>
      </c>
      <c r="M420" s="1">
        <v>91.152451938185976</v>
      </c>
      <c r="N420" s="1">
        <v>8621026</v>
      </c>
    </row>
    <row r="421" spans="1:14" x14ac:dyDescent="0.35">
      <c r="A421" s="1" t="s">
        <v>13</v>
      </c>
      <c r="B421" s="1">
        <v>202405</v>
      </c>
      <c r="C421" s="1" t="str">
        <f>MID(analisis_productividad__4[[#This Row],[Periodo]],1,4)</f>
        <v>2024</v>
      </c>
      <c r="D421" s="1" t="str">
        <f>MID(analisis_productividad__4[[#This Row],[Periodo]],5,2)</f>
        <v>05</v>
      </c>
      <c r="E421" s="1" t="s">
        <v>11</v>
      </c>
      <c r="F421" s="1" t="s">
        <v>14</v>
      </c>
      <c r="G421" s="1">
        <v>105123</v>
      </c>
      <c r="H421" s="1">
        <v>9373318</v>
      </c>
      <c r="I421" s="1">
        <v>89.16494623655916</v>
      </c>
      <c r="J421" s="1">
        <v>0</v>
      </c>
      <c r="K421" s="1">
        <v>100</v>
      </c>
      <c r="L421" s="1">
        <v>98</v>
      </c>
      <c r="M421" s="1"/>
      <c r="N421" s="1">
        <v>0</v>
      </c>
    </row>
    <row r="422" spans="1:14" x14ac:dyDescent="0.35">
      <c r="A422" s="1" t="s">
        <v>131</v>
      </c>
      <c r="B422" s="1">
        <v>202407</v>
      </c>
      <c r="C422" s="1" t="str">
        <f>MID(analisis_productividad__4[[#This Row],[Periodo]],1,4)</f>
        <v>2024</v>
      </c>
      <c r="D422" s="1" t="str">
        <f>MID(analisis_productividad__4[[#This Row],[Periodo]],5,2)</f>
        <v>07</v>
      </c>
      <c r="E422" s="1" t="s">
        <v>16</v>
      </c>
      <c r="F422" s="1" t="s">
        <v>21</v>
      </c>
      <c r="G422" s="1">
        <v>105060</v>
      </c>
      <c r="H422" s="1">
        <v>12100429</v>
      </c>
      <c r="I422" s="1">
        <v>115.17681451612901</v>
      </c>
      <c r="J422" s="1">
        <v>0</v>
      </c>
      <c r="K422" s="1">
        <v>99</v>
      </c>
      <c r="L422" s="1">
        <v>32.5</v>
      </c>
      <c r="M422" s="1"/>
      <c r="N422" s="1">
        <v>0</v>
      </c>
    </row>
    <row r="423" spans="1:14" x14ac:dyDescent="0.35">
      <c r="A423" s="1" t="s">
        <v>38</v>
      </c>
      <c r="B423" s="1">
        <v>202511</v>
      </c>
      <c r="C423" s="1" t="str">
        <f>MID(analisis_productividad__4[[#This Row],[Periodo]],1,4)</f>
        <v>2025</v>
      </c>
      <c r="D423" s="1" t="str">
        <f>MID(analisis_productividad__4[[#This Row],[Periodo]],5,2)</f>
        <v>11</v>
      </c>
      <c r="E423" s="1" t="s">
        <v>34</v>
      </c>
      <c r="F423" s="1" t="s">
        <v>35</v>
      </c>
      <c r="G423" s="1">
        <v>105039</v>
      </c>
      <c r="H423" s="1">
        <v>11882743</v>
      </c>
      <c r="I423" s="1">
        <v>113.12656249999999</v>
      </c>
      <c r="J423" s="1">
        <v>104116.42340851264</v>
      </c>
      <c r="K423" s="1">
        <v>140.5</v>
      </c>
      <c r="L423" s="1">
        <v>125.5</v>
      </c>
      <c r="M423" s="1">
        <v>114.12938546089607</v>
      </c>
      <c r="N423" s="1">
        <v>11981475</v>
      </c>
    </row>
    <row r="424" spans="1:14" x14ac:dyDescent="0.35">
      <c r="A424" s="1" t="s">
        <v>51</v>
      </c>
      <c r="B424" s="1">
        <v>202403</v>
      </c>
      <c r="C424" s="1" t="str">
        <f>MID(analisis_productividad__4[[#This Row],[Periodo]],1,4)</f>
        <v>2024</v>
      </c>
      <c r="D424" s="1" t="str">
        <f>MID(analisis_productividad__4[[#This Row],[Periodo]],5,2)</f>
        <v>03</v>
      </c>
      <c r="E424" s="1" t="s">
        <v>11</v>
      </c>
      <c r="F424" s="1" t="s">
        <v>52</v>
      </c>
      <c r="G424" s="1">
        <v>105013</v>
      </c>
      <c r="H424" s="1">
        <v>9829525</v>
      </c>
      <c r="I424" s="1">
        <v>93.602701612903218</v>
      </c>
      <c r="J424" s="1">
        <v>0</v>
      </c>
      <c r="K424" s="1">
        <v>117.5</v>
      </c>
      <c r="L424" s="1">
        <v>99</v>
      </c>
      <c r="M424" s="1"/>
      <c r="N424" s="1">
        <v>0</v>
      </c>
    </row>
    <row r="425" spans="1:14" x14ac:dyDescent="0.35">
      <c r="A425" s="1" t="s">
        <v>23</v>
      </c>
      <c r="B425" s="1">
        <v>202502</v>
      </c>
      <c r="C425" s="1" t="str">
        <f>MID(analisis_productividad__4[[#This Row],[Periodo]],1,4)</f>
        <v>2025</v>
      </c>
      <c r="D425" s="1" t="str">
        <f>MID(analisis_productividad__4[[#This Row],[Periodo]],5,2)</f>
        <v>02</v>
      </c>
      <c r="E425" s="1" t="s">
        <v>11</v>
      </c>
      <c r="F425" s="1" t="s">
        <v>12</v>
      </c>
      <c r="G425" s="1">
        <v>104993</v>
      </c>
      <c r="H425" s="1">
        <v>6209815</v>
      </c>
      <c r="I425" s="1">
        <v>59.145156249999999</v>
      </c>
      <c r="J425" s="1">
        <v>89755.752041097483</v>
      </c>
      <c r="K425" s="1">
        <v>68.5</v>
      </c>
      <c r="L425" s="1">
        <v>66</v>
      </c>
      <c r="M425" s="1">
        <v>69.185702740885517</v>
      </c>
      <c r="N425" s="1">
        <v>5537651</v>
      </c>
    </row>
    <row r="426" spans="1:14" x14ac:dyDescent="0.35">
      <c r="A426" s="1" t="s">
        <v>61</v>
      </c>
      <c r="B426" s="1">
        <v>202601</v>
      </c>
      <c r="C426" s="1" t="str">
        <f>MID(analisis_productividad__4[[#This Row],[Periodo]],1,4)</f>
        <v>2026</v>
      </c>
      <c r="D426" s="1" t="str">
        <f>MID(analisis_productividad__4[[#This Row],[Periodo]],5,2)</f>
        <v>01</v>
      </c>
      <c r="E426" s="1" t="s">
        <v>11</v>
      </c>
      <c r="F426" s="1" t="s">
        <v>52</v>
      </c>
      <c r="G426" s="1">
        <v>104947</v>
      </c>
      <c r="H426" s="1">
        <v>9145687</v>
      </c>
      <c r="I426" s="1">
        <v>87.145625000000052</v>
      </c>
      <c r="J426" s="1">
        <v>97460.262379580527</v>
      </c>
      <c r="K426" s="1">
        <v>104.5</v>
      </c>
      <c r="L426" s="1">
        <v>99</v>
      </c>
      <c r="M426" s="1">
        <v>90.280982690474389</v>
      </c>
      <c r="N426" s="1">
        <v>8798808</v>
      </c>
    </row>
    <row r="427" spans="1:14" x14ac:dyDescent="0.35">
      <c r="A427" s="1" t="s">
        <v>13</v>
      </c>
      <c r="B427" s="1">
        <v>202406</v>
      </c>
      <c r="C427" s="1" t="str">
        <f>MID(analisis_productividad__4[[#This Row],[Periodo]],1,4)</f>
        <v>2024</v>
      </c>
      <c r="D427" s="1" t="str">
        <f>MID(analisis_productividad__4[[#This Row],[Periodo]],5,2)</f>
        <v>06</v>
      </c>
      <c r="E427" s="1" t="s">
        <v>11</v>
      </c>
      <c r="F427" s="1" t="s">
        <v>14</v>
      </c>
      <c r="G427" s="1">
        <v>104938</v>
      </c>
      <c r="H427" s="1">
        <v>9501968</v>
      </c>
      <c r="I427" s="1">
        <v>90.548548611111158</v>
      </c>
      <c r="J427" s="1">
        <v>0</v>
      </c>
      <c r="K427" s="1">
        <v>100</v>
      </c>
      <c r="L427" s="1">
        <v>98</v>
      </c>
      <c r="M427" s="1"/>
      <c r="N427" s="1">
        <v>0</v>
      </c>
    </row>
    <row r="428" spans="1:14" x14ac:dyDescent="0.35">
      <c r="A428" s="1" t="s">
        <v>27</v>
      </c>
      <c r="B428" s="1">
        <v>202510</v>
      </c>
      <c r="C428" s="1" t="str">
        <f>MID(analisis_productividad__4[[#This Row],[Periodo]],1,4)</f>
        <v>2025</v>
      </c>
      <c r="D428" s="1" t="str">
        <f>MID(analisis_productividad__4[[#This Row],[Periodo]],5,2)</f>
        <v>10</v>
      </c>
      <c r="E428" s="1" t="s">
        <v>11</v>
      </c>
      <c r="F428" s="1" t="s">
        <v>14</v>
      </c>
      <c r="G428" s="1">
        <v>104920</v>
      </c>
      <c r="H428" s="1">
        <v>7593715</v>
      </c>
      <c r="I428" s="1">
        <v>72.376565860215038</v>
      </c>
      <c r="J428" s="1">
        <v>96507.931338608512</v>
      </c>
      <c r="K428" s="1">
        <v>88</v>
      </c>
      <c r="L428" s="1">
        <v>84</v>
      </c>
      <c r="M428" s="1">
        <v>78.684885114329376</v>
      </c>
      <c r="N428" s="1">
        <v>9069877</v>
      </c>
    </row>
    <row r="429" spans="1:14" x14ac:dyDescent="0.35">
      <c r="A429" s="1" t="s">
        <v>29</v>
      </c>
      <c r="B429" s="1">
        <v>202406</v>
      </c>
      <c r="C429" s="1" t="str">
        <f>MID(analisis_productividad__4[[#This Row],[Periodo]],1,4)</f>
        <v>2024</v>
      </c>
      <c r="D429" s="1" t="str">
        <f>MID(analisis_productividad__4[[#This Row],[Periodo]],5,2)</f>
        <v>06</v>
      </c>
      <c r="E429" s="1" t="s">
        <v>16</v>
      </c>
      <c r="F429" s="1" t="s">
        <v>19</v>
      </c>
      <c r="G429" s="1">
        <v>104900</v>
      </c>
      <c r="H429" s="1">
        <v>9114866</v>
      </c>
      <c r="I429" s="1">
        <v>86.89104861111106</v>
      </c>
      <c r="J429" s="1">
        <v>0</v>
      </c>
      <c r="K429" s="1">
        <v>96.5</v>
      </c>
      <c r="L429" s="1">
        <v>96</v>
      </c>
      <c r="M429" s="1"/>
      <c r="N429" s="1">
        <v>0</v>
      </c>
    </row>
    <row r="430" spans="1:14" x14ac:dyDescent="0.35">
      <c r="A430" s="1" t="s">
        <v>61</v>
      </c>
      <c r="B430" s="1">
        <v>202605</v>
      </c>
      <c r="C430" s="1" t="str">
        <f>MID(analisis_productividad__4[[#This Row],[Periodo]],1,4)</f>
        <v>2026</v>
      </c>
      <c r="D430" s="1" t="str">
        <f>MID(analisis_productividad__4[[#This Row],[Periodo]],5,2)</f>
        <v>05</v>
      </c>
      <c r="E430" s="1" t="s">
        <v>11</v>
      </c>
      <c r="F430" s="1" t="s">
        <v>52</v>
      </c>
      <c r="G430" s="1">
        <v>104885</v>
      </c>
      <c r="H430" s="1">
        <v>9618226</v>
      </c>
      <c r="I430" s="1">
        <v>91.702916666667335</v>
      </c>
      <c r="J430" s="1">
        <v>102075.57540877689</v>
      </c>
      <c r="K430" s="1">
        <v>104.5</v>
      </c>
      <c r="L430" s="1">
        <v>99</v>
      </c>
      <c r="M430" s="1">
        <v>90.280982690474389</v>
      </c>
      <c r="N430" s="1">
        <v>9215483</v>
      </c>
    </row>
    <row r="431" spans="1:14" x14ac:dyDescent="0.35">
      <c r="A431" s="1" t="s">
        <v>54</v>
      </c>
      <c r="B431" s="1">
        <v>202507</v>
      </c>
      <c r="C431" s="1" t="str">
        <f>MID(analisis_productividad__4[[#This Row],[Periodo]],1,4)</f>
        <v>2025</v>
      </c>
      <c r="D431" s="1" t="str">
        <f>MID(analisis_productividad__4[[#This Row],[Periodo]],5,2)</f>
        <v>07</v>
      </c>
      <c r="E431" s="1" t="s">
        <v>11</v>
      </c>
      <c r="F431" s="1" t="s">
        <v>52</v>
      </c>
      <c r="G431" s="1">
        <v>104832</v>
      </c>
      <c r="H431" s="1">
        <v>8588566</v>
      </c>
      <c r="I431" s="1">
        <v>81.927190860215077</v>
      </c>
      <c r="J431" s="1">
        <v>88354.199901076907</v>
      </c>
      <c r="K431" s="1">
        <v>106</v>
      </c>
      <c r="L431" s="1">
        <v>102.5</v>
      </c>
      <c r="M431" s="1">
        <v>97.206081087440396</v>
      </c>
      <c r="N431" s="1">
        <v>9530104</v>
      </c>
    </row>
    <row r="432" spans="1:14" x14ac:dyDescent="0.35">
      <c r="A432" s="1" t="s">
        <v>62</v>
      </c>
      <c r="B432" s="1">
        <v>202603</v>
      </c>
      <c r="C432" s="1" t="str">
        <f>MID(analisis_productividad__4[[#This Row],[Periodo]],1,4)</f>
        <v>2026</v>
      </c>
      <c r="D432" s="1" t="str">
        <f>MID(analisis_productividad__4[[#This Row],[Periodo]],5,2)</f>
        <v>03</v>
      </c>
      <c r="E432" s="1" t="s">
        <v>16</v>
      </c>
      <c r="F432" s="1" t="s">
        <v>17</v>
      </c>
      <c r="G432" s="1">
        <v>104742</v>
      </c>
      <c r="H432" s="1">
        <v>3340842</v>
      </c>
      <c r="I432" s="1">
        <v>31.896055107526877</v>
      </c>
      <c r="J432" s="1">
        <v>111581.22958064523</v>
      </c>
      <c r="K432" s="1">
        <v>32.5</v>
      </c>
      <c r="L432" s="1">
        <v>32</v>
      </c>
      <c r="M432" s="1">
        <v>29.073700348097926</v>
      </c>
      <c r="N432" s="1">
        <v>3244079</v>
      </c>
    </row>
    <row r="433" spans="1:14" x14ac:dyDescent="0.35">
      <c r="A433" s="1" t="s">
        <v>36</v>
      </c>
      <c r="B433" s="1">
        <v>202402</v>
      </c>
      <c r="C433" s="1" t="str">
        <f>MID(analisis_productividad__4[[#This Row],[Periodo]],1,4)</f>
        <v>2024</v>
      </c>
      <c r="D433" s="1" t="str">
        <f>MID(analisis_productividad__4[[#This Row],[Periodo]],5,2)</f>
        <v>02</v>
      </c>
      <c r="E433" s="1" t="s">
        <v>16</v>
      </c>
      <c r="F433" s="1" t="s">
        <v>17</v>
      </c>
      <c r="G433" s="1">
        <v>104734</v>
      </c>
      <c r="H433" s="1">
        <v>7399676</v>
      </c>
      <c r="I433" s="1">
        <v>70.652377873563239</v>
      </c>
      <c r="J433" s="1">
        <v>0</v>
      </c>
      <c r="K433" s="1">
        <v>76.5</v>
      </c>
      <c r="L433" s="1">
        <v>80</v>
      </c>
      <c r="M433" s="1"/>
      <c r="N433" s="1">
        <v>0</v>
      </c>
    </row>
    <row r="434" spans="1:14" x14ac:dyDescent="0.35">
      <c r="A434" s="1" t="s">
        <v>76</v>
      </c>
      <c r="B434" s="1">
        <v>202503</v>
      </c>
      <c r="C434" s="1" t="str">
        <f>MID(analisis_productividad__4[[#This Row],[Periodo]],1,4)</f>
        <v>2025</v>
      </c>
      <c r="D434" s="1" t="str">
        <f>MID(analisis_productividad__4[[#This Row],[Periodo]],5,2)</f>
        <v>03</v>
      </c>
      <c r="E434" s="1" t="s">
        <v>11</v>
      </c>
      <c r="F434" s="1" t="s">
        <v>14</v>
      </c>
      <c r="G434" s="1">
        <v>104701</v>
      </c>
      <c r="H434" s="1">
        <v>7134988</v>
      </c>
      <c r="I434" s="1">
        <v>68.146505376344123</v>
      </c>
      <c r="J434" s="1">
        <v>90197.58534115777</v>
      </c>
      <c r="K434" s="1">
        <v>80</v>
      </c>
      <c r="L434" s="1">
        <v>78</v>
      </c>
      <c r="M434" s="1">
        <v>79.103975932538134</v>
      </c>
      <c r="N434" s="1">
        <v>7037984</v>
      </c>
    </row>
    <row r="435" spans="1:14" x14ac:dyDescent="0.35">
      <c r="A435" s="1" t="s">
        <v>23</v>
      </c>
      <c r="B435" s="1">
        <v>202501</v>
      </c>
      <c r="C435" s="1" t="str">
        <f>MID(analisis_productividad__4[[#This Row],[Periodo]],1,4)</f>
        <v>2025</v>
      </c>
      <c r="D435" s="1" t="str">
        <f>MID(analisis_productividad__4[[#This Row],[Periodo]],5,2)</f>
        <v>01</v>
      </c>
      <c r="E435" s="1" t="s">
        <v>11</v>
      </c>
      <c r="F435" s="1" t="s">
        <v>12</v>
      </c>
      <c r="G435" s="1">
        <v>104694</v>
      </c>
      <c r="H435" s="1">
        <v>6017118</v>
      </c>
      <c r="I435" s="1">
        <v>57.473151881720426</v>
      </c>
      <c r="J435" s="1">
        <v>96639.061921541943</v>
      </c>
      <c r="K435" s="1">
        <v>68.5</v>
      </c>
      <c r="L435" s="1">
        <v>66</v>
      </c>
      <c r="M435" s="1">
        <v>62.26382676277526</v>
      </c>
      <c r="N435" s="1">
        <v>5738302</v>
      </c>
    </row>
    <row r="436" spans="1:14" x14ac:dyDescent="0.35">
      <c r="A436" s="1" t="s">
        <v>54</v>
      </c>
      <c r="B436" s="1">
        <v>202412</v>
      </c>
      <c r="C436" s="1" t="str">
        <f>MID(analisis_productividad__4[[#This Row],[Periodo]],1,4)</f>
        <v>2024</v>
      </c>
      <c r="D436" s="1" t="str">
        <f>MID(analisis_productividad__4[[#This Row],[Periodo]],5,2)</f>
        <v>12</v>
      </c>
      <c r="E436" s="1" t="s">
        <v>11</v>
      </c>
      <c r="F436" s="1" t="s">
        <v>52</v>
      </c>
      <c r="G436" s="1">
        <v>104673</v>
      </c>
      <c r="H436" s="1">
        <v>12036273</v>
      </c>
      <c r="I436" s="1">
        <v>114.9893951612903</v>
      </c>
      <c r="J436" s="1">
        <v>0</v>
      </c>
      <c r="K436" s="1">
        <v>106</v>
      </c>
      <c r="L436" s="1">
        <v>102.5</v>
      </c>
      <c r="M436" s="1"/>
      <c r="N436" s="1">
        <v>0</v>
      </c>
    </row>
    <row r="437" spans="1:14" x14ac:dyDescent="0.35">
      <c r="A437" s="1" t="s">
        <v>29</v>
      </c>
      <c r="B437" s="1">
        <v>202508</v>
      </c>
      <c r="C437" s="1" t="str">
        <f>MID(analisis_productividad__4[[#This Row],[Periodo]],1,4)</f>
        <v>2025</v>
      </c>
      <c r="D437" s="1" t="str">
        <f>MID(analisis_productividad__4[[#This Row],[Periodo]],5,2)</f>
        <v>08</v>
      </c>
      <c r="E437" s="1" t="s">
        <v>16</v>
      </c>
      <c r="F437" s="1" t="s">
        <v>19</v>
      </c>
      <c r="G437" s="1">
        <v>104630</v>
      </c>
      <c r="H437" s="1">
        <v>8757570</v>
      </c>
      <c r="I437" s="1">
        <v>83.700524193548461</v>
      </c>
      <c r="J437" s="1">
        <v>102265.09066150687</v>
      </c>
      <c r="K437" s="1">
        <v>96.5</v>
      </c>
      <c r="L437" s="1">
        <v>96</v>
      </c>
      <c r="M437" s="1">
        <v>85.635967399541897</v>
      </c>
      <c r="N437" s="1">
        <v>8700331</v>
      </c>
    </row>
    <row r="438" spans="1:14" x14ac:dyDescent="0.35">
      <c r="A438" s="1" t="s">
        <v>54</v>
      </c>
      <c r="B438" s="1">
        <v>202506</v>
      </c>
      <c r="C438" s="1" t="str">
        <f>MID(analisis_productividad__4[[#This Row],[Periodo]],1,4)</f>
        <v>2025</v>
      </c>
      <c r="D438" s="1" t="str">
        <f>MID(analisis_productividad__4[[#This Row],[Periodo]],5,2)</f>
        <v>06</v>
      </c>
      <c r="E438" s="1" t="s">
        <v>11</v>
      </c>
      <c r="F438" s="1" t="s">
        <v>52</v>
      </c>
      <c r="G438" s="1">
        <v>104612</v>
      </c>
      <c r="H438" s="1">
        <v>8602758</v>
      </c>
      <c r="I438" s="1">
        <v>82.234736111111161</v>
      </c>
      <c r="J438" s="1">
        <v>91546.123187854289</v>
      </c>
      <c r="K438" s="1">
        <v>106</v>
      </c>
      <c r="L438" s="1">
        <v>102.5</v>
      </c>
      <c r="M438" s="1">
        <v>93.971845671137643</v>
      </c>
      <c r="N438" s="1">
        <v>9434213</v>
      </c>
    </row>
    <row r="439" spans="1:14" x14ac:dyDescent="0.35">
      <c r="A439" s="1" t="s">
        <v>31</v>
      </c>
      <c r="B439" s="1">
        <v>202409</v>
      </c>
      <c r="C439" s="1" t="str">
        <f>MID(analisis_productividad__4[[#This Row],[Periodo]],1,4)</f>
        <v>2024</v>
      </c>
      <c r="D439" s="1" t="str">
        <f>MID(analisis_productividad__4[[#This Row],[Periodo]],5,2)</f>
        <v>09</v>
      </c>
      <c r="E439" s="1" t="s">
        <v>11</v>
      </c>
      <c r="F439" s="1" t="s">
        <v>14</v>
      </c>
      <c r="G439" s="1">
        <v>104556</v>
      </c>
      <c r="H439" s="1">
        <v>8542833</v>
      </c>
      <c r="I439" s="1">
        <v>81.705701388888869</v>
      </c>
      <c r="J439" s="1">
        <v>0</v>
      </c>
      <c r="K439" s="1">
        <v>101.5</v>
      </c>
      <c r="L439" s="1">
        <v>97.5</v>
      </c>
      <c r="M439" s="1"/>
      <c r="N439" s="1">
        <v>0</v>
      </c>
    </row>
    <row r="440" spans="1:14" x14ac:dyDescent="0.35">
      <c r="A440" s="1" t="s">
        <v>28</v>
      </c>
      <c r="B440" s="1">
        <v>202601</v>
      </c>
      <c r="C440" s="1" t="str">
        <f>MID(analisis_productividad__4[[#This Row],[Periodo]],1,4)</f>
        <v>2026</v>
      </c>
      <c r="D440" s="1" t="str">
        <f>MID(analisis_productividad__4[[#This Row],[Periodo]],5,2)</f>
        <v>01</v>
      </c>
      <c r="E440" s="1" t="s">
        <v>16</v>
      </c>
      <c r="F440" s="1" t="s">
        <v>17</v>
      </c>
      <c r="G440" s="1">
        <v>104552</v>
      </c>
      <c r="H440" s="1">
        <v>5704413</v>
      </c>
      <c r="I440" s="1">
        <v>54.560295698924726</v>
      </c>
      <c r="J440" s="1">
        <v>108585.22098968561</v>
      </c>
      <c r="K440" s="1">
        <v>64</v>
      </c>
      <c r="L440" s="1">
        <v>67</v>
      </c>
      <c r="M440" s="1">
        <v>56.429371630436094</v>
      </c>
      <c r="N440" s="1">
        <v>6127396</v>
      </c>
    </row>
    <row r="441" spans="1:14" x14ac:dyDescent="0.35">
      <c r="A441" s="1" t="s">
        <v>51</v>
      </c>
      <c r="B441" s="1">
        <v>202401</v>
      </c>
      <c r="C441" s="1" t="str">
        <f>MID(analisis_productividad__4[[#This Row],[Periodo]],1,4)</f>
        <v>2024</v>
      </c>
      <c r="D441" s="1" t="str">
        <f>MID(analisis_productividad__4[[#This Row],[Periodo]],5,2)</f>
        <v>01</v>
      </c>
      <c r="E441" s="1" t="s">
        <v>11</v>
      </c>
      <c r="F441" s="1" t="s">
        <v>52</v>
      </c>
      <c r="G441" s="1">
        <v>104520</v>
      </c>
      <c r="H441" s="1">
        <v>9077716</v>
      </c>
      <c r="I441" s="1">
        <v>86.851418010752695</v>
      </c>
      <c r="J441" s="1">
        <v>0</v>
      </c>
      <c r="K441" s="1">
        <v>117.5</v>
      </c>
      <c r="L441" s="1">
        <v>99</v>
      </c>
      <c r="M441" s="1"/>
      <c r="N441" s="1">
        <v>0</v>
      </c>
    </row>
    <row r="442" spans="1:14" x14ac:dyDescent="0.35">
      <c r="A442" s="1" t="s">
        <v>37</v>
      </c>
      <c r="B442" s="1">
        <v>202403</v>
      </c>
      <c r="C442" s="1" t="str">
        <f>MID(analisis_productividad__4[[#This Row],[Periodo]],1,4)</f>
        <v>2024</v>
      </c>
      <c r="D442" s="1" t="str">
        <f>MID(analisis_productividad__4[[#This Row],[Periodo]],5,2)</f>
        <v>03</v>
      </c>
      <c r="E442" s="1" t="s">
        <v>16</v>
      </c>
      <c r="F442" s="1" t="s">
        <v>17</v>
      </c>
      <c r="G442" s="1">
        <v>104516</v>
      </c>
      <c r="H442" s="1">
        <v>10898452</v>
      </c>
      <c r="I442" s="1">
        <v>104.27534946236558</v>
      </c>
      <c r="J442" s="1">
        <v>0</v>
      </c>
      <c r="K442" s="1">
        <v>107.5</v>
      </c>
      <c r="L442" s="1">
        <v>102.5</v>
      </c>
      <c r="M442" s="1"/>
      <c r="N442" s="1">
        <v>0</v>
      </c>
    </row>
    <row r="443" spans="1:14" x14ac:dyDescent="0.35">
      <c r="A443" s="1" t="s">
        <v>54</v>
      </c>
      <c r="B443" s="1">
        <v>202509</v>
      </c>
      <c r="C443" s="1" t="str">
        <f>MID(analisis_productividad__4[[#This Row],[Periodo]],1,4)</f>
        <v>2025</v>
      </c>
      <c r="D443" s="1" t="str">
        <f>MID(analisis_productividad__4[[#This Row],[Periodo]],5,2)</f>
        <v>09</v>
      </c>
      <c r="E443" s="1" t="s">
        <v>11</v>
      </c>
      <c r="F443" s="1" t="s">
        <v>52</v>
      </c>
      <c r="G443" s="1">
        <v>104493</v>
      </c>
      <c r="H443" s="1">
        <v>7953297</v>
      </c>
      <c r="I443" s="1">
        <v>76.113381944444512</v>
      </c>
      <c r="J443" s="1">
        <v>89214.789273034577</v>
      </c>
      <c r="K443" s="1">
        <v>106</v>
      </c>
      <c r="L443" s="1">
        <v>102.5</v>
      </c>
      <c r="M443" s="1">
        <v>89.147744951339675</v>
      </c>
      <c r="N443" s="1">
        <v>9511064</v>
      </c>
    </row>
    <row r="444" spans="1:14" x14ac:dyDescent="0.35">
      <c r="A444" s="1" t="s">
        <v>43</v>
      </c>
      <c r="B444" s="1">
        <v>202605</v>
      </c>
      <c r="C444" s="1" t="str">
        <f>MID(analisis_productividad__4[[#This Row],[Periodo]],1,4)</f>
        <v>2026</v>
      </c>
      <c r="D444" s="1" t="str">
        <f>MID(analisis_productividad__4[[#This Row],[Periodo]],5,2)</f>
        <v>05</v>
      </c>
      <c r="E444" s="1" t="s">
        <v>11</v>
      </c>
      <c r="F444" s="1" t="s">
        <v>12</v>
      </c>
      <c r="G444" s="1">
        <v>104477</v>
      </c>
      <c r="H444" s="1">
        <v>8049012</v>
      </c>
      <c r="I444" s="1">
        <v>77.040974462365995</v>
      </c>
      <c r="J444" s="1">
        <v>108158.1278988328</v>
      </c>
      <c r="K444" s="1">
        <v>84.5</v>
      </c>
      <c r="L444" s="1">
        <v>86.5</v>
      </c>
      <c r="M444" s="1">
        <v>71.456708642637324</v>
      </c>
      <c r="N444" s="1">
        <v>7728624</v>
      </c>
    </row>
    <row r="445" spans="1:14" x14ac:dyDescent="0.35">
      <c r="A445" s="1" t="s">
        <v>24</v>
      </c>
      <c r="B445" s="1">
        <v>202605</v>
      </c>
      <c r="C445" s="1" t="str">
        <f>MID(analisis_productividad__4[[#This Row],[Periodo]],1,4)</f>
        <v>2026</v>
      </c>
      <c r="D445" s="1" t="str">
        <f>MID(analisis_productividad__4[[#This Row],[Periodo]],5,2)</f>
        <v>05</v>
      </c>
      <c r="E445" s="1" t="s">
        <v>16</v>
      </c>
      <c r="F445" s="1" t="s">
        <v>21</v>
      </c>
      <c r="G445" s="1">
        <v>104467</v>
      </c>
      <c r="H445" s="1">
        <v>10814175</v>
      </c>
      <c r="I445" s="1">
        <v>103.51715725806233</v>
      </c>
      <c r="J445" s="1">
        <v>101566.29016435651</v>
      </c>
      <c r="K445" s="1">
        <v>125</v>
      </c>
      <c r="L445" s="1">
        <v>118.5</v>
      </c>
      <c r="M445" s="1">
        <v>102.97612103755296</v>
      </c>
      <c r="N445" s="1">
        <v>10458903</v>
      </c>
    </row>
    <row r="446" spans="1:14" x14ac:dyDescent="0.35">
      <c r="A446" s="1" t="s">
        <v>30</v>
      </c>
      <c r="B446" s="1">
        <v>202404</v>
      </c>
      <c r="C446" s="1" t="str">
        <f>MID(analisis_productividad__4[[#This Row],[Periodo]],1,4)</f>
        <v>2024</v>
      </c>
      <c r="D446" s="1" t="str">
        <f>MID(analisis_productividad__4[[#This Row],[Periodo]],5,2)</f>
        <v>04</v>
      </c>
      <c r="E446" s="1" t="s">
        <v>16</v>
      </c>
      <c r="F446" s="1" t="s">
        <v>19</v>
      </c>
      <c r="G446" s="1">
        <v>104416</v>
      </c>
      <c r="H446" s="1">
        <v>8472470</v>
      </c>
      <c r="I446" s="1">
        <v>81.141131944444439</v>
      </c>
      <c r="J446" s="1">
        <v>0</v>
      </c>
      <c r="K446" s="1">
        <v>101</v>
      </c>
      <c r="L446" s="1">
        <v>105</v>
      </c>
      <c r="M446" s="1"/>
      <c r="N446" s="1">
        <v>0</v>
      </c>
    </row>
    <row r="447" spans="1:14" x14ac:dyDescent="0.35">
      <c r="A447" s="1" t="s">
        <v>55</v>
      </c>
      <c r="B447" s="1">
        <v>202503</v>
      </c>
      <c r="C447" s="1" t="str">
        <f>MID(analisis_productividad__4[[#This Row],[Periodo]],1,4)</f>
        <v>2025</v>
      </c>
      <c r="D447" s="1" t="str">
        <f>MID(analisis_productividad__4[[#This Row],[Periodo]],5,2)</f>
        <v>03</v>
      </c>
      <c r="E447" s="1" t="s">
        <v>16</v>
      </c>
      <c r="F447" s="1" t="s">
        <v>21</v>
      </c>
      <c r="G447" s="1">
        <v>104398</v>
      </c>
      <c r="H447" s="1">
        <v>5393702</v>
      </c>
      <c r="I447" s="1">
        <v>51.664657258064508</v>
      </c>
      <c r="J447" s="1">
        <v>100722.13644935125</v>
      </c>
      <c r="K447" s="1">
        <v>55</v>
      </c>
      <c r="L447" s="1">
        <v>50.5</v>
      </c>
      <c r="M447" s="1">
        <v>53.550316545482097</v>
      </c>
      <c r="N447" s="1">
        <v>5049256</v>
      </c>
    </row>
    <row r="448" spans="1:14" x14ac:dyDescent="0.35">
      <c r="A448" s="1" t="s">
        <v>55</v>
      </c>
      <c r="B448" s="1">
        <v>202601</v>
      </c>
      <c r="C448" s="1" t="str">
        <f>MID(analisis_productividad__4[[#This Row],[Periodo]],1,4)</f>
        <v>2026</v>
      </c>
      <c r="D448" s="1" t="str">
        <f>MID(analisis_productividad__4[[#This Row],[Periodo]],5,2)</f>
        <v>01</v>
      </c>
      <c r="E448" s="1" t="s">
        <v>16</v>
      </c>
      <c r="F448" s="1" t="s">
        <v>21</v>
      </c>
      <c r="G448" s="1">
        <v>104369</v>
      </c>
      <c r="H448" s="1">
        <v>4842988</v>
      </c>
      <c r="I448" s="1">
        <v>46.402379032258075</v>
      </c>
      <c r="J448" s="1">
        <v>101226.74992885116</v>
      </c>
      <c r="K448" s="1">
        <v>55</v>
      </c>
      <c r="L448" s="1">
        <v>50.5</v>
      </c>
      <c r="M448" s="1">
        <v>48.493991244906027</v>
      </c>
      <c r="N448" s="1">
        <v>4908889</v>
      </c>
    </row>
    <row r="449" spans="1:14" x14ac:dyDescent="0.35">
      <c r="A449" s="1" t="s">
        <v>55</v>
      </c>
      <c r="B449" s="1">
        <v>202401</v>
      </c>
      <c r="C449" s="1" t="str">
        <f>MID(analisis_productividad__4[[#This Row],[Periodo]],1,4)</f>
        <v>2024</v>
      </c>
      <c r="D449" s="1" t="str">
        <f>MID(analisis_productividad__4[[#This Row],[Periodo]],5,2)</f>
        <v>01</v>
      </c>
      <c r="E449" s="1" t="s">
        <v>16</v>
      </c>
      <c r="F449" s="1" t="s">
        <v>21</v>
      </c>
      <c r="G449" s="1">
        <v>104320</v>
      </c>
      <c r="H449" s="1">
        <v>4733448</v>
      </c>
      <c r="I449" s="1">
        <v>45.374112903225821</v>
      </c>
      <c r="J449" s="1">
        <v>0</v>
      </c>
      <c r="K449" s="1">
        <v>55</v>
      </c>
      <c r="L449" s="1">
        <v>50.5</v>
      </c>
      <c r="M449" s="1"/>
      <c r="N449" s="1">
        <v>0</v>
      </c>
    </row>
    <row r="450" spans="1:14" x14ac:dyDescent="0.35">
      <c r="A450" s="1" t="s">
        <v>30</v>
      </c>
      <c r="B450" s="1">
        <v>202411</v>
      </c>
      <c r="C450" s="1" t="str">
        <f>MID(analisis_productividad__4[[#This Row],[Periodo]],1,4)</f>
        <v>2024</v>
      </c>
      <c r="D450" s="1" t="str">
        <f>MID(analisis_productividad__4[[#This Row],[Periodo]],5,2)</f>
        <v>11</v>
      </c>
      <c r="E450" s="1" t="s">
        <v>16</v>
      </c>
      <c r="F450" s="1" t="s">
        <v>19</v>
      </c>
      <c r="G450" s="1">
        <v>104278</v>
      </c>
      <c r="H450" s="1">
        <v>9759954</v>
      </c>
      <c r="I450" s="1">
        <v>93.595395833333413</v>
      </c>
      <c r="J450" s="1">
        <v>0</v>
      </c>
      <c r="K450" s="1">
        <v>101</v>
      </c>
      <c r="L450" s="1">
        <v>105</v>
      </c>
      <c r="M450" s="1"/>
      <c r="N450" s="1">
        <v>0</v>
      </c>
    </row>
    <row r="451" spans="1:14" x14ac:dyDescent="0.35">
      <c r="A451" s="1" t="s">
        <v>20</v>
      </c>
      <c r="B451" s="1">
        <v>202407</v>
      </c>
      <c r="C451" s="1" t="str">
        <f>MID(analisis_productividad__4[[#This Row],[Periodo]],1,4)</f>
        <v>2024</v>
      </c>
      <c r="D451" s="1" t="str">
        <f>MID(analisis_productividad__4[[#This Row],[Periodo]],5,2)</f>
        <v>07</v>
      </c>
      <c r="E451" s="1" t="s">
        <v>16</v>
      </c>
      <c r="F451" s="1" t="s">
        <v>21</v>
      </c>
      <c r="G451" s="1">
        <v>104261</v>
      </c>
      <c r="H451" s="1">
        <v>9242000</v>
      </c>
      <c r="I451" s="1">
        <v>88.642815860215066</v>
      </c>
      <c r="J451" s="1">
        <v>0</v>
      </c>
      <c r="K451" s="1">
        <v>96.5</v>
      </c>
      <c r="L451" s="1">
        <v>94</v>
      </c>
      <c r="M451" s="1"/>
      <c r="N451" s="1">
        <v>0</v>
      </c>
    </row>
    <row r="452" spans="1:14" x14ac:dyDescent="0.35">
      <c r="A452" s="1" t="s">
        <v>23</v>
      </c>
      <c r="B452" s="1">
        <v>202407</v>
      </c>
      <c r="C452" s="1" t="str">
        <f>MID(analisis_productividad__4[[#This Row],[Periodo]],1,4)</f>
        <v>2024</v>
      </c>
      <c r="D452" s="1" t="str">
        <f>MID(analisis_productividad__4[[#This Row],[Periodo]],5,2)</f>
        <v>07</v>
      </c>
      <c r="E452" s="1" t="s">
        <v>11</v>
      </c>
      <c r="F452" s="1" t="s">
        <v>12</v>
      </c>
      <c r="G452" s="1">
        <v>104251</v>
      </c>
      <c r="H452" s="1">
        <v>6433148</v>
      </c>
      <c r="I452" s="1">
        <v>61.70810483870968</v>
      </c>
      <c r="J452" s="1">
        <v>0</v>
      </c>
      <c r="K452" s="1">
        <v>68.5</v>
      </c>
      <c r="L452" s="1">
        <v>66</v>
      </c>
      <c r="M452" s="1"/>
      <c r="N452" s="1">
        <v>0</v>
      </c>
    </row>
    <row r="453" spans="1:14" x14ac:dyDescent="0.35">
      <c r="A453" s="1" t="s">
        <v>10</v>
      </c>
      <c r="B453" s="1">
        <v>202411</v>
      </c>
      <c r="C453" s="1" t="str">
        <f>MID(analisis_productividad__4[[#This Row],[Periodo]],1,4)</f>
        <v>2024</v>
      </c>
      <c r="D453" s="1" t="str">
        <f>MID(analisis_productividad__4[[#This Row],[Periodo]],5,2)</f>
        <v>11</v>
      </c>
      <c r="E453" s="1" t="s">
        <v>11</v>
      </c>
      <c r="F453" s="1" t="s">
        <v>12</v>
      </c>
      <c r="G453" s="1">
        <v>104243</v>
      </c>
      <c r="H453" s="1">
        <v>9797913</v>
      </c>
      <c r="I453" s="1">
        <v>93.990847222222314</v>
      </c>
      <c r="J453" s="1">
        <v>0</v>
      </c>
      <c r="K453" s="1">
        <v>98.5</v>
      </c>
      <c r="L453" s="1">
        <v>96.5</v>
      </c>
      <c r="M453" s="1"/>
      <c r="N453" s="1">
        <v>0</v>
      </c>
    </row>
    <row r="454" spans="1:14" x14ac:dyDescent="0.35">
      <c r="A454" s="1" t="s">
        <v>49</v>
      </c>
      <c r="B454" s="1">
        <v>202407</v>
      </c>
      <c r="C454" s="1" t="str">
        <f>MID(analisis_productividad__4[[#This Row],[Periodo]],1,4)</f>
        <v>2024</v>
      </c>
      <c r="D454" s="1" t="str">
        <f>MID(analisis_productividad__4[[#This Row],[Periodo]],5,2)</f>
        <v>07</v>
      </c>
      <c r="E454" s="1" t="s">
        <v>16</v>
      </c>
      <c r="F454" s="1" t="s">
        <v>21</v>
      </c>
      <c r="G454" s="1">
        <v>104222</v>
      </c>
      <c r="H454" s="1">
        <v>6385224</v>
      </c>
      <c r="I454" s="1">
        <v>61.265665322580645</v>
      </c>
      <c r="J454" s="1">
        <v>0</v>
      </c>
      <c r="K454" s="1">
        <v>75.5</v>
      </c>
      <c r="L454" s="1">
        <v>68</v>
      </c>
      <c r="M454" s="1"/>
      <c r="N454" s="1">
        <v>0</v>
      </c>
    </row>
    <row r="455" spans="1:14" x14ac:dyDescent="0.35">
      <c r="A455" s="1" t="s">
        <v>56</v>
      </c>
      <c r="B455" s="1">
        <v>202408</v>
      </c>
      <c r="C455" s="1" t="str">
        <f>MID(analisis_productividad__4[[#This Row],[Periodo]],1,4)</f>
        <v>2024</v>
      </c>
      <c r="D455" s="1" t="str">
        <f>MID(analisis_productividad__4[[#This Row],[Periodo]],5,2)</f>
        <v>08</v>
      </c>
      <c r="E455" s="1" t="s">
        <v>16</v>
      </c>
      <c r="F455" s="1" t="s">
        <v>21</v>
      </c>
      <c r="G455" s="1">
        <v>104204</v>
      </c>
      <c r="H455" s="1">
        <v>6413887</v>
      </c>
      <c r="I455" s="1">
        <v>61.551404569892469</v>
      </c>
      <c r="J455" s="1">
        <v>0</v>
      </c>
      <c r="K455" s="1">
        <v>72.5</v>
      </c>
      <c r="L455" s="1">
        <v>68.5</v>
      </c>
      <c r="M455" s="1"/>
      <c r="N455" s="1">
        <v>0</v>
      </c>
    </row>
    <row r="456" spans="1:14" x14ac:dyDescent="0.35">
      <c r="A456" s="1" t="s">
        <v>50</v>
      </c>
      <c r="B456" s="1">
        <v>202605</v>
      </c>
      <c r="C456" s="1" t="str">
        <f>MID(analisis_productividad__4[[#This Row],[Periodo]],1,4)</f>
        <v>2026</v>
      </c>
      <c r="D456" s="1" t="str">
        <f>MID(analisis_productividad__4[[#This Row],[Periodo]],5,2)</f>
        <v>05</v>
      </c>
      <c r="E456" s="1" t="s">
        <v>34</v>
      </c>
      <c r="F456" s="1" t="s">
        <v>35</v>
      </c>
      <c r="G456" s="1">
        <v>104197</v>
      </c>
      <c r="H456" s="1">
        <v>6795114</v>
      </c>
      <c r="I456" s="1">
        <v>65.214032258064549</v>
      </c>
      <c r="J456" s="1">
        <v>99696.074872661469</v>
      </c>
      <c r="K456" s="1">
        <v>79.5</v>
      </c>
      <c r="L456" s="1">
        <v>72.5</v>
      </c>
      <c r="M456" s="1">
        <v>64.209802769832038</v>
      </c>
      <c r="N456" s="1">
        <v>6401465</v>
      </c>
    </row>
    <row r="457" spans="1:14" x14ac:dyDescent="0.35">
      <c r="A457" s="1" t="s">
        <v>33</v>
      </c>
      <c r="B457" s="1">
        <v>202412</v>
      </c>
      <c r="C457" s="1" t="str">
        <f>MID(analisis_productividad__4[[#This Row],[Periodo]],1,4)</f>
        <v>2024</v>
      </c>
      <c r="D457" s="1" t="str">
        <f>MID(analisis_productividad__4[[#This Row],[Periodo]],5,2)</f>
        <v>12</v>
      </c>
      <c r="E457" s="1" t="s">
        <v>34</v>
      </c>
      <c r="F457" s="1" t="s">
        <v>35</v>
      </c>
      <c r="G457" s="1">
        <v>104153</v>
      </c>
      <c r="H457" s="1">
        <v>1602803</v>
      </c>
      <c r="I457" s="1">
        <v>15.388944892473123</v>
      </c>
      <c r="J457" s="1">
        <v>0</v>
      </c>
      <c r="K457" s="1">
        <v>15</v>
      </c>
      <c r="L457" s="1">
        <v>15</v>
      </c>
      <c r="M457" s="1"/>
      <c r="N457" s="1">
        <v>0</v>
      </c>
    </row>
    <row r="458" spans="1:14" x14ac:dyDescent="0.35">
      <c r="A458" s="1" t="s">
        <v>63</v>
      </c>
      <c r="B458" s="1">
        <v>202606</v>
      </c>
      <c r="C458" s="1" t="str">
        <f>MID(analisis_productividad__4[[#This Row],[Periodo]],1,4)</f>
        <v>2026</v>
      </c>
      <c r="D458" s="1" t="str">
        <f>MID(analisis_productividad__4[[#This Row],[Periodo]],5,2)</f>
        <v>06</v>
      </c>
      <c r="E458" s="1" t="s">
        <v>16</v>
      </c>
      <c r="F458" s="1" t="s">
        <v>17</v>
      </c>
      <c r="G458" s="1">
        <v>104113</v>
      </c>
      <c r="H458" s="1">
        <v>6863597</v>
      </c>
      <c r="I458" s="1">
        <v>65.92463888888939</v>
      </c>
      <c r="J458" s="1">
        <v>89439.852208567827</v>
      </c>
      <c r="K458" s="1">
        <v>86.5</v>
      </c>
      <c r="L458" s="1">
        <v>81.5</v>
      </c>
      <c r="M458" s="1">
        <v>76.26782259426129</v>
      </c>
      <c r="N458" s="1">
        <v>6821383</v>
      </c>
    </row>
    <row r="459" spans="1:14" x14ac:dyDescent="0.35">
      <c r="A459" s="1" t="s">
        <v>31</v>
      </c>
      <c r="B459" s="1">
        <v>202601</v>
      </c>
      <c r="C459" s="1" t="str">
        <f>MID(analisis_productividad__4[[#This Row],[Periodo]],1,4)</f>
        <v>2026</v>
      </c>
      <c r="D459" s="1" t="str">
        <f>MID(analisis_productividad__4[[#This Row],[Periodo]],5,2)</f>
        <v>01</v>
      </c>
      <c r="E459" s="1" t="s">
        <v>11</v>
      </c>
      <c r="F459" s="1" t="s">
        <v>14</v>
      </c>
      <c r="G459" s="1">
        <v>104072</v>
      </c>
      <c r="H459" s="1">
        <v>8408861</v>
      </c>
      <c r="I459" s="1">
        <v>80.798487903225833</v>
      </c>
      <c r="J459" s="1">
        <v>111207.44818367474</v>
      </c>
      <c r="K459" s="1">
        <v>101.5</v>
      </c>
      <c r="L459" s="1">
        <v>97.5</v>
      </c>
      <c r="M459" s="1">
        <v>87.689184144336366</v>
      </c>
      <c r="N459" s="1">
        <v>9751690</v>
      </c>
    </row>
    <row r="460" spans="1:14" x14ac:dyDescent="0.35">
      <c r="A460" s="1" t="s">
        <v>47</v>
      </c>
      <c r="B460" s="1">
        <v>202603</v>
      </c>
      <c r="C460" s="1" t="str">
        <f>MID(analisis_productividad__4[[#This Row],[Periodo]],1,4)</f>
        <v>2026</v>
      </c>
      <c r="D460" s="1" t="str">
        <f>MID(analisis_productividad__4[[#This Row],[Periodo]],5,2)</f>
        <v>03</v>
      </c>
      <c r="E460" s="1" t="s">
        <v>11</v>
      </c>
      <c r="F460" s="1" t="s">
        <v>14</v>
      </c>
      <c r="G460" s="1">
        <v>104067</v>
      </c>
      <c r="H460" s="1">
        <v>5004846</v>
      </c>
      <c r="I460" s="1">
        <v>48.092634408602144</v>
      </c>
      <c r="J460" s="1">
        <v>96521.80478597185</v>
      </c>
      <c r="K460" s="1">
        <v>61.5</v>
      </c>
      <c r="L460" s="1">
        <v>48.5</v>
      </c>
      <c r="M460" s="1">
        <v>53.715920394326645</v>
      </c>
      <c r="N460" s="1">
        <v>5184758</v>
      </c>
    </row>
    <row r="461" spans="1:14" x14ac:dyDescent="0.35">
      <c r="A461" s="1" t="s">
        <v>20</v>
      </c>
      <c r="B461" s="1">
        <v>202606</v>
      </c>
      <c r="C461" s="1" t="str">
        <f>MID(analisis_productividad__4[[#This Row],[Periodo]],1,4)</f>
        <v>2026</v>
      </c>
      <c r="D461" s="1" t="str">
        <f>MID(analisis_productividad__4[[#This Row],[Periodo]],5,2)</f>
        <v>06</v>
      </c>
      <c r="E461" s="1" t="s">
        <v>16</v>
      </c>
      <c r="F461" s="1" t="s">
        <v>21</v>
      </c>
      <c r="G461" s="1">
        <v>104027</v>
      </c>
      <c r="H461" s="1">
        <v>8215276</v>
      </c>
      <c r="I461" s="1">
        <v>78.972444444447063</v>
      </c>
      <c r="J461" s="1">
        <v>95403.114340816173</v>
      </c>
      <c r="K461" s="1">
        <v>96.5</v>
      </c>
      <c r="L461" s="1">
        <v>94</v>
      </c>
      <c r="M461" s="1">
        <v>87.753564014610347</v>
      </c>
      <c r="N461" s="1">
        <v>8371963</v>
      </c>
    </row>
    <row r="462" spans="1:14" x14ac:dyDescent="0.35">
      <c r="A462" s="1" t="s">
        <v>43</v>
      </c>
      <c r="B462" s="1">
        <v>202602</v>
      </c>
      <c r="C462" s="1" t="str">
        <f>MID(analisis_productividad__4[[#This Row],[Periodo]],1,4)</f>
        <v>2026</v>
      </c>
      <c r="D462" s="1" t="str">
        <f>MID(analisis_productividad__4[[#This Row],[Periodo]],5,2)</f>
        <v>02</v>
      </c>
      <c r="E462" s="1" t="s">
        <v>11</v>
      </c>
      <c r="F462" s="1" t="s">
        <v>12</v>
      </c>
      <c r="G462" s="1">
        <v>103990</v>
      </c>
      <c r="H462" s="1">
        <v>7142513</v>
      </c>
      <c r="I462" s="1">
        <v>68.684635416666652</v>
      </c>
      <c r="J462" s="1">
        <v>83669.807985426058</v>
      </c>
      <c r="K462" s="1">
        <v>84.5</v>
      </c>
      <c r="L462" s="1">
        <v>86.5</v>
      </c>
      <c r="M462" s="1">
        <v>71.456708642637324</v>
      </c>
      <c r="N462" s="1">
        <v>5978769</v>
      </c>
    </row>
    <row r="463" spans="1:14" x14ac:dyDescent="0.35">
      <c r="A463" s="1" t="s">
        <v>37</v>
      </c>
      <c r="B463" s="1">
        <v>202510</v>
      </c>
      <c r="C463" s="1" t="str">
        <f>MID(analisis_productividad__4[[#This Row],[Periodo]],1,4)</f>
        <v>2025</v>
      </c>
      <c r="D463" s="1" t="str">
        <f>MID(analisis_productividad__4[[#This Row],[Periodo]],5,2)</f>
        <v>10</v>
      </c>
      <c r="E463" s="1" t="s">
        <v>16</v>
      </c>
      <c r="F463" s="1" t="s">
        <v>17</v>
      </c>
      <c r="G463" s="1">
        <v>103983</v>
      </c>
      <c r="H463" s="1">
        <v>9119866</v>
      </c>
      <c r="I463" s="1">
        <v>87.705436827956973</v>
      </c>
      <c r="J463" s="1">
        <v>99384.678444291756</v>
      </c>
      <c r="K463" s="1">
        <v>107.5</v>
      </c>
      <c r="L463" s="1">
        <v>102.5</v>
      </c>
      <c r="M463" s="1">
        <v>91.763296946339452</v>
      </c>
      <c r="N463" s="1">
        <v>10093394</v>
      </c>
    </row>
    <row r="464" spans="1:14" x14ac:dyDescent="0.35">
      <c r="A464" s="1" t="s">
        <v>42</v>
      </c>
      <c r="B464" s="1">
        <v>202604</v>
      </c>
      <c r="C464" s="1" t="str">
        <f>MID(analisis_productividad__4[[#This Row],[Periodo]],1,4)</f>
        <v>2026</v>
      </c>
      <c r="D464" s="1" t="str">
        <f>MID(analisis_productividad__4[[#This Row],[Periodo]],5,2)</f>
        <v>04</v>
      </c>
      <c r="E464" s="1" t="s">
        <v>16</v>
      </c>
      <c r="F464" s="1" t="s">
        <v>19</v>
      </c>
      <c r="G464" s="1">
        <v>103979</v>
      </c>
      <c r="H464" s="1">
        <v>5259503</v>
      </c>
      <c r="I464" s="1">
        <v>50.582534722221894</v>
      </c>
      <c r="J464" s="1">
        <v>91060.884787971576</v>
      </c>
      <c r="K464" s="1">
        <v>62</v>
      </c>
      <c r="L464" s="1">
        <v>58</v>
      </c>
      <c r="M464" s="1">
        <v>54.66595376698497</v>
      </c>
      <c r="N464" s="1">
        <v>4977930</v>
      </c>
    </row>
    <row r="465" spans="1:14" x14ac:dyDescent="0.35">
      <c r="A465" s="1" t="s">
        <v>29</v>
      </c>
      <c r="B465" s="1">
        <v>202509</v>
      </c>
      <c r="C465" s="1" t="str">
        <f>MID(analisis_productividad__4[[#This Row],[Periodo]],1,4)</f>
        <v>2025</v>
      </c>
      <c r="D465" s="1" t="str">
        <f>MID(analisis_productividad__4[[#This Row],[Periodo]],5,2)</f>
        <v>09</v>
      </c>
      <c r="E465" s="1" t="s">
        <v>16</v>
      </c>
      <c r="F465" s="1" t="s">
        <v>19</v>
      </c>
      <c r="G465" s="1">
        <v>103970</v>
      </c>
      <c r="H465" s="1">
        <v>8419613</v>
      </c>
      <c r="I465" s="1">
        <v>80.981493055555603</v>
      </c>
      <c r="J465" s="1">
        <v>107285.70031447147</v>
      </c>
      <c r="K465" s="1">
        <v>96.5</v>
      </c>
      <c r="L465" s="1">
        <v>96</v>
      </c>
      <c r="M465" s="1">
        <v>78.478427556708624</v>
      </c>
      <c r="N465" s="1">
        <v>8498994</v>
      </c>
    </row>
    <row r="466" spans="1:14" x14ac:dyDescent="0.35">
      <c r="A466" s="1" t="s">
        <v>42</v>
      </c>
      <c r="B466" s="1">
        <v>202511</v>
      </c>
      <c r="C466" s="1" t="str">
        <f>MID(analisis_productividad__4[[#This Row],[Periodo]],1,4)</f>
        <v>2025</v>
      </c>
      <c r="D466" s="1" t="str">
        <f>MID(analisis_productividad__4[[#This Row],[Periodo]],5,2)</f>
        <v>11</v>
      </c>
      <c r="E466" s="1" t="s">
        <v>16</v>
      </c>
      <c r="F466" s="1" t="s">
        <v>19</v>
      </c>
      <c r="G466" s="1">
        <v>103893</v>
      </c>
      <c r="H466" s="1">
        <v>5197912</v>
      </c>
      <c r="I466" s="1">
        <v>50.031236111111141</v>
      </c>
      <c r="J466" s="1">
        <v>81786.931125730131</v>
      </c>
      <c r="K466" s="1">
        <v>62</v>
      </c>
      <c r="L466" s="1">
        <v>58</v>
      </c>
      <c r="M466" s="1">
        <v>63.554305173882966</v>
      </c>
      <c r="N466" s="1">
        <v>4632150</v>
      </c>
    </row>
    <row r="467" spans="1:14" x14ac:dyDescent="0.35">
      <c r="A467" s="1" t="s">
        <v>25</v>
      </c>
      <c r="B467" s="1">
        <v>202601</v>
      </c>
      <c r="C467" s="1" t="str">
        <f>MID(analisis_productividad__4[[#This Row],[Periodo]],1,4)</f>
        <v>2026</v>
      </c>
      <c r="D467" s="1" t="str">
        <f>MID(analisis_productividad__4[[#This Row],[Periodo]],5,2)</f>
        <v>01</v>
      </c>
      <c r="E467" s="1" t="s">
        <v>16</v>
      </c>
      <c r="F467" s="1" t="s">
        <v>19</v>
      </c>
      <c r="G467" s="1">
        <v>103868</v>
      </c>
      <c r="H467" s="1">
        <v>8907904</v>
      </c>
      <c r="I467" s="1">
        <v>85.761525537634427</v>
      </c>
      <c r="J467" s="1">
        <v>104111.13288388449</v>
      </c>
      <c r="K467" s="1">
        <v>94</v>
      </c>
      <c r="L467" s="1">
        <v>92</v>
      </c>
      <c r="M467" s="1">
        <v>81.933174564661712</v>
      </c>
      <c r="N467" s="1">
        <v>8530156</v>
      </c>
    </row>
    <row r="468" spans="1:14" x14ac:dyDescent="0.35">
      <c r="A468" s="1" t="s">
        <v>50</v>
      </c>
      <c r="B468" s="1">
        <v>202503</v>
      </c>
      <c r="C468" s="1" t="str">
        <f>MID(analisis_productividad__4[[#This Row],[Periodo]],1,4)</f>
        <v>2025</v>
      </c>
      <c r="D468" s="1" t="str">
        <f>MID(analisis_productividad__4[[#This Row],[Periodo]],5,2)</f>
        <v>03</v>
      </c>
      <c r="E468" s="1" t="s">
        <v>34</v>
      </c>
      <c r="F468" s="1" t="s">
        <v>35</v>
      </c>
      <c r="G468" s="1">
        <v>103843</v>
      </c>
      <c r="H468" s="1">
        <v>6146098</v>
      </c>
      <c r="I468" s="1">
        <v>59.186317204301069</v>
      </c>
      <c r="J468" s="1">
        <v>104169.13278526044</v>
      </c>
      <c r="K468" s="1">
        <v>79.5</v>
      </c>
      <c r="L468" s="1">
        <v>72.5</v>
      </c>
      <c r="M468" s="1">
        <v>59.001139835443198</v>
      </c>
      <c r="N468" s="1">
        <v>6731883</v>
      </c>
    </row>
    <row r="469" spans="1:14" x14ac:dyDescent="0.35">
      <c r="A469" s="1" t="s">
        <v>131</v>
      </c>
      <c r="B469" s="1">
        <v>202405</v>
      </c>
      <c r="C469" s="1" t="str">
        <f>MID(analisis_productividad__4[[#This Row],[Periodo]],1,4)</f>
        <v>2024</v>
      </c>
      <c r="D469" s="1" t="str">
        <f>MID(analisis_productividad__4[[#This Row],[Periodo]],5,2)</f>
        <v>05</v>
      </c>
      <c r="E469" s="1" t="s">
        <v>16</v>
      </c>
      <c r="F469" s="1" t="s">
        <v>21</v>
      </c>
      <c r="G469" s="1">
        <v>103839</v>
      </c>
      <c r="H469" s="1">
        <v>11484835</v>
      </c>
      <c r="I469" s="1">
        <v>110.60258736559145</v>
      </c>
      <c r="J469" s="1">
        <v>0</v>
      </c>
      <c r="K469" s="1">
        <v>99</v>
      </c>
      <c r="L469" s="1">
        <v>32.5</v>
      </c>
      <c r="M469" s="1"/>
      <c r="N469" s="1">
        <v>0</v>
      </c>
    </row>
    <row r="470" spans="1:14" x14ac:dyDescent="0.35">
      <c r="A470" s="1" t="s">
        <v>28</v>
      </c>
      <c r="B470" s="1">
        <v>202507</v>
      </c>
      <c r="C470" s="1" t="str">
        <f>MID(analisis_productividad__4[[#This Row],[Periodo]],1,4)</f>
        <v>2025</v>
      </c>
      <c r="D470" s="1" t="str">
        <f>MID(analisis_productividad__4[[#This Row],[Periodo]],5,2)</f>
        <v>07</v>
      </c>
      <c r="E470" s="1" t="s">
        <v>16</v>
      </c>
      <c r="F470" s="1" t="s">
        <v>17</v>
      </c>
      <c r="G470" s="1">
        <v>103815</v>
      </c>
      <c r="H470" s="1">
        <v>5811456</v>
      </c>
      <c r="I470" s="1">
        <v>55.978783602150536</v>
      </c>
      <c r="J470" s="1">
        <v>106679.43654334055</v>
      </c>
      <c r="K470" s="1">
        <v>64</v>
      </c>
      <c r="L470" s="1">
        <v>67</v>
      </c>
      <c r="M470" s="1">
        <v>54.47587406068633</v>
      </c>
      <c r="N470" s="1">
        <v>5992597</v>
      </c>
    </row>
    <row r="471" spans="1:14" x14ac:dyDescent="0.35">
      <c r="A471" s="1" t="s">
        <v>32</v>
      </c>
      <c r="B471" s="1">
        <v>202604</v>
      </c>
      <c r="C471" s="1" t="str">
        <f>MID(analisis_productividad__4[[#This Row],[Periodo]],1,4)</f>
        <v>2026</v>
      </c>
      <c r="D471" s="1" t="str">
        <f>MID(analisis_productividad__4[[#This Row],[Periodo]],5,2)</f>
        <v>04</v>
      </c>
      <c r="E471" s="1" t="s">
        <v>11</v>
      </c>
      <c r="F471" s="1" t="s">
        <v>12</v>
      </c>
      <c r="G471" s="1">
        <v>103783</v>
      </c>
      <c r="H471" s="1">
        <v>5786403</v>
      </c>
      <c r="I471" s="1">
        <v>55.754708333333504</v>
      </c>
      <c r="J471" s="1">
        <v>101888.58144040281</v>
      </c>
      <c r="K471" s="1">
        <v>65.5</v>
      </c>
      <c r="L471" s="1">
        <v>66</v>
      </c>
      <c r="M471" s="1">
        <v>55.812340478272937</v>
      </c>
      <c r="N471" s="1">
        <v>5686640</v>
      </c>
    </row>
    <row r="472" spans="1:14" x14ac:dyDescent="0.35">
      <c r="A472" s="1" t="s">
        <v>61</v>
      </c>
      <c r="B472" s="1">
        <v>202507</v>
      </c>
      <c r="C472" s="1" t="str">
        <f>MID(analisis_productividad__4[[#This Row],[Periodo]],1,4)</f>
        <v>2025</v>
      </c>
      <c r="D472" s="1" t="str">
        <f>MID(analisis_productividad__4[[#This Row],[Periodo]],5,2)</f>
        <v>07</v>
      </c>
      <c r="E472" s="1" t="s">
        <v>11</v>
      </c>
      <c r="F472" s="1" t="s">
        <v>52</v>
      </c>
      <c r="G472" s="1">
        <v>103778</v>
      </c>
      <c r="H472" s="1">
        <v>8574597</v>
      </c>
      <c r="I472" s="1">
        <v>82.624133064516158</v>
      </c>
      <c r="J472" s="1">
        <v>97893.277584257157</v>
      </c>
      <c r="K472" s="1">
        <v>104.5</v>
      </c>
      <c r="L472" s="1">
        <v>99</v>
      </c>
      <c r="M472" s="1">
        <v>87.591274514430324</v>
      </c>
      <c r="N472" s="1">
        <v>9216670</v>
      </c>
    </row>
    <row r="473" spans="1:14" x14ac:dyDescent="0.35">
      <c r="A473" s="1" t="s">
        <v>31</v>
      </c>
      <c r="B473" s="1">
        <v>202509</v>
      </c>
      <c r="C473" s="1" t="str">
        <f>MID(analisis_productividad__4[[#This Row],[Periodo]],1,4)</f>
        <v>2025</v>
      </c>
      <c r="D473" s="1" t="str">
        <f>MID(analisis_productividad__4[[#This Row],[Periodo]],5,2)</f>
        <v>09</v>
      </c>
      <c r="E473" s="1" t="s">
        <v>11</v>
      </c>
      <c r="F473" s="1" t="s">
        <v>14</v>
      </c>
      <c r="G473" s="1">
        <v>103778</v>
      </c>
      <c r="H473" s="1">
        <v>7888987</v>
      </c>
      <c r="I473" s="1">
        <v>76.017958333333439</v>
      </c>
      <c r="J473" s="1">
        <v>109783.95235610599</v>
      </c>
      <c r="K473" s="1">
        <v>101.5</v>
      </c>
      <c r="L473" s="1">
        <v>97.5</v>
      </c>
      <c r="M473" s="1">
        <v>71.859197821649829</v>
      </c>
      <c r="N473" s="1">
        <v>9239548</v>
      </c>
    </row>
    <row r="474" spans="1:14" x14ac:dyDescent="0.35">
      <c r="A474" s="1" t="s">
        <v>43</v>
      </c>
      <c r="B474" s="1">
        <v>202604</v>
      </c>
      <c r="C474" s="1" t="str">
        <f>MID(analisis_productividad__4[[#This Row],[Periodo]],1,4)</f>
        <v>2026</v>
      </c>
      <c r="D474" s="1" t="str">
        <f>MID(analisis_productividad__4[[#This Row],[Periodo]],5,2)</f>
        <v>04</v>
      </c>
      <c r="E474" s="1" t="s">
        <v>11</v>
      </c>
      <c r="F474" s="1" t="s">
        <v>12</v>
      </c>
      <c r="G474" s="1">
        <v>103768</v>
      </c>
      <c r="H474" s="1">
        <v>7449348</v>
      </c>
      <c r="I474" s="1">
        <v>71.788694444446747</v>
      </c>
      <c r="J474" s="1">
        <v>98747.294437931603</v>
      </c>
      <c r="K474" s="1">
        <v>84.5</v>
      </c>
      <c r="L474" s="1">
        <v>86.5</v>
      </c>
      <c r="M474" s="1">
        <v>71.456708642637324</v>
      </c>
      <c r="N474" s="1">
        <v>7056157</v>
      </c>
    </row>
    <row r="475" spans="1:14" x14ac:dyDescent="0.35">
      <c r="A475" s="1" t="s">
        <v>31</v>
      </c>
      <c r="B475" s="1">
        <v>202606</v>
      </c>
      <c r="C475" s="1" t="str">
        <f>MID(analisis_productividad__4[[#This Row],[Periodo]],1,4)</f>
        <v>2026</v>
      </c>
      <c r="D475" s="1" t="str">
        <f>MID(analisis_productividad__4[[#This Row],[Periodo]],5,2)</f>
        <v>06</v>
      </c>
      <c r="E475" s="1" t="s">
        <v>11</v>
      </c>
      <c r="F475" s="1" t="s">
        <v>14</v>
      </c>
      <c r="G475" s="1">
        <v>103752</v>
      </c>
      <c r="H475" s="1">
        <v>8676751</v>
      </c>
      <c r="I475" s="1">
        <v>83.629631944446245</v>
      </c>
      <c r="J475" s="1">
        <v>97941.746068288689</v>
      </c>
      <c r="K475" s="1">
        <v>101.5</v>
      </c>
      <c r="L475" s="1">
        <v>97.5</v>
      </c>
      <c r="M475" s="1">
        <v>87.689184144336366</v>
      </c>
      <c r="N475" s="1">
        <v>8588432</v>
      </c>
    </row>
    <row r="476" spans="1:14" x14ac:dyDescent="0.35">
      <c r="A476" s="1" t="s">
        <v>10</v>
      </c>
      <c r="B476" s="1">
        <v>202410</v>
      </c>
      <c r="C476" s="1" t="str">
        <f>MID(analisis_productividad__4[[#This Row],[Periodo]],1,4)</f>
        <v>2024</v>
      </c>
      <c r="D476" s="1" t="str">
        <f>MID(analisis_productividad__4[[#This Row],[Periodo]],5,2)</f>
        <v>10</v>
      </c>
      <c r="E476" s="1" t="s">
        <v>11</v>
      </c>
      <c r="F476" s="1" t="s">
        <v>12</v>
      </c>
      <c r="G476" s="1">
        <v>103750</v>
      </c>
      <c r="H476" s="1">
        <v>9074197</v>
      </c>
      <c r="I476" s="1">
        <v>87.462553763440852</v>
      </c>
      <c r="J476" s="1">
        <v>0</v>
      </c>
      <c r="K476" s="1">
        <v>98.5</v>
      </c>
      <c r="L476" s="1">
        <v>96.5</v>
      </c>
      <c r="M476" s="1"/>
      <c r="N476" s="1">
        <v>0</v>
      </c>
    </row>
    <row r="477" spans="1:14" x14ac:dyDescent="0.35">
      <c r="A477" s="1" t="s">
        <v>84</v>
      </c>
      <c r="B477" s="1">
        <v>202512</v>
      </c>
      <c r="C477" s="1" t="str">
        <f>MID(analisis_productividad__4[[#This Row],[Periodo]],1,4)</f>
        <v>2025</v>
      </c>
      <c r="D477" s="1" t="str">
        <f>MID(analisis_productividad__4[[#This Row],[Periodo]],5,2)</f>
        <v>12</v>
      </c>
      <c r="E477" s="1" t="s">
        <v>11</v>
      </c>
      <c r="F477" s="1" t="s">
        <v>52</v>
      </c>
      <c r="G477" s="1">
        <v>103735</v>
      </c>
      <c r="H477" s="1">
        <v>12064039</v>
      </c>
      <c r="I477" s="1">
        <v>116.29709677419346</v>
      </c>
      <c r="J477" s="1">
        <v>108798.93202368998</v>
      </c>
      <c r="K477" s="1">
        <v>123</v>
      </c>
      <c r="L477" s="1">
        <v>115.5</v>
      </c>
      <c r="M477" s="1">
        <v>110.88380194185328</v>
      </c>
      <c r="N477" s="1">
        <v>13591580</v>
      </c>
    </row>
    <row r="478" spans="1:14" x14ac:dyDescent="0.35">
      <c r="A478" s="1" t="s">
        <v>94</v>
      </c>
      <c r="B478" s="1">
        <v>202512</v>
      </c>
      <c r="C478" s="1" t="str">
        <f>MID(analisis_productividad__4[[#This Row],[Periodo]],1,4)</f>
        <v>2025</v>
      </c>
      <c r="D478" s="1" t="str">
        <f>MID(analisis_productividad__4[[#This Row],[Periodo]],5,2)</f>
        <v>12</v>
      </c>
      <c r="E478" s="1" t="s">
        <v>11</v>
      </c>
      <c r="F478" s="1" t="s">
        <v>52</v>
      </c>
      <c r="G478" s="1">
        <v>103723</v>
      </c>
      <c r="H478" s="1">
        <v>7356985</v>
      </c>
      <c r="I478" s="1">
        <v>70.928864247311793</v>
      </c>
      <c r="J478" s="1">
        <v>101230.36323971218</v>
      </c>
      <c r="K478" s="1">
        <v>75.5</v>
      </c>
      <c r="L478" s="1">
        <v>70.5</v>
      </c>
      <c r="M478" s="1">
        <v>72.675675899519931</v>
      </c>
      <c r="N478" s="1">
        <v>8197903</v>
      </c>
    </row>
    <row r="479" spans="1:14" x14ac:dyDescent="0.35">
      <c r="A479" s="1" t="s">
        <v>47</v>
      </c>
      <c r="B479" s="1">
        <v>202604</v>
      </c>
      <c r="C479" s="1" t="str">
        <f>MID(analisis_productividad__4[[#This Row],[Periodo]],1,4)</f>
        <v>2026</v>
      </c>
      <c r="D479" s="1" t="str">
        <f>MID(analisis_productividad__4[[#This Row],[Periodo]],5,2)</f>
        <v>04</v>
      </c>
      <c r="E479" s="1" t="s">
        <v>11</v>
      </c>
      <c r="F479" s="1" t="s">
        <v>14</v>
      </c>
      <c r="G479" s="1">
        <v>103649</v>
      </c>
      <c r="H479" s="1">
        <v>4339266</v>
      </c>
      <c r="I479" s="1">
        <v>41.865201388888956</v>
      </c>
      <c r="J479" s="1">
        <v>82142.351779678778</v>
      </c>
      <c r="K479" s="1">
        <v>61.5</v>
      </c>
      <c r="L479" s="1">
        <v>48.5</v>
      </c>
      <c r="M479" s="1">
        <v>53.715920394326645</v>
      </c>
      <c r="N479" s="1">
        <v>4412352</v>
      </c>
    </row>
    <row r="480" spans="1:14" x14ac:dyDescent="0.35">
      <c r="A480" s="1" t="s">
        <v>28</v>
      </c>
      <c r="B480" s="1">
        <v>202504</v>
      </c>
      <c r="C480" s="1" t="str">
        <f>MID(analisis_productividad__4[[#This Row],[Periodo]],1,4)</f>
        <v>2025</v>
      </c>
      <c r="D480" s="1" t="str">
        <f>MID(analisis_productividad__4[[#This Row],[Periodo]],5,2)</f>
        <v>04</v>
      </c>
      <c r="E480" s="1" t="s">
        <v>16</v>
      </c>
      <c r="F480" s="1" t="s">
        <v>17</v>
      </c>
      <c r="G480" s="1">
        <v>103643</v>
      </c>
      <c r="H480" s="1">
        <v>5696436</v>
      </c>
      <c r="I480" s="1">
        <v>54.961909722222224</v>
      </c>
      <c r="J480" s="1">
        <v>100031.36786322236</v>
      </c>
      <c r="K480" s="1">
        <v>64</v>
      </c>
      <c r="L480" s="1">
        <v>67</v>
      </c>
      <c r="M480" s="1">
        <v>56.946501399331147</v>
      </c>
      <c r="N480" s="1">
        <v>5896757</v>
      </c>
    </row>
    <row r="481" spans="1:14" x14ac:dyDescent="0.35">
      <c r="A481" s="1" t="s">
        <v>22</v>
      </c>
      <c r="B481" s="1">
        <v>202601</v>
      </c>
      <c r="C481" s="1" t="str">
        <f>MID(analisis_productividad__4[[#This Row],[Periodo]],1,4)</f>
        <v>2026</v>
      </c>
      <c r="D481" s="1" t="str">
        <f>MID(analisis_productividad__4[[#This Row],[Periodo]],5,2)</f>
        <v>01</v>
      </c>
      <c r="E481" s="1" t="s">
        <v>16</v>
      </c>
      <c r="F481" s="1" t="s">
        <v>21</v>
      </c>
      <c r="G481" s="1">
        <v>103626</v>
      </c>
      <c r="H481" s="1">
        <v>5335932</v>
      </c>
      <c r="I481" s="1">
        <v>51.49215053763443</v>
      </c>
      <c r="J481" s="1">
        <v>97349.23859155555</v>
      </c>
      <c r="K481" s="1">
        <v>59.5</v>
      </c>
      <c r="L481" s="1">
        <v>55.5</v>
      </c>
      <c r="M481" s="1">
        <v>53.278949580299148</v>
      </c>
      <c r="N481" s="1">
        <v>5186665</v>
      </c>
    </row>
    <row r="482" spans="1:14" x14ac:dyDescent="0.35">
      <c r="A482" s="1" t="s">
        <v>57</v>
      </c>
      <c r="B482" s="1">
        <v>202403</v>
      </c>
      <c r="C482" s="1" t="str">
        <f>MID(analisis_productividad__4[[#This Row],[Periodo]],1,4)</f>
        <v>2024</v>
      </c>
      <c r="D482" s="1" t="str">
        <f>MID(analisis_productividad__4[[#This Row],[Periodo]],5,2)</f>
        <v>03</v>
      </c>
      <c r="E482" s="1" t="s">
        <v>16</v>
      </c>
      <c r="F482" s="1" t="s">
        <v>19</v>
      </c>
      <c r="G482" s="1">
        <v>103624</v>
      </c>
      <c r="H482" s="1">
        <v>7254425</v>
      </c>
      <c r="I482" s="1">
        <v>70.007056451612883</v>
      </c>
      <c r="J482" s="1">
        <v>0</v>
      </c>
      <c r="K482" s="1">
        <v>71</v>
      </c>
      <c r="L482" s="1">
        <v>74.5</v>
      </c>
      <c r="M482" s="1"/>
      <c r="N482" s="1">
        <v>0</v>
      </c>
    </row>
    <row r="483" spans="1:14" x14ac:dyDescent="0.35">
      <c r="A483" s="1" t="s">
        <v>84</v>
      </c>
      <c r="B483" s="1">
        <v>202412</v>
      </c>
      <c r="C483" s="1" t="str">
        <f>MID(analisis_productividad__4[[#This Row],[Periodo]],1,4)</f>
        <v>2024</v>
      </c>
      <c r="D483" s="1" t="str">
        <f>MID(analisis_productividad__4[[#This Row],[Periodo]],5,2)</f>
        <v>12</v>
      </c>
      <c r="E483" s="1" t="s">
        <v>11</v>
      </c>
      <c r="F483" s="1" t="s">
        <v>52</v>
      </c>
      <c r="G483" s="1">
        <v>103618</v>
      </c>
      <c r="H483" s="1">
        <v>12445404</v>
      </c>
      <c r="I483" s="1">
        <v>120.10847446236545</v>
      </c>
      <c r="J483" s="1">
        <v>0</v>
      </c>
      <c r="K483" s="1">
        <v>123</v>
      </c>
      <c r="L483" s="1">
        <v>115.5</v>
      </c>
      <c r="M483" s="1"/>
      <c r="N483" s="1">
        <v>0</v>
      </c>
    </row>
    <row r="484" spans="1:14" x14ac:dyDescent="0.35">
      <c r="A484" s="1" t="s">
        <v>64</v>
      </c>
      <c r="B484" s="1">
        <v>202603</v>
      </c>
      <c r="C484" s="1" t="str">
        <f>MID(analisis_productividad__4[[#This Row],[Periodo]],1,4)</f>
        <v>2026</v>
      </c>
      <c r="D484" s="1" t="str">
        <f>MID(analisis_productividad__4[[#This Row],[Periodo]],5,2)</f>
        <v>03</v>
      </c>
      <c r="E484" s="1" t="s">
        <v>16</v>
      </c>
      <c r="F484" s="1" t="s">
        <v>21</v>
      </c>
      <c r="G484" s="1">
        <v>103607</v>
      </c>
      <c r="H484" s="1">
        <v>11748511</v>
      </c>
      <c r="I484" s="1">
        <v>113.39538978494626</v>
      </c>
      <c r="J484" s="1">
        <v>105455.03454863922</v>
      </c>
      <c r="K484" s="1">
        <v>88.5</v>
      </c>
      <c r="L484" s="1">
        <v>92.5</v>
      </c>
      <c r="M484" s="1">
        <v>102.97612103755296</v>
      </c>
      <c r="N484" s="1">
        <v>10859350</v>
      </c>
    </row>
    <row r="485" spans="1:14" x14ac:dyDescent="0.35">
      <c r="A485" s="1" t="s">
        <v>68</v>
      </c>
      <c r="B485" s="1">
        <v>202512</v>
      </c>
      <c r="C485" s="1" t="str">
        <f>MID(analisis_productividad__4[[#This Row],[Periodo]],1,4)</f>
        <v>2025</v>
      </c>
      <c r="D485" s="1" t="str">
        <f>MID(analisis_productividad__4[[#This Row],[Periodo]],5,2)</f>
        <v>12</v>
      </c>
      <c r="E485" s="1" t="s">
        <v>11</v>
      </c>
      <c r="F485" s="1" t="s">
        <v>52</v>
      </c>
      <c r="G485" s="1">
        <v>103503</v>
      </c>
      <c r="H485" s="1">
        <v>10109540</v>
      </c>
      <c r="I485" s="1">
        <v>97.673803763440773</v>
      </c>
      <c r="J485" s="1">
        <v>108346.24989095044</v>
      </c>
      <c r="K485" s="1">
        <v>103</v>
      </c>
      <c r="L485" s="1">
        <v>91</v>
      </c>
      <c r="M485" s="1">
        <v>93.30770442147427</v>
      </c>
      <c r="N485" s="1">
        <v>11801559</v>
      </c>
    </row>
    <row r="486" spans="1:14" x14ac:dyDescent="0.35">
      <c r="A486" s="1" t="s">
        <v>64</v>
      </c>
      <c r="B486" s="1">
        <v>202412</v>
      </c>
      <c r="C486" s="1" t="str">
        <f>MID(analisis_productividad__4[[#This Row],[Periodo]],1,4)</f>
        <v>2024</v>
      </c>
      <c r="D486" s="1" t="str">
        <f>MID(analisis_productividad__4[[#This Row],[Periodo]],5,2)</f>
        <v>12</v>
      </c>
      <c r="E486" s="1" t="s">
        <v>16</v>
      </c>
      <c r="F486" s="1" t="s">
        <v>21</v>
      </c>
      <c r="G486" s="1">
        <v>103453</v>
      </c>
      <c r="H486" s="1">
        <v>9538930</v>
      </c>
      <c r="I486" s="1">
        <v>92.205430107526908</v>
      </c>
      <c r="J486" s="1">
        <v>0</v>
      </c>
      <c r="K486" s="1">
        <v>88.5</v>
      </c>
      <c r="L486" s="1">
        <v>92.5</v>
      </c>
      <c r="M486" s="1"/>
      <c r="N486" s="1">
        <v>0</v>
      </c>
    </row>
    <row r="487" spans="1:14" x14ac:dyDescent="0.35">
      <c r="A487" s="1" t="s">
        <v>65</v>
      </c>
      <c r="B487" s="1">
        <v>202605</v>
      </c>
      <c r="C487" s="1" t="str">
        <f>MID(analisis_productividad__4[[#This Row],[Periodo]],1,4)</f>
        <v>2026</v>
      </c>
      <c r="D487" s="1" t="str">
        <f>MID(analisis_productividad__4[[#This Row],[Periodo]],5,2)</f>
        <v>05</v>
      </c>
      <c r="E487" s="1" t="s">
        <v>16</v>
      </c>
      <c r="F487" s="1" t="s">
        <v>19</v>
      </c>
      <c r="G487" s="1">
        <v>103452</v>
      </c>
      <c r="H487" s="1">
        <v>6363639</v>
      </c>
      <c r="I487" s="1">
        <v>61.513017473118332</v>
      </c>
      <c r="J487" s="1">
        <v>97975.944451106508</v>
      </c>
      <c r="K487" s="1">
        <v>68</v>
      </c>
      <c r="L487" s="1">
        <v>68.5</v>
      </c>
      <c r="M487" s="1">
        <v>60.397061823201135</v>
      </c>
      <c r="N487" s="1">
        <v>5917459</v>
      </c>
    </row>
    <row r="488" spans="1:14" x14ac:dyDescent="0.35">
      <c r="A488" s="1" t="s">
        <v>91</v>
      </c>
      <c r="B488" s="1">
        <v>202512</v>
      </c>
      <c r="C488" s="1" t="str">
        <f>MID(analisis_productividad__4[[#This Row],[Periodo]],1,4)</f>
        <v>2025</v>
      </c>
      <c r="D488" s="1" t="str">
        <f>MID(analisis_productividad__4[[#This Row],[Periodo]],5,2)</f>
        <v>12</v>
      </c>
      <c r="E488" s="1" t="s">
        <v>11</v>
      </c>
      <c r="F488" s="1" t="s">
        <v>12</v>
      </c>
      <c r="G488" s="1">
        <v>103430</v>
      </c>
      <c r="H488" s="1">
        <v>6147743</v>
      </c>
      <c r="I488" s="1">
        <v>59.438938172042981</v>
      </c>
      <c r="J488" s="1">
        <v>101166.52415063954</v>
      </c>
      <c r="K488" s="1">
        <v>55</v>
      </c>
      <c r="L488" s="1">
        <v>55.5</v>
      </c>
      <c r="M488" s="1">
        <v>60.768545836821026</v>
      </c>
      <c r="N488" s="1">
        <v>6049672</v>
      </c>
    </row>
    <row r="489" spans="1:14" x14ac:dyDescent="0.35">
      <c r="A489" s="1" t="s">
        <v>51</v>
      </c>
      <c r="B489" s="1">
        <v>202601</v>
      </c>
      <c r="C489" s="1" t="str">
        <f>MID(analisis_productividad__4[[#This Row],[Periodo]],1,4)</f>
        <v>2026</v>
      </c>
      <c r="D489" s="1" t="str">
        <f>MID(analisis_productividad__4[[#This Row],[Periodo]],5,2)</f>
        <v>01</v>
      </c>
      <c r="E489" s="1" t="s">
        <v>11</v>
      </c>
      <c r="F489" s="1" t="s">
        <v>52</v>
      </c>
      <c r="G489" s="1">
        <v>103414</v>
      </c>
      <c r="H489" s="1">
        <v>9608067</v>
      </c>
      <c r="I489" s="1">
        <v>92.909193548387137</v>
      </c>
      <c r="J489" s="1">
        <v>101902.16827917419</v>
      </c>
      <c r="K489" s="1">
        <v>117.5</v>
      </c>
      <c r="L489" s="1">
        <v>99</v>
      </c>
      <c r="M489" s="1">
        <v>98.005014700369543</v>
      </c>
      <c r="N489" s="1">
        <v>9986924</v>
      </c>
    </row>
    <row r="490" spans="1:14" x14ac:dyDescent="0.35">
      <c r="A490" s="1" t="s">
        <v>46</v>
      </c>
      <c r="B490" s="1">
        <v>202604</v>
      </c>
      <c r="C490" s="1" t="str">
        <f>MID(analisis_productividad__4[[#This Row],[Periodo]],1,4)</f>
        <v>2026</v>
      </c>
      <c r="D490" s="1" t="str">
        <f>MID(analisis_productividad__4[[#This Row],[Periodo]],5,2)</f>
        <v>04</v>
      </c>
      <c r="E490" s="1" t="s">
        <v>11</v>
      </c>
      <c r="F490" s="1" t="s">
        <v>14</v>
      </c>
      <c r="G490" s="1">
        <v>103380</v>
      </c>
      <c r="H490" s="1">
        <v>7169021</v>
      </c>
      <c r="I490" s="1">
        <v>69.346277777779918</v>
      </c>
      <c r="J490" s="1">
        <v>99623.482738005434</v>
      </c>
      <c r="K490" s="1">
        <v>77</v>
      </c>
      <c r="L490" s="1">
        <v>79</v>
      </c>
      <c r="M490" s="1">
        <v>66.09086292651952</v>
      </c>
      <c r="N490" s="1">
        <v>6584202</v>
      </c>
    </row>
    <row r="491" spans="1:14" x14ac:dyDescent="0.35">
      <c r="A491" s="1" t="s">
        <v>28</v>
      </c>
      <c r="B491" s="1">
        <v>202606</v>
      </c>
      <c r="C491" s="1" t="str">
        <f>MID(analisis_productividad__4[[#This Row],[Periodo]],1,4)</f>
        <v>2026</v>
      </c>
      <c r="D491" s="1" t="str">
        <f>MID(analisis_productividad__4[[#This Row],[Periodo]],5,2)</f>
        <v>06</v>
      </c>
      <c r="E491" s="1" t="s">
        <v>16</v>
      </c>
      <c r="F491" s="1" t="s">
        <v>17</v>
      </c>
      <c r="G491" s="1">
        <v>103380</v>
      </c>
      <c r="H491" s="1">
        <v>6223966</v>
      </c>
      <c r="I491" s="1">
        <v>60.20490972222288</v>
      </c>
      <c r="J491" s="1">
        <v>109670.88494854062</v>
      </c>
      <c r="K491" s="1">
        <v>64</v>
      </c>
      <c r="L491" s="1">
        <v>67</v>
      </c>
      <c r="M491" s="1">
        <v>56.429371630436094</v>
      </c>
      <c r="N491" s="1">
        <v>6188659</v>
      </c>
    </row>
    <row r="492" spans="1:14" x14ac:dyDescent="0.35">
      <c r="A492" s="1" t="s">
        <v>23</v>
      </c>
      <c r="B492" s="1">
        <v>202507</v>
      </c>
      <c r="C492" s="1" t="str">
        <f>MID(analisis_productividad__4[[#This Row],[Periodo]],1,4)</f>
        <v>2025</v>
      </c>
      <c r="D492" s="1" t="str">
        <f>MID(analisis_productividad__4[[#This Row],[Periodo]],5,2)</f>
        <v>07</v>
      </c>
      <c r="E492" s="1" t="s">
        <v>11</v>
      </c>
      <c r="F492" s="1" t="s">
        <v>12</v>
      </c>
      <c r="G492" s="1">
        <v>103374</v>
      </c>
      <c r="H492" s="1">
        <v>6525847</v>
      </c>
      <c r="I492" s="1">
        <v>63.128474462365617</v>
      </c>
      <c r="J492" s="1">
        <v>109463.83199022974</v>
      </c>
      <c r="K492" s="1">
        <v>68.5</v>
      </c>
      <c r="L492" s="1">
        <v>66</v>
      </c>
      <c r="M492" s="1">
        <v>59.6164704025935</v>
      </c>
      <c r="N492" s="1">
        <v>6680725</v>
      </c>
    </row>
    <row r="493" spans="1:14" x14ac:dyDescent="0.35">
      <c r="A493" s="1" t="s">
        <v>61</v>
      </c>
      <c r="B493" s="1">
        <v>202506</v>
      </c>
      <c r="C493" s="1" t="str">
        <f>MID(analisis_productividad__4[[#This Row],[Periodo]],1,4)</f>
        <v>2025</v>
      </c>
      <c r="D493" s="1" t="str">
        <f>MID(analisis_productividad__4[[#This Row],[Periodo]],5,2)</f>
        <v>06</v>
      </c>
      <c r="E493" s="1" t="s">
        <v>11</v>
      </c>
      <c r="F493" s="1" t="s">
        <v>52</v>
      </c>
      <c r="G493" s="1">
        <v>103371</v>
      </c>
      <c r="H493" s="1">
        <v>8327283</v>
      </c>
      <c r="I493" s="1">
        <v>80.556972222222228</v>
      </c>
      <c r="J493" s="1">
        <v>98573.297412310814</v>
      </c>
      <c r="K493" s="1">
        <v>104.5</v>
      </c>
      <c r="L493" s="1">
        <v>99</v>
      </c>
      <c r="M493" s="1">
        <v>84.478082286004636</v>
      </c>
      <c r="N493" s="1">
        <v>9067215</v>
      </c>
    </row>
    <row r="494" spans="1:14" x14ac:dyDescent="0.35">
      <c r="A494" s="1" t="s">
        <v>43</v>
      </c>
      <c r="B494" s="1">
        <v>202601</v>
      </c>
      <c r="C494" s="1" t="str">
        <f>MID(analisis_productividad__4[[#This Row],[Periodo]],1,4)</f>
        <v>2026</v>
      </c>
      <c r="D494" s="1" t="str">
        <f>MID(analisis_productividad__4[[#This Row],[Periodo]],5,2)</f>
        <v>01</v>
      </c>
      <c r="E494" s="1" t="s">
        <v>11</v>
      </c>
      <c r="F494" s="1" t="s">
        <v>12</v>
      </c>
      <c r="G494" s="1">
        <v>103325</v>
      </c>
      <c r="H494" s="1">
        <v>7085026</v>
      </c>
      <c r="I494" s="1">
        <v>68.570080645161312</v>
      </c>
      <c r="J494" s="1">
        <v>92918.437401106465</v>
      </c>
      <c r="K494" s="1">
        <v>84.5</v>
      </c>
      <c r="L494" s="1">
        <v>86.5</v>
      </c>
      <c r="M494" s="1">
        <v>71.456708642637324</v>
      </c>
      <c r="N494" s="1">
        <v>6639646</v>
      </c>
    </row>
    <row r="495" spans="1:14" x14ac:dyDescent="0.35">
      <c r="A495" s="1" t="s">
        <v>88</v>
      </c>
      <c r="B495" s="1">
        <v>202412</v>
      </c>
      <c r="C495" s="1" t="str">
        <f>MID(analisis_productividad__4[[#This Row],[Periodo]],1,4)</f>
        <v>2024</v>
      </c>
      <c r="D495" s="1" t="str">
        <f>MID(analisis_productividad__4[[#This Row],[Periodo]],5,2)</f>
        <v>12</v>
      </c>
      <c r="E495" s="1" t="s">
        <v>34</v>
      </c>
      <c r="F495" s="1" t="s">
        <v>35</v>
      </c>
      <c r="G495" s="1">
        <v>103296</v>
      </c>
      <c r="H495" s="1">
        <v>1294230</v>
      </c>
      <c r="I495" s="1">
        <v>12.52929435483871</v>
      </c>
      <c r="J495" s="1">
        <v>0</v>
      </c>
      <c r="K495" s="1">
        <v>15.5</v>
      </c>
      <c r="L495" s="1">
        <v>14.5</v>
      </c>
      <c r="M495" s="1"/>
      <c r="N495" s="1">
        <v>0</v>
      </c>
    </row>
    <row r="496" spans="1:14" x14ac:dyDescent="0.35">
      <c r="A496" s="1" t="s">
        <v>31</v>
      </c>
      <c r="B496" s="1">
        <v>202410</v>
      </c>
      <c r="C496" s="1" t="str">
        <f>MID(analisis_productividad__4[[#This Row],[Periodo]],1,4)</f>
        <v>2024</v>
      </c>
      <c r="D496" s="1" t="str">
        <f>MID(analisis_productividad__4[[#This Row],[Periodo]],5,2)</f>
        <v>10</v>
      </c>
      <c r="E496" s="1" t="s">
        <v>11</v>
      </c>
      <c r="F496" s="1" t="s">
        <v>14</v>
      </c>
      <c r="G496" s="1">
        <v>103295</v>
      </c>
      <c r="H496" s="1">
        <v>9116318</v>
      </c>
      <c r="I496" s="1">
        <v>88.255181451612856</v>
      </c>
      <c r="J496" s="1">
        <v>0</v>
      </c>
      <c r="K496" s="1">
        <v>101.5</v>
      </c>
      <c r="L496" s="1">
        <v>97.5</v>
      </c>
      <c r="M496" s="1"/>
      <c r="N496" s="1">
        <v>0</v>
      </c>
    </row>
    <row r="497" spans="1:14" x14ac:dyDescent="0.35">
      <c r="A497" s="1" t="s">
        <v>61</v>
      </c>
      <c r="B497" s="1">
        <v>202603</v>
      </c>
      <c r="C497" s="1" t="str">
        <f>MID(analisis_productividad__4[[#This Row],[Periodo]],1,4)</f>
        <v>2026</v>
      </c>
      <c r="D497" s="1" t="str">
        <f>MID(analisis_productividad__4[[#This Row],[Periodo]],5,2)</f>
        <v>03</v>
      </c>
      <c r="E497" s="1" t="s">
        <v>11</v>
      </c>
      <c r="F497" s="1" t="s">
        <v>52</v>
      </c>
      <c r="G497" s="1">
        <v>103281</v>
      </c>
      <c r="H497" s="1">
        <v>10031409</v>
      </c>
      <c r="I497" s="1">
        <v>97.127399193548442</v>
      </c>
      <c r="J497" s="1">
        <v>107255.99946334741</v>
      </c>
      <c r="K497" s="1">
        <v>104.5</v>
      </c>
      <c r="L497" s="1">
        <v>99</v>
      </c>
      <c r="M497" s="1">
        <v>90.280982690474389</v>
      </c>
      <c r="N497" s="1">
        <v>9683177</v>
      </c>
    </row>
    <row r="498" spans="1:14" x14ac:dyDescent="0.35">
      <c r="A498" s="1" t="s">
        <v>39</v>
      </c>
      <c r="B498" s="1">
        <v>202604</v>
      </c>
      <c r="C498" s="1" t="str">
        <f>MID(analisis_productividad__4[[#This Row],[Periodo]],1,4)</f>
        <v>2026</v>
      </c>
      <c r="D498" s="1" t="str">
        <f>MID(analisis_productividad__4[[#This Row],[Periodo]],5,2)</f>
        <v>04</v>
      </c>
      <c r="E498" s="1" t="s">
        <v>16</v>
      </c>
      <c r="F498" s="1" t="s">
        <v>17</v>
      </c>
      <c r="G498" s="1">
        <v>103261</v>
      </c>
      <c r="H498" s="1">
        <v>8897255</v>
      </c>
      <c r="I498" s="1">
        <v>86.162708333334223</v>
      </c>
      <c r="J498" s="1">
        <v>100543.54936594672</v>
      </c>
      <c r="K498" s="1">
        <v>93.5</v>
      </c>
      <c r="L498" s="1">
        <v>94</v>
      </c>
      <c r="M498" s="1">
        <v>84.619508156945685</v>
      </c>
      <c r="N498" s="1">
        <v>8507946</v>
      </c>
    </row>
    <row r="499" spans="1:14" x14ac:dyDescent="0.35">
      <c r="A499" s="1" t="s">
        <v>53</v>
      </c>
      <c r="B499" s="1">
        <v>202403</v>
      </c>
      <c r="C499" s="1" t="str">
        <f>MID(analisis_productividad__4[[#This Row],[Periodo]],1,4)</f>
        <v>2024</v>
      </c>
      <c r="D499" s="1" t="str">
        <f>MID(analisis_productividad__4[[#This Row],[Periodo]],5,2)</f>
        <v>03</v>
      </c>
      <c r="E499" s="1" t="s">
        <v>11</v>
      </c>
      <c r="F499" s="1" t="s">
        <v>12</v>
      </c>
      <c r="G499" s="1">
        <v>103251</v>
      </c>
      <c r="H499" s="1">
        <v>7831187</v>
      </c>
      <c r="I499" s="1">
        <v>75.845987903225847</v>
      </c>
      <c r="J499" s="1">
        <v>0</v>
      </c>
      <c r="K499" s="1">
        <v>81</v>
      </c>
      <c r="L499" s="1">
        <v>77</v>
      </c>
      <c r="M499" s="1"/>
      <c r="N499" s="1">
        <v>0</v>
      </c>
    </row>
    <row r="500" spans="1:14" x14ac:dyDescent="0.35">
      <c r="A500" s="1" t="s">
        <v>30</v>
      </c>
      <c r="B500" s="1">
        <v>202501</v>
      </c>
      <c r="C500" s="1" t="str">
        <f>MID(analisis_productividad__4[[#This Row],[Periodo]],1,4)</f>
        <v>2025</v>
      </c>
      <c r="D500" s="1" t="str">
        <f>MID(analisis_productividad__4[[#This Row],[Periodo]],5,2)</f>
        <v>01</v>
      </c>
      <c r="E500" s="1" t="s">
        <v>16</v>
      </c>
      <c r="F500" s="1" t="s">
        <v>19</v>
      </c>
      <c r="G500" s="1">
        <v>103200</v>
      </c>
      <c r="H500" s="1">
        <v>9282853</v>
      </c>
      <c r="I500" s="1">
        <v>89.950188172042985</v>
      </c>
      <c r="J500" s="1">
        <v>114272.86362883345</v>
      </c>
      <c r="K500" s="1">
        <v>101</v>
      </c>
      <c r="L500" s="1">
        <v>105</v>
      </c>
      <c r="M500" s="1">
        <v>81.234101388684763</v>
      </c>
      <c r="N500" s="1">
        <v>8992925</v>
      </c>
    </row>
    <row r="501" spans="1:14" x14ac:dyDescent="0.35">
      <c r="A501" s="1" t="s">
        <v>28</v>
      </c>
      <c r="B501" s="1">
        <v>202605</v>
      </c>
      <c r="C501" s="1" t="str">
        <f>MID(analisis_productividad__4[[#This Row],[Periodo]],1,4)</f>
        <v>2026</v>
      </c>
      <c r="D501" s="1" t="str">
        <f>MID(analisis_productividad__4[[#This Row],[Periodo]],5,2)</f>
        <v>05</v>
      </c>
      <c r="E501" s="1" t="s">
        <v>16</v>
      </c>
      <c r="F501" s="1" t="s">
        <v>17</v>
      </c>
      <c r="G501" s="1">
        <v>103191</v>
      </c>
      <c r="H501" s="1">
        <v>6681528</v>
      </c>
      <c r="I501" s="1">
        <v>64.748965053763357</v>
      </c>
      <c r="J501" s="1">
        <v>129036.53785101924</v>
      </c>
      <c r="K501" s="1">
        <v>64</v>
      </c>
      <c r="L501" s="1">
        <v>67</v>
      </c>
      <c r="M501" s="1">
        <v>56.429371630436094</v>
      </c>
      <c r="N501" s="1">
        <v>7281451</v>
      </c>
    </row>
    <row r="502" spans="1:14" x14ac:dyDescent="0.35">
      <c r="A502" s="1" t="s">
        <v>68</v>
      </c>
      <c r="B502" s="1">
        <v>202412</v>
      </c>
      <c r="C502" s="1" t="str">
        <f>MID(analisis_productividad__4[[#This Row],[Periodo]],1,4)</f>
        <v>2024</v>
      </c>
      <c r="D502" s="1" t="str">
        <f>MID(analisis_productividad__4[[#This Row],[Periodo]],5,2)</f>
        <v>12</v>
      </c>
      <c r="E502" s="1" t="s">
        <v>11</v>
      </c>
      <c r="F502" s="1" t="s">
        <v>52</v>
      </c>
      <c r="G502" s="1">
        <v>103187</v>
      </c>
      <c r="H502" s="1">
        <v>10313874</v>
      </c>
      <c r="I502" s="1">
        <v>99.953319892473104</v>
      </c>
      <c r="J502" s="1">
        <v>0</v>
      </c>
      <c r="K502" s="1">
        <v>103</v>
      </c>
      <c r="L502" s="1">
        <v>91</v>
      </c>
      <c r="M502" s="1"/>
      <c r="N502" s="1">
        <v>0</v>
      </c>
    </row>
    <row r="503" spans="1:14" x14ac:dyDescent="0.35">
      <c r="A503" s="1" t="s">
        <v>13</v>
      </c>
      <c r="B503" s="1">
        <v>202506</v>
      </c>
      <c r="C503" s="1" t="str">
        <f>MID(analisis_productividad__4[[#This Row],[Periodo]],1,4)</f>
        <v>2025</v>
      </c>
      <c r="D503" s="1" t="str">
        <f>MID(analisis_productividad__4[[#This Row],[Periodo]],5,2)</f>
        <v>06</v>
      </c>
      <c r="E503" s="1" t="s">
        <v>11</v>
      </c>
      <c r="F503" s="1" t="s">
        <v>14</v>
      </c>
      <c r="G503" s="1">
        <v>103181</v>
      </c>
      <c r="H503" s="1">
        <v>9081086</v>
      </c>
      <c r="I503" s="1">
        <v>88.01104861111105</v>
      </c>
      <c r="J503" s="1">
        <v>110184.71545965473</v>
      </c>
      <c r="K503" s="1">
        <v>100</v>
      </c>
      <c r="L503" s="1">
        <v>98</v>
      </c>
      <c r="M503" s="1">
        <v>82.416928991617993</v>
      </c>
      <c r="N503" s="1">
        <v>9641725</v>
      </c>
    </row>
    <row r="504" spans="1:14" x14ac:dyDescent="0.35">
      <c r="A504" s="1" t="s">
        <v>63</v>
      </c>
      <c r="B504" s="1">
        <v>202405</v>
      </c>
      <c r="C504" s="1" t="str">
        <f>MID(analisis_productividad__4[[#This Row],[Periodo]],1,4)</f>
        <v>2024</v>
      </c>
      <c r="D504" s="1" t="str">
        <f>MID(analisis_productividad__4[[#This Row],[Periodo]],5,2)</f>
        <v>05</v>
      </c>
      <c r="E504" s="1" t="s">
        <v>16</v>
      </c>
      <c r="F504" s="1" t="s">
        <v>17</v>
      </c>
      <c r="G504" s="1">
        <v>103105</v>
      </c>
      <c r="H504" s="1">
        <v>9379226</v>
      </c>
      <c r="I504" s="1">
        <v>90.967869623655801</v>
      </c>
      <c r="J504" s="1">
        <v>0</v>
      </c>
      <c r="K504" s="1">
        <v>86.5</v>
      </c>
      <c r="L504" s="1">
        <v>81.5</v>
      </c>
      <c r="M504" s="1"/>
      <c r="N504" s="1">
        <v>0</v>
      </c>
    </row>
    <row r="505" spans="1:14" x14ac:dyDescent="0.35">
      <c r="A505" s="1" t="s">
        <v>41</v>
      </c>
      <c r="B505" s="1">
        <v>202604</v>
      </c>
      <c r="C505" s="1" t="str">
        <f>MID(analisis_productividad__4[[#This Row],[Periodo]],1,4)</f>
        <v>2026</v>
      </c>
      <c r="D505" s="1" t="str">
        <f>MID(analisis_productividad__4[[#This Row],[Periodo]],5,2)</f>
        <v>04</v>
      </c>
      <c r="E505" s="1" t="s">
        <v>16</v>
      </c>
      <c r="F505" s="1" t="s">
        <v>19</v>
      </c>
      <c r="G505" s="1">
        <v>102922</v>
      </c>
      <c r="H505" s="1">
        <v>5286315</v>
      </c>
      <c r="I505" s="1">
        <v>51.362402777778726</v>
      </c>
      <c r="J505" s="1">
        <v>96590.511425131146</v>
      </c>
      <c r="K505" s="1">
        <v>57.5</v>
      </c>
      <c r="L505" s="1">
        <v>56.5</v>
      </c>
      <c r="M505" s="1">
        <v>50.698263574219922</v>
      </c>
      <c r="N505" s="1">
        <v>4896971</v>
      </c>
    </row>
    <row r="506" spans="1:14" x14ac:dyDescent="0.35">
      <c r="A506" s="1" t="s">
        <v>50</v>
      </c>
      <c r="B506" s="1">
        <v>202604</v>
      </c>
      <c r="C506" s="1" t="str">
        <f>MID(analisis_productividad__4[[#This Row],[Periodo]],1,4)</f>
        <v>2026</v>
      </c>
      <c r="D506" s="1" t="str">
        <f>MID(analisis_productividad__4[[#This Row],[Periodo]],5,2)</f>
        <v>04</v>
      </c>
      <c r="E506" s="1" t="s">
        <v>34</v>
      </c>
      <c r="F506" s="1" t="s">
        <v>35</v>
      </c>
      <c r="G506" s="1">
        <v>102894</v>
      </c>
      <c r="H506" s="1">
        <v>6576733</v>
      </c>
      <c r="I506" s="1">
        <v>63.917583333335443</v>
      </c>
      <c r="J506" s="1">
        <v>99294.107247990207</v>
      </c>
      <c r="K506" s="1">
        <v>79.5</v>
      </c>
      <c r="L506" s="1">
        <v>72.5</v>
      </c>
      <c r="M506" s="1">
        <v>64.209802769832038</v>
      </c>
      <c r="N506" s="1">
        <v>6375655</v>
      </c>
    </row>
    <row r="507" spans="1:14" x14ac:dyDescent="0.35">
      <c r="A507" s="1" t="s">
        <v>83</v>
      </c>
      <c r="B507" s="1">
        <v>202512</v>
      </c>
      <c r="C507" s="1" t="str">
        <f>MID(analisis_productividad__4[[#This Row],[Periodo]],1,4)</f>
        <v>2025</v>
      </c>
      <c r="D507" s="1" t="str">
        <f>MID(analisis_productividad__4[[#This Row],[Periodo]],5,2)</f>
        <v>12</v>
      </c>
      <c r="E507" s="1" t="s">
        <v>16</v>
      </c>
      <c r="F507" s="1" t="s">
        <v>17</v>
      </c>
      <c r="G507" s="1">
        <v>102854</v>
      </c>
      <c r="H507" s="1">
        <v>5290162</v>
      </c>
      <c r="I507" s="1">
        <v>51.433864247311824</v>
      </c>
      <c r="J507" s="1">
        <v>105900.35026991833</v>
      </c>
      <c r="K507" s="1">
        <v>52</v>
      </c>
      <c r="L507" s="1">
        <v>52</v>
      </c>
      <c r="M507" s="1">
        <v>49.954152998705467</v>
      </c>
      <c r="N507" s="1">
        <v>5300068</v>
      </c>
    </row>
    <row r="508" spans="1:14" x14ac:dyDescent="0.35">
      <c r="A508" s="1" t="s">
        <v>75</v>
      </c>
      <c r="B508" s="1">
        <v>202512</v>
      </c>
      <c r="C508" s="1" t="str">
        <f>MID(analisis_productividad__4[[#This Row],[Periodo]],1,4)</f>
        <v>2025</v>
      </c>
      <c r="D508" s="1" t="str">
        <f>MID(analisis_productividad__4[[#This Row],[Periodo]],5,2)</f>
        <v>12</v>
      </c>
      <c r="E508" s="1" t="s">
        <v>11</v>
      </c>
      <c r="F508" s="1" t="s">
        <v>52</v>
      </c>
      <c r="G508" s="1">
        <v>102850</v>
      </c>
      <c r="H508" s="1">
        <v>11841962</v>
      </c>
      <c r="I508" s="1">
        <v>115.13772177419348</v>
      </c>
      <c r="J508" s="1">
        <v>112729.34108921043</v>
      </c>
      <c r="K508" s="1">
        <v>118</v>
      </c>
      <c r="L508" s="1">
        <v>106</v>
      </c>
      <c r="M508" s="1">
        <v>105.04773633537563</v>
      </c>
      <c r="N508" s="1">
        <v>14076508</v>
      </c>
    </row>
    <row r="509" spans="1:14" x14ac:dyDescent="0.35">
      <c r="A509" s="1" t="s">
        <v>22</v>
      </c>
      <c r="B509" s="1">
        <v>202602</v>
      </c>
      <c r="C509" s="1" t="str">
        <f>MID(analisis_productividad__4[[#This Row],[Periodo]],1,4)</f>
        <v>2026</v>
      </c>
      <c r="D509" s="1" t="str">
        <f>MID(analisis_productividad__4[[#This Row],[Periodo]],5,2)</f>
        <v>02</v>
      </c>
      <c r="E509" s="1" t="s">
        <v>16</v>
      </c>
      <c r="F509" s="1" t="s">
        <v>21</v>
      </c>
      <c r="G509" s="1">
        <v>102838</v>
      </c>
      <c r="H509" s="1">
        <v>5666972</v>
      </c>
      <c r="I509" s="1">
        <v>55.10598958333334</v>
      </c>
      <c r="J509" s="1">
        <v>95553.787873147012</v>
      </c>
      <c r="K509" s="1">
        <v>59.5</v>
      </c>
      <c r="L509" s="1">
        <v>55.5</v>
      </c>
      <c r="M509" s="1">
        <v>53.278949580299148</v>
      </c>
      <c r="N509" s="1">
        <v>5091005</v>
      </c>
    </row>
    <row r="510" spans="1:14" x14ac:dyDescent="0.35">
      <c r="A510" s="1" t="s">
        <v>28</v>
      </c>
      <c r="B510" s="1">
        <v>202401</v>
      </c>
      <c r="C510" s="1" t="str">
        <f>MID(analisis_productividad__4[[#This Row],[Periodo]],1,4)</f>
        <v>2024</v>
      </c>
      <c r="D510" s="1" t="str">
        <f>MID(analisis_productividad__4[[#This Row],[Periodo]],5,2)</f>
        <v>01</v>
      </c>
      <c r="E510" s="1" t="s">
        <v>16</v>
      </c>
      <c r="F510" s="1" t="s">
        <v>17</v>
      </c>
      <c r="G510" s="1">
        <v>102815</v>
      </c>
      <c r="H510" s="1">
        <v>5046496</v>
      </c>
      <c r="I510" s="1">
        <v>49.083266129032268</v>
      </c>
      <c r="J510" s="1">
        <v>0</v>
      </c>
      <c r="K510" s="1">
        <v>64</v>
      </c>
      <c r="L510" s="1">
        <v>67</v>
      </c>
      <c r="M510" s="1"/>
      <c r="N510" s="1">
        <v>0</v>
      </c>
    </row>
    <row r="511" spans="1:14" x14ac:dyDescent="0.35">
      <c r="A511" s="1" t="s">
        <v>72</v>
      </c>
      <c r="B511" s="1">
        <v>202503</v>
      </c>
      <c r="C511" s="1" t="str">
        <f>MID(analisis_productividad__4[[#This Row],[Periodo]],1,4)</f>
        <v>2025</v>
      </c>
      <c r="D511" s="1" t="str">
        <f>MID(analisis_productividad__4[[#This Row],[Periodo]],5,2)</f>
        <v>03</v>
      </c>
      <c r="E511" s="1" t="s">
        <v>11</v>
      </c>
      <c r="F511" s="1" t="s">
        <v>14</v>
      </c>
      <c r="G511" s="1">
        <v>102802</v>
      </c>
      <c r="H511" s="1">
        <v>6281500</v>
      </c>
      <c r="I511" s="1">
        <v>61.102661290322565</v>
      </c>
      <c r="J511" s="1">
        <v>106528.23926598164</v>
      </c>
      <c r="K511" s="1">
        <v>66</v>
      </c>
      <c r="L511" s="1">
        <v>64.5</v>
      </c>
      <c r="M511" s="1">
        <v>58.965590094061696</v>
      </c>
      <c r="N511" s="1">
        <v>6643393</v>
      </c>
    </row>
    <row r="512" spans="1:14" x14ac:dyDescent="0.35">
      <c r="A512" s="1" t="s">
        <v>66</v>
      </c>
      <c r="B512" s="1">
        <v>202603</v>
      </c>
      <c r="C512" s="1" t="str">
        <f>MID(analisis_productividad__4[[#This Row],[Periodo]],1,4)</f>
        <v>2026</v>
      </c>
      <c r="D512" s="1" t="str">
        <f>MID(analisis_productividad__4[[#This Row],[Periodo]],5,2)</f>
        <v>03</v>
      </c>
      <c r="E512" s="1" t="s">
        <v>11</v>
      </c>
      <c r="F512" s="1" t="s">
        <v>12</v>
      </c>
      <c r="G512" s="1">
        <v>102717</v>
      </c>
      <c r="H512" s="1">
        <v>7622920</v>
      </c>
      <c r="I512" s="1">
        <v>74.212560483870988</v>
      </c>
      <c r="J512" s="1">
        <v>98419.858386307518</v>
      </c>
      <c r="K512" s="1">
        <v>80</v>
      </c>
      <c r="L512" s="1">
        <v>80.5</v>
      </c>
      <c r="M512" s="1">
        <v>67.651321791845987</v>
      </c>
      <c r="N512" s="1">
        <v>6658234</v>
      </c>
    </row>
    <row r="513" spans="1:14" x14ac:dyDescent="0.35">
      <c r="A513" s="1" t="s">
        <v>29</v>
      </c>
      <c r="B513" s="1">
        <v>202504</v>
      </c>
      <c r="C513" s="1" t="str">
        <f>MID(analisis_productividad__4[[#This Row],[Periodo]],1,4)</f>
        <v>2025</v>
      </c>
      <c r="D513" s="1" t="str">
        <f>MID(analisis_productividad__4[[#This Row],[Periodo]],5,2)</f>
        <v>04</v>
      </c>
      <c r="E513" s="1" t="s">
        <v>16</v>
      </c>
      <c r="F513" s="1" t="s">
        <v>19</v>
      </c>
      <c r="G513" s="1">
        <v>102713</v>
      </c>
      <c r="H513" s="1">
        <v>9131449</v>
      </c>
      <c r="I513" s="1">
        <v>88.9023819444445</v>
      </c>
      <c r="J513" s="1">
        <v>105764.91457405484</v>
      </c>
      <c r="K513" s="1">
        <v>96.5</v>
      </c>
      <c r="L513" s="1">
        <v>96</v>
      </c>
      <c r="M513" s="1">
        <v>86.337227489616254</v>
      </c>
      <c r="N513" s="1">
        <v>8686929</v>
      </c>
    </row>
    <row r="514" spans="1:14" x14ac:dyDescent="0.35">
      <c r="A514" s="1" t="s">
        <v>30</v>
      </c>
      <c r="B514" s="1">
        <v>202405</v>
      </c>
      <c r="C514" s="1" t="str">
        <f>MID(analisis_productividad__4[[#This Row],[Periodo]],1,4)</f>
        <v>2024</v>
      </c>
      <c r="D514" s="1" t="str">
        <f>MID(analisis_productividad__4[[#This Row],[Periodo]],5,2)</f>
        <v>05</v>
      </c>
      <c r="E514" s="1" t="s">
        <v>16</v>
      </c>
      <c r="F514" s="1" t="s">
        <v>19</v>
      </c>
      <c r="G514" s="1">
        <v>102704</v>
      </c>
      <c r="H514" s="1">
        <v>8456427</v>
      </c>
      <c r="I514" s="1">
        <v>82.338064516129066</v>
      </c>
      <c r="J514" s="1">
        <v>0</v>
      </c>
      <c r="K514" s="1">
        <v>101</v>
      </c>
      <c r="L514" s="1">
        <v>105</v>
      </c>
      <c r="M514" s="1"/>
      <c r="N514" s="1">
        <v>0</v>
      </c>
    </row>
    <row r="515" spans="1:14" x14ac:dyDescent="0.35">
      <c r="A515" s="1" t="s">
        <v>51</v>
      </c>
      <c r="B515" s="1">
        <v>202603</v>
      </c>
      <c r="C515" s="1" t="str">
        <f>MID(analisis_productividad__4[[#This Row],[Periodo]],1,4)</f>
        <v>2026</v>
      </c>
      <c r="D515" s="1" t="str">
        <f>MID(analisis_productividad__4[[#This Row],[Periodo]],5,2)</f>
        <v>03</v>
      </c>
      <c r="E515" s="1" t="s">
        <v>11</v>
      </c>
      <c r="F515" s="1" t="s">
        <v>52</v>
      </c>
      <c r="G515" s="1">
        <v>102699</v>
      </c>
      <c r="H515" s="1">
        <v>9593285</v>
      </c>
      <c r="I515" s="1">
        <v>93.411989247311851</v>
      </c>
      <c r="J515" s="1">
        <v>112846.3307230982</v>
      </c>
      <c r="K515" s="1">
        <v>117.5</v>
      </c>
      <c r="L515" s="1">
        <v>99</v>
      </c>
      <c r="M515" s="1">
        <v>98.005014700369543</v>
      </c>
      <c r="N515" s="1">
        <v>11059506</v>
      </c>
    </row>
    <row r="516" spans="1:14" x14ac:dyDescent="0.35">
      <c r="A516" s="1" t="s">
        <v>28</v>
      </c>
      <c r="B516" s="1">
        <v>202411</v>
      </c>
      <c r="C516" s="1" t="str">
        <f>MID(analisis_productividad__4[[#This Row],[Periodo]],1,4)</f>
        <v>2024</v>
      </c>
      <c r="D516" s="1" t="str">
        <f>MID(analisis_productividad__4[[#This Row],[Periodo]],5,2)</f>
        <v>11</v>
      </c>
      <c r="E516" s="1" t="s">
        <v>16</v>
      </c>
      <c r="F516" s="1" t="s">
        <v>17</v>
      </c>
      <c r="G516" s="1">
        <v>102697</v>
      </c>
      <c r="H516" s="1">
        <v>5538678</v>
      </c>
      <c r="I516" s="1">
        <v>53.932229166666644</v>
      </c>
      <c r="J516" s="1">
        <v>0</v>
      </c>
      <c r="K516" s="1">
        <v>64</v>
      </c>
      <c r="L516" s="1">
        <v>67</v>
      </c>
      <c r="M516" s="1"/>
      <c r="N516" s="1">
        <v>0</v>
      </c>
    </row>
    <row r="517" spans="1:14" x14ac:dyDescent="0.35">
      <c r="A517" s="1" t="s">
        <v>39</v>
      </c>
      <c r="B517" s="1">
        <v>202508</v>
      </c>
      <c r="C517" s="1" t="str">
        <f>MID(analisis_productividad__4[[#This Row],[Periodo]],1,4)</f>
        <v>2025</v>
      </c>
      <c r="D517" s="1" t="str">
        <f>MID(analisis_productividad__4[[#This Row],[Periodo]],5,2)</f>
        <v>08</v>
      </c>
      <c r="E517" s="1" t="s">
        <v>16</v>
      </c>
      <c r="F517" s="1" t="s">
        <v>17</v>
      </c>
      <c r="G517" s="1">
        <v>102648</v>
      </c>
      <c r="H517" s="1">
        <v>8634732</v>
      </c>
      <c r="I517" s="1">
        <v>84.120194892473123</v>
      </c>
      <c r="J517" s="1">
        <v>98718.627781204632</v>
      </c>
      <c r="K517" s="1">
        <v>93.5</v>
      </c>
      <c r="L517" s="1">
        <v>94</v>
      </c>
      <c r="M517" s="1">
        <v>87.468114114568294</v>
      </c>
      <c r="N517" s="1">
        <v>9003515</v>
      </c>
    </row>
    <row r="518" spans="1:14" x14ac:dyDescent="0.35">
      <c r="A518" s="1" t="s">
        <v>67</v>
      </c>
      <c r="B518" s="1">
        <v>202603</v>
      </c>
      <c r="C518" s="1" t="str">
        <f>MID(analisis_productividad__4[[#This Row],[Periodo]],1,4)</f>
        <v>2026</v>
      </c>
      <c r="D518" s="1" t="str">
        <f>MID(analisis_productividad__4[[#This Row],[Periodo]],5,2)</f>
        <v>03</v>
      </c>
      <c r="E518" s="1" t="s">
        <v>16</v>
      </c>
      <c r="F518" s="1" t="s">
        <v>19</v>
      </c>
      <c r="G518" s="1">
        <v>102580</v>
      </c>
      <c r="H518" s="1">
        <v>7675902</v>
      </c>
      <c r="I518" s="1">
        <v>74.828212365591412</v>
      </c>
      <c r="J518" s="1">
        <v>102875.14360808075</v>
      </c>
      <c r="K518" s="1">
        <v>79.5</v>
      </c>
      <c r="L518" s="1">
        <v>81.5</v>
      </c>
      <c r="M518" s="1">
        <v>68.773296674593993</v>
      </c>
      <c r="N518" s="1">
        <v>7075063</v>
      </c>
    </row>
    <row r="519" spans="1:14" x14ac:dyDescent="0.35">
      <c r="A519" s="1" t="s">
        <v>39</v>
      </c>
      <c r="B519" s="1">
        <v>202606</v>
      </c>
      <c r="C519" s="1" t="str">
        <f>MID(analisis_productividad__4[[#This Row],[Periodo]],1,4)</f>
        <v>2026</v>
      </c>
      <c r="D519" s="1" t="str">
        <f>MID(analisis_productividad__4[[#This Row],[Periodo]],5,2)</f>
        <v>06</v>
      </c>
      <c r="E519" s="1" t="s">
        <v>16</v>
      </c>
      <c r="F519" s="1" t="s">
        <v>17</v>
      </c>
      <c r="G519" s="1">
        <v>102565</v>
      </c>
      <c r="H519" s="1">
        <v>8822885</v>
      </c>
      <c r="I519" s="1">
        <v>86.022659722223622</v>
      </c>
      <c r="J519" s="1">
        <v>101835.5022014233</v>
      </c>
      <c r="K519" s="1">
        <v>93.5</v>
      </c>
      <c r="L519" s="1">
        <v>94</v>
      </c>
      <c r="M519" s="1">
        <v>84.619508156945685</v>
      </c>
      <c r="N519" s="1">
        <v>8617270</v>
      </c>
    </row>
    <row r="520" spans="1:14" x14ac:dyDescent="0.35">
      <c r="A520" s="1" t="s">
        <v>93</v>
      </c>
      <c r="B520" s="1">
        <v>202512</v>
      </c>
      <c r="C520" s="1" t="str">
        <f>MID(analisis_productividad__4[[#This Row],[Periodo]],1,4)</f>
        <v>2025</v>
      </c>
      <c r="D520" s="1" t="str">
        <f>MID(analisis_productividad__4[[#This Row],[Periodo]],5,2)</f>
        <v>12</v>
      </c>
      <c r="E520" s="1" t="s">
        <v>16</v>
      </c>
      <c r="F520" s="1" t="s">
        <v>17</v>
      </c>
      <c r="G520" s="1">
        <v>102528</v>
      </c>
      <c r="H520" s="1">
        <v>8877834</v>
      </c>
      <c r="I520" s="1">
        <v>86.588965053763474</v>
      </c>
      <c r="J520" s="1">
        <v>0</v>
      </c>
      <c r="K520" s="1">
        <v>84</v>
      </c>
      <c r="L520" s="1">
        <v>76</v>
      </c>
      <c r="M520" s="1"/>
      <c r="N520" s="1"/>
    </row>
    <row r="521" spans="1:14" x14ac:dyDescent="0.35">
      <c r="A521" s="1" t="s">
        <v>68</v>
      </c>
      <c r="B521" s="1">
        <v>202605</v>
      </c>
      <c r="C521" s="1" t="str">
        <f>MID(analisis_productividad__4[[#This Row],[Periodo]],1,4)</f>
        <v>2026</v>
      </c>
      <c r="D521" s="1" t="str">
        <f>MID(analisis_productividad__4[[#This Row],[Periodo]],5,2)</f>
        <v>05</v>
      </c>
      <c r="E521" s="1" t="s">
        <v>11</v>
      </c>
      <c r="F521" s="1" t="s">
        <v>52</v>
      </c>
      <c r="G521" s="1">
        <v>102522</v>
      </c>
      <c r="H521" s="1">
        <v>8338573</v>
      </c>
      <c r="I521" s="1">
        <v>81.334731182795252</v>
      </c>
      <c r="J521" s="1">
        <v>98333.609148937743</v>
      </c>
      <c r="K521" s="1">
        <v>103</v>
      </c>
      <c r="L521" s="1">
        <v>91</v>
      </c>
      <c r="M521" s="1">
        <v>85.91077884372821</v>
      </c>
      <c r="N521" s="1">
        <v>8447917</v>
      </c>
    </row>
    <row r="522" spans="1:14" x14ac:dyDescent="0.35">
      <c r="A522" s="1" t="s">
        <v>79</v>
      </c>
      <c r="B522" s="1">
        <v>202503</v>
      </c>
      <c r="C522" s="1" t="str">
        <f>MID(analisis_productividad__4[[#This Row],[Periodo]],1,4)</f>
        <v>2025</v>
      </c>
      <c r="D522" s="1" t="str">
        <f>MID(analisis_productividad__4[[#This Row],[Periodo]],5,2)</f>
        <v>03</v>
      </c>
      <c r="E522" s="1" t="s">
        <v>11</v>
      </c>
      <c r="F522" s="1" t="s">
        <v>12</v>
      </c>
      <c r="G522" s="1">
        <v>102480</v>
      </c>
      <c r="H522" s="1">
        <v>6496963</v>
      </c>
      <c r="I522" s="1">
        <v>63.397654569892481</v>
      </c>
      <c r="J522" s="1">
        <v>89252.101154537813</v>
      </c>
      <c r="K522" s="1">
        <v>64.5</v>
      </c>
      <c r="L522" s="1">
        <v>64</v>
      </c>
      <c r="M522" s="1">
        <v>72.793394619927994</v>
      </c>
      <c r="N522" s="1">
        <v>6453247</v>
      </c>
    </row>
    <row r="523" spans="1:14" x14ac:dyDescent="0.35">
      <c r="A523" s="1" t="s">
        <v>72</v>
      </c>
      <c r="B523" s="1">
        <v>202512</v>
      </c>
      <c r="C523" s="1" t="str">
        <f>MID(analisis_productividad__4[[#This Row],[Periodo]],1,4)</f>
        <v>2025</v>
      </c>
      <c r="D523" s="1" t="str">
        <f>MID(analisis_productividad__4[[#This Row],[Periodo]],5,2)</f>
        <v>12</v>
      </c>
      <c r="E523" s="1" t="s">
        <v>11</v>
      </c>
      <c r="F523" s="1" t="s">
        <v>14</v>
      </c>
      <c r="G523" s="1">
        <v>102458</v>
      </c>
      <c r="H523" s="1">
        <v>6578609</v>
      </c>
      <c r="I523" s="1">
        <v>64.20792338709677</v>
      </c>
      <c r="J523" s="1">
        <v>119088.21621592755</v>
      </c>
      <c r="K523" s="1">
        <v>66</v>
      </c>
      <c r="L523" s="1">
        <v>64.5</v>
      </c>
      <c r="M523" s="1">
        <v>55.241474337577159</v>
      </c>
      <c r="N523" s="1">
        <v>7971250</v>
      </c>
    </row>
    <row r="524" spans="1:14" x14ac:dyDescent="0.35">
      <c r="A524" s="1" t="s">
        <v>46</v>
      </c>
      <c r="B524" s="1">
        <v>202601</v>
      </c>
      <c r="C524" s="1" t="str">
        <f>MID(analisis_productividad__4[[#This Row],[Periodo]],1,4)</f>
        <v>2026</v>
      </c>
      <c r="D524" s="1" t="str">
        <f>MID(analisis_productividad__4[[#This Row],[Periodo]],5,2)</f>
        <v>01</v>
      </c>
      <c r="E524" s="1" t="s">
        <v>11</v>
      </c>
      <c r="F524" s="1" t="s">
        <v>14</v>
      </c>
      <c r="G524" s="1">
        <v>102430</v>
      </c>
      <c r="H524" s="1">
        <v>6901710</v>
      </c>
      <c r="I524" s="1">
        <v>67.379798387096798</v>
      </c>
      <c r="J524" s="1">
        <v>91958.510286923571</v>
      </c>
      <c r="K524" s="1">
        <v>77</v>
      </c>
      <c r="L524" s="1">
        <v>79</v>
      </c>
      <c r="M524" s="1">
        <v>66.09086292651952</v>
      </c>
      <c r="N524" s="1">
        <v>6077617</v>
      </c>
    </row>
    <row r="525" spans="1:14" x14ac:dyDescent="0.35">
      <c r="A525" s="1" t="s">
        <v>18</v>
      </c>
      <c r="B525" s="1">
        <v>202511</v>
      </c>
      <c r="C525" s="1" t="str">
        <f>MID(analisis_productividad__4[[#This Row],[Periodo]],1,4)</f>
        <v>2025</v>
      </c>
      <c r="D525" s="1" t="str">
        <f>MID(analisis_productividad__4[[#This Row],[Periodo]],5,2)</f>
        <v>11</v>
      </c>
      <c r="E525" s="1" t="s">
        <v>16</v>
      </c>
      <c r="F525" s="1" t="s">
        <v>19</v>
      </c>
      <c r="G525" s="1">
        <v>102422</v>
      </c>
      <c r="H525" s="1">
        <v>6037489</v>
      </c>
      <c r="I525" s="1">
        <v>58.947145833333373</v>
      </c>
      <c r="J525" s="1">
        <v>98639.327361210162</v>
      </c>
      <c r="K525" s="1">
        <v>70.5</v>
      </c>
      <c r="L525" s="1">
        <v>69.5</v>
      </c>
      <c r="M525" s="1">
        <v>61.207730440934021</v>
      </c>
      <c r="N525" s="1">
        <v>5336325</v>
      </c>
    </row>
    <row r="526" spans="1:14" x14ac:dyDescent="0.35">
      <c r="A526" s="1" t="s">
        <v>77</v>
      </c>
      <c r="B526" s="1">
        <v>202412</v>
      </c>
      <c r="C526" s="1" t="str">
        <f>MID(analisis_productividad__4[[#This Row],[Periodo]],1,4)</f>
        <v>2024</v>
      </c>
      <c r="D526" s="1" t="str">
        <f>MID(analisis_productividad__4[[#This Row],[Periodo]],5,2)</f>
        <v>12</v>
      </c>
      <c r="E526" s="1" t="s">
        <v>16</v>
      </c>
      <c r="F526" s="1" t="s">
        <v>21</v>
      </c>
      <c r="G526" s="1">
        <v>102412</v>
      </c>
      <c r="H526" s="1">
        <v>6928570</v>
      </c>
      <c r="I526" s="1">
        <v>67.654106182795701</v>
      </c>
      <c r="J526" s="1">
        <v>0</v>
      </c>
      <c r="K526" s="1">
        <v>60.5</v>
      </c>
      <c r="L526" s="1">
        <v>60.5</v>
      </c>
      <c r="M526" s="1"/>
      <c r="N526" s="1">
        <v>0</v>
      </c>
    </row>
    <row r="527" spans="1:14" x14ac:dyDescent="0.35">
      <c r="A527" s="1" t="s">
        <v>44</v>
      </c>
      <c r="B527" s="1">
        <v>202403</v>
      </c>
      <c r="C527" s="1" t="str">
        <f>MID(analisis_productividad__4[[#This Row],[Periodo]],1,4)</f>
        <v>2024</v>
      </c>
      <c r="D527" s="1" t="str">
        <f>MID(analisis_productividad__4[[#This Row],[Periodo]],5,2)</f>
        <v>03</v>
      </c>
      <c r="E527" s="1" t="s">
        <v>11</v>
      </c>
      <c r="F527" s="1" t="s">
        <v>12</v>
      </c>
      <c r="G527" s="1">
        <v>102381</v>
      </c>
      <c r="H527" s="1">
        <v>7586531</v>
      </c>
      <c r="I527" s="1">
        <v>74.101256720430086</v>
      </c>
      <c r="J527" s="1">
        <v>0</v>
      </c>
      <c r="K527" s="1">
        <v>78</v>
      </c>
      <c r="L527" s="1">
        <v>74.5</v>
      </c>
      <c r="M527" s="1"/>
      <c r="N527" s="1">
        <v>0</v>
      </c>
    </row>
    <row r="528" spans="1:14" x14ac:dyDescent="0.35">
      <c r="A528" s="1" t="s">
        <v>46</v>
      </c>
      <c r="B528" s="1">
        <v>202406</v>
      </c>
      <c r="C528" s="1" t="str">
        <f>MID(analisis_productividad__4[[#This Row],[Periodo]],1,4)</f>
        <v>2024</v>
      </c>
      <c r="D528" s="1" t="str">
        <f>MID(analisis_productividad__4[[#This Row],[Periodo]],5,2)</f>
        <v>06</v>
      </c>
      <c r="E528" s="1" t="s">
        <v>11</v>
      </c>
      <c r="F528" s="1" t="s">
        <v>14</v>
      </c>
      <c r="G528" s="1">
        <v>102380</v>
      </c>
      <c r="H528" s="1">
        <v>7020747</v>
      </c>
      <c r="I528" s="1">
        <v>68.575694444444437</v>
      </c>
      <c r="J528" s="1">
        <v>0</v>
      </c>
      <c r="K528" s="1">
        <v>77</v>
      </c>
      <c r="L528" s="1">
        <v>79</v>
      </c>
      <c r="M528" s="1"/>
      <c r="N528" s="1">
        <v>0</v>
      </c>
    </row>
    <row r="529" spans="1:14" x14ac:dyDescent="0.35">
      <c r="A529" s="1" t="s">
        <v>69</v>
      </c>
      <c r="B529" s="1">
        <v>202605</v>
      </c>
      <c r="C529" s="1" t="str">
        <f>MID(analisis_productividad__4[[#This Row],[Periodo]],1,4)</f>
        <v>2026</v>
      </c>
      <c r="D529" s="1" t="str">
        <f>MID(analisis_productividad__4[[#This Row],[Periodo]],5,2)</f>
        <v>05</v>
      </c>
      <c r="E529" s="1" t="s">
        <v>11</v>
      </c>
      <c r="F529" s="1" t="s">
        <v>52</v>
      </c>
      <c r="G529" s="1">
        <v>102379</v>
      </c>
      <c r="H529" s="1">
        <v>5433265</v>
      </c>
      <c r="I529" s="1">
        <v>53.070020161290991</v>
      </c>
      <c r="J529" s="1">
        <v>101996.01040504016</v>
      </c>
      <c r="K529" s="1">
        <v>68</v>
      </c>
      <c r="L529" s="1">
        <v>60.5</v>
      </c>
      <c r="M529" s="1">
        <v>56.717795741490448</v>
      </c>
      <c r="N529" s="1">
        <v>5784989</v>
      </c>
    </row>
    <row r="530" spans="1:14" x14ac:dyDescent="0.35">
      <c r="A530" s="1" t="s">
        <v>61</v>
      </c>
      <c r="B530" s="1">
        <v>202504</v>
      </c>
      <c r="C530" s="1" t="str">
        <f>MID(analisis_productividad__4[[#This Row],[Periodo]],1,4)</f>
        <v>2025</v>
      </c>
      <c r="D530" s="1" t="str">
        <f>MID(analisis_productividad__4[[#This Row],[Periodo]],5,2)</f>
        <v>04</v>
      </c>
      <c r="E530" s="1" t="s">
        <v>11</v>
      </c>
      <c r="F530" s="1" t="s">
        <v>52</v>
      </c>
      <c r="G530" s="1">
        <v>102328</v>
      </c>
      <c r="H530" s="1">
        <v>8555235</v>
      </c>
      <c r="I530" s="1">
        <v>83.606104166666697</v>
      </c>
      <c r="J530" s="1">
        <v>91661.899699526664</v>
      </c>
      <c r="K530" s="1">
        <v>104.5</v>
      </c>
      <c r="L530" s="1">
        <v>99</v>
      </c>
      <c r="M530" s="1">
        <v>93.334694328227826</v>
      </c>
      <c r="N530" s="1">
        <v>9247994</v>
      </c>
    </row>
    <row r="531" spans="1:14" x14ac:dyDescent="0.35">
      <c r="A531" s="1" t="s">
        <v>31</v>
      </c>
      <c r="B531" s="1">
        <v>202404</v>
      </c>
      <c r="C531" s="1" t="str">
        <f>MID(analisis_productividad__4[[#This Row],[Periodo]],1,4)</f>
        <v>2024</v>
      </c>
      <c r="D531" s="1" t="str">
        <f>MID(analisis_productividad__4[[#This Row],[Periodo]],5,2)</f>
        <v>04</v>
      </c>
      <c r="E531" s="1" t="s">
        <v>11</v>
      </c>
      <c r="F531" s="1" t="s">
        <v>14</v>
      </c>
      <c r="G531" s="1">
        <v>102323</v>
      </c>
      <c r="H531" s="1">
        <v>9036091</v>
      </c>
      <c r="I531" s="1">
        <v>88.30932638888892</v>
      </c>
      <c r="J531" s="1">
        <v>0</v>
      </c>
      <c r="K531" s="1">
        <v>101.5</v>
      </c>
      <c r="L531" s="1">
        <v>97.5</v>
      </c>
      <c r="M531" s="1"/>
      <c r="N531" s="1">
        <v>0</v>
      </c>
    </row>
    <row r="532" spans="1:14" x14ac:dyDescent="0.35">
      <c r="A532" s="1" t="s">
        <v>26</v>
      </c>
      <c r="B532" s="1">
        <v>202507</v>
      </c>
      <c r="C532" s="1" t="str">
        <f>MID(analisis_productividad__4[[#This Row],[Periodo]],1,4)</f>
        <v>2025</v>
      </c>
      <c r="D532" s="1" t="str">
        <f>MID(analisis_productividad__4[[#This Row],[Periodo]],5,2)</f>
        <v>07</v>
      </c>
      <c r="E532" s="1" t="s">
        <v>11</v>
      </c>
      <c r="F532" s="1" t="s">
        <v>12</v>
      </c>
      <c r="G532" s="1">
        <v>102293</v>
      </c>
      <c r="H532" s="1">
        <v>6066310</v>
      </c>
      <c r="I532" s="1">
        <v>59.303407258064524</v>
      </c>
      <c r="J532" s="1">
        <v>92686.131058668427</v>
      </c>
      <c r="K532" s="1">
        <v>65.5</v>
      </c>
      <c r="L532" s="1">
        <v>63</v>
      </c>
      <c r="M532" s="1">
        <v>65.450026241360192</v>
      </c>
      <c r="N532" s="1">
        <v>6093701</v>
      </c>
    </row>
    <row r="533" spans="1:14" x14ac:dyDescent="0.35">
      <c r="A533" s="1" t="s">
        <v>65</v>
      </c>
      <c r="B533" s="1">
        <v>202412</v>
      </c>
      <c r="C533" s="1" t="str">
        <f>MID(analisis_productividad__4[[#This Row],[Periodo]],1,4)</f>
        <v>2024</v>
      </c>
      <c r="D533" s="1" t="str">
        <f>MID(analisis_productividad__4[[#This Row],[Periodo]],5,2)</f>
        <v>12</v>
      </c>
      <c r="E533" s="1" t="s">
        <v>16</v>
      </c>
      <c r="F533" s="1" t="s">
        <v>19</v>
      </c>
      <c r="G533" s="1">
        <v>102210</v>
      </c>
      <c r="H533" s="1">
        <v>7504821</v>
      </c>
      <c r="I533" s="1">
        <v>73.425813172042993</v>
      </c>
      <c r="J533" s="1">
        <v>0</v>
      </c>
      <c r="K533" s="1">
        <v>68</v>
      </c>
      <c r="L533" s="1">
        <v>68.5</v>
      </c>
      <c r="M533" s="1"/>
      <c r="N533" s="1">
        <v>0</v>
      </c>
    </row>
    <row r="534" spans="1:14" x14ac:dyDescent="0.35">
      <c r="A534" s="1" t="s">
        <v>29</v>
      </c>
      <c r="B534" s="1">
        <v>202409</v>
      </c>
      <c r="C534" s="1" t="str">
        <f>MID(analisis_productividad__4[[#This Row],[Periodo]],1,4)</f>
        <v>2024</v>
      </c>
      <c r="D534" s="1" t="str">
        <f>MID(analisis_productividad__4[[#This Row],[Periodo]],5,2)</f>
        <v>09</v>
      </c>
      <c r="E534" s="1" t="s">
        <v>16</v>
      </c>
      <c r="F534" s="1" t="s">
        <v>19</v>
      </c>
      <c r="G534" s="1">
        <v>102177</v>
      </c>
      <c r="H534" s="1">
        <v>8979192</v>
      </c>
      <c r="I534" s="1">
        <v>87.878923611111134</v>
      </c>
      <c r="J534" s="1">
        <v>0</v>
      </c>
      <c r="K534" s="1">
        <v>96.5</v>
      </c>
      <c r="L534" s="1">
        <v>96</v>
      </c>
      <c r="M534" s="1"/>
      <c r="N534" s="1">
        <v>0</v>
      </c>
    </row>
    <row r="535" spans="1:14" x14ac:dyDescent="0.35">
      <c r="A535" s="1" t="s">
        <v>79</v>
      </c>
      <c r="B535" s="1">
        <v>202412</v>
      </c>
      <c r="C535" s="1" t="str">
        <f>MID(analisis_productividad__4[[#This Row],[Periodo]],1,4)</f>
        <v>2024</v>
      </c>
      <c r="D535" s="1" t="str">
        <f>MID(analisis_productividad__4[[#This Row],[Periodo]],5,2)</f>
        <v>12</v>
      </c>
      <c r="E535" s="1" t="s">
        <v>11</v>
      </c>
      <c r="F535" s="1" t="s">
        <v>12</v>
      </c>
      <c r="G535" s="1">
        <v>102168</v>
      </c>
      <c r="H535" s="1">
        <v>7437277</v>
      </c>
      <c r="I535" s="1">
        <v>72.794401881720447</v>
      </c>
      <c r="J535" s="1">
        <v>0</v>
      </c>
      <c r="K535" s="1">
        <v>64.5</v>
      </c>
      <c r="L535" s="1">
        <v>64</v>
      </c>
      <c r="M535" s="1"/>
      <c r="N535" s="1">
        <v>0</v>
      </c>
    </row>
    <row r="536" spans="1:14" x14ac:dyDescent="0.35">
      <c r="A536" s="1" t="s">
        <v>58</v>
      </c>
      <c r="B536" s="1">
        <v>202512</v>
      </c>
      <c r="C536" s="1" t="str">
        <f>MID(analisis_productividad__4[[#This Row],[Periodo]],1,4)</f>
        <v>2025</v>
      </c>
      <c r="D536" s="1" t="str">
        <f>MID(analisis_productividad__4[[#This Row],[Periodo]],5,2)</f>
        <v>12</v>
      </c>
      <c r="E536" s="1" t="s">
        <v>34</v>
      </c>
      <c r="F536" s="1" t="s">
        <v>35</v>
      </c>
      <c r="G536" s="1">
        <v>102163</v>
      </c>
      <c r="H536" s="1">
        <v>4434770</v>
      </c>
      <c r="I536" s="1">
        <v>43.408655913978464</v>
      </c>
      <c r="J536" s="1">
        <v>92957.429362222232</v>
      </c>
      <c r="K536" s="1">
        <v>53.5</v>
      </c>
      <c r="L536" s="1">
        <v>52</v>
      </c>
      <c r="M536" s="1">
        <v>47.70753387251353</v>
      </c>
      <c r="N536" s="1">
        <v>4821563</v>
      </c>
    </row>
    <row r="537" spans="1:14" x14ac:dyDescent="0.35">
      <c r="A537" s="1" t="s">
        <v>27</v>
      </c>
      <c r="B537" s="1">
        <v>202406</v>
      </c>
      <c r="C537" s="1" t="str">
        <f>MID(analisis_productividad__4[[#This Row],[Periodo]],1,4)</f>
        <v>2024</v>
      </c>
      <c r="D537" s="1" t="str">
        <f>MID(analisis_productividad__4[[#This Row],[Periodo]],5,2)</f>
        <v>06</v>
      </c>
      <c r="E537" s="1" t="s">
        <v>11</v>
      </c>
      <c r="F537" s="1" t="s">
        <v>14</v>
      </c>
      <c r="G537" s="1">
        <v>102147</v>
      </c>
      <c r="H537" s="1">
        <v>8107532</v>
      </c>
      <c r="I537" s="1">
        <v>79.370909722222223</v>
      </c>
      <c r="J537" s="1">
        <v>0</v>
      </c>
      <c r="K537" s="1">
        <v>88</v>
      </c>
      <c r="L537" s="1">
        <v>84</v>
      </c>
      <c r="M537" s="1"/>
      <c r="N537" s="1">
        <v>0</v>
      </c>
    </row>
    <row r="538" spans="1:14" x14ac:dyDescent="0.35">
      <c r="A538" s="1" t="s">
        <v>85</v>
      </c>
      <c r="B538" s="1">
        <v>202512</v>
      </c>
      <c r="C538" s="1" t="str">
        <f>MID(analisis_productividad__4[[#This Row],[Periodo]],1,4)</f>
        <v>2025</v>
      </c>
      <c r="D538" s="1" t="str">
        <f>MID(analisis_productividad__4[[#This Row],[Periodo]],5,2)</f>
        <v>12</v>
      </c>
      <c r="E538" s="1" t="s">
        <v>11</v>
      </c>
      <c r="F538" s="1" t="s">
        <v>14</v>
      </c>
      <c r="G538" s="1">
        <v>102130</v>
      </c>
      <c r="H538" s="1">
        <v>5573949</v>
      </c>
      <c r="I538" s="1">
        <v>54.577137096774194</v>
      </c>
      <c r="J538" s="1">
        <v>106224.3500749313</v>
      </c>
      <c r="K538" s="1">
        <v>60.5</v>
      </c>
      <c r="L538" s="1">
        <v>57.5</v>
      </c>
      <c r="M538" s="1">
        <v>52.473366003822129</v>
      </c>
      <c r="N538" s="1">
        <v>5963632</v>
      </c>
    </row>
    <row r="539" spans="1:14" x14ac:dyDescent="0.35">
      <c r="A539" s="1" t="s">
        <v>60</v>
      </c>
      <c r="B539" s="1">
        <v>202503</v>
      </c>
      <c r="C539" s="1" t="str">
        <f>MID(analisis_productividad__4[[#This Row],[Periodo]],1,4)</f>
        <v>2025</v>
      </c>
      <c r="D539" s="1" t="str">
        <f>MID(analisis_productividad__4[[#This Row],[Periodo]],5,2)</f>
        <v>03</v>
      </c>
      <c r="E539" s="1" t="s">
        <v>11</v>
      </c>
      <c r="F539" s="1" t="s">
        <v>14</v>
      </c>
      <c r="G539" s="1">
        <v>102072</v>
      </c>
      <c r="H539" s="1">
        <v>7340456</v>
      </c>
      <c r="I539" s="1">
        <v>71.914650537634429</v>
      </c>
      <c r="J539" s="1">
        <v>105753.88720346721</v>
      </c>
      <c r="K539" s="1">
        <v>75.5</v>
      </c>
      <c r="L539" s="1">
        <v>74</v>
      </c>
      <c r="M539" s="1">
        <v>69.410747860995301</v>
      </c>
      <c r="N539" s="1">
        <v>7876611</v>
      </c>
    </row>
    <row r="540" spans="1:14" x14ac:dyDescent="0.35">
      <c r="A540" s="1" t="s">
        <v>43</v>
      </c>
      <c r="B540" s="1">
        <v>202403</v>
      </c>
      <c r="C540" s="1" t="str">
        <f>MID(analisis_productividad__4[[#This Row],[Periodo]],1,4)</f>
        <v>2024</v>
      </c>
      <c r="D540" s="1" t="str">
        <f>MID(analisis_productividad__4[[#This Row],[Periodo]],5,2)</f>
        <v>03</v>
      </c>
      <c r="E540" s="1" t="s">
        <v>11</v>
      </c>
      <c r="F540" s="1" t="s">
        <v>12</v>
      </c>
      <c r="G540" s="1">
        <v>102029</v>
      </c>
      <c r="H540" s="1">
        <v>8159013</v>
      </c>
      <c r="I540" s="1">
        <v>79.967237903225808</v>
      </c>
      <c r="J540" s="1">
        <v>0</v>
      </c>
      <c r="K540" s="1">
        <v>84.5</v>
      </c>
      <c r="L540" s="1">
        <v>86.5</v>
      </c>
      <c r="M540" s="1"/>
      <c r="N540" s="1">
        <v>0</v>
      </c>
    </row>
    <row r="541" spans="1:14" x14ac:dyDescent="0.35">
      <c r="A541" s="1" t="s">
        <v>69</v>
      </c>
      <c r="B541" s="1">
        <v>202412</v>
      </c>
      <c r="C541" s="1" t="str">
        <f>MID(analisis_productividad__4[[#This Row],[Periodo]],1,4)</f>
        <v>2024</v>
      </c>
      <c r="D541" s="1" t="str">
        <f>MID(analisis_productividad__4[[#This Row],[Periodo]],5,2)</f>
        <v>12</v>
      </c>
      <c r="E541" s="1" t="s">
        <v>11</v>
      </c>
      <c r="F541" s="1" t="s">
        <v>52</v>
      </c>
      <c r="G541" s="1">
        <v>101988</v>
      </c>
      <c r="H541" s="1">
        <v>6589805</v>
      </c>
      <c r="I541" s="1">
        <v>64.613481182795695</v>
      </c>
      <c r="J541" s="1">
        <v>0</v>
      </c>
      <c r="K541" s="1">
        <v>68</v>
      </c>
      <c r="L541" s="1">
        <v>60.5</v>
      </c>
      <c r="M541" s="1"/>
      <c r="N541" s="1">
        <v>0</v>
      </c>
    </row>
    <row r="542" spans="1:14" x14ac:dyDescent="0.35">
      <c r="A542" s="1" t="s">
        <v>43</v>
      </c>
      <c r="B542" s="1">
        <v>202606</v>
      </c>
      <c r="C542" s="1" t="str">
        <f>MID(analisis_productividad__4[[#This Row],[Periodo]],1,4)</f>
        <v>2026</v>
      </c>
      <c r="D542" s="1" t="str">
        <f>MID(analisis_productividad__4[[#This Row],[Periodo]],5,2)</f>
        <v>06</v>
      </c>
      <c r="E542" s="1" t="s">
        <v>11</v>
      </c>
      <c r="F542" s="1" t="s">
        <v>12</v>
      </c>
      <c r="G542" s="1">
        <v>101949</v>
      </c>
      <c r="H542" s="1">
        <v>7280441</v>
      </c>
      <c r="I542" s="1">
        <v>71.412736111113404</v>
      </c>
      <c r="J542" s="1">
        <v>97544.191137583024</v>
      </c>
      <c r="K542" s="1">
        <v>84.5</v>
      </c>
      <c r="L542" s="1">
        <v>86.5</v>
      </c>
      <c r="M542" s="1">
        <v>71.456708642637324</v>
      </c>
      <c r="N542" s="1">
        <v>6970187</v>
      </c>
    </row>
    <row r="543" spans="1:14" x14ac:dyDescent="0.35">
      <c r="A543" s="1" t="s">
        <v>39</v>
      </c>
      <c r="B543" s="1">
        <v>202503</v>
      </c>
      <c r="C543" s="1" t="str">
        <f>MID(analisis_productividad__4[[#This Row],[Periodo]],1,4)</f>
        <v>2025</v>
      </c>
      <c r="D543" s="1" t="str">
        <f>MID(analisis_productividad__4[[#This Row],[Periodo]],5,2)</f>
        <v>03</v>
      </c>
      <c r="E543" s="1" t="s">
        <v>16</v>
      </c>
      <c r="F543" s="1" t="s">
        <v>17</v>
      </c>
      <c r="G543" s="1">
        <v>101909</v>
      </c>
      <c r="H543" s="1">
        <v>9051269</v>
      </c>
      <c r="I543" s="1">
        <v>88.817063172042879</v>
      </c>
      <c r="J543" s="1">
        <v>106696.73930929552</v>
      </c>
      <c r="K543" s="1">
        <v>93.5</v>
      </c>
      <c r="L543" s="1">
        <v>94</v>
      </c>
      <c r="M543" s="1">
        <v>84.831725867103813</v>
      </c>
      <c r="N543" s="1">
        <v>9225635</v>
      </c>
    </row>
    <row r="544" spans="1:14" x14ac:dyDescent="0.35">
      <c r="A544" s="1" t="s">
        <v>56</v>
      </c>
      <c r="B544" s="1">
        <v>202507</v>
      </c>
      <c r="C544" s="1" t="str">
        <f>MID(analisis_productividad__4[[#This Row],[Periodo]],1,4)</f>
        <v>2025</v>
      </c>
      <c r="D544" s="1" t="str">
        <f>MID(analisis_productividad__4[[#This Row],[Periodo]],5,2)</f>
        <v>07</v>
      </c>
      <c r="E544" s="1" t="s">
        <v>16</v>
      </c>
      <c r="F544" s="1" t="s">
        <v>21</v>
      </c>
      <c r="G544" s="1">
        <v>101845</v>
      </c>
      <c r="H544" s="1">
        <v>6168740</v>
      </c>
      <c r="I544" s="1">
        <v>60.570134408602129</v>
      </c>
      <c r="J544" s="1">
        <v>116844.36090225566</v>
      </c>
      <c r="K544" s="1">
        <v>72.5</v>
      </c>
      <c r="L544" s="1">
        <v>68.5</v>
      </c>
      <c r="M544" s="1">
        <v>52.79450529204712</v>
      </c>
      <c r="N544" s="1">
        <v>7185540</v>
      </c>
    </row>
    <row r="545" spans="1:14" x14ac:dyDescent="0.35">
      <c r="A545" s="1" t="s">
        <v>53</v>
      </c>
      <c r="B545" s="1">
        <v>202407</v>
      </c>
      <c r="C545" s="1" t="str">
        <f>MID(analisis_productividad__4[[#This Row],[Periodo]],1,4)</f>
        <v>2024</v>
      </c>
      <c r="D545" s="1" t="str">
        <f>MID(analisis_productividad__4[[#This Row],[Periodo]],5,2)</f>
        <v>07</v>
      </c>
      <c r="E545" s="1" t="s">
        <v>11</v>
      </c>
      <c r="F545" s="1" t="s">
        <v>12</v>
      </c>
      <c r="G545" s="1">
        <v>101825</v>
      </c>
      <c r="H545" s="1">
        <v>7042900</v>
      </c>
      <c r="I545" s="1">
        <v>69.16682123655913</v>
      </c>
      <c r="J545" s="1">
        <v>0</v>
      </c>
      <c r="K545" s="1">
        <v>81</v>
      </c>
      <c r="L545" s="1">
        <v>77</v>
      </c>
      <c r="M545" s="1"/>
      <c r="N545" s="1">
        <v>0</v>
      </c>
    </row>
    <row r="546" spans="1:14" x14ac:dyDescent="0.35">
      <c r="A546" s="1" t="s">
        <v>61</v>
      </c>
      <c r="B546" s="1">
        <v>202408</v>
      </c>
      <c r="C546" s="1" t="str">
        <f>MID(analisis_productividad__4[[#This Row],[Periodo]],1,4)</f>
        <v>2024</v>
      </c>
      <c r="D546" s="1" t="str">
        <f>MID(analisis_productividad__4[[#This Row],[Periodo]],5,2)</f>
        <v>08</v>
      </c>
      <c r="E546" s="1" t="s">
        <v>11</v>
      </c>
      <c r="F546" s="1" t="s">
        <v>52</v>
      </c>
      <c r="G546" s="1">
        <v>101810</v>
      </c>
      <c r="H546" s="1">
        <v>8822377</v>
      </c>
      <c r="I546" s="1">
        <v>86.655625000000043</v>
      </c>
      <c r="J546" s="1">
        <v>0</v>
      </c>
      <c r="K546" s="1">
        <v>104.5</v>
      </c>
      <c r="L546" s="1">
        <v>99</v>
      </c>
      <c r="M546" s="1"/>
      <c r="N546" s="1">
        <v>0</v>
      </c>
    </row>
    <row r="547" spans="1:14" x14ac:dyDescent="0.35">
      <c r="A547" s="1" t="s">
        <v>54</v>
      </c>
      <c r="B547" s="1">
        <v>202606</v>
      </c>
      <c r="C547" s="1" t="str">
        <f>MID(analisis_productividad__4[[#This Row],[Periodo]],1,4)</f>
        <v>2026</v>
      </c>
      <c r="D547" s="1" t="str">
        <f>MID(analisis_productividad__4[[#This Row],[Periodo]],5,2)</f>
        <v>06</v>
      </c>
      <c r="E547" s="1" t="s">
        <v>11</v>
      </c>
      <c r="F547" s="1" t="s">
        <v>52</v>
      </c>
      <c r="G547" s="1">
        <v>101784</v>
      </c>
      <c r="H547" s="1">
        <v>9047987</v>
      </c>
      <c r="I547" s="1">
        <v>88.894312500002343</v>
      </c>
      <c r="J547" s="1">
        <v>93926.935431288468</v>
      </c>
      <c r="K547" s="1">
        <v>106</v>
      </c>
      <c r="L547" s="1">
        <v>102.5</v>
      </c>
      <c r="M547" s="1">
        <v>90.060822135394957</v>
      </c>
      <c r="N547" s="1">
        <v>8459137</v>
      </c>
    </row>
    <row r="548" spans="1:14" x14ac:dyDescent="0.35">
      <c r="A548" s="1" t="s">
        <v>40</v>
      </c>
      <c r="B548" s="1">
        <v>202602</v>
      </c>
      <c r="C548" s="1" t="str">
        <f>MID(analisis_productividad__4[[#This Row],[Periodo]],1,4)</f>
        <v>2026</v>
      </c>
      <c r="D548" s="1" t="str">
        <f>MID(analisis_productividad__4[[#This Row],[Periodo]],5,2)</f>
        <v>02</v>
      </c>
      <c r="E548" s="1" t="s">
        <v>11</v>
      </c>
      <c r="F548" s="1" t="s">
        <v>14</v>
      </c>
      <c r="G548" s="1">
        <v>101711</v>
      </c>
      <c r="H548" s="1">
        <v>6710236</v>
      </c>
      <c r="I548" s="1">
        <v>65.973854166666669</v>
      </c>
      <c r="J548" s="1">
        <v>92254.833011497321</v>
      </c>
      <c r="K548" s="1">
        <v>76.5</v>
      </c>
      <c r="L548" s="1">
        <v>75.5</v>
      </c>
      <c r="M548" s="1">
        <v>67.697971575339096</v>
      </c>
      <c r="N548" s="1">
        <v>6245465</v>
      </c>
    </row>
    <row r="549" spans="1:14" x14ac:dyDescent="0.35">
      <c r="A549" s="1" t="s">
        <v>50</v>
      </c>
      <c r="B549" s="1">
        <v>202508</v>
      </c>
      <c r="C549" s="1" t="str">
        <f>MID(analisis_productividad__4[[#This Row],[Periodo]],1,4)</f>
        <v>2025</v>
      </c>
      <c r="D549" s="1" t="str">
        <f>MID(analisis_productividad__4[[#This Row],[Periodo]],5,2)</f>
        <v>08</v>
      </c>
      <c r="E549" s="1" t="s">
        <v>34</v>
      </c>
      <c r="F549" s="1" t="s">
        <v>35</v>
      </c>
      <c r="G549" s="1">
        <v>101703</v>
      </c>
      <c r="H549" s="1">
        <v>6007036</v>
      </c>
      <c r="I549" s="1">
        <v>59.064569892473145</v>
      </c>
      <c r="J549" s="1">
        <v>99478.104094011505</v>
      </c>
      <c r="K549" s="1">
        <v>79.5</v>
      </c>
      <c r="L549" s="1">
        <v>72.5</v>
      </c>
      <c r="M549" s="1">
        <v>60.385510708196321</v>
      </c>
      <c r="N549" s="1">
        <v>6001323</v>
      </c>
    </row>
    <row r="550" spans="1:14" x14ac:dyDescent="0.35">
      <c r="A550" s="1" t="s">
        <v>51</v>
      </c>
      <c r="B550" s="1">
        <v>202504</v>
      </c>
      <c r="C550" s="1" t="str">
        <f>MID(analisis_productividad__4[[#This Row],[Periodo]],1,4)</f>
        <v>2025</v>
      </c>
      <c r="D550" s="1" t="str">
        <f>MID(analisis_productividad__4[[#This Row],[Periodo]],5,2)</f>
        <v>04</v>
      </c>
      <c r="E550" s="1" t="s">
        <v>11</v>
      </c>
      <c r="F550" s="1" t="s">
        <v>52</v>
      </c>
      <c r="G550" s="1">
        <v>101661</v>
      </c>
      <c r="H550" s="1">
        <v>9576095</v>
      </c>
      <c r="I550" s="1">
        <v>94.196472222222212</v>
      </c>
      <c r="J550" s="1">
        <v>103826.72737841868</v>
      </c>
      <c r="K550" s="1">
        <v>117.5</v>
      </c>
      <c r="L550" s="1">
        <v>99</v>
      </c>
      <c r="M550" s="1">
        <v>92.23150360020378</v>
      </c>
      <c r="N550" s="1">
        <v>9879676</v>
      </c>
    </row>
    <row r="551" spans="1:14" x14ac:dyDescent="0.35">
      <c r="A551" s="1" t="s">
        <v>61</v>
      </c>
      <c r="B551" s="1">
        <v>202604</v>
      </c>
      <c r="C551" s="1" t="str">
        <f>MID(analisis_productividad__4[[#This Row],[Periodo]],1,4)</f>
        <v>2026</v>
      </c>
      <c r="D551" s="1" t="str">
        <f>MID(analisis_productividad__4[[#This Row],[Periodo]],5,2)</f>
        <v>04</v>
      </c>
      <c r="E551" s="1" t="s">
        <v>11</v>
      </c>
      <c r="F551" s="1" t="s">
        <v>52</v>
      </c>
      <c r="G551" s="1">
        <v>101623</v>
      </c>
      <c r="H551" s="1">
        <v>9111030</v>
      </c>
      <c r="I551" s="1">
        <v>89.655222222224282</v>
      </c>
      <c r="J551" s="1">
        <v>98771.109411515688</v>
      </c>
      <c r="K551" s="1">
        <v>104.5</v>
      </c>
      <c r="L551" s="1">
        <v>99</v>
      </c>
      <c r="M551" s="1">
        <v>90.280982690474389</v>
      </c>
      <c r="N551" s="1">
        <v>8917153</v>
      </c>
    </row>
    <row r="552" spans="1:14" x14ac:dyDescent="0.35">
      <c r="A552" s="1" t="s">
        <v>39</v>
      </c>
      <c r="B552" s="1">
        <v>202403</v>
      </c>
      <c r="C552" s="1" t="str">
        <f>MID(analisis_productividad__4[[#This Row],[Periodo]],1,4)</f>
        <v>2024</v>
      </c>
      <c r="D552" s="1" t="str">
        <f>MID(analisis_productividad__4[[#This Row],[Periodo]],5,2)</f>
        <v>03</v>
      </c>
      <c r="E552" s="1" t="s">
        <v>16</v>
      </c>
      <c r="F552" s="1" t="s">
        <v>17</v>
      </c>
      <c r="G552" s="1">
        <v>101616</v>
      </c>
      <c r="H552" s="1">
        <v>8997767</v>
      </c>
      <c r="I552" s="1">
        <v>88.546801075268789</v>
      </c>
      <c r="J552" s="1">
        <v>0</v>
      </c>
      <c r="K552" s="1">
        <v>93.5</v>
      </c>
      <c r="L552" s="1">
        <v>94</v>
      </c>
      <c r="M552" s="1"/>
      <c r="N552" s="1">
        <v>0</v>
      </c>
    </row>
    <row r="553" spans="1:14" x14ac:dyDescent="0.35">
      <c r="A553" s="1" t="s">
        <v>25</v>
      </c>
      <c r="B553" s="1">
        <v>202510</v>
      </c>
      <c r="C553" s="1" t="str">
        <f>MID(analisis_productividad__4[[#This Row],[Periodo]],1,4)</f>
        <v>2025</v>
      </c>
      <c r="D553" s="1" t="str">
        <f>MID(analisis_productividad__4[[#This Row],[Periodo]],5,2)</f>
        <v>10</v>
      </c>
      <c r="E553" s="1" t="s">
        <v>16</v>
      </c>
      <c r="F553" s="1" t="s">
        <v>19</v>
      </c>
      <c r="G553" s="1">
        <v>101606</v>
      </c>
      <c r="H553" s="1">
        <v>8475539</v>
      </c>
      <c r="I553" s="1">
        <v>83.415678763440823</v>
      </c>
      <c r="J553" s="1">
        <v>100628.78106173531</v>
      </c>
      <c r="K553" s="1">
        <v>94</v>
      </c>
      <c r="L553" s="1">
        <v>92</v>
      </c>
      <c r="M553" s="1">
        <v>84.225791175988647</v>
      </c>
      <c r="N553" s="1">
        <v>8006547</v>
      </c>
    </row>
    <row r="554" spans="1:14" x14ac:dyDescent="0.35">
      <c r="A554" s="1" t="s">
        <v>28</v>
      </c>
      <c r="B554" s="1">
        <v>202407</v>
      </c>
      <c r="C554" s="1" t="str">
        <f>MID(analisis_productividad__4[[#This Row],[Periodo]],1,4)</f>
        <v>2024</v>
      </c>
      <c r="D554" s="1" t="str">
        <f>MID(analisis_productividad__4[[#This Row],[Periodo]],5,2)</f>
        <v>07</v>
      </c>
      <c r="E554" s="1" t="s">
        <v>16</v>
      </c>
      <c r="F554" s="1" t="s">
        <v>17</v>
      </c>
      <c r="G554" s="1">
        <v>101599</v>
      </c>
      <c r="H554" s="1">
        <v>6141428</v>
      </c>
      <c r="I554" s="1">
        <v>60.447446236559145</v>
      </c>
      <c r="J554" s="1">
        <v>0</v>
      </c>
      <c r="K554" s="1">
        <v>64</v>
      </c>
      <c r="L554" s="1">
        <v>67</v>
      </c>
      <c r="M554" s="1"/>
      <c r="N554" s="1">
        <v>0</v>
      </c>
    </row>
    <row r="555" spans="1:14" x14ac:dyDescent="0.35">
      <c r="A555" s="1" t="s">
        <v>36</v>
      </c>
      <c r="B555" s="1">
        <v>202405</v>
      </c>
      <c r="C555" s="1" t="str">
        <f>MID(analisis_productividad__4[[#This Row],[Periodo]],1,4)</f>
        <v>2024</v>
      </c>
      <c r="D555" s="1" t="str">
        <f>MID(analisis_productividad__4[[#This Row],[Periodo]],5,2)</f>
        <v>05</v>
      </c>
      <c r="E555" s="1" t="s">
        <v>16</v>
      </c>
      <c r="F555" s="1" t="s">
        <v>17</v>
      </c>
      <c r="G555" s="1">
        <v>101585</v>
      </c>
      <c r="H555" s="1">
        <v>7281319</v>
      </c>
      <c r="I555" s="1">
        <v>71.677271505376297</v>
      </c>
      <c r="J555" s="1">
        <v>0</v>
      </c>
      <c r="K555" s="1">
        <v>76.5</v>
      </c>
      <c r="L555" s="1">
        <v>80</v>
      </c>
      <c r="M555" s="1"/>
      <c r="N555" s="1">
        <v>0</v>
      </c>
    </row>
    <row r="556" spans="1:14" x14ac:dyDescent="0.35">
      <c r="A556" s="1" t="s">
        <v>29</v>
      </c>
      <c r="B556" s="1">
        <v>202502</v>
      </c>
      <c r="C556" s="1" t="str">
        <f>MID(analisis_productividad__4[[#This Row],[Periodo]],1,4)</f>
        <v>2025</v>
      </c>
      <c r="D556" s="1" t="str">
        <f>MID(analisis_productividad__4[[#This Row],[Periodo]],5,2)</f>
        <v>02</v>
      </c>
      <c r="E556" s="1" t="s">
        <v>16</v>
      </c>
      <c r="F556" s="1" t="s">
        <v>19</v>
      </c>
      <c r="G556" s="1">
        <v>101574</v>
      </c>
      <c r="H556" s="1">
        <v>9381120</v>
      </c>
      <c r="I556" s="1">
        <v>92.357135416666679</v>
      </c>
      <c r="J556" s="1">
        <v>99220.845089908093</v>
      </c>
      <c r="K556" s="1">
        <v>96.5</v>
      </c>
      <c r="L556" s="1">
        <v>96</v>
      </c>
      <c r="M556" s="1">
        <v>94.547874708176295</v>
      </c>
      <c r="N556" s="1">
        <v>8613283</v>
      </c>
    </row>
    <row r="557" spans="1:14" x14ac:dyDescent="0.35">
      <c r="A557" s="1" t="s">
        <v>37</v>
      </c>
      <c r="B557" s="1">
        <v>202407</v>
      </c>
      <c r="C557" s="1" t="str">
        <f>MID(analisis_productividad__4[[#This Row],[Periodo]],1,4)</f>
        <v>2024</v>
      </c>
      <c r="D557" s="1" t="str">
        <f>MID(analisis_productividad__4[[#This Row],[Periodo]],5,2)</f>
        <v>07</v>
      </c>
      <c r="E557" s="1" t="s">
        <v>16</v>
      </c>
      <c r="F557" s="1" t="s">
        <v>17</v>
      </c>
      <c r="G557" s="1">
        <v>101554</v>
      </c>
      <c r="H557" s="1">
        <v>11001575</v>
      </c>
      <c r="I557" s="1">
        <v>108.33215053763442</v>
      </c>
      <c r="J557" s="1">
        <v>0</v>
      </c>
      <c r="K557" s="1">
        <v>107.5</v>
      </c>
      <c r="L557" s="1">
        <v>102.5</v>
      </c>
      <c r="M557" s="1"/>
      <c r="N557" s="1">
        <v>0</v>
      </c>
    </row>
    <row r="558" spans="1:14" x14ac:dyDescent="0.35">
      <c r="A558" s="1" t="s">
        <v>67</v>
      </c>
      <c r="B558" s="1">
        <v>202605</v>
      </c>
      <c r="C558" s="1" t="str">
        <f>MID(analisis_productividad__4[[#This Row],[Periodo]],1,4)</f>
        <v>2026</v>
      </c>
      <c r="D558" s="1" t="str">
        <f>MID(analisis_productividad__4[[#This Row],[Periodo]],5,2)</f>
        <v>05</v>
      </c>
      <c r="E558" s="1" t="s">
        <v>16</v>
      </c>
      <c r="F558" s="1" t="s">
        <v>19</v>
      </c>
      <c r="G558" s="1">
        <v>101518</v>
      </c>
      <c r="H558" s="1">
        <v>6988920</v>
      </c>
      <c r="I558" s="1">
        <v>68.843823924730657</v>
      </c>
      <c r="J558" s="1">
        <v>99753.260557805013</v>
      </c>
      <c r="K558" s="1">
        <v>79.5</v>
      </c>
      <c r="L558" s="1">
        <v>81.5</v>
      </c>
      <c r="M558" s="1">
        <v>68.773296674593993</v>
      </c>
      <c r="N558" s="1">
        <v>6860361</v>
      </c>
    </row>
    <row r="559" spans="1:14" x14ac:dyDescent="0.35">
      <c r="A559" s="1" t="s">
        <v>54</v>
      </c>
      <c r="B559" s="1">
        <v>202504</v>
      </c>
      <c r="C559" s="1" t="str">
        <f>MID(analisis_productividad__4[[#This Row],[Periodo]],1,4)</f>
        <v>2025</v>
      </c>
      <c r="D559" s="1" t="str">
        <f>MID(analisis_productividad__4[[#This Row],[Periodo]],5,2)</f>
        <v>04</v>
      </c>
      <c r="E559" s="1" t="s">
        <v>11</v>
      </c>
      <c r="F559" s="1" t="s">
        <v>52</v>
      </c>
      <c r="G559" s="1">
        <v>101484</v>
      </c>
      <c r="H559" s="1">
        <v>8798544</v>
      </c>
      <c r="I559" s="1">
        <v>86.698548611111121</v>
      </c>
      <c r="J559" s="1">
        <v>84897.29014856524</v>
      </c>
      <c r="K559" s="1">
        <v>106</v>
      </c>
      <c r="L559" s="1">
        <v>102.5</v>
      </c>
      <c r="M559" s="1">
        <v>103.63751062728936</v>
      </c>
      <c r="N559" s="1">
        <v>9604933</v>
      </c>
    </row>
    <row r="560" spans="1:14" x14ac:dyDescent="0.35">
      <c r="A560" s="1" t="s">
        <v>61</v>
      </c>
      <c r="B560" s="1">
        <v>202508</v>
      </c>
      <c r="C560" s="1" t="str">
        <f>MID(analisis_productividad__4[[#This Row],[Periodo]],1,4)</f>
        <v>2025</v>
      </c>
      <c r="D560" s="1" t="str">
        <f>MID(analisis_productividad__4[[#This Row],[Periodo]],5,2)</f>
        <v>08</v>
      </c>
      <c r="E560" s="1" t="s">
        <v>11</v>
      </c>
      <c r="F560" s="1" t="s">
        <v>52</v>
      </c>
      <c r="G560" s="1">
        <v>101457</v>
      </c>
      <c r="H560" s="1">
        <v>8808163</v>
      </c>
      <c r="I560" s="1">
        <v>86.816841397849473</v>
      </c>
      <c r="J560" s="1">
        <v>106900.10800222137</v>
      </c>
      <c r="K560" s="1">
        <v>104.5</v>
      </c>
      <c r="L560" s="1">
        <v>99</v>
      </c>
      <c r="M560" s="1">
        <v>82.396207119051425</v>
      </c>
      <c r="N560" s="1">
        <v>9124119</v>
      </c>
    </row>
    <row r="561" spans="1:14" x14ac:dyDescent="0.35">
      <c r="A561" s="1" t="s">
        <v>72</v>
      </c>
      <c r="B561" s="1">
        <v>202403</v>
      </c>
      <c r="C561" s="1" t="str">
        <f>MID(analisis_productividad__4[[#This Row],[Periodo]],1,4)</f>
        <v>2024</v>
      </c>
      <c r="D561" s="1" t="str">
        <f>MID(analisis_productividad__4[[#This Row],[Periodo]],5,2)</f>
        <v>03</v>
      </c>
      <c r="E561" s="1" t="s">
        <v>11</v>
      </c>
      <c r="F561" s="1" t="s">
        <v>14</v>
      </c>
      <c r="G561" s="1">
        <v>101455</v>
      </c>
      <c r="H561" s="1">
        <v>6684313</v>
      </c>
      <c r="I561" s="1">
        <v>65.884206989247346</v>
      </c>
      <c r="J561" s="1">
        <v>0</v>
      </c>
      <c r="K561" s="1">
        <v>66</v>
      </c>
      <c r="L561" s="1">
        <v>64.5</v>
      </c>
      <c r="M561" s="1"/>
      <c r="N561" s="1">
        <v>0</v>
      </c>
    </row>
    <row r="562" spans="1:14" x14ac:dyDescent="0.35">
      <c r="A562" s="1" t="s">
        <v>70</v>
      </c>
      <c r="B562" s="1">
        <v>202603</v>
      </c>
      <c r="C562" s="1" t="str">
        <f>MID(analisis_productividad__4[[#This Row],[Periodo]],1,4)</f>
        <v>2026</v>
      </c>
      <c r="D562" s="1" t="str">
        <f>MID(analisis_productividad__4[[#This Row],[Periodo]],5,2)</f>
        <v>03</v>
      </c>
      <c r="E562" s="1" t="s">
        <v>11</v>
      </c>
      <c r="F562" s="1" t="s">
        <v>14</v>
      </c>
      <c r="G562" s="1">
        <v>101328</v>
      </c>
      <c r="H562" s="1">
        <v>6302852</v>
      </c>
      <c r="I562" s="1">
        <v>62.202479838709699</v>
      </c>
      <c r="J562" s="1">
        <v>107300.29933535568</v>
      </c>
      <c r="K562" s="1">
        <v>65</v>
      </c>
      <c r="L562" s="1">
        <v>67.5</v>
      </c>
      <c r="M562" s="1">
        <v>56.772923994003762</v>
      </c>
      <c r="N562" s="1">
        <v>6091752</v>
      </c>
    </row>
    <row r="563" spans="1:14" x14ac:dyDescent="0.35">
      <c r="A563" s="1" t="s">
        <v>58</v>
      </c>
      <c r="B563" s="1">
        <v>202503</v>
      </c>
      <c r="C563" s="1" t="str">
        <f>MID(analisis_productividad__4[[#This Row],[Periodo]],1,4)</f>
        <v>2025</v>
      </c>
      <c r="D563" s="1" t="str">
        <f>MID(analisis_productividad__4[[#This Row],[Periodo]],5,2)</f>
        <v>03</v>
      </c>
      <c r="E563" s="1" t="s">
        <v>34</v>
      </c>
      <c r="F563" s="1" t="s">
        <v>35</v>
      </c>
      <c r="G563" s="1">
        <v>101315</v>
      </c>
      <c r="H563" s="1">
        <v>4555194</v>
      </c>
      <c r="I563" s="1">
        <v>44.960557795698925</v>
      </c>
      <c r="J563" s="1">
        <v>94115.956414838292</v>
      </c>
      <c r="K563" s="1">
        <v>53.5</v>
      </c>
      <c r="L563" s="1">
        <v>52</v>
      </c>
      <c r="M563" s="1">
        <v>48.39980215386548</v>
      </c>
      <c r="N563" s="1">
        <v>4583728</v>
      </c>
    </row>
    <row r="564" spans="1:14" x14ac:dyDescent="0.35">
      <c r="A564" s="1" t="s">
        <v>13</v>
      </c>
      <c r="B564" s="1">
        <v>202509</v>
      </c>
      <c r="C564" s="1" t="str">
        <f>MID(analisis_productividad__4[[#This Row],[Periodo]],1,4)</f>
        <v>2025</v>
      </c>
      <c r="D564" s="1" t="str">
        <f>MID(analisis_productividad__4[[#This Row],[Periodo]],5,2)</f>
        <v>09</v>
      </c>
      <c r="E564" s="1" t="s">
        <v>11</v>
      </c>
      <c r="F564" s="1" t="s">
        <v>14</v>
      </c>
      <c r="G564" s="1">
        <v>101268</v>
      </c>
      <c r="H564" s="1">
        <v>8605098</v>
      </c>
      <c r="I564" s="1">
        <v>84.973437500000045</v>
      </c>
      <c r="J564" s="1">
        <v>99976.059882908899</v>
      </c>
      <c r="K564" s="1">
        <v>100</v>
      </c>
      <c r="L564" s="1">
        <v>98</v>
      </c>
      <c r="M564" s="1">
        <v>86.071583637905064</v>
      </c>
      <c r="N564" s="1">
        <v>9193875</v>
      </c>
    </row>
    <row r="565" spans="1:14" x14ac:dyDescent="0.35">
      <c r="A565" s="1" t="s">
        <v>56</v>
      </c>
      <c r="B565" s="1">
        <v>202505</v>
      </c>
      <c r="C565" s="1" t="str">
        <f>MID(analisis_productividad__4[[#This Row],[Periodo]],1,4)</f>
        <v>2025</v>
      </c>
      <c r="D565" s="1" t="str">
        <f>MID(analisis_productividad__4[[#This Row],[Periodo]],5,2)</f>
        <v>05</v>
      </c>
      <c r="E565" s="1" t="s">
        <v>16</v>
      </c>
      <c r="F565" s="1" t="s">
        <v>21</v>
      </c>
      <c r="G565" s="1">
        <v>101268</v>
      </c>
      <c r="H565" s="1">
        <v>6101716</v>
      </c>
      <c r="I565" s="1">
        <v>60.25329973118275</v>
      </c>
      <c r="J565" s="1">
        <v>88919.115560465478</v>
      </c>
      <c r="K565" s="1">
        <v>72.5</v>
      </c>
      <c r="L565" s="1">
        <v>68.5</v>
      </c>
      <c r="M565" s="1">
        <v>68.6209696479808</v>
      </c>
      <c r="N565" s="1">
        <v>6011564</v>
      </c>
    </row>
    <row r="566" spans="1:14" x14ac:dyDescent="0.35">
      <c r="A566" s="1" t="s">
        <v>23</v>
      </c>
      <c r="B566" s="1">
        <v>202408</v>
      </c>
      <c r="C566" s="1" t="str">
        <f>MID(analisis_productividad__4[[#This Row],[Periodo]],1,4)</f>
        <v>2024</v>
      </c>
      <c r="D566" s="1" t="str">
        <f>MID(analisis_productividad__4[[#This Row],[Periodo]],5,2)</f>
        <v>08</v>
      </c>
      <c r="E566" s="1" t="s">
        <v>11</v>
      </c>
      <c r="F566" s="1" t="s">
        <v>12</v>
      </c>
      <c r="G566" s="1">
        <v>101264</v>
      </c>
      <c r="H566" s="1">
        <v>5843283</v>
      </c>
      <c r="I566" s="1">
        <v>57.703192204301068</v>
      </c>
      <c r="J566" s="1">
        <v>0</v>
      </c>
      <c r="K566" s="1">
        <v>68.5</v>
      </c>
      <c r="L566" s="1">
        <v>66</v>
      </c>
      <c r="M566" s="1"/>
      <c r="N566" s="1">
        <v>0</v>
      </c>
    </row>
    <row r="567" spans="1:14" x14ac:dyDescent="0.35">
      <c r="A567" s="1" t="s">
        <v>51</v>
      </c>
      <c r="B567" s="1">
        <v>202503</v>
      </c>
      <c r="C567" s="1" t="str">
        <f>MID(analisis_productividad__4[[#This Row],[Periodo]],1,4)</f>
        <v>2025</v>
      </c>
      <c r="D567" s="1" t="str">
        <f>MID(analisis_productividad__4[[#This Row],[Periodo]],5,2)</f>
        <v>03</v>
      </c>
      <c r="E567" s="1" t="s">
        <v>11</v>
      </c>
      <c r="F567" s="1" t="s">
        <v>52</v>
      </c>
      <c r="G567" s="1">
        <v>101253</v>
      </c>
      <c r="H567" s="1">
        <v>10716261</v>
      </c>
      <c r="I567" s="1">
        <v>105.83665994623654</v>
      </c>
      <c r="J567" s="1">
        <v>110263.92556683689</v>
      </c>
      <c r="K567" s="1">
        <v>117.5</v>
      </c>
      <c r="L567" s="1">
        <v>99</v>
      </c>
      <c r="M567" s="1">
        <v>97.187372433101899</v>
      </c>
      <c r="N567" s="1">
        <v>10006218</v>
      </c>
    </row>
    <row r="568" spans="1:14" x14ac:dyDescent="0.35">
      <c r="A568" s="1" t="s">
        <v>40</v>
      </c>
      <c r="B568" s="1">
        <v>202604</v>
      </c>
      <c r="C568" s="1" t="str">
        <f>MID(analisis_productividad__4[[#This Row],[Periodo]],1,4)</f>
        <v>2026</v>
      </c>
      <c r="D568" s="1" t="str">
        <f>MID(analisis_productividad__4[[#This Row],[Periodo]],5,2)</f>
        <v>04</v>
      </c>
      <c r="E568" s="1" t="s">
        <v>11</v>
      </c>
      <c r="F568" s="1" t="s">
        <v>14</v>
      </c>
      <c r="G568" s="1">
        <v>101240</v>
      </c>
      <c r="H568" s="1">
        <v>6235449</v>
      </c>
      <c r="I568" s="1">
        <v>61.590763888889761</v>
      </c>
      <c r="J568" s="1">
        <v>90383.249564436497</v>
      </c>
      <c r="K568" s="1">
        <v>76.5</v>
      </c>
      <c r="L568" s="1">
        <v>75.5</v>
      </c>
      <c r="M568" s="1">
        <v>67.697971575339096</v>
      </c>
      <c r="N568" s="1">
        <v>6118763</v>
      </c>
    </row>
    <row r="569" spans="1:14" x14ac:dyDescent="0.35">
      <c r="A569" s="1" t="s">
        <v>31</v>
      </c>
      <c r="B569" s="1">
        <v>202502</v>
      </c>
      <c r="C569" s="1" t="str">
        <f>MID(analisis_productividad__4[[#This Row],[Periodo]],1,4)</f>
        <v>2025</v>
      </c>
      <c r="D569" s="1" t="str">
        <f>MID(analisis_productividad__4[[#This Row],[Periodo]],5,2)</f>
        <v>02</v>
      </c>
      <c r="E569" s="1" t="s">
        <v>11</v>
      </c>
      <c r="F569" s="1" t="s">
        <v>14</v>
      </c>
      <c r="G569" s="1">
        <v>101225</v>
      </c>
      <c r="H569" s="1">
        <v>8598782</v>
      </c>
      <c r="I569" s="1">
        <v>84.946979166666679</v>
      </c>
      <c r="J569" s="1">
        <v>97945.278835583798</v>
      </c>
      <c r="K569" s="1">
        <v>101.5</v>
      </c>
      <c r="L569" s="1">
        <v>97.5</v>
      </c>
      <c r="M569" s="1">
        <v>87.791694221774335</v>
      </c>
      <c r="N569" s="1">
        <v>8660241</v>
      </c>
    </row>
    <row r="570" spans="1:14" x14ac:dyDescent="0.35">
      <c r="A570" s="1" t="s">
        <v>65</v>
      </c>
      <c r="B570" s="1">
        <v>202603</v>
      </c>
      <c r="C570" s="1" t="str">
        <f>MID(analisis_productividad__4[[#This Row],[Periodo]],1,4)</f>
        <v>2026</v>
      </c>
      <c r="D570" s="1" t="str">
        <f>MID(analisis_productividad__4[[#This Row],[Periodo]],5,2)</f>
        <v>03</v>
      </c>
      <c r="E570" s="1" t="s">
        <v>16</v>
      </c>
      <c r="F570" s="1" t="s">
        <v>19</v>
      </c>
      <c r="G570" s="1">
        <v>101192</v>
      </c>
      <c r="H570" s="1">
        <v>6761612</v>
      </c>
      <c r="I570" s="1">
        <v>66.819845430107534</v>
      </c>
      <c r="J570" s="1">
        <v>106946.64545616548</v>
      </c>
      <c r="K570" s="1">
        <v>68</v>
      </c>
      <c r="L570" s="1">
        <v>68.5</v>
      </c>
      <c r="M570" s="1">
        <v>60.397061823201135</v>
      </c>
      <c r="N570" s="1">
        <v>6459263</v>
      </c>
    </row>
    <row r="571" spans="1:14" x14ac:dyDescent="0.35">
      <c r="A571" s="1" t="s">
        <v>85</v>
      </c>
      <c r="B571" s="1">
        <v>202412</v>
      </c>
      <c r="C571" s="1" t="str">
        <f>MID(analisis_productividad__4[[#This Row],[Periodo]],1,4)</f>
        <v>2024</v>
      </c>
      <c r="D571" s="1" t="str">
        <f>MID(analisis_productividad__4[[#This Row],[Periodo]],5,2)</f>
        <v>12</v>
      </c>
      <c r="E571" s="1" t="s">
        <v>11</v>
      </c>
      <c r="F571" s="1" t="s">
        <v>14</v>
      </c>
      <c r="G571" s="1">
        <v>101166</v>
      </c>
      <c r="H571" s="1">
        <v>5620953</v>
      </c>
      <c r="I571" s="1">
        <v>55.561653225806445</v>
      </c>
      <c r="J571" s="1">
        <v>0</v>
      </c>
      <c r="K571" s="1">
        <v>60.5</v>
      </c>
      <c r="L571" s="1">
        <v>57.5</v>
      </c>
      <c r="M571" s="1"/>
      <c r="N571" s="1">
        <v>0</v>
      </c>
    </row>
    <row r="572" spans="1:14" x14ac:dyDescent="0.35">
      <c r="A572" s="1" t="s">
        <v>46</v>
      </c>
      <c r="B572" s="1">
        <v>202602</v>
      </c>
      <c r="C572" s="1" t="str">
        <f>MID(analisis_productividad__4[[#This Row],[Periodo]],1,4)</f>
        <v>2026</v>
      </c>
      <c r="D572" s="1" t="str">
        <f>MID(analisis_productividad__4[[#This Row],[Periodo]],5,2)</f>
        <v>02</v>
      </c>
      <c r="E572" s="1" t="s">
        <v>11</v>
      </c>
      <c r="F572" s="1" t="s">
        <v>14</v>
      </c>
      <c r="G572" s="1">
        <v>101126</v>
      </c>
      <c r="H572" s="1">
        <v>6795456</v>
      </c>
      <c r="I572" s="1">
        <v>67.197708333333338</v>
      </c>
      <c r="J572" s="1">
        <v>89023.403267430214</v>
      </c>
      <c r="K572" s="1">
        <v>77</v>
      </c>
      <c r="L572" s="1">
        <v>79</v>
      </c>
      <c r="M572" s="1">
        <v>66.09086292651952</v>
      </c>
      <c r="N572" s="1">
        <v>5883634</v>
      </c>
    </row>
    <row r="573" spans="1:14" x14ac:dyDescent="0.35">
      <c r="A573" s="1" t="s">
        <v>37</v>
      </c>
      <c r="B573" s="1">
        <v>202509</v>
      </c>
      <c r="C573" s="1" t="str">
        <f>MID(analisis_productividad__4[[#This Row],[Periodo]],1,4)</f>
        <v>2025</v>
      </c>
      <c r="D573" s="1" t="str">
        <f>MID(analisis_productividad__4[[#This Row],[Periodo]],5,2)</f>
        <v>09</v>
      </c>
      <c r="E573" s="1" t="s">
        <v>16</v>
      </c>
      <c r="F573" s="1" t="s">
        <v>17</v>
      </c>
      <c r="G573" s="1">
        <v>101125</v>
      </c>
      <c r="H573" s="1">
        <v>9042962</v>
      </c>
      <c r="I573" s="1">
        <v>89.423444444444513</v>
      </c>
      <c r="J573" s="1">
        <v>101303.30576405319</v>
      </c>
      <c r="K573" s="1">
        <v>107.5</v>
      </c>
      <c r="L573" s="1">
        <v>102.5</v>
      </c>
      <c r="M573" s="1">
        <v>89.266209150786054</v>
      </c>
      <c r="N573" s="1">
        <v>9808966</v>
      </c>
    </row>
    <row r="574" spans="1:14" x14ac:dyDescent="0.35">
      <c r="A574" s="1" t="s">
        <v>55</v>
      </c>
      <c r="B574" s="1">
        <v>202508</v>
      </c>
      <c r="C574" s="1" t="str">
        <f>MID(analisis_productividad__4[[#This Row],[Periodo]],1,4)</f>
        <v>2025</v>
      </c>
      <c r="D574" s="1" t="str">
        <f>MID(analisis_productividad__4[[#This Row],[Periodo]],5,2)</f>
        <v>08</v>
      </c>
      <c r="E574" s="1" t="s">
        <v>16</v>
      </c>
      <c r="F574" s="1" t="s">
        <v>21</v>
      </c>
      <c r="G574" s="1">
        <v>101084</v>
      </c>
      <c r="H574" s="1">
        <v>4491491</v>
      </c>
      <c r="I574" s="1">
        <v>44.433393817204319</v>
      </c>
      <c r="J574" s="1">
        <v>97053.936340991437</v>
      </c>
      <c r="K574" s="1">
        <v>55</v>
      </c>
      <c r="L574" s="1">
        <v>50.5</v>
      </c>
      <c r="M574" s="1">
        <v>46.278301832287326</v>
      </c>
      <c r="N574" s="1">
        <v>4802678</v>
      </c>
    </row>
    <row r="575" spans="1:14" x14ac:dyDescent="0.35">
      <c r="A575" s="1" t="s">
        <v>62</v>
      </c>
      <c r="B575" s="1">
        <v>202503</v>
      </c>
      <c r="C575" s="1" t="str">
        <f>MID(analisis_productividad__4[[#This Row],[Periodo]],1,4)</f>
        <v>2025</v>
      </c>
      <c r="D575" s="1" t="str">
        <f>MID(analisis_productividad__4[[#This Row],[Periodo]],5,2)</f>
        <v>03</v>
      </c>
      <c r="E575" s="1" t="s">
        <v>16</v>
      </c>
      <c r="F575" s="1" t="s">
        <v>17</v>
      </c>
      <c r="G575" s="1">
        <v>101057</v>
      </c>
      <c r="H575" s="1">
        <v>3275379</v>
      </c>
      <c r="I575" s="1">
        <v>32.411270161290339</v>
      </c>
      <c r="J575" s="1">
        <v>94599.712925979577</v>
      </c>
      <c r="K575" s="1">
        <v>32.5</v>
      </c>
      <c r="L575" s="1">
        <v>32</v>
      </c>
      <c r="M575" s="1">
        <v>34.623557605960713</v>
      </c>
      <c r="N575" s="1">
        <v>3042437</v>
      </c>
    </row>
    <row r="576" spans="1:14" x14ac:dyDescent="0.35">
      <c r="A576" s="1" t="s">
        <v>31</v>
      </c>
      <c r="B576" s="1">
        <v>202401</v>
      </c>
      <c r="C576" s="1" t="str">
        <f>MID(analisis_productividad__4[[#This Row],[Periodo]],1,4)</f>
        <v>2024</v>
      </c>
      <c r="D576" s="1" t="str">
        <f>MID(analisis_productividad__4[[#This Row],[Periodo]],5,2)</f>
        <v>01</v>
      </c>
      <c r="E576" s="1" t="s">
        <v>11</v>
      </c>
      <c r="F576" s="1" t="s">
        <v>14</v>
      </c>
      <c r="G576" s="1">
        <v>101011</v>
      </c>
      <c r="H576" s="1">
        <v>9161303</v>
      </c>
      <c r="I576" s="1">
        <v>90.696525537634429</v>
      </c>
      <c r="J576" s="1">
        <v>0</v>
      </c>
      <c r="K576" s="1">
        <v>101.5</v>
      </c>
      <c r="L576" s="1">
        <v>97.5</v>
      </c>
      <c r="M576" s="1"/>
      <c r="N576" s="1">
        <v>0</v>
      </c>
    </row>
    <row r="577" spans="1:14" x14ac:dyDescent="0.35">
      <c r="A577" s="1" t="s">
        <v>67</v>
      </c>
      <c r="B577" s="1">
        <v>202511</v>
      </c>
      <c r="C577" s="1" t="str">
        <f>MID(analisis_productividad__4[[#This Row],[Periodo]],1,4)</f>
        <v>2025</v>
      </c>
      <c r="D577" s="1" t="str">
        <f>MID(analisis_productividad__4[[#This Row],[Periodo]],5,2)</f>
        <v>11</v>
      </c>
      <c r="E577" s="1" t="s">
        <v>16</v>
      </c>
      <c r="F577" s="1" t="s">
        <v>19</v>
      </c>
      <c r="G577" s="1">
        <v>101003</v>
      </c>
      <c r="H577" s="1">
        <v>6850586</v>
      </c>
      <c r="I577" s="1">
        <v>67.825576388888919</v>
      </c>
      <c r="J577" s="1">
        <v>88695.028050270004</v>
      </c>
      <c r="K577" s="1">
        <v>79.5</v>
      </c>
      <c r="L577" s="1">
        <v>81.5</v>
      </c>
      <c r="M577" s="1">
        <v>77.237547138688171</v>
      </c>
      <c r="N577" s="1">
        <v>6438372</v>
      </c>
    </row>
    <row r="578" spans="1:14" x14ac:dyDescent="0.35">
      <c r="A578" s="1" t="s">
        <v>97</v>
      </c>
      <c r="B578" s="1">
        <v>202412</v>
      </c>
      <c r="C578" s="1" t="str">
        <f>MID(analisis_productividad__4[[#This Row],[Periodo]],1,4)</f>
        <v>2024</v>
      </c>
      <c r="D578" s="1" t="str">
        <f>MID(analisis_productividad__4[[#This Row],[Periodo]],5,2)</f>
        <v>12</v>
      </c>
      <c r="E578" s="1" t="s">
        <v>11</v>
      </c>
      <c r="F578" s="1" t="s">
        <v>12</v>
      </c>
      <c r="G578" s="1">
        <v>100994</v>
      </c>
      <c r="H578" s="1">
        <v>6900795</v>
      </c>
      <c r="I578" s="1">
        <v>68.32893817204301</v>
      </c>
      <c r="J578" s="1">
        <v>0</v>
      </c>
      <c r="K578" s="1">
        <v>66.5</v>
      </c>
      <c r="L578" s="1">
        <v>63.5</v>
      </c>
      <c r="M578" s="1"/>
      <c r="N578" s="1">
        <v>0</v>
      </c>
    </row>
    <row r="579" spans="1:14" x14ac:dyDescent="0.35">
      <c r="A579" s="1" t="s">
        <v>68</v>
      </c>
      <c r="B579" s="1">
        <v>202603</v>
      </c>
      <c r="C579" s="1" t="str">
        <f>MID(analisis_productividad__4[[#This Row],[Periodo]],1,4)</f>
        <v>2026</v>
      </c>
      <c r="D579" s="1" t="str">
        <f>MID(analisis_productividad__4[[#This Row],[Periodo]],5,2)</f>
        <v>03</v>
      </c>
      <c r="E579" s="1" t="s">
        <v>11</v>
      </c>
      <c r="F579" s="1" t="s">
        <v>52</v>
      </c>
      <c r="G579" s="1">
        <v>100936</v>
      </c>
      <c r="H579" s="1">
        <v>8864263</v>
      </c>
      <c r="I579" s="1">
        <v>87.820551075268838</v>
      </c>
      <c r="J579" s="1">
        <v>103722.45893508771</v>
      </c>
      <c r="K579" s="1">
        <v>103</v>
      </c>
      <c r="L579" s="1">
        <v>91</v>
      </c>
      <c r="M579" s="1">
        <v>85.91077884372821</v>
      </c>
      <c r="N579" s="1">
        <v>8910877</v>
      </c>
    </row>
    <row r="580" spans="1:14" x14ac:dyDescent="0.35">
      <c r="A580" s="1" t="s">
        <v>57</v>
      </c>
      <c r="B580" s="1">
        <v>202407</v>
      </c>
      <c r="C580" s="1" t="str">
        <f>MID(analisis_productividad__4[[#This Row],[Periodo]],1,4)</f>
        <v>2024</v>
      </c>
      <c r="D580" s="1" t="str">
        <f>MID(analisis_productividad__4[[#This Row],[Periodo]],5,2)</f>
        <v>07</v>
      </c>
      <c r="E580" s="1" t="s">
        <v>16</v>
      </c>
      <c r="F580" s="1" t="s">
        <v>19</v>
      </c>
      <c r="G580" s="1">
        <v>100935</v>
      </c>
      <c r="H580" s="1">
        <v>6716721</v>
      </c>
      <c r="I580" s="1">
        <v>66.544737903225808</v>
      </c>
      <c r="J580" s="1">
        <v>0</v>
      </c>
      <c r="K580" s="1">
        <v>71</v>
      </c>
      <c r="L580" s="1">
        <v>74.5</v>
      </c>
      <c r="M580" s="1"/>
      <c r="N580" s="1">
        <v>0</v>
      </c>
    </row>
    <row r="581" spans="1:14" x14ac:dyDescent="0.35">
      <c r="A581" s="1" t="s">
        <v>45</v>
      </c>
      <c r="B581" s="1">
        <v>202501</v>
      </c>
      <c r="C581" s="1" t="str">
        <f>MID(analisis_productividad__4[[#This Row],[Periodo]],1,4)</f>
        <v>2025</v>
      </c>
      <c r="D581" s="1" t="str">
        <f>MID(analisis_productividad__4[[#This Row],[Periodo]],5,2)</f>
        <v>01</v>
      </c>
      <c r="E581" s="1" t="s">
        <v>34</v>
      </c>
      <c r="F581" s="1" t="s">
        <v>35</v>
      </c>
      <c r="G581" s="1">
        <v>100931</v>
      </c>
      <c r="H581" s="1">
        <v>2501860</v>
      </c>
      <c r="I581" s="1">
        <v>24.78780913978494</v>
      </c>
      <c r="J581" s="1">
        <v>92844.012874231805</v>
      </c>
      <c r="K581" s="1">
        <v>22.5</v>
      </c>
      <c r="L581" s="1">
        <v>21</v>
      </c>
      <c r="M581" s="1">
        <v>26.94691582740036</v>
      </c>
      <c r="N581" s="1">
        <v>2267428</v>
      </c>
    </row>
    <row r="582" spans="1:14" x14ac:dyDescent="0.35">
      <c r="A582" s="1" t="s">
        <v>40</v>
      </c>
      <c r="B582" s="1">
        <v>202511</v>
      </c>
      <c r="C582" s="1" t="str">
        <f>MID(analisis_productividad__4[[#This Row],[Periodo]],1,4)</f>
        <v>2025</v>
      </c>
      <c r="D582" s="1" t="str">
        <f>MID(analisis_productividad__4[[#This Row],[Periodo]],5,2)</f>
        <v>11</v>
      </c>
      <c r="E582" s="1" t="s">
        <v>11</v>
      </c>
      <c r="F582" s="1" t="s">
        <v>14</v>
      </c>
      <c r="G582" s="1">
        <v>100929</v>
      </c>
      <c r="H582" s="1">
        <v>6568111</v>
      </c>
      <c r="I582" s="1">
        <v>65.076326388888887</v>
      </c>
      <c r="J582" s="1">
        <v>89625.940130928662</v>
      </c>
      <c r="K582" s="1">
        <v>76.5</v>
      </c>
      <c r="L582" s="1">
        <v>75.5</v>
      </c>
      <c r="M582" s="1">
        <v>73.28359357129284</v>
      </c>
      <c r="N582" s="1">
        <v>6757558</v>
      </c>
    </row>
    <row r="583" spans="1:14" x14ac:dyDescent="0.35">
      <c r="A583" s="1" t="s">
        <v>29</v>
      </c>
      <c r="B583" s="1">
        <v>202506</v>
      </c>
      <c r="C583" s="1" t="str">
        <f>MID(analisis_productividad__4[[#This Row],[Periodo]],1,4)</f>
        <v>2025</v>
      </c>
      <c r="D583" s="1" t="str">
        <f>MID(analisis_productividad__4[[#This Row],[Periodo]],5,2)</f>
        <v>06</v>
      </c>
      <c r="E583" s="1" t="s">
        <v>16</v>
      </c>
      <c r="F583" s="1" t="s">
        <v>19</v>
      </c>
      <c r="G583" s="1">
        <v>100889</v>
      </c>
      <c r="H583" s="1">
        <v>8877064</v>
      </c>
      <c r="I583" s="1">
        <v>87.988201388888811</v>
      </c>
      <c r="J583" s="1">
        <v>110144.94260892339</v>
      </c>
      <c r="K583" s="1">
        <v>96.5</v>
      </c>
      <c r="L583" s="1">
        <v>96</v>
      </c>
      <c r="M583" s="1">
        <v>80.594383815865044</v>
      </c>
      <c r="N583" s="1">
        <v>8791220</v>
      </c>
    </row>
    <row r="584" spans="1:14" x14ac:dyDescent="0.35">
      <c r="A584" s="1" t="s">
        <v>83</v>
      </c>
      <c r="B584" s="1">
        <v>202412</v>
      </c>
      <c r="C584" s="1" t="str">
        <f>MID(analisis_productividad__4[[#This Row],[Periodo]],1,4)</f>
        <v>2024</v>
      </c>
      <c r="D584" s="1" t="str">
        <f>MID(analisis_productividad__4[[#This Row],[Periodo]],5,2)</f>
        <v>12</v>
      </c>
      <c r="E584" s="1" t="s">
        <v>16</v>
      </c>
      <c r="F584" s="1" t="s">
        <v>17</v>
      </c>
      <c r="G584" s="1">
        <v>100857</v>
      </c>
      <c r="H584" s="1">
        <v>5421951</v>
      </c>
      <c r="I584" s="1">
        <v>53.758541666666673</v>
      </c>
      <c r="J584" s="1">
        <v>0</v>
      </c>
      <c r="K584" s="1">
        <v>52</v>
      </c>
      <c r="L584" s="1">
        <v>52</v>
      </c>
      <c r="M584" s="1"/>
      <c r="N584" s="1">
        <v>0</v>
      </c>
    </row>
    <row r="585" spans="1:14" x14ac:dyDescent="0.35">
      <c r="A585" s="1" t="s">
        <v>23</v>
      </c>
      <c r="B585" s="1">
        <v>202504</v>
      </c>
      <c r="C585" s="1" t="str">
        <f>MID(analisis_productividad__4[[#This Row],[Periodo]],1,4)</f>
        <v>2025</v>
      </c>
      <c r="D585" s="1" t="str">
        <f>MID(analisis_productividad__4[[#This Row],[Periodo]],5,2)</f>
        <v>04</v>
      </c>
      <c r="E585" s="1" t="s">
        <v>11</v>
      </c>
      <c r="F585" s="1" t="s">
        <v>12</v>
      </c>
      <c r="G585" s="1">
        <v>100827</v>
      </c>
      <c r="H585" s="1">
        <v>5870635</v>
      </c>
      <c r="I585" s="1">
        <v>58.224881944444462</v>
      </c>
      <c r="J585" s="1">
        <v>90979.356378692435</v>
      </c>
      <c r="K585" s="1">
        <v>68.5</v>
      </c>
      <c r="L585" s="1">
        <v>66</v>
      </c>
      <c r="M585" s="1">
        <v>64.527112013895447</v>
      </c>
      <c r="N585" s="1">
        <v>6058277</v>
      </c>
    </row>
    <row r="586" spans="1:14" x14ac:dyDescent="0.35">
      <c r="A586" s="1" t="s">
        <v>39</v>
      </c>
      <c r="B586" s="1">
        <v>202406</v>
      </c>
      <c r="C586" s="1" t="str">
        <f>MID(analisis_productividad__4[[#This Row],[Periodo]],1,4)</f>
        <v>2024</v>
      </c>
      <c r="D586" s="1" t="str">
        <f>MID(analisis_productividad__4[[#This Row],[Periodo]],5,2)</f>
        <v>06</v>
      </c>
      <c r="E586" s="1" t="s">
        <v>16</v>
      </c>
      <c r="F586" s="1" t="s">
        <v>17</v>
      </c>
      <c r="G586" s="1">
        <v>100826</v>
      </c>
      <c r="H586" s="1">
        <v>8299368</v>
      </c>
      <c r="I586" s="1">
        <v>82.313826388888884</v>
      </c>
      <c r="J586" s="1">
        <v>0</v>
      </c>
      <c r="K586" s="1">
        <v>93.5</v>
      </c>
      <c r="L586" s="1">
        <v>94</v>
      </c>
      <c r="M586" s="1"/>
      <c r="N586" s="1">
        <v>0</v>
      </c>
    </row>
    <row r="587" spans="1:14" x14ac:dyDescent="0.35">
      <c r="A587" s="1" t="s">
        <v>54</v>
      </c>
      <c r="B587" s="1">
        <v>202510</v>
      </c>
      <c r="C587" s="1" t="str">
        <f>MID(analisis_productividad__4[[#This Row],[Periodo]],1,4)</f>
        <v>2025</v>
      </c>
      <c r="D587" s="1" t="str">
        <f>MID(analisis_productividad__4[[#This Row],[Periodo]],5,2)</f>
        <v>10</v>
      </c>
      <c r="E587" s="1" t="s">
        <v>11</v>
      </c>
      <c r="F587" s="1" t="s">
        <v>52</v>
      </c>
      <c r="G587" s="1">
        <v>100812</v>
      </c>
      <c r="H587" s="1">
        <v>8246654</v>
      </c>
      <c r="I587" s="1">
        <v>81.802009408602217</v>
      </c>
      <c r="J587" s="1">
        <v>91319.416104008938</v>
      </c>
      <c r="K587" s="1">
        <v>106</v>
      </c>
      <c r="L587" s="1">
        <v>102.5</v>
      </c>
      <c r="M587" s="1">
        <v>90.305595368759413</v>
      </c>
      <c r="N587" s="1">
        <v>9757027</v>
      </c>
    </row>
    <row r="588" spans="1:14" x14ac:dyDescent="0.35">
      <c r="A588" s="1" t="s">
        <v>55</v>
      </c>
      <c r="B588" s="1">
        <v>202604</v>
      </c>
      <c r="C588" s="1" t="str">
        <f>MID(analisis_productividad__4[[#This Row],[Periodo]],1,4)</f>
        <v>2026</v>
      </c>
      <c r="D588" s="1" t="str">
        <f>MID(analisis_productividad__4[[#This Row],[Periodo]],5,2)</f>
        <v>04</v>
      </c>
      <c r="E588" s="1" t="s">
        <v>16</v>
      </c>
      <c r="F588" s="1" t="s">
        <v>21</v>
      </c>
      <c r="G588" s="1">
        <v>100810</v>
      </c>
      <c r="H588" s="1">
        <v>4707771</v>
      </c>
      <c r="I588" s="1">
        <v>46.699333333332852</v>
      </c>
      <c r="J588" s="1">
        <v>95837.611885332153</v>
      </c>
      <c r="K588" s="1">
        <v>55</v>
      </c>
      <c r="L588" s="1">
        <v>50.5</v>
      </c>
      <c r="M588" s="1">
        <v>48.493991244906027</v>
      </c>
      <c r="N588" s="1">
        <v>4647548</v>
      </c>
    </row>
    <row r="589" spans="1:14" x14ac:dyDescent="0.35">
      <c r="A589" s="1" t="s">
        <v>20</v>
      </c>
      <c r="B589" s="1">
        <v>202601</v>
      </c>
      <c r="C589" s="1" t="str">
        <f>MID(analisis_productividad__4[[#This Row],[Periodo]],1,4)</f>
        <v>2026</v>
      </c>
      <c r="D589" s="1" t="str">
        <f>MID(analisis_productividad__4[[#This Row],[Periodo]],5,2)</f>
        <v>01</v>
      </c>
      <c r="E589" s="1" t="s">
        <v>16</v>
      </c>
      <c r="F589" s="1" t="s">
        <v>21</v>
      </c>
      <c r="G589" s="1">
        <v>100807</v>
      </c>
      <c r="H589" s="1">
        <v>8644499</v>
      </c>
      <c r="I589" s="1">
        <v>85.753245967741918</v>
      </c>
      <c r="J589" s="1">
        <v>100600.83617720856</v>
      </c>
      <c r="K589" s="1">
        <v>96.5</v>
      </c>
      <c r="L589" s="1">
        <v>94</v>
      </c>
      <c r="M589" s="1">
        <v>87.753564014610347</v>
      </c>
      <c r="N589" s="1">
        <v>8828082</v>
      </c>
    </row>
    <row r="590" spans="1:14" x14ac:dyDescent="0.35">
      <c r="A590" s="1" t="s">
        <v>55</v>
      </c>
      <c r="B590" s="1">
        <v>202602</v>
      </c>
      <c r="C590" s="1" t="str">
        <f>MID(analisis_productividad__4[[#This Row],[Periodo]],1,4)</f>
        <v>2026</v>
      </c>
      <c r="D590" s="1" t="str">
        <f>MID(analisis_productividad__4[[#This Row],[Periodo]],5,2)</f>
        <v>02</v>
      </c>
      <c r="E590" s="1" t="s">
        <v>16</v>
      </c>
      <c r="F590" s="1" t="s">
        <v>21</v>
      </c>
      <c r="G590" s="1">
        <v>100803</v>
      </c>
      <c r="H590" s="1">
        <v>4490117</v>
      </c>
      <c r="I590" s="1">
        <v>44.54328125</v>
      </c>
      <c r="J590" s="1">
        <v>91071.573983177062</v>
      </c>
      <c r="K590" s="1">
        <v>55</v>
      </c>
      <c r="L590" s="1">
        <v>50.5</v>
      </c>
      <c r="M590" s="1">
        <v>48.493991244906027</v>
      </c>
      <c r="N590" s="1">
        <v>4416424</v>
      </c>
    </row>
    <row r="591" spans="1:14" x14ac:dyDescent="0.35">
      <c r="A591" s="1" t="s">
        <v>59</v>
      </c>
      <c r="B591" s="1">
        <v>202511</v>
      </c>
      <c r="C591" s="1" t="str">
        <f>MID(analisis_productividad__4[[#This Row],[Periodo]],1,4)</f>
        <v>2025</v>
      </c>
      <c r="D591" s="1" t="str">
        <f>MID(analisis_productividad__4[[#This Row],[Periodo]],5,2)</f>
        <v>11</v>
      </c>
      <c r="E591" s="1" t="s">
        <v>11</v>
      </c>
      <c r="F591" s="1" t="s">
        <v>12</v>
      </c>
      <c r="G591" s="1">
        <v>100758</v>
      </c>
      <c r="H591" s="1">
        <v>8791064</v>
      </c>
      <c r="I591" s="1">
        <v>87.249263888888976</v>
      </c>
      <c r="J591" s="1">
        <v>89139.71033804366</v>
      </c>
      <c r="K591" s="1">
        <v>94.5</v>
      </c>
      <c r="L591" s="1">
        <v>97</v>
      </c>
      <c r="M591" s="1">
        <v>98.621190114503747</v>
      </c>
      <c r="N591" s="1">
        <v>7559131</v>
      </c>
    </row>
    <row r="592" spans="1:14" x14ac:dyDescent="0.35">
      <c r="A592" s="1" t="s">
        <v>23</v>
      </c>
      <c r="B592" s="1">
        <v>202406</v>
      </c>
      <c r="C592" s="1" t="str">
        <f>MID(analisis_productividad__4[[#This Row],[Periodo]],1,4)</f>
        <v>2024</v>
      </c>
      <c r="D592" s="1" t="str">
        <f>MID(analisis_productividad__4[[#This Row],[Periodo]],5,2)</f>
        <v>06</v>
      </c>
      <c r="E592" s="1" t="s">
        <v>11</v>
      </c>
      <c r="F592" s="1" t="s">
        <v>12</v>
      </c>
      <c r="G592" s="1">
        <v>100730</v>
      </c>
      <c r="H592" s="1">
        <v>6143671</v>
      </c>
      <c r="I592" s="1">
        <v>60.991486111111108</v>
      </c>
      <c r="J592" s="1">
        <v>0</v>
      </c>
      <c r="K592" s="1">
        <v>68.5</v>
      </c>
      <c r="L592" s="1">
        <v>66</v>
      </c>
      <c r="M592" s="1"/>
      <c r="N592" s="1">
        <v>0</v>
      </c>
    </row>
    <row r="593" spans="1:14" x14ac:dyDescent="0.35">
      <c r="A593" s="1" t="s">
        <v>29</v>
      </c>
      <c r="B593" s="1">
        <v>202404</v>
      </c>
      <c r="C593" s="1" t="str">
        <f>MID(analisis_productividad__4[[#This Row],[Periodo]],1,4)</f>
        <v>2024</v>
      </c>
      <c r="D593" s="1" t="str">
        <f>MID(analisis_productividad__4[[#This Row],[Periodo]],5,2)</f>
        <v>04</v>
      </c>
      <c r="E593" s="1" t="s">
        <v>16</v>
      </c>
      <c r="F593" s="1" t="s">
        <v>19</v>
      </c>
      <c r="G593" s="1">
        <v>100728</v>
      </c>
      <c r="H593" s="1">
        <v>8349190</v>
      </c>
      <c r="I593" s="1">
        <v>82.888069444444525</v>
      </c>
      <c r="J593" s="1">
        <v>0</v>
      </c>
      <c r="K593" s="1">
        <v>96.5</v>
      </c>
      <c r="L593" s="1">
        <v>96</v>
      </c>
      <c r="M593" s="1"/>
      <c r="N593" s="1">
        <v>0</v>
      </c>
    </row>
    <row r="594" spans="1:14" x14ac:dyDescent="0.35">
      <c r="A594" s="1" t="s">
        <v>73</v>
      </c>
      <c r="B594" s="1">
        <v>202503</v>
      </c>
      <c r="C594" s="1" t="str">
        <f>MID(analisis_productividad__4[[#This Row],[Periodo]],1,4)</f>
        <v>2025</v>
      </c>
      <c r="D594" s="1" t="str">
        <f>MID(analisis_productividad__4[[#This Row],[Periodo]],5,2)</f>
        <v>03</v>
      </c>
      <c r="E594" s="1" t="s">
        <v>16</v>
      </c>
      <c r="F594" s="1" t="s">
        <v>21</v>
      </c>
      <c r="G594" s="1">
        <v>100721</v>
      </c>
      <c r="H594" s="1">
        <v>3996313</v>
      </c>
      <c r="I594" s="1">
        <v>39.67701612903226</v>
      </c>
      <c r="J594" s="1">
        <v>88847.525807322512</v>
      </c>
      <c r="K594" s="1">
        <v>43.5</v>
      </c>
      <c r="L594" s="1">
        <v>41</v>
      </c>
      <c r="M594" s="1">
        <v>44.979449609733955</v>
      </c>
      <c r="N594" s="1">
        <v>3739257</v>
      </c>
    </row>
    <row r="595" spans="1:14" x14ac:dyDescent="0.35">
      <c r="A595" s="1" t="s">
        <v>71</v>
      </c>
      <c r="B595" s="1">
        <v>202605</v>
      </c>
      <c r="C595" s="1" t="str">
        <f>MID(analisis_productividad__4[[#This Row],[Periodo]],1,4)</f>
        <v>2026</v>
      </c>
      <c r="D595" s="1" t="str">
        <f>MID(analisis_productividad__4[[#This Row],[Periodo]],5,2)</f>
        <v>05</v>
      </c>
      <c r="E595" s="1" t="s">
        <v>16</v>
      </c>
      <c r="F595" s="1" t="s">
        <v>19</v>
      </c>
      <c r="G595" s="1">
        <v>100718</v>
      </c>
      <c r="H595" s="1">
        <v>3248906</v>
      </c>
      <c r="I595" s="1">
        <v>32.25743951612916</v>
      </c>
      <c r="J595" s="1">
        <v>74685.882300600308</v>
      </c>
      <c r="K595" s="1">
        <v>41.5</v>
      </c>
      <c r="L595" s="1">
        <v>35.5</v>
      </c>
      <c r="M595" s="1">
        <v>37.124878906032741</v>
      </c>
      <c r="N595" s="1">
        <v>2772704</v>
      </c>
    </row>
    <row r="596" spans="1:14" x14ac:dyDescent="0.35">
      <c r="A596" s="1" t="s">
        <v>60</v>
      </c>
      <c r="B596" s="1">
        <v>202403</v>
      </c>
      <c r="C596" s="1" t="str">
        <f>MID(analisis_productividad__4[[#This Row],[Periodo]],1,4)</f>
        <v>2024</v>
      </c>
      <c r="D596" s="1" t="str">
        <f>MID(analisis_productividad__4[[#This Row],[Periodo]],5,2)</f>
        <v>03</v>
      </c>
      <c r="E596" s="1" t="s">
        <v>11</v>
      </c>
      <c r="F596" s="1" t="s">
        <v>14</v>
      </c>
      <c r="G596" s="1">
        <v>100718</v>
      </c>
      <c r="H596" s="1">
        <v>7976345</v>
      </c>
      <c r="I596" s="1">
        <v>79.194838709677413</v>
      </c>
      <c r="J596" s="1">
        <v>0</v>
      </c>
      <c r="K596" s="1">
        <v>75.5</v>
      </c>
      <c r="L596" s="1">
        <v>74</v>
      </c>
      <c r="M596" s="1"/>
      <c r="N596" s="1">
        <v>0</v>
      </c>
    </row>
    <row r="597" spans="1:14" x14ac:dyDescent="0.35">
      <c r="A597" s="1" t="s">
        <v>39</v>
      </c>
      <c r="B597" s="1">
        <v>202511</v>
      </c>
      <c r="C597" s="1" t="str">
        <f>MID(analisis_productividad__4[[#This Row],[Periodo]],1,4)</f>
        <v>2025</v>
      </c>
      <c r="D597" s="1" t="str">
        <f>MID(analisis_productividad__4[[#This Row],[Periodo]],5,2)</f>
        <v>11</v>
      </c>
      <c r="E597" s="1" t="s">
        <v>16</v>
      </c>
      <c r="F597" s="1" t="s">
        <v>17</v>
      </c>
      <c r="G597" s="1">
        <v>100715</v>
      </c>
      <c r="H597" s="1">
        <v>9101433</v>
      </c>
      <c r="I597" s="1">
        <v>90.368250000000018</v>
      </c>
      <c r="J597" s="1">
        <v>101977.32716431707</v>
      </c>
      <c r="K597" s="1">
        <v>93.5</v>
      </c>
      <c r="L597" s="1">
        <v>94</v>
      </c>
      <c r="M597" s="1">
        <v>89.249572557778194</v>
      </c>
      <c r="N597" s="1">
        <v>8300260</v>
      </c>
    </row>
    <row r="598" spans="1:14" x14ac:dyDescent="0.35">
      <c r="A598" s="1" t="s">
        <v>28</v>
      </c>
      <c r="B598" s="1">
        <v>202408</v>
      </c>
      <c r="C598" s="1" t="str">
        <f>MID(analisis_productividad__4[[#This Row],[Periodo]],1,4)</f>
        <v>2024</v>
      </c>
      <c r="D598" s="1" t="str">
        <f>MID(analisis_productividad__4[[#This Row],[Periodo]],5,2)</f>
        <v>08</v>
      </c>
      <c r="E598" s="1" t="s">
        <v>16</v>
      </c>
      <c r="F598" s="1" t="s">
        <v>17</v>
      </c>
      <c r="G598" s="1">
        <v>100697</v>
      </c>
      <c r="H598" s="1">
        <v>5828210</v>
      </c>
      <c r="I598" s="1">
        <v>57.878662634408613</v>
      </c>
      <c r="J598" s="1">
        <v>0</v>
      </c>
      <c r="K598" s="1">
        <v>64</v>
      </c>
      <c r="L598" s="1">
        <v>67</v>
      </c>
      <c r="M598" s="1"/>
      <c r="N598" s="1">
        <v>0</v>
      </c>
    </row>
    <row r="599" spans="1:14" x14ac:dyDescent="0.35">
      <c r="A599" s="1" t="s">
        <v>30</v>
      </c>
      <c r="B599" s="1">
        <v>202410</v>
      </c>
      <c r="C599" s="1" t="str">
        <f>MID(analisis_productividad__4[[#This Row],[Periodo]],1,4)</f>
        <v>2024</v>
      </c>
      <c r="D599" s="1" t="str">
        <f>MID(analisis_productividad__4[[#This Row],[Periodo]],5,2)</f>
        <v>10</v>
      </c>
      <c r="E599" s="1" t="s">
        <v>16</v>
      </c>
      <c r="F599" s="1" t="s">
        <v>19</v>
      </c>
      <c r="G599" s="1">
        <v>100654</v>
      </c>
      <c r="H599" s="1">
        <v>9182104</v>
      </c>
      <c r="I599" s="1">
        <v>91.224348118279579</v>
      </c>
      <c r="J599" s="1">
        <v>0</v>
      </c>
      <c r="K599" s="1">
        <v>101</v>
      </c>
      <c r="L599" s="1">
        <v>105</v>
      </c>
      <c r="M599" s="1"/>
      <c r="N599" s="1">
        <v>0</v>
      </c>
    </row>
    <row r="600" spans="1:14" x14ac:dyDescent="0.35">
      <c r="A600" s="1" t="s">
        <v>41</v>
      </c>
      <c r="B600" s="1">
        <v>202403</v>
      </c>
      <c r="C600" s="1" t="str">
        <f>MID(analisis_productividad__4[[#This Row],[Periodo]],1,4)</f>
        <v>2024</v>
      </c>
      <c r="D600" s="1" t="str">
        <f>MID(analisis_productividad__4[[#This Row],[Periodo]],5,2)</f>
        <v>03</v>
      </c>
      <c r="E600" s="1" t="s">
        <v>16</v>
      </c>
      <c r="F600" s="1" t="s">
        <v>19</v>
      </c>
      <c r="G600" s="1">
        <v>100641</v>
      </c>
      <c r="H600" s="1">
        <v>5796795</v>
      </c>
      <c r="I600" s="1">
        <v>57.598756720430089</v>
      </c>
      <c r="J600" s="1">
        <v>0</v>
      </c>
      <c r="K600" s="1">
        <v>57.5</v>
      </c>
      <c r="L600" s="1">
        <v>56.5</v>
      </c>
      <c r="M600" s="1"/>
      <c r="N600" s="1">
        <v>0</v>
      </c>
    </row>
    <row r="601" spans="1:14" x14ac:dyDescent="0.35">
      <c r="A601" s="1" t="s">
        <v>30</v>
      </c>
      <c r="B601" s="1">
        <v>202601</v>
      </c>
      <c r="C601" s="1" t="str">
        <f>MID(analisis_productividad__4[[#This Row],[Periodo]],1,4)</f>
        <v>2026</v>
      </c>
      <c r="D601" s="1" t="str">
        <f>MID(analisis_productividad__4[[#This Row],[Periodo]],5,2)</f>
        <v>01</v>
      </c>
      <c r="E601" s="1" t="s">
        <v>16</v>
      </c>
      <c r="F601" s="1" t="s">
        <v>19</v>
      </c>
      <c r="G601" s="1">
        <v>100627</v>
      </c>
      <c r="H601" s="1">
        <v>9710269</v>
      </c>
      <c r="I601" s="1">
        <v>96.497587365591372</v>
      </c>
      <c r="J601" s="1">
        <v>104104.19406846241</v>
      </c>
      <c r="K601" s="1">
        <v>101</v>
      </c>
      <c r="L601" s="1">
        <v>105</v>
      </c>
      <c r="M601" s="1">
        <v>90.439897606894348</v>
      </c>
      <c r="N601" s="1">
        <v>9415173</v>
      </c>
    </row>
    <row r="602" spans="1:14" x14ac:dyDescent="0.35">
      <c r="A602" s="1" t="s">
        <v>27</v>
      </c>
      <c r="B602" s="1">
        <v>202509</v>
      </c>
      <c r="C602" s="1" t="str">
        <f>MID(analisis_productividad__4[[#This Row],[Periodo]],1,4)</f>
        <v>2025</v>
      </c>
      <c r="D602" s="1" t="str">
        <f>MID(analisis_productividad__4[[#This Row],[Periodo]],5,2)</f>
        <v>09</v>
      </c>
      <c r="E602" s="1" t="s">
        <v>11</v>
      </c>
      <c r="F602" s="1" t="s">
        <v>14</v>
      </c>
      <c r="G602" s="1">
        <v>100544</v>
      </c>
      <c r="H602" s="1">
        <v>7263665</v>
      </c>
      <c r="I602" s="1">
        <v>72.243986111111155</v>
      </c>
      <c r="J602" s="1">
        <v>94427.476037354223</v>
      </c>
      <c r="K602" s="1">
        <v>88</v>
      </c>
      <c r="L602" s="1">
        <v>84</v>
      </c>
      <c r="M602" s="1">
        <v>76.923218694594681</v>
      </c>
      <c r="N602" s="1">
        <v>8207304</v>
      </c>
    </row>
    <row r="603" spans="1:14" x14ac:dyDescent="0.35">
      <c r="A603" s="1" t="s">
        <v>38</v>
      </c>
      <c r="B603" s="1">
        <v>202602</v>
      </c>
      <c r="C603" s="1" t="str">
        <f>MID(analisis_productividad__4[[#This Row],[Periodo]],1,4)</f>
        <v>2026</v>
      </c>
      <c r="D603" s="1" t="str">
        <f>MID(analisis_productividad__4[[#This Row],[Periodo]],5,2)</f>
        <v>02</v>
      </c>
      <c r="E603" s="1" t="s">
        <v>34</v>
      </c>
      <c r="F603" s="1" t="s">
        <v>35</v>
      </c>
      <c r="G603" s="1">
        <v>100519</v>
      </c>
      <c r="H603" s="1">
        <v>11084158</v>
      </c>
      <c r="I603" s="1">
        <v>110.26927083333334</v>
      </c>
      <c r="J603" s="1">
        <v>98099.930619558756</v>
      </c>
      <c r="K603" s="1">
        <v>140.5</v>
      </c>
      <c r="L603" s="1">
        <v>125.5</v>
      </c>
      <c r="M603" s="1">
        <v>117.18897502469719</v>
      </c>
      <c r="N603" s="1">
        <v>11496230</v>
      </c>
    </row>
    <row r="604" spans="1:14" x14ac:dyDescent="0.35">
      <c r="A604" s="1" t="s">
        <v>39</v>
      </c>
      <c r="B604" s="1">
        <v>202507</v>
      </c>
      <c r="C604" s="1" t="str">
        <f>MID(analisis_productividad__4[[#This Row],[Periodo]],1,4)</f>
        <v>2025</v>
      </c>
      <c r="D604" s="1" t="str">
        <f>MID(analisis_productividad__4[[#This Row],[Periodo]],5,2)</f>
        <v>07</v>
      </c>
      <c r="E604" s="1" t="s">
        <v>16</v>
      </c>
      <c r="F604" s="1" t="s">
        <v>17</v>
      </c>
      <c r="G604" s="1">
        <v>100490</v>
      </c>
      <c r="H604" s="1">
        <v>8705609</v>
      </c>
      <c r="I604" s="1">
        <v>86.631209677419349</v>
      </c>
      <c r="J604" s="1">
        <v>104890.0162002357</v>
      </c>
      <c r="K604" s="1">
        <v>93.5</v>
      </c>
      <c r="L604" s="1">
        <v>94</v>
      </c>
      <c r="M604" s="1">
        <v>82.997495809142961</v>
      </c>
      <c r="N604" s="1">
        <v>9372393</v>
      </c>
    </row>
    <row r="605" spans="1:14" x14ac:dyDescent="0.35">
      <c r="A605" s="1" t="s">
        <v>26</v>
      </c>
      <c r="B605" s="1">
        <v>202502</v>
      </c>
      <c r="C605" s="1" t="str">
        <f>MID(analisis_productividad__4[[#This Row],[Periodo]],1,4)</f>
        <v>2025</v>
      </c>
      <c r="D605" s="1" t="str">
        <f>MID(analisis_productividad__4[[#This Row],[Periodo]],5,2)</f>
        <v>02</v>
      </c>
      <c r="E605" s="1" t="s">
        <v>11</v>
      </c>
      <c r="F605" s="1" t="s">
        <v>12</v>
      </c>
      <c r="G605" s="1">
        <v>100473</v>
      </c>
      <c r="H605" s="1">
        <v>5664677</v>
      </c>
      <c r="I605" s="1">
        <v>56.380260416666651</v>
      </c>
      <c r="J605" s="1">
        <v>70286.04900450616</v>
      </c>
      <c r="K605" s="1">
        <v>65.5</v>
      </c>
      <c r="L605" s="1">
        <v>63</v>
      </c>
      <c r="M605" s="1">
        <v>80.594614724137173</v>
      </c>
      <c r="N605" s="1">
        <v>4642225</v>
      </c>
    </row>
    <row r="606" spans="1:14" x14ac:dyDescent="0.35">
      <c r="A606" s="1" t="s">
        <v>42</v>
      </c>
      <c r="B606" s="1">
        <v>202503</v>
      </c>
      <c r="C606" s="1" t="str">
        <f>MID(analisis_productividad__4[[#This Row],[Periodo]],1,4)</f>
        <v>2025</v>
      </c>
      <c r="D606" s="1" t="str">
        <f>MID(analisis_productividad__4[[#This Row],[Periodo]],5,2)</f>
        <v>03</v>
      </c>
      <c r="E606" s="1" t="s">
        <v>16</v>
      </c>
      <c r="F606" s="1" t="s">
        <v>19</v>
      </c>
      <c r="G606" s="1">
        <v>100423</v>
      </c>
      <c r="H606" s="1">
        <v>6030728</v>
      </c>
      <c r="I606" s="1">
        <v>60.053508064516123</v>
      </c>
      <c r="J606" s="1">
        <v>91358.192082219233</v>
      </c>
      <c r="K606" s="1">
        <v>62</v>
      </c>
      <c r="L606" s="1">
        <v>58</v>
      </c>
      <c r="M606" s="1">
        <v>66.011897811775356</v>
      </c>
      <c r="N606" s="1">
        <v>5739674</v>
      </c>
    </row>
    <row r="607" spans="1:14" x14ac:dyDescent="0.35">
      <c r="A607" s="1" t="s">
        <v>13</v>
      </c>
      <c r="B607" s="1">
        <v>202408</v>
      </c>
      <c r="C607" s="1" t="str">
        <f>MID(analisis_productividad__4[[#This Row],[Periodo]],1,4)</f>
        <v>2024</v>
      </c>
      <c r="D607" s="1" t="str">
        <f>MID(analisis_productividad__4[[#This Row],[Periodo]],5,2)</f>
        <v>08</v>
      </c>
      <c r="E607" s="1" t="s">
        <v>11</v>
      </c>
      <c r="F607" s="1" t="s">
        <v>14</v>
      </c>
      <c r="G607" s="1">
        <v>100383</v>
      </c>
      <c r="H607" s="1">
        <v>9039938</v>
      </c>
      <c r="I607" s="1">
        <v>90.054717741935491</v>
      </c>
      <c r="J607" s="1">
        <v>0</v>
      </c>
      <c r="K607" s="1">
        <v>100</v>
      </c>
      <c r="L607" s="1">
        <v>98</v>
      </c>
      <c r="M607" s="1"/>
      <c r="N607" s="1">
        <v>0</v>
      </c>
    </row>
    <row r="608" spans="1:14" x14ac:dyDescent="0.35">
      <c r="A608" s="1" t="s">
        <v>59</v>
      </c>
      <c r="B608" s="1">
        <v>202605</v>
      </c>
      <c r="C608" s="1" t="str">
        <f>MID(analisis_productividad__4[[#This Row],[Periodo]],1,4)</f>
        <v>2026</v>
      </c>
      <c r="D608" s="1" t="str">
        <f>MID(analisis_productividad__4[[#This Row],[Periodo]],5,2)</f>
        <v>05</v>
      </c>
      <c r="E608" s="1" t="s">
        <v>11</v>
      </c>
      <c r="F608" s="1" t="s">
        <v>12</v>
      </c>
      <c r="G608" s="1">
        <v>100366</v>
      </c>
      <c r="H608" s="1">
        <v>8978069</v>
      </c>
      <c r="I608" s="1">
        <v>89.453225806452338</v>
      </c>
      <c r="J608" s="1">
        <v>100813.75406759506</v>
      </c>
      <c r="K608" s="1">
        <v>94.5</v>
      </c>
      <c r="L608" s="1">
        <v>97</v>
      </c>
      <c r="M608" s="1">
        <v>83.184435661200979</v>
      </c>
      <c r="N608" s="1">
        <v>8386135</v>
      </c>
    </row>
    <row r="609" spans="1:14" x14ac:dyDescent="0.35">
      <c r="A609" s="1" t="s">
        <v>54</v>
      </c>
      <c r="B609" s="1">
        <v>202503</v>
      </c>
      <c r="C609" s="1" t="str">
        <f>MID(analisis_productividad__4[[#This Row],[Periodo]],1,4)</f>
        <v>2025</v>
      </c>
      <c r="D609" s="1" t="str">
        <f>MID(analisis_productividad__4[[#This Row],[Periodo]],5,2)</f>
        <v>03</v>
      </c>
      <c r="E609" s="1" t="s">
        <v>11</v>
      </c>
      <c r="F609" s="1" t="s">
        <v>52</v>
      </c>
      <c r="G609" s="1">
        <v>100366</v>
      </c>
      <c r="H609" s="1">
        <v>10106526</v>
      </c>
      <c r="I609" s="1">
        <v>100.69716397849457</v>
      </c>
      <c r="J609" s="1">
        <v>96202.24476549626</v>
      </c>
      <c r="K609" s="1">
        <v>106</v>
      </c>
      <c r="L609" s="1">
        <v>102.5</v>
      </c>
      <c r="M609" s="1">
        <v>105.05499164427805</v>
      </c>
      <c r="N609" s="1">
        <v>10428529</v>
      </c>
    </row>
    <row r="610" spans="1:14" x14ac:dyDescent="0.35">
      <c r="A610" s="1" t="s">
        <v>61</v>
      </c>
      <c r="B610" s="1">
        <v>202511</v>
      </c>
      <c r="C610" s="1" t="str">
        <f>MID(analisis_productividad__4[[#This Row],[Periodo]],1,4)</f>
        <v>2025</v>
      </c>
      <c r="D610" s="1" t="str">
        <f>MID(analisis_productividad__4[[#This Row],[Periodo]],5,2)</f>
        <v>11</v>
      </c>
      <c r="E610" s="1" t="s">
        <v>11</v>
      </c>
      <c r="F610" s="1" t="s">
        <v>52</v>
      </c>
      <c r="G610" s="1">
        <v>100308</v>
      </c>
      <c r="H610" s="1">
        <v>9172131</v>
      </c>
      <c r="I610" s="1">
        <v>91.439444444444476</v>
      </c>
      <c r="J610" s="1">
        <v>104260.62487978055</v>
      </c>
      <c r="K610" s="1">
        <v>104.5</v>
      </c>
      <c r="L610" s="1">
        <v>99</v>
      </c>
      <c r="M610" s="1">
        <v>87.973106247694972</v>
      </c>
      <c r="N610" s="1">
        <v>8958209</v>
      </c>
    </row>
    <row r="611" spans="1:14" x14ac:dyDescent="0.35">
      <c r="A611" s="1" t="s">
        <v>56</v>
      </c>
      <c r="B611" s="1">
        <v>202508</v>
      </c>
      <c r="C611" s="1" t="str">
        <f>MID(analisis_productividad__4[[#This Row],[Periodo]],1,4)</f>
        <v>2025</v>
      </c>
      <c r="D611" s="1" t="str">
        <f>MID(analisis_productividad__4[[#This Row],[Periodo]],5,2)</f>
        <v>08</v>
      </c>
      <c r="E611" s="1" t="s">
        <v>16</v>
      </c>
      <c r="F611" s="1" t="s">
        <v>21</v>
      </c>
      <c r="G611" s="1">
        <v>100259</v>
      </c>
      <c r="H611" s="1">
        <v>6027621</v>
      </c>
      <c r="I611" s="1">
        <v>60.120732526881746</v>
      </c>
      <c r="J611" s="1">
        <v>109413.93095023186</v>
      </c>
      <c r="K611" s="1">
        <v>72.5</v>
      </c>
      <c r="L611" s="1">
        <v>68.5</v>
      </c>
      <c r="M611" s="1">
        <v>55.090066115454078</v>
      </c>
      <c r="N611" s="1">
        <v>6477228</v>
      </c>
    </row>
    <row r="612" spans="1:14" x14ac:dyDescent="0.35">
      <c r="A612" s="1" t="s">
        <v>37</v>
      </c>
      <c r="B612" s="1">
        <v>202501</v>
      </c>
      <c r="C612" s="1" t="str">
        <f>MID(analisis_productividad__4[[#This Row],[Periodo]],1,4)</f>
        <v>2025</v>
      </c>
      <c r="D612" s="1" t="str">
        <f>MID(analisis_productividad__4[[#This Row],[Periodo]],5,2)</f>
        <v>01</v>
      </c>
      <c r="E612" s="1" t="s">
        <v>16</v>
      </c>
      <c r="F612" s="1" t="s">
        <v>17</v>
      </c>
      <c r="G612" s="1">
        <v>100241</v>
      </c>
      <c r="H612" s="1">
        <v>9351475</v>
      </c>
      <c r="I612" s="1">
        <v>93.290053763440795</v>
      </c>
      <c r="J612" s="1">
        <v>102241.38502867678</v>
      </c>
      <c r="K612" s="1">
        <v>107.5</v>
      </c>
      <c r="L612" s="1">
        <v>102.5</v>
      </c>
      <c r="M612" s="1">
        <v>91.464674088453378</v>
      </c>
      <c r="N612" s="1">
        <v>9577571</v>
      </c>
    </row>
    <row r="613" spans="1:14" x14ac:dyDescent="0.35">
      <c r="A613" s="1" t="s">
        <v>46</v>
      </c>
      <c r="B613" s="1">
        <v>202511</v>
      </c>
      <c r="C613" s="1" t="str">
        <f>MID(analisis_productividad__4[[#This Row],[Periodo]],1,4)</f>
        <v>2025</v>
      </c>
      <c r="D613" s="1" t="str">
        <f>MID(analisis_productividad__4[[#This Row],[Periodo]],5,2)</f>
        <v>11</v>
      </c>
      <c r="E613" s="1" t="s">
        <v>11</v>
      </c>
      <c r="F613" s="1" t="s">
        <v>14</v>
      </c>
      <c r="G613" s="1">
        <v>100215</v>
      </c>
      <c r="H613" s="1">
        <v>6977822</v>
      </c>
      <c r="I613" s="1">
        <v>69.628513888888918</v>
      </c>
      <c r="J613" s="1">
        <v>95560.715902760581</v>
      </c>
      <c r="K613" s="1">
        <v>77</v>
      </c>
      <c r="L613" s="1">
        <v>79</v>
      </c>
      <c r="M613" s="1">
        <v>73.01977432965657</v>
      </c>
      <c r="N613" s="1">
        <v>6203329</v>
      </c>
    </row>
    <row r="614" spans="1:14" x14ac:dyDescent="0.35">
      <c r="A614" s="1" t="s">
        <v>70</v>
      </c>
      <c r="B614" s="1">
        <v>202512</v>
      </c>
      <c r="C614" s="1" t="str">
        <f>MID(analisis_productividad__4[[#This Row],[Periodo]],1,4)</f>
        <v>2025</v>
      </c>
      <c r="D614" s="1" t="str">
        <f>MID(analisis_productividad__4[[#This Row],[Periodo]],5,2)</f>
        <v>12</v>
      </c>
      <c r="E614" s="1" t="s">
        <v>11</v>
      </c>
      <c r="F614" s="1" t="s">
        <v>14</v>
      </c>
      <c r="G614" s="1">
        <v>100176</v>
      </c>
      <c r="H614" s="1">
        <v>6662375</v>
      </c>
      <c r="I614" s="1">
        <v>66.506868279569829</v>
      </c>
      <c r="J614" s="1">
        <v>103462.72008382442</v>
      </c>
      <c r="K614" s="1">
        <v>65</v>
      </c>
      <c r="L614" s="1">
        <v>67.5</v>
      </c>
      <c r="M614" s="1">
        <v>64.393965426408798</v>
      </c>
      <c r="N614" s="1">
        <v>6684388</v>
      </c>
    </row>
    <row r="615" spans="1:14" x14ac:dyDescent="0.35">
      <c r="A615" s="1" t="s">
        <v>24</v>
      </c>
      <c r="B615" s="1">
        <v>202407</v>
      </c>
      <c r="C615" s="1" t="str">
        <f>MID(analisis_productividad__4[[#This Row],[Periodo]],1,4)</f>
        <v>2024</v>
      </c>
      <c r="D615" s="1" t="str">
        <f>MID(analisis_productividad__4[[#This Row],[Periodo]],5,2)</f>
        <v>07</v>
      </c>
      <c r="E615" s="1" t="s">
        <v>16</v>
      </c>
      <c r="F615" s="1" t="s">
        <v>21</v>
      </c>
      <c r="G615" s="1">
        <v>100142</v>
      </c>
      <c r="H615" s="1">
        <v>10617912</v>
      </c>
      <c r="I615" s="1">
        <v>106.02826612903223</v>
      </c>
      <c r="J615" s="1">
        <v>0</v>
      </c>
      <c r="K615" s="1">
        <v>125</v>
      </c>
      <c r="L615" s="1">
        <v>118.5</v>
      </c>
      <c r="M615" s="1"/>
      <c r="N615" s="1">
        <v>0</v>
      </c>
    </row>
    <row r="616" spans="1:14" x14ac:dyDescent="0.35">
      <c r="A616" s="1" t="s">
        <v>131</v>
      </c>
      <c r="B616" s="1">
        <v>202404</v>
      </c>
      <c r="C616" s="1" t="str">
        <f>MID(analisis_productividad__4[[#This Row],[Periodo]],1,4)</f>
        <v>2024</v>
      </c>
      <c r="D616" s="1" t="str">
        <f>MID(analisis_productividad__4[[#This Row],[Periodo]],5,2)</f>
        <v>04</v>
      </c>
      <c r="E616" s="1" t="s">
        <v>16</v>
      </c>
      <c r="F616" s="1" t="s">
        <v>21</v>
      </c>
      <c r="G616" s="1">
        <v>100070</v>
      </c>
      <c r="H616" s="1">
        <v>11537532</v>
      </c>
      <c r="I616" s="1">
        <v>115.29495833333344</v>
      </c>
      <c r="J616" s="1">
        <v>0</v>
      </c>
      <c r="K616" s="1">
        <v>99</v>
      </c>
      <c r="L616" s="1">
        <v>32.5</v>
      </c>
      <c r="M616" s="1"/>
      <c r="N616" s="1">
        <v>0</v>
      </c>
    </row>
    <row r="617" spans="1:14" x14ac:dyDescent="0.35">
      <c r="A617" s="1" t="s">
        <v>72</v>
      </c>
      <c r="B617" s="1">
        <v>202603</v>
      </c>
      <c r="C617" s="1" t="str">
        <f>MID(analisis_productividad__4[[#This Row],[Periodo]],1,4)</f>
        <v>2026</v>
      </c>
      <c r="D617" s="1" t="str">
        <f>MID(analisis_productividad__4[[#This Row],[Periodo]],5,2)</f>
        <v>03</v>
      </c>
      <c r="E617" s="1" t="s">
        <v>11</v>
      </c>
      <c r="F617" s="1" t="s">
        <v>14</v>
      </c>
      <c r="G617" s="1">
        <v>100068</v>
      </c>
      <c r="H617" s="1">
        <v>6265943</v>
      </c>
      <c r="I617" s="1">
        <v>62.616740591397836</v>
      </c>
      <c r="J617" s="1">
        <v>104860.49734075293</v>
      </c>
      <c r="K617" s="1">
        <v>66</v>
      </c>
      <c r="L617" s="1">
        <v>64.5</v>
      </c>
      <c r="M617" s="1">
        <v>56.772923994003754</v>
      </c>
      <c r="N617" s="1">
        <v>5953237</v>
      </c>
    </row>
    <row r="618" spans="1:14" x14ac:dyDescent="0.35">
      <c r="A618" s="1" t="s">
        <v>38</v>
      </c>
      <c r="B618" s="1">
        <v>202601</v>
      </c>
      <c r="C618" s="1" t="str">
        <f>MID(analisis_productividad__4[[#This Row],[Periodo]],1,4)</f>
        <v>2026</v>
      </c>
      <c r="D618" s="1" t="str">
        <f>MID(analisis_productividad__4[[#This Row],[Periodo]],5,2)</f>
        <v>01</v>
      </c>
      <c r="E618" s="1" t="s">
        <v>34</v>
      </c>
      <c r="F618" s="1" t="s">
        <v>35</v>
      </c>
      <c r="G618" s="1">
        <v>100029</v>
      </c>
      <c r="H618" s="1">
        <v>11806878</v>
      </c>
      <c r="I618" s="1">
        <v>118.03467741935479</v>
      </c>
      <c r="J618" s="1">
        <v>107200.77565788459</v>
      </c>
      <c r="K618" s="1">
        <v>140.5</v>
      </c>
      <c r="L618" s="1">
        <v>125.5</v>
      </c>
      <c r="M618" s="1">
        <v>117.18897502469719</v>
      </c>
      <c r="N618" s="1">
        <v>12562749</v>
      </c>
    </row>
    <row r="619" spans="1:14" x14ac:dyDescent="0.35">
      <c r="A619" s="1" t="s">
        <v>38</v>
      </c>
      <c r="B619" s="1">
        <v>202403</v>
      </c>
      <c r="C619" s="1" t="str">
        <f>MID(analisis_productividad__4[[#This Row],[Periodo]],1,4)</f>
        <v>2024</v>
      </c>
      <c r="D619" s="1" t="str">
        <f>MID(analisis_productividad__4[[#This Row],[Periodo]],5,2)</f>
        <v>03</v>
      </c>
      <c r="E619" s="1" t="s">
        <v>34</v>
      </c>
      <c r="F619" s="1" t="s">
        <v>35</v>
      </c>
      <c r="G619" s="1">
        <v>100012</v>
      </c>
      <c r="H619" s="1">
        <v>12353707</v>
      </c>
      <c r="I619" s="1">
        <v>123.52205645161291</v>
      </c>
      <c r="J619" s="1">
        <v>0</v>
      </c>
      <c r="K619" s="1">
        <v>140.5</v>
      </c>
      <c r="L619" s="1">
        <v>125.5</v>
      </c>
      <c r="M619" s="1"/>
      <c r="N619" s="1">
        <v>0</v>
      </c>
    </row>
    <row r="620" spans="1:14" x14ac:dyDescent="0.35">
      <c r="A620" s="1" t="s">
        <v>39</v>
      </c>
      <c r="B620" s="1">
        <v>202505</v>
      </c>
      <c r="C620" s="1" t="str">
        <f>MID(analisis_productividad__4[[#This Row],[Periodo]],1,4)</f>
        <v>2025</v>
      </c>
      <c r="D620" s="1" t="str">
        <f>MID(analisis_productividad__4[[#This Row],[Periodo]],5,2)</f>
        <v>05</v>
      </c>
      <c r="E620" s="1" t="s">
        <v>16</v>
      </c>
      <c r="F620" s="1" t="s">
        <v>17</v>
      </c>
      <c r="G620" s="1">
        <v>99913</v>
      </c>
      <c r="H620" s="1">
        <v>8513628</v>
      </c>
      <c r="I620" s="1">
        <v>85.210369623655865</v>
      </c>
      <c r="J620" s="1">
        <v>95366.595770689863</v>
      </c>
      <c r="K620" s="1">
        <v>93.5</v>
      </c>
      <c r="L620" s="1">
        <v>94</v>
      </c>
      <c r="M620" s="1">
        <v>89.272646792081417</v>
      </c>
      <c r="N620" s="1">
        <v>8406913</v>
      </c>
    </row>
    <row r="621" spans="1:14" x14ac:dyDescent="0.35">
      <c r="A621" s="1" t="s">
        <v>53</v>
      </c>
      <c r="B621" s="1">
        <v>202406</v>
      </c>
      <c r="C621" s="1" t="str">
        <f>MID(analisis_productividad__4[[#This Row],[Periodo]],1,4)</f>
        <v>2024</v>
      </c>
      <c r="D621" s="1" t="str">
        <f>MID(analisis_productividad__4[[#This Row],[Periodo]],5,2)</f>
        <v>06</v>
      </c>
      <c r="E621" s="1" t="s">
        <v>11</v>
      </c>
      <c r="F621" s="1" t="s">
        <v>12</v>
      </c>
      <c r="G621" s="1">
        <v>99912</v>
      </c>
      <c r="H621" s="1">
        <v>7042766</v>
      </c>
      <c r="I621" s="1">
        <v>70.489659722222271</v>
      </c>
      <c r="J621" s="1">
        <v>0</v>
      </c>
      <c r="K621" s="1">
        <v>81</v>
      </c>
      <c r="L621" s="1">
        <v>77</v>
      </c>
      <c r="M621" s="1"/>
      <c r="N621" s="1">
        <v>0</v>
      </c>
    </row>
    <row r="622" spans="1:14" x14ac:dyDescent="0.35">
      <c r="A622" s="1" t="s">
        <v>68</v>
      </c>
      <c r="B622" s="1">
        <v>202604</v>
      </c>
      <c r="C622" s="1" t="str">
        <f>MID(analisis_productividad__4[[#This Row],[Periodo]],1,4)</f>
        <v>2026</v>
      </c>
      <c r="D622" s="1" t="str">
        <f>MID(analisis_productividad__4[[#This Row],[Periodo]],5,2)</f>
        <v>04</v>
      </c>
      <c r="E622" s="1" t="s">
        <v>11</v>
      </c>
      <c r="F622" s="1" t="s">
        <v>52</v>
      </c>
      <c r="G622" s="1">
        <v>99908</v>
      </c>
      <c r="H622" s="1">
        <v>7974107</v>
      </c>
      <c r="I622" s="1">
        <v>79.814388888890221</v>
      </c>
      <c r="J622" s="1">
        <v>95534.179825436062</v>
      </c>
      <c r="K622" s="1">
        <v>103</v>
      </c>
      <c r="L622" s="1">
        <v>91</v>
      </c>
      <c r="M622" s="1">
        <v>85.91077884372821</v>
      </c>
      <c r="N622" s="1">
        <v>8207416</v>
      </c>
    </row>
    <row r="623" spans="1:14" x14ac:dyDescent="0.35">
      <c r="A623" s="1" t="s">
        <v>50</v>
      </c>
      <c r="B623" s="1">
        <v>202511</v>
      </c>
      <c r="C623" s="1" t="str">
        <f>MID(analisis_productividad__4[[#This Row],[Periodo]],1,4)</f>
        <v>2025</v>
      </c>
      <c r="D623" s="1" t="str">
        <f>MID(analisis_productividad__4[[#This Row],[Periodo]],5,2)</f>
        <v>11</v>
      </c>
      <c r="E623" s="1" t="s">
        <v>34</v>
      </c>
      <c r="F623" s="1" t="s">
        <v>35</v>
      </c>
      <c r="G623" s="1">
        <v>99907</v>
      </c>
      <c r="H623" s="1">
        <v>6231915</v>
      </c>
      <c r="I623" s="1">
        <v>62.377048611111142</v>
      </c>
      <c r="J623" s="1">
        <v>95734.189536197271</v>
      </c>
      <c r="K623" s="1">
        <v>79.5</v>
      </c>
      <c r="L623" s="1">
        <v>72.5</v>
      </c>
      <c r="M623" s="1">
        <v>65.096027972782935</v>
      </c>
      <c r="N623" s="1">
        <v>5871502</v>
      </c>
    </row>
    <row r="624" spans="1:14" x14ac:dyDescent="0.35">
      <c r="A624" s="1" t="s">
        <v>38</v>
      </c>
      <c r="B624" s="1">
        <v>202410</v>
      </c>
      <c r="C624" s="1" t="str">
        <f>MID(analisis_productividad__4[[#This Row],[Periodo]],1,4)</f>
        <v>2024</v>
      </c>
      <c r="D624" s="1" t="str">
        <f>MID(analisis_productividad__4[[#This Row],[Periodo]],5,2)</f>
        <v>10</v>
      </c>
      <c r="E624" s="1" t="s">
        <v>34</v>
      </c>
      <c r="F624" s="1" t="s">
        <v>35</v>
      </c>
      <c r="G624" s="1">
        <v>99905</v>
      </c>
      <c r="H624" s="1">
        <v>11236486</v>
      </c>
      <c r="I624" s="1">
        <v>112.47132392473112</v>
      </c>
      <c r="J624" s="1">
        <v>0</v>
      </c>
      <c r="K624" s="1">
        <v>140.5</v>
      </c>
      <c r="L624" s="1">
        <v>125.5</v>
      </c>
      <c r="M624" s="1"/>
      <c r="N624" s="1">
        <v>0</v>
      </c>
    </row>
    <row r="625" spans="1:14" x14ac:dyDescent="0.35">
      <c r="A625" s="1" t="s">
        <v>39</v>
      </c>
      <c r="B625" s="1">
        <v>202407</v>
      </c>
      <c r="C625" s="1" t="str">
        <f>MID(analisis_productividad__4[[#This Row],[Periodo]],1,4)</f>
        <v>2024</v>
      </c>
      <c r="D625" s="1" t="str">
        <f>MID(analisis_productividad__4[[#This Row],[Periodo]],5,2)</f>
        <v>07</v>
      </c>
      <c r="E625" s="1" t="s">
        <v>16</v>
      </c>
      <c r="F625" s="1" t="s">
        <v>17</v>
      </c>
      <c r="G625" s="1">
        <v>99895</v>
      </c>
      <c r="H625" s="1">
        <v>8879250</v>
      </c>
      <c r="I625" s="1">
        <v>88.885604838709611</v>
      </c>
      <c r="J625" s="1">
        <v>0</v>
      </c>
      <c r="K625" s="1">
        <v>93.5</v>
      </c>
      <c r="L625" s="1">
        <v>94</v>
      </c>
      <c r="M625" s="1"/>
      <c r="N625" s="1">
        <v>0</v>
      </c>
    </row>
    <row r="626" spans="1:14" x14ac:dyDescent="0.35">
      <c r="A626" s="1" t="s">
        <v>26</v>
      </c>
      <c r="B626" s="1">
        <v>202501</v>
      </c>
      <c r="C626" s="1" t="str">
        <f>MID(analisis_productividad__4[[#This Row],[Periodo]],1,4)</f>
        <v>2025</v>
      </c>
      <c r="D626" s="1" t="str">
        <f>MID(analisis_productividad__4[[#This Row],[Periodo]],5,2)</f>
        <v>01</v>
      </c>
      <c r="E626" s="1" t="s">
        <v>11</v>
      </c>
      <c r="F626" s="1" t="s">
        <v>12</v>
      </c>
      <c r="G626" s="1">
        <v>99825</v>
      </c>
      <c r="H626" s="1">
        <v>5440157</v>
      </c>
      <c r="I626" s="1">
        <v>54.497022849462383</v>
      </c>
      <c r="J626" s="1">
        <v>66842.964879303152</v>
      </c>
      <c r="K626" s="1">
        <v>65.5</v>
      </c>
      <c r="L626" s="1">
        <v>63</v>
      </c>
      <c r="M626" s="1">
        <v>81.387132510102887</v>
      </c>
      <c r="N626" s="1">
        <v>4627072</v>
      </c>
    </row>
    <row r="627" spans="1:14" x14ac:dyDescent="0.35">
      <c r="A627" s="1" t="s">
        <v>62</v>
      </c>
      <c r="B627" s="1">
        <v>202511</v>
      </c>
      <c r="C627" s="1" t="str">
        <f>MID(analisis_productividad__4[[#This Row],[Periodo]],1,4)</f>
        <v>2025</v>
      </c>
      <c r="D627" s="1" t="str">
        <f>MID(analisis_productividad__4[[#This Row],[Periodo]],5,2)</f>
        <v>11</v>
      </c>
      <c r="E627" s="1" t="s">
        <v>16</v>
      </c>
      <c r="F627" s="1" t="s">
        <v>17</v>
      </c>
      <c r="G627" s="1">
        <v>99759</v>
      </c>
      <c r="H627" s="1">
        <v>2773323</v>
      </c>
      <c r="I627" s="1">
        <v>27.800354166666661</v>
      </c>
      <c r="J627" s="1">
        <v>91591.652372414945</v>
      </c>
      <c r="K627" s="1">
        <v>32.5</v>
      </c>
      <c r="L627" s="1">
        <v>32</v>
      </c>
      <c r="M627" s="1">
        <v>30.27920610847341</v>
      </c>
      <c r="N627" s="1">
        <v>2181863</v>
      </c>
    </row>
    <row r="628" spans="1:14" x14ac:dyDescent="0.35">
      <c r="A628" s="1" t="s">
        <v>56</v>
      </c>
      <c r="B628" s="1">
        <v>202601</v>
      </c>
      <c r="C628" s="1" t="str">
        <f>MID(analisis_productividad__4[[#This Row],[Periodo]],1,4)</f>
        <v>2026</v>
      </c>
      <c r="D628" s="1" t="str">
        <f>MID(analisis_productividad__4[[#This Row],[Periodo]],5,2)</f>
        <v>01</v>
      </c>
      <c r="E628" s="1" t="s">
        <v>16</v>
      </c>
      <c r="F628" s="1" t="s">
        <v>21</v>
      </c>
      <c r="G628" s="1">
        <v>99750</v>
      </c>
      <c r="H628" s="1">
        <v>6231313</v>
      </c>
      <c r="I628" s="1">
        <v>62.469307795698924</v>
      </c>
      <c r="J628" s="1">
        <v>107615.98490288221</v>
      </c>
      <c r="K628" s="1">
        <v>72.5</v>
      </c>
      <c r="L628" s="1">
        <v>68.5</v>
      </c>
      <c r="M628" s="1">
        <v>63.042188618377821</v>
      </c>
      <c r="N628" s="1">
        <v>6784347</v>
      </c>
    </row>
    <row r="629" spans="1:14" x14ac:dyDescent="0.35">
      <c r="A629" s="1" t="s">
        <v>37</v>
      </c>
      <c r="B629" s="1">
        <v>202408</v>
      </c>
      <c r="C629" s="1" t="str">
        <f>MID(analisis_productividad__4[[#This Row],[Periodo]],1,4)</f>
        <v>2024</v>
      </c>
      <c r="D629" s="1" t="str">
        <f>MID(analisis_productividad__4[[#This Row],[Periodo]],5,2)</f>
        <v>08</v>
      </c>
      <c r="E629" s="1" t="s">
        <v>16</v>
      </c>
      <c r="F629" s="1" t="s">
        <v>17</v>
      </c>
      <c r="G629" s="1">
        <v>99688</v>
      </c>
      <c r="H629" s="1">
        <v>10408328</v>
      </c>
      <c r="I629" s="1">
        <v>104.40862231182798</v>
      </c>
      <c r="J629" s="1">
        <v>0</v>
      </c>
      <c r="K629" s="1">
        <v>107.5</v>
      </c>
      <c r="L629" s="1">
        <v>102.5</v>
      </c>
      <c r="M629" s="1"/>
      <c r="N629" s="1">
        <v>0</v>
      </c>
    </row>
    <row r="630" spans="1:14" x14ac:dyDescent="0.35">
      <c r="A630" s="1" t="s">
        <v>27</v>
      </c>
      <c r="B630" s="1">
        <v>202506</v>
      </c>
      <c r="C630" s="1" t="str">
        <f>MID(analisis_productividad__4[[#This Row],[Periodo]],1,4)</f>
        <v>2025</v>
      </c>
      <c r="D630" s="1" t="str">
        <f>MID(analisis_productividad__4[[#This Row],[Periodo]],5,2)</f>
        <v>06</v>
      </c>
      <c r="E630" s="1" t="s">
        <v>11</v>
      </c>
      <c r="F630" s="1" t="s">
        <v>14</v>
      </c>
      <c r="G630" s="1">
        <v>99642</v>
      </c>
      <c r="H630" s="1">
        <v>7766880</v>
      </c>
      <c r="I630" s="1">
        <v>77.948111111111075</v>
      </c>
      <c r="J630" s="1">
        <v>107254.7694211014</v>
      </c>
      <c r="K630" s="1">
        <v>88</v>
      </c>
      <c r="L630" s="1">
        <v>84</v>
      </c>
      <c r="M630" s="1">
        <v>72.415241037028764</v>
      </c>
      <c r="N630" s="1">
        <v>8085050</v>
      </c>
    </row>
    <row r="631" spans="1:14" x14ac:dyDescent="0.35">
      <c r="A631" s="1" t="s">
        <v>69</v>
      </c>
      <c r="B631" s="1">
        <v>202603</v>
      </c>
      <c r="C631" s="1" t="str">
        <f>MID(analisis_productividad__4[[#This Row],[Periodo]],1,4)</f>
        <v>2026</v>
      </c>
      <c r="D631" s="1" t="str">
        <f>MID(analisis_productividad__4[[#This Row],[Periodo]],5,2)</f>
        <v>03</v>
      </c>
      <c r="E631" s="1" t="s">
        <v>11</v>
      </c>
      <c r="F631" s="1" t="s">
        <v>52</v>
      </c>
      <c r="G631" s="1">
        <v>99615</v>
      </c>
      <c r="H631" s="1">
        <v>5607846</v>
      </c>
      <c r="I631" s="1">
        <v>56.295147849462353</v>
      </c>
      <c r="J631" s="1">
        <v>94428.803697004492</v>
      </c>
      <c r="K631" s="1">
        <v>68</v>
      </c>
      <c r="L631" s="1">
        <v>60.5</v>
      </c>
      <c r="M631" s="1">
        <v>56.717795741490448</v>
      </c>
      <c r="N631" s="1">
        <v>5355794</v>
      </c>
    </row>
    <row r="632" spans="1:14" x14ac:dyDescent="0.35">
      <c r="A632" s="1" t="s">
        <v>41</v>
      </c>
      <c r="B632" s="1">
        <v>202511</v>
      </c>
      <c r="C632" s="1" t="str">
        <f>MID(analisis_productividad__4[[#This Row],[Periodo]],1,4)</f>
        <v>2025</v>
      </c>
      <c r="D632" s="1" t="str">
        <f>MID(analisis_productividad__4[[#This Row],[Periodo]],5,2)</f>
        <v>11</v>
      </c>
      <c r="E632" s="1" t="s">
        <v>16</v>
      </c>
      <c r="F632" s="1" t="s">
        <v>19</v>
      </c>
      <c r="G632" s="1">
        <v>99597</v>
      </c>
      <c r="H632" s="1">
        <v>4734514</v>
      </c>
      <c r="I632" s="1">
        <v>47.53680555555556</v>
      </c>
      <c r="J632" s="1">
        <v>91102.317449322989</v>
      </c>
      <c r="K632" s="1">
        <v>57.5</v>
      </c>
      <c r="L632" s="1">
        <v>56.5</v>
      </c>
      <c r="M632" s="1">
        <v>51.969192799443789</v>
      </c>
      <c r="N632" s="1">
        <v>3999718</v>
      </c>
    </row>
    <row r="633" spans="1:14" x14ac:dyDescent="0.35">
      <c r="A633" s="1" t="s">
        <v>50</v>
      </c>
      <c r="B633" s="1">
        <v>202504</v>
      </c>
      <c r="C633" s="1" t="str">
        <f>MID(analisis_productividad__4[[#This Row],[Periodo]],1,4)</f>
        <v>2025</v>
      </c>
      <c r="D633" s="1" t="str">
        <f>MID(analisis_productividad__4[[#This Row],[Periodo]],5,2)</f>
        <v>04</v>
      </c>
      <c r="E633" s="1" t="s">
        <v>34</v>
      </c>
      <c r="F633" s="1" t="s">
        <v>35</v>
      </c>
      <c r="G633" s="1">
        <v>99593</v>
      </c>
      <c r="H633" s="1">
        <v>6066983</v>
      </c>
      <c r="I633" s="1">
        <v>60.917694444444457</v>
      </c>
      <c r="J633" s="1">
        <v>97419.84421189384</v>
      </c>
      <c r="K633" s="1">
        <v>79.5</v>
      </c>
      <c r="L633" s="1">
        <v>72.5</v>
      </c>
      <c r="M633" s="1">
        <v>62.27666117802405</v>
      </c>
      <c r="N633" s="1">
        <v>6065240</v>
      </c>
    </row>
    <row r="634" spans="1:14" x14ac:dyDescent="0.35">
      <c r="A634" s="1" t="s">
        <v>13</v>
      </c>
      <c r="B634" s="1">
        <v>202410</v>
      </c>
      <c r="C634" s="1" t="str">
        <f>MID(analisis_productividad__4[[#This Row],[Periodo]],1,4)</f>
        <v>2024</v>
      </c>
      <c r="D634" s="1" t="str">
        <f>MID(analisis_productividad__4[[#This Row],[Periodo]],5,2)</f>
        <v>10</v>
      </c>
      <c r="E634" s="1" t="s">
        <v>11</v>
      </c>
      <c r="F634" s="1" t="s">
        <v>14</v>
      </c>
      <c r="G634" s="1">
        <v>99585</v>
      </c>
      <c r="H634" s="1">
        <v>8718465</v>
      </c>
      <c r="I634" s="1">
        <v>87.547607526881691</v>
      </c>
      <c r="J634" s="1">
        <v>0</v>
      </c>
      <c r="K634" s="1">
        <v>100</v>
      </c>
      <c r="L634" s="1">
        <v>98</v>
      </c>
      <c r="M634" s="1"/>
      <c r="N634" s="1">
        <v>0</v>
      </c>
    </row>
    <row r="635" spans="1:14" x14ac:dyDescent="0.35">
      <c r="A635" s="1" t="s">
        <v>33</v>
      </c>
      <c r="B635" s="1">
        <v>202605</v>
      </c>
      <c r="C635" s="1" t="str">
        <f>MID(analisis_productividad__4[[#This Row],[Periodo]],1,4)</f>
        <v>2026</v>
      </c>
      <c r="D635" s="1" t="str">
        <f>MID(analisis_productividad__4[[#This Row],[Periodo]],5,2)</f>
        <v>05</v>
      </c>
      <c r="E635" s="1" t="s">
        <v>34</v>
      </c>
      <c r="F635" s="1" t="s">
        <v>35</v>
      </c>
      <c r="G635" s="1">
        <v>99585</v>
      </c>
      <c r="H635" s="1">
        <v>1253650</v>
      </c>
      <c r="I635" s="1">
        <v>12.588756720430125</v>
      </c>
      <c r="J635" s="1">
        <v>78881.522060076633</v>
      </c>
      <c r="K635" s="1">
        <v>15</v>
      </c>
      <c r="L635" s="1">
        <v>15</v>
      </c>
      <c r="M635" s="1">
        <v>13.971887755419019</v>
      </c>
      <c r="N635" s="1">
        <v>1102124</v>
      </c>
    </row>
    <row r="636" spans="1:14" x14ac:dyDescent="0.35">
      <c r="A636" s="1" t="s">
        <v>23</v>
      </c>
      <c r="B636" s="1">
        <v>202510</v>
      </c>
      <c r="C636" s="1" t="str">
        <f>MID(analisis_productividad__4[[#This Row],[Periodo]],1,4)</f>
        <v>2025</v>
      </c>
      <c r="D636" s="1" t="str">
        <f>MID(analisis_productividad__4[[#This Row],[Periodo]],5,2)</f>
        <v>10</v>
      </c>
      <c r="E636" s="1" t="s">
        <v>11</v>
      </c>
      <c r="F636" s="1" t="s">
        <v>12</v>
      </c>
      <c r="G636" s="1">
        <v>99560</v>
      </c>
      <c r="H636" s="1">
        <v>5757671</v>
      </c>
      <c r="I636" s="1">
        <v>57.831384408602162</v>
      </c>
      <c r="J636" s="1">
        <v>98283.962602842177</v>
      </c>
      <c r="K636" s="1">
        <v>68.5</v>
      </c>
      <c r="L636" s="1">
        <v>66</v>
      </c>
      <c r="M636" s="1">
        <v>58.58200074071393</v>
      </c>
      <c r="N636" s="1">
        <v>5825251</v>
      </c>
    </row>
    <row r="637" spans="1:14" x14ac:dyDescent="0.35">
      <c r="A637" s="1" t="s">
        <v>38</v>
      </c>
      <c r="B637" s="1">
        <v>202408</v>
      </c>
      <c r="C637" s="1" t="str">
        <f>MID(analisis_productividad__4[[#This Row],[Periodo]],1,4)</f>
        <v>2024</v>
      </c>
      <c r="D637" s="1" t="str">
        <f>MID(analisis_productividad__4[[#This Row],[Periodo]],5,2)</f>
        <v>08</v>
      </c>
      <c r="E637" s="1" t="s">
        <v>34</v>
      </c>
      <c r="F637" s="1" t="s">
        <v>35</v>
      </c>
      <c r="G637" s="1">
        <v>99555</v>
      </c>
      <c r="H637" s="1">
        <v>11546638</v>
      </c>
      <c r="I637" s="1">
        <v>115.9821438172042</v>
      </c>
      <c r="J637" s="1">
        <v>0</v>
      </c>
      <c r="K637" s="1">
        <v>140.5</v>
      </c>
      <c r="L637" s="1">
        <v>125.5</v>
      </c>
      <c r="M637" s="1"/>
      <c r="N637" s="1">
        <v>0</v>
      </c>
    </row>
    <row r="638" spans="1:14" x14ac:dyDescent="0.35">
      <c r="A638" s="1" t="s">
        <v>131</v>
      </c>
      <c r="B638" s="1">
        <v>202501</v>
      </c>
      <c r="C638" s="1" t="str">
        <f>MID(analisis_productividad__4[[#This Row],[Periodo]],1,4)</f>
        <v>2025</v>
      </c>
      <c r="D638" s="1" t="str">
        <f>MID(analisis_productividad__4[[#This Row],[Periodo]],5,2)</f>
        <v>01</v>
      </c>
      <c r="E638" s="1" t="s">
        <v>16</v>
      </c>
      <c r="F638" s="1" t="s">
        <v>21</v>
      </c>
      <c r="G638" s="1">
        <v>99535</v>
      </c>
      <c r="H638" s="1">
        <v>10998136</v>
      </c>
      <c r="I638" s="1">
        <v>110.49481182795691</v>
      </c>
      <c r="J638" s="1">
        <v>103273.68121792859</v>
      </c>
      <c r="K638" s="1">
        <v>99</v>
      </c>
      <c r="L638" s="1">
        <v>32.5</v>
      </c>
      <c r="M638" s="1">
        <v>106.49505401857118</v>
      </c>
      <c r="N638" s="1">
        <v>10821355</v>
      </c>
    </row>
    <row r="639" spans="1:14" x14ac:dyDescent="0.35">
      <c r="A639" s="1" t="s">
        <v>37</v>
      </c>
      <c r="B639" s="1">
        <v>202602</v>
      </c>
      <c r="C639" s="1" t="str">
        <f>MID(analisis_productividad__4[[#This Row],[Periodo]],1,4)</f>
        <v>2026</v>
      </c>
      <c r="D639" s="1" t="str">
        <f>MID(analisis_productividad__4[[#This Row],[Periodo]],5,2)</f>
        <v>02</v>
      </c>
      <c r="E639" s="1" t="s">
        <v>16</v>
      </c>
      <c r="F639" s="1" t="s">
        <v>17</v>
      </c>
      <c r="G639" s="1">
        <v>99490</v>
      </c>
      <c r="H639" s="1">
        <v>9431544</v>
      </c>
      <c r="I639" s="1">
        <v>94.798906249999959</v>
      </c>
      <c r="J639" s="1">
        <v>94681.163770949817</v>
      </c>
      <c r="K639" s="1">
        <v>107.5</v>
      </c>
      <c r="L639" s="1">
        <v>102.5</v>
      </c>
      <c r="M639" s="1">
        <v>96.70800932222366</v>
      </c>
      <c r="N639" s="1">
        <v>9156427</v>
      </c>
    </row>
    <row r="640" spans="1:14" x14ac:dyDescent="0.35">
      <c r="A640" s="1" t="s">
        <v>37</v>
      </c>
      <c r="B640" s="1">
        <v>202505</v>
      </c>
      <c r="C640" s="1" t="str">
        <f>MID(analisis_productividad__4[[#This Row],[Periodo]],1,4)</f>
        <v>2025</v>
      </c>
      <c r="D640" s="1" t="str">
        <f>MID(analisis_productividad__4[[#This Row],[Periodo]],5,2)</f>
        <v>05</v>
      </c>
      <c r="E640" s="1" t="s">
        <v>16</v>
      </c>
      <c r="F640" s="1" t="s">
        <v>17</v>
      </c>
      <c r="G640" s="1">
        <v>99481</v>
      </c>
      <c r="H640" s="1">
        <v>9905507</v>
      </c>
      <c r="I640" s="1">
        <v>99.571801075268766</v>
      </c>
      <c r="J640" s="1">
        <v>96818.416451395198</v>
      </c>
      <c r="K640" s="1">
        <v>107.5</v>
      </c>
      <c r="L640" s="1">
        <v>102.5</v>
      </c>
      <c r="M640" s="1">
        <v>102.3101505174149</v>
      </c>
      <c r="N640" s="1">
        <v>9948725</v>
      </c>
    </row>
    <row r="641" spans="1:14" x14ac:dyDescent="0.35">
      <c r="A641" s="1" t="s">
        <v>69</v>
      </c>
      <c r="B641" s="1">
        <v>202602</v>
      </c>
      <c r="C641" s="1" t="str">
        <f>MID(analisis_productividad__4[[#This Row],[Periodo]],1,4)</f>
        <v>2026</v>
      </c>
      <c r="D641" s="1" t="str">
        <f>MID(analisis_productividad__4[[#This Row],[Periodo]],5,2)</f>
        <v>02</v>
      </c>
      <c r="E641" s="1" t="s">
        <v>11</v>
      </c>
      <c r="F641" s="1" t="s">
        <v>52</v>
      </c>
      <c r="G641" s="1">
        <v>99477</v>
      </c>
      <c r="H641" s="1">
        <v>5248583</v>
      </c>
      <c r="I641" s="1">
        <v>52.761874999999996</v>
      </c>
      <c r="J641" s="1">
        <v>83591.3782599939</v>
      </c>
      <c r="K641" s="1">
        <v>68</v>
      </c>
      <c r="L641" s="1">
        <v>60.5</v>
      </c>
      <c r="M641" s="1">
        <v>56.717795741490448</v>
      </c>
      <c r="N641" s="1">
        <v>4741119</v>
      </c>
    </row>
    <row r="642" spans="1:14" x14ac:dyDescent="0.35">
      <c r="A642" s="1" t="s">
        <v>70</v>
      </c>
      <c r="B642" s="1">
        <v>202605</v>
      </c>
      <c r="C642" s="1" t="str">
        <f>MID(analisis_productividad__4[[#This Row],[Periodo]],1,4)</f>
        <v>2026</v>
      </c>
      <c r="D642" s="1" t="str">
        <f>MID(analisis_productividad__4[[#This Row],[Periodo]],5,2)</f>
        <v>05</v>
      </c>
      <c r="E642" s="1" t="s">
        <v>11</v>
      </c>
      <c r="F642" s="1" t="s">
        <v>14</v>
      </c>
      <c r="G642" s="1">
        <v>99456</v>
      </c>
      <c r="H642" s="1">
        <v>5517917</v>
      </c>
      <c r="I642" s="1">
        <v>55.480927419354778</v>
      </c>
      <c r="J642" s="1">
        <v>91256.129549487247</v>
      </c>
      <c r="K642" s="1">
        <v>65</v>
      </c>
      <c r="L642" s="1">
        <v>67.5</v>
      </c>
      <c r="M642" s="1">
        <v>56.772923994003762</v>
      </c>
      <c r="N642" s="1">
        <v>5180877</v>
      </c>
    </row>
    <row r="643" spans="1:14" x14ac:dyDescent="0.35">
      <c r="A643" s="1" t="s">
        <v>65</v>
      </c>
      <c r="B643" s="1">
        <v>202606</v>
      </c>
      <c r="C643" s="1" t="str">
        <f>MID(analisis_productividad__4[[#This Row],[Periodo]],1,4)</f>
        <v>2026</v>
      </c>
      <c r="D643" s="1" t="str">
        <f>MID(analisis_productividad__4[[#This Row],[Periodo]],5,2)</f>
        <v>06</v>
      </c>
      <c r="E643" s="1" t="s">
        <v>16</v>
      </c>
      <c r="F643" s="1" t="s">
        <v>19</v>
      </c>
      <c r="G643" s="1">
        <v>99417</v>
      </c>
      <c r="H643" s="1">
        <v>6079662</v>
      </c>
      <c r="I643" s="1">
        <v>61.152875000000364</v>
      </c>
      <c r="J643" s="1">
        <v>90533.9378495977</v>
      </c>
      <c r="K643" s="1">
        <v>68</v>
      </c>
      <c r="L643" s="1">
        <v>68.5</v>
      </c>
      <c r="M643" s="1">
        <v>60.397061823201135</v>
      </c>
      <c r="N643" s="1">
        <v>5467984</v>
      </c>
    </row>
    <row r="644" spans="1:14" x14ac:dyDescent="0.35">
      <c r="A644" s="1" t="s">
        <v>41</v>
      </c>
      <c r="B644" s="1">
        <v>202605</v>
      </c>
      <c r="C644" s="1" t="str">
        <f>MID(analisis_productividad__4[[#This Row],[Periodo]],1,4)</f>
        <v>2026</v>
      </c>
      <c r="D644" s="1" t="str">
        <f>MID(analisis_productividad__4[[#This Row],[Periodo]],5,2)</f>
        <v>05</v>
      </c>
      <c r="E644" s="1" t="s">
        <v>16</v>
      </c>
      <c r="F644" s="1" t="s">
        <v>19</v>
      </c>
      <c r="G644" s="1">
        <v>99397</v>
      </c>
      <c r="H644" s="1">
        <v>5144020</v>
      </c>
      <c r="I644" s="1">
        <v>51.75243951612952</v>
      </c>
      <c r="J644" s="1">
        <v>100730.80856948419</v>
      </c>
      <c r="K644" s="1">
        <v>57.5</v>
      </c>
      <c r="L644" s="1">
        <v>56.5</v>
      </c>
      <c r="M644" s="1">
        <v>50.698263574219922</v>
      </c>
      <c r="N644" s="1">
        <v>5106877</v>
      </c>
    </row>
    <row r="645" spans="1:14" x14ac:dyDescent="0.35">
      <c r="A645" s="1" t="s">
        <v>73</v>
      </c>
      <c r="B645" s="1">
        <v>202603</v>
      </c>
      <c r="C645" s="1" t="str">
        <f>MID(analisis_productividad__4[[#This Row],[Periodo]],1,4)</f>
        <v>2026</v>
      </c>
      <c r="D645" s="1" t="str">
        <f>MID(analisis_productividad__4[[#This Row],[Periodo]],5,2)</f>
        <v>03</v>
      </c>
      <c r="E645" s="1" t="s">
        <v>16</v>
      </c>
      <c r="F645" s="1" t="s">
        <v>21</v>
      </c>
      <c r="G645" s="1">
        <v>99383</v>
      </c>
      <c r="H645" s="1">
        <v>3987061</v>
      </c>
      <c r="I645" s="1">
        <v>40.117950268817189</v>
      </c>
      <c r="J645" s="1">
        <v>101618.09054015479</v>
      </c>
      <c r="K645" s="1">
        <v>43.5</v>
      </c>
      <c r="L645" s="1">
        <v>41</v>
      </c>
      <c r="M645" s="1">
        <v>38.914029696684921</v>
      </c>
      <c r="N645" s="1">
        <v>3954369</v>
      </c>
    </row>
    <row r="646" spans="1:14" x14ac:dyDescent="0.35">
      <c r="A646" s="1" t="s">
        <v>44</v>
      </c>
      <c r="B646" s="1">
        <v>202601</v>
      </c>
      <c r="C646" s="1" t="str">
        <f>MID(analisis_productividad__4[[#This Row],[Periodo]],1,4)</f>
        <v>2026</v>
      </c>
      <c r="D646" s="1" t="str">
        <f>MID(analisis_productividad__4[[#This Row],[Periodo]],5,2)</f>
        <v>01</v>
      </c>
      <c r="E646" s="1" t="s">
        <v>11</v>
      </c>
      <c r="F646" s="1" t="s">
        <v>12</v>
      </c>
      <c r="G646" s="1">
        <v>99382</v>
      </c>
      <c r="H646" s="1">
        <v>6354838</v>
      </c>
      <c r="I646" s="1">
        <v>63.943494623655944</v>
      </c>
      <c r="J646" s="1">
        <v>94761.923130934927</v>
      </c>
      <c r="K646" s="1">
        <v>78</v>
      </c>
      <c r="L646" s="1">
        <v>74.5</v>
      </c>
      <c r="M646" s="1">
        <v>66.954795775232199</v>
      </c>
      <c r="N646" s="1">
        <v>6344765</v>
      </c>
    </row>
    <row r="647" spans="1:14" x14ac:dyDescent="0.35">
      <c r="A647" s="1" t="s">
        <v>55</v>
      </c>
      <c r="B647" s="1">
        <v>202504</v>
      </c>
      <c r="C647" s="1" t="str">
        <f>MID(analisis_productividad__4[[#This Row],[Periodo]],1,4)</f>
        <v>2025</v>
      </c>
      <c r="D647" s="1" t="str">
        <f>MID(analisis_productividad__4[[#This Row],[Periodo]],5,2)</f>
        <v>04</v>
      </c>
      <c r="E647" s="1" t="s">
        <v>16</v>
      </c>
      <c r="F647" s="1" t="s">
        <v>21</v>
      </c>
      <c r="G647" s="1">
        <v>99361</v>
      </c>
      <c r="H647" s="1">
        <v>4566694</v>
      </c>
      <c r="I647" s="1">
        <v>45.960444444444455</v>
      </c>
      <c r="J647" s="1">
        <v>86924.690281450603</v>
      </c>
      <c r="K647" s="1">
        <v>55</v>
      </c>
      <c r="L647" s="1">
        <v>50.5</v>
      </c>
      <c r="M647" s="1">
        <v>52.536213649006406</v>
      </c>
      <c r="N647" s="1">
        <v>4578461</v>
      </c>
    </row>
    <row r="648" spans="1:14" x14ac:dyDescent="0.35">
      <c r="A648" s="1" t="s">
        <v>86</v>
      </c>
      <c r="B648" s="1">
        <v>202403</v>
      </c>
      <c r="C648" s="1" t="str">
        <f>MID(analisis_productividad__4[[#This Row],[Periodo]],1,4)</f>
        <v>2024</v>
      </c>
      <c r="D648" s="1" t="str">
        <f>MID(analisis_productividad__4[[#This Row],[Periodo]],5,2)</f>
        <v>03</v>
      </c>
      <c r="E648" s="1" t="s">
        <v>11</v>
      </c>
      <c r="F648" s="1" t="s">
        <v>14</v>
      </c>
      <c r="G648" s="1">
        <v>99338</v>
      </c>
      <c r="H648" s="1">
        <v>6604014</v>
      </c>
      <c r="I648" s="1">
        <v>66.480288978494627</v>
      </c>
      <c r="J648" s="1">
        <v>0</v>
      </c>
      <c r="K648" s="1">
        <v>69.5</v>
      </c>
      <c r="L648" s="1">
        <v>59</v>
      </c>
      <c r="M648" s="1"/>
      <c r="N648" s="1">
        <v>0</v>
      </c>
    </row>
    <row r="649" spans="1:14" x14ac:dyDescent="0.35">
      <c r="A649" s="1" t="s">
        <v>61</v>
      </c>
      <c r="B649" s="1">
        <v>202411</v>
      </c>
      <c r="C649" s="1" t="str">
        <f>MID(analisis_productividad__4[[#This Row],[Periodo]],1,4)</f>
        <v>2024</v>
      </c>
      <c r="D649" s="1" t="str">
        <f>MID(analisis_productividad__4[[#This Row],[Periodo]],5,2)</f>
        <v>11</v>
      </c>
      <c r="E649" s="1" t="s">
        <v>11</v>
      </c>
      <c r="F649" s="1" t="s">
        <v>52</v>
      </c>
      <c r="G649" s="1">
        <v>99296</v>
      </c>
      <c r="H649" s="1">
        <v>8767889</v>
      </c>
      <c r="I649" s="1">
        <v>88.300673611111193</v>
      </c>
      <c r="J649" s="1">
        <v>0</v>
      </c>
      <c r="K649" s="1">
        <v>104.5</v>
      </c>
      <c r="L649" s="1">
        <v>99</v>
      </c>
      <c r="M649" s="1"/>
      <c r="N649" s="1">
        <v>0</v>
      </c>
    </row>
    <row r="650" spans="1:14" x14ac:dyDescent="0.35">
      <c r="A650" s="1" t="s">
        <v>74</v>
      </c>
      <c r="B650" s="1">
        <v>202603</v>
      </c>
      <c r="C650" s="1" t="str">
        <f>MID(analisis_productividad__4[[#This Row],[Periodo]],1,4)</f>
        <v>2026</v>
      </c>
      <c r="D650" s="1" t="str">
        <f>MID(analisis_productividad__4[[#This Row],[Periodo]],5,2)</f>
        <v>03</v>
      </c>
      <c r="E650" s="1" t="s">
        <v>16</v>
      </c>
      <c r="F650" s="1" t="s">
        <v>19</v>
      </c>
      <c r="G650" s="1">
        <v>99290</v>
      </c>
      <c r="H650" s="1">
        <v>4846245</v>
      </c>
      <c r="I650" s="1">
        <v>48.809005376344082</v>
      </c>
      <c r="J650" s="1">
        <v>102989.02564430168</v>
      </c>
      <c r="K650" s="1">
        <v>50.5</v>
      </c>
      <c r="L650" s="1">
        <v>51.5</v>
      </c>
      <c r="M650" s="1">
        <v>44.728769766304502</v>
      </c>
      <c r="N650" s="1">
        <v>4606572</v>
      </c>
    </row>
    <row r="651" spans="1:14" x14ac:dyDescent="0.35">
      <c r="A651" s="1" t="s">
        <v>54</v>
      </c>
      <c r="B651" s="1">
        <v>202511</v>
      </c>
      <c r="C651" s="1" t="str">
        <f>MID(analisis_productividad__4[[#This Row],[Periodo]],1,4)</f>
        <v>2025</v>
      </c>
      <c r="D651" s="1" t="str">
        <f>MID(analisis_productividad__4[[#This Row],[Periodo]],5,2)</f>
        <v>11</v>
      </c>
      <c r="E651" s="1" t="s">
        <v>11</v>
      </c>
      <c r="F651" s="1" t="s">
        <v>52</v>
      </c>
      <c r="G651" s="1">
        <v>99234</v>
      </c>
      <c r="H651" s="1">
        <v>8941114</v>
      </c>
      <c r="I651" s="1">
        <v>90.101326388888936</v>
      </c>
      <c r="J651" s="1">
        <v>90872.638750425758</v>
      </c>
      <c r="K651" s="1">
        <v>106</v>
      </c>
      <c r="L651" s="1">
        <v>102.5</v>
      </c>
      <c r="M651" s="1">
        <v>98.391702199338965</v>
      </c>
      <c r="N651" s="1">
        <v>9797451</v>
      </c>
    </row>
    <row r="652" spans="1:14" x14ac:dyDescent="0.35">
      <c r="A652" s="1" t="s">
        <v>39</v>
      </c>
      <c r="B652" s="1">
        <v>202410</v>
      </c>
      <c r="C652" s="1" t="str">
        <f>MID(analisis_productividad__4[[#This Row],[Periodo]],1,4)</f>
        <v>2024</v>
      </c>
      <c r="D652" s="1" t="str">
        <f>MID(analisis_productividad__4[[#This Row],[Periodo]],5,2)</f>
        <v>10</v>
      </c>
      <c r="E652" s="1" t="s">
        <v>16</v>
      </c>
      <c r="F652" s="1" t="s">
        <v>17</v>
      </c>
      <c r="G652" s="1">
        <v>99228</v>
      </c>
      <c r="H652" s="1">
        <v>8185039</v>
      </c>
      <c r="I652" s="1">
        <v>82.487002688171955</v>
      </c>
      <c r="J652" s="1">
        <v>0</v>
      </c>
      <c r="K652" s="1">
        <v>93.5</v>
      </c>
      <c r="L652" s="1">
        <v>94</v>
      </c>
      <c r="M652" s="1"/>
      <c r="N652" s="1">
        <v>0</v>
      </c>
    </row>
    <row r="653" spans="1:14" x14ac:dyDescent="0.35">
      <c r="A653" s="1" t="s">
        <v>38</v>
      </c>
      <c r="B653" s="1">
        <v>202501</v>
      </c>
      <c r="C653" s="1" t="str">
        <f>MID(analisis_productividad__4[[#This Row],[Periodo]],1,4)</f>
        <v>2025</v>
      </c>
      <c r="D653" s="1" t="str">
        <f>MID(analisis_productividad__4[[#This Row],[Periodo]],5,2)</f>
        <v>01</v>
      </c>
      <c r="E653" s="1" t="s">
        <v>34</v>
      </c>
      <c r="F653" s="1" t="s">
        <v>35</v>
      </c>
      <c r="G653" s="1">
        <v>99216</v>
      </c>
      <c r="H653" s="1">
        <v>11721154</v>
      </c>
      <c r="I653" s="1">
        <v>118.13788978494617</v>
      </c>
      <c r="J653" s="1">
        <v>110698.81074940688</v>
      </c>
      <c r="K653" s="1">
        <v>140.5</v>
      </c>
      <c r="L653" s="1">
        <v>125.5</v>
      </c>
      <c r="M653" s="1">
        <v>105.88329107287001</v>
      </c>
      <c r="N653" s="1">
        <v>11611126</v>
      </c>
    </row>
    <row r="654" spans="1:14" x14ac:dyDescent="0.35">
      <c r="A654" s="1" t="s">
        <v>50</v>
      </c>
      <c r="B654" s="1">
        <v>202403</v>
      </c>
      <c r="C654" s="1" t="str">
        <f>MID(analisis_productividad__4[[#This Row],[Periodo]],1,4)</f>
        <v>2024</v>
      </c>
      <c r="D654" s="1" t="str">
        <f>MID(analisis_productividad__4[[#This Row],[Periodo]],5,2)</f>
        <v>03</v>
      </c>
      <c r="E654" s="1" t="s">
        <v>34</v>
      </c>
      <c r="F654" s="1" t="s">
        <v>35</v>
      </c>
      <c r="G654" s="1">
        <v>99209</v>
      </c>
      <c r="H654" s="1">
        <v>6794744</v>
      </c>
      <c r="I654" s="1">
        <v>68.48940188172044</v>
      </c>
      <c r="J654" s="1">
        <v>0</v>
      </c>
      <c r="K654" s="1">
        <v>79.5</v>
      </c>
      <c r="L654" s="1">
        <v>72.5</v>
      </c>
      <c r="M654" s="1"/>
      <c r="N654" s="1">
        <v>0</v>
      </c>
    </row>
    <row r="655" spans="1:14" x14ac:dyDescent="0.35">
      <c r="A655" s="1" t="s">
        <v>59</v>
      </c>
      <c r="B655" s="1">
        <v>202606</v>
      </c>
      <c r="C655" s="1" t="str">
        <f>MID(analisis_productividad__4[[#This Row],[Periodo]],1,4)</f>
        <v>2026</v>
      </c>
      <c r="D655" s="1" t="str">
        <f>MID(analisis_productividad__4[[#This Row],[Periodo]],5,2)</f>
        <v>06</v>
      </c>
      <c r="E655" s="1" t="s">
        <v>11</v>
      </c>
      <c r="F655" s="1" t="s">
        <v>12</v>
      </c>
      <c r="G655" s="1">
        <v>99177</v>
      </c>
      <c r="H655" s="1">
        <v>8028846</v>
      </c>
      <c r="I655" s="1">
        <v>80.954416666668834</v>
      </c>
      <c r="J655" s="1">
        <v>93323.125799852554</v>
      </c>
      <c r="K655" s="1">
        <v>94.5</v>
      </c>
      <c r="L655" s="1">
        <v>97</v>
      </c>
      <c r="M655" s="1">
        <v>83.184435661200979</v>
      </c>
      <c r="N655" s="1">
        <v>7763032</v>
      </c>
    </row>
    <row r="656" spans="1:14" x14ac:dyDescent="0.35">
      <c r="A656" s="1" t="s">
        <v>38</v>
      </c>
      <c r="B656" s="1">
        <v>202411</v>
      </c>
      <c r="C656" s="1" t="str">
        <f>MID(analisis_productividad__4[[#This Row],[Periodo]],1,4)</f>
        <v>2024</v>
      </c>
      <c r="D656" s="1" t="str">
        <f>MID(analisis_productividad__4[[#This Row],[Periodo]],5,2)</f>
        <v>11</v>
      </c>
      <c r="E656" s="1" t="s">
        <v>34</v>
      </c>
      <c r="F656" s="1" t="s">
        <v>35</v>
      </c>
      <c r="G656" s="1">
        <v>99158</v>
      </c>
      <c r="H656" s="1">
        <v>11512476</v>
      </c>
      <c r="I656" s="1">
        <v>116.10175694444446</v>
      </c>
      <c r="J656" s="1">
        <v>0</v>
      </c>
      <c r="K656" s="1">
        <v>140.5</v>
      </c>
      <c r="L656" s="1">
        <v>125.5</v>
      </c>
      <c r="M656" s="1"/>
      <c r="N656" s="1">
        <v>0</v>
      </c>
    </row>
    <row r="657" spans="1:14" x14ac:dyDescent="0.35">
      <c r="A657" s="1" t="s">
        <v>48</v>
      </c>
      <c r="B657" s="1">
        <v>202604</v>
      </c>
      <c r="C657" s="1" t="str">
        <f>MID(analisis_productividad__4[[#This Row],[Periodo]],1,4)</f>
        <v>2026</v>
      </c>
      <c r="D657" s="1" t="str">
        <f>MID(analisis_productividad__4[[#This Row],[Periodo]],5,2)</f>
        <v>04</v>
      </c>
      <c r="E657" s="1" t="s">
        <v>16</v>
      </c>
      <c r="F657" s="1" t="s">
        <v>21</v>
      </c>
      <c r="G657" s="1">
        <v>99157</v>
      </c>
      <c r="H657" s="1">
        <v>5347175</v>
      </c>
      <c r="I657" s="1">
        <v>53.926201388889773</v>
      </c>
      <c r="J657" s="1">
        <v>108064.0357056706</v>
      </c>
      <c r="K657" s="1">
        <v>56</v>
      </c>
      <c r="L657" s="1">
        <v>60</v>
      </c>
      <c r="M657" s="1">
        <v>48.493991244906013</v>
      </c>
      <c r="N657" s="1">
        <v>5240456</v>
      </c>
    </row>
    <row r="658" spans="1:14" x14ac:dyDescent="0.35">
      <c r="A658" s="1" t="s">
        <v>10</v>
      </c>
      <c r="B658" s="1">
        <v>202405</v>
      </c>
      <c r="C658" s="1" t="str">
        <f>MID(analisis_productividad__4[[#This Row],[Periodo]],1,4)</f>
        <v>2024</v>
      </c>
      <c r="D658" s="1" t="str">
        <f>MID(analisis_productividad__4[[#This Row],[Periodo]],5,2)</f>
        <v>05</v>
      </c>
      <c r="E658" s="1" t="s">
        <v>11</v>
      </c>
      <c r="F658" s="1" t="s">
        <v>12</v>
      </c>
      <c r="G658" s="1">
        <v>99151</v>
      </c>
      <c r="H658" s="1">
        <v>9629115</v>
      </c>
      <c r="I658" s="1">
        <v>97.115638440860195</v>
      </c>
      <c r="J658" s="1">
        <v>0</v>
      </c>
      <c r="K658" s="1">
        <v>98.5</v>
      </c>
      <c r="L658" s="1">
        <v>96.5</v>
      </c>
      <c r="M658" s="1"/>
      <c r="N658" s="1">
        <v>0</v>
      </c>
    </row>
    <row r="659" spans="1:14" x14ac:dyDescent="0.35">
      <c r="A659" s="1" t="s">
        <v>36</v>
      </c>
      <c r="B659" s="1">
        <v>202504</v>
      </c>
      <c r="C659" s="1" t="str">
        <f>MID(analisis_productividad__4[[#This Row],[Periodo]],1,4)</f>
        <v>2025</v>
      </c>
      <c r="D659" s="1" t="str">
        <f>MID(analisis_productividad__4[[#This Row],[Periodo]],5,2)</f>
        <v>04</v>
      </c>
      <c r="E659" s="1" t="s">
        <v>16</v>
      </c>
      <c r="F659" s="1" t="s">
        <v>17</v>
      </c>
      <c r="G659" s="1">
        <v>99138</v>
      </c>
      <c r="H659" s="1">
        <v>7281149</v>
      </c>
      <c r="I659" s="1">
        <v>73.444583333333313</v>
      </c>
      <c r="J659" s="1">
        <v>102861.36322079279</v>
      </c>
      <c r="K659" s="1">
        <v>76.5</v>
      </c>
      <c r="L659" s="1">
        <v>80</v>
      </c>
      <c r="M659" s="1">
        <v>70.786043389012391</v>
      </c>
      <c r="N659" s="1">
        <v>7991012</v>
      </c>
    </row>
    <row r="660" spans="1:14" x14ac:dyDescent="0.35">
      <c r="A660" s="1" t="s">
        <v>44</v>
      </c>
      <c r="B660" s="1">
        <v>202401</v>
      </c>
      <c r="C660" s="1" t="str">
        <f>MID(analisis_productividad__4[[#This Row],[Periodo]],1,4)</f>
        <v>2024</v>
      </c>
      <c r="D660" s="1" t="str">
        <f>MID(analisis_productividad__4[[#This Row],[Periodo]],5,2)</f>
        <v>01</v>
      </c>
      <c r="E660" s="1" t="s">
        <v>11</v>
      </c>
      <c r="F660" s="1" t="s">
        <v>12</v>
      </c>
      <c r="G660" s="1">
        <v>99130</v>
      </c>
      <c r="H660" s="1">
        <v>6455615</v>
      </c>
      <c r="I660" s="1">
        <v>65.122674731182812</v>
      </c>
      <c r="J660" s="1">
        <v>0</v>
      </c>
      <c r="K660" s="1">
        <v>78</v>
      </c>
      <c r="L660" s="1">
        <v>74.5</v>
      </c>
      <c r="M660" s="1"/>
      <c r="N660" s="1">
        <v>0</v>
      </c>
    </row>
    <row r="661" spans="1:14" x14ac:dyDescent="0.35">
      <c r="A661" s="1" t="s">
        <v>75</v>
      </c>
      <c r="B661" s="1">
        <v>202604</v>
      </c>
      <c r="C661" s="1" t="str">
        <f>MID(analisis_productividad__4[[#This Row],[Periodo]],1,4)</f>
        <v>2026</v>
      </c>
      <c r="D661" s="1" t="str">
        <f>MID(analisis_productividad__4[[#This Row],[Periodo]],5,2)</f>
        <v>04</v>
      </c>
      <c r="E661" s="1" t="s">
        <v>11</v>
      </c>
      <c r="F661" s="1" t="s">
        <v>52</v>
      </c>
      <c r="G661" s="1">
        <v>99114</v>
      </c>
      <c r="H661" s="1">
        <v>9181730</v>
      </c>
      <c r="I661" s="1">
        <v>92.638194444445958</v>
      </c>
      <c r="J661" s="1">
        <v>86134.378178466097</v>
      </c>
      <c r="K661" s="1">
        <v>118</v>
      </c>
      <c r="L661" s="1">
        <v>106</v>
      </c>
      <c r="M661" s="1">
        <v>102.17544085783207</v>
      </c>
      <c r="N661" s="1">
        <v>8800818</v>
      </c>
    </row>
    <row r="662" spans="1:14" x14ac:dyDescent="0.35">
      <c r="A662" s="1" t="s">
        <v>26</v>
      </c>
      <c r="B662" s="1">
        <v>202510</v>
      </c>
      <c r="C662" s="1" t="str">
        <f>MID(analisis_productividad__4[[#This Row],[Periodo]],1,4)</f>
        <v>2025</v>
      </c>
      <c r="D662" s="1" t="str">
        <f>MID(analisis_productividad__4[[#This Row],[Periodo]],5,2)</f>
        <v>10</v>
      </c>
      <c r="E662" s="1" t="s">
        <v>11</v>
      </c>
      <c r="F662" s="1" t="s">
        <v>12</v>
      </c>
      <c r="G662" s="1">
        <v>98988</v>
      </c>
      <c r="H662" s="1">
        <v>5661587</v>
      </c>
      <c r="I662" s="1">
        <v>57.194563172043033</v>
      </c>
      <c r="J662" s="1">
        <v>90349.729839861509</v>
      </c>
      <c r="K662" s="1">
        <v>65.5</v>
      </c>
      <c r="L662" s="1">
        <v>63</v>
      </c>
      <c r="M662" s="1">
        <v>62.663019579967333</v>
      </c>
      <c r="N662" s="1">
        <v>4815513</v>
      </c>
    </row>
    <row r="663" spans="1:14" x14ac:dyDescent="0.35">
      <c r="A663" s="1" t="s">
        <v>51</v>
      </c>
      <c r="B663" s="1">
        <v>202508</v>
      </c>
      <c r="C663" s="1" t="str">
        <f>MID(analisis_productividad__4[[#This Row],[Periodo]],1,4)</f>
        <v>2025</v>
      </c>
      <c r="D663" s="1" t="str">
        <f>MID(analisis_productividad__4[[#This Row],[Periodo]],5,2)</f>
        <v>08</v>
      </c>
      <c r="E663" s="1" t="s">
        <v>11</v>
      </c>
      <c r="F663" s="1" t="s">
        <v>52</v>
      </c>
      <c r="G663" s="1">
        <v>98979</v>
      </c>
      <c r="H663" s="1">
        <v>9380296</v>
      </c>
      <c r="I663" s="1">
        <v>94.770591397849515</v>
      </c>
      <c r="J663" s="1">
        <v>103803.55961170001</v>
      </c>
      <c r="K663" s="1">
        <v>117.5</v>
      </c>
      <c r="L663" s="1">
        <v>99</v>
      </c>
      <c r="M663" s="1">
        <v>90.365841548103518</v>
      </c>
      <c r="N663" s="1">
        <v>10012298</v>
      </c>
    </row>
    <row r="664" spans="1:14" x14ac:dyDescent="0.35">
      <c r="A664" s="1" t="s">
        <v>51</v>
      </c>
      <c r="B664" s="1">
        <v>202404</v>
      </c>
      <c r="C664" s="1" t="str">
        <f>MID(analisis_productividad__4[[#This Row],[Periodo]],1,4)</f>
        <v>2024</v>
      </c>
      <c r="D664" s="1" t="str">
        <f>MID(analisis_productividad__4[[#This Row],[Periodo]],5,2)</f>
        <v>04</v>
      </c>
      <c r="E664" s="1" t="s">
        <v>11</v>
      </c>
      <c r="F664" s="1" t="s">
        <v>52</v>
      </c>
      <c r="G664" s="1">
        <v>98883</v>
      </c>
      <c r="H664" s="1">
        <v>9104167</v>
      </c>
      <c r="I664" s="1">
        <v>92.070465277777814</v>
      </c>
      <c r="J664" s="1">
        <v>0</v>
      </c>
      <c r="K664" s="1">
        <v>117.5</v>
      </c>
      <c r="L664" s="1">
        <v>99</v>
      </c>
      <c r="M664" s="1"/>
      <c r="N664" s="1">
        <v>0</v>
      </c>
    </row>
    <row r="665" spans="1:14" x14ac:dyDescent="0.35">
      <c r="A665" s="1" t="s">
        <v>51</v>
      </c>
      <c r="B665" s="1">
        <v>202408</v>
      </c>
      <c r="C665" s="1" t="str">
        <f>MID(analisis_productividad__4[[#This Row],[Periodo]],1,4)</f>
        <v>2024</v>
      </c>
      <c r="D665" s="1" t="str">
        <f>MID(analisis_productividad__4[[#This Row],[Periodo]],5,2)</f>
        <v>08</v>
      </c>
      <c r="E665" s="1" t="s">
        <v>11</v>
      </c>
      <c r="F665" s="1" t="s">
        <v>52</v>
      </c>
      <c r="G665" s="1">
        <v>98861</v>
      </c>
      <c r="H665" s="1">
        <v>9481051</v>
      </c>
      <c r="I665" s="1">
        <v>95.903293010752662</v>
      </c>
      <c r="J665" s="1">
        <v>0</v>
      </c>
      <c r="K665" s="1">
        <v>117.5</v>
      </c>
      <c r="L665" s="1">
        <v>99</v>
      </c>
      <c r="M665" s="1"/>
      <c r="N665" s="1">
        <v>0</v>
      </c>
    </row>
    <row r="666" spans="1:14" x14ac:dyDescent="0.35">
      <c r="A666" s="1" t="s">
        <v>39</v>
      </c>
      <c r="B666" s="1">
        <v>202510</v>
      </c>
      <c r="C666" s="1" t="str">
        <f>MID(analisis_productividad__4[[#This Row],[Periodo]],1,4)</f>
        <v>2025</v>
      </c>
      <c r="D666" s="1" t="str">
        <f>MID(analisis_productividad__4[[#This Row],[Periodo]],5,2)</f>
        <v>10</v>
      </c>
      <c r="E666" s="1" t="s">
        <v>16</v>
      </c>
      <c r="F666" s="1" t="s">
        <v>17</v>
      </c>
      <c r="G666" s="1">
        <v>98847</v>
      </c>
      <c r="H666" s="1">
        <v>8512701</v>
      </c>
      <c r="I666" s="1">
        <v>86.119805107526858</v>
      </c>
      <c r="J666" s="1">
        <v>104189.63698425618</v>
      </c>
      <c r="K666" s="1">
        <v>93.5</v>
      </c>
      <c r="L666" s="1">
        <v>94</v>
      </c>
      <c r="M666" s="1">
        <v>81.703909298449076</v>
      </c>
      <c r="N666" s="1">
        <v>8710485</v>
      </c>
    </row>
    <row r="667" spans="1:14" x14ac:dyDescent="0.35">
      <c r="A667" s="1" t="s">
        <v>47</v>
      </c>
      <c r="B667" s="1">
        <v>202606</v>
      </c>
      <c r="C667" s="1" t="str">
        <f>MID(analisis_productividad__4[[#This Row],[Periodo]],1,4)</f>
        <v>2026</v>
      </c>
      <c r="D667" s="1" t="str">
        <f>MID(analisis_productividad__4[[#This Row],[Periodo]],5,2)</f>
        <v>06</v>
      </c>
      <c r="E667" s="1" t="s">
        <v>11</v>
      </c>
      <c r="F667" s="1" t="s">
        <v>14</v>
      </c>
      <c r="G667" s="1">
        <v>98828</v>
      </c>
      <c r="H667" s="1">
        <v>4167586</v>
      </c>
      <c r="I667" s="1">
        <v>42.169993055555572</v>
      </c>
      <c r="J667" s="1">
        <v>82375.966201769668</v>
      </c>
      <c r="K667" s="1">
        <v>61.5</v>
      </c>
      <c r="L667" s="1">
        <v>48.5</v>
      </c>
      <c r="M667" s="1">
        <v>53.715920394326645</v>
      </c>
      <c r="N667" s="1">
        <v>4424901</v>
      </c>
    </row>
    <row r="668" spans="1:14" x14ac:dyDescent="0.35">
      <c r="A668" s="1" t="s">
        <v>68</v>
      </c>
      <c r="B668" s="1">
        <v>202408</v>
      </c>
      <c r="C668" s="1" t="str">
        <f>MID(analisis_productividad__4[[#This Row],[Periodo]],1,4)</f>
        <v>2024</v>
      </c>
      <c r="D668" s="1" t="str">
        <f>MID(analisis_productividad__4[[#This Row],[Periodo]],5,2)</f>
        <v>08</v>
      </c>
      <c r="E668" s="1" t="s">
        <v>11</v>
      </c>
      <c r="F668" s="1" t="s">
        <v>52</v>
      </c>
      <c r="G668" s="1">
        <v>98816</v>
      </c>
      <c r="H668" s="1">
        <v>8036345</v>
      </c>
      <c r="I668" s="1">
        <v>81.32616935483864</v>
      </c>
      <c r="J668" s="1">
        <v>0</v>
      </c>
      <c r="K668" s="1">
        <v>103</v>
      </c>
      <c r="L668" s="1">
        <v>91</v>
      </c>
      <c r="M668" s="1"/>
      <c r="N668" s="1">
        <v>0</v>
      </c>
    </row>
    <row r="669" spans="1:14" x14ac:dyDescent="0.35">
      <c r="A669" s="1" t="s">
        <v>76</v>
      </c>
      <c r="B669" s="1">
        <v>202605</v>
      </c>
      <c r="C669" s="1" t="str">
        <f>MID(analisis_productividad__4[[#This Row],[Periodo]],1,4)</f>
        <v>2026</v>
      </c>
      <c r="D669" s="1" t="str">
        <f>MID(analisis_productividad__4[[#This Row],[Periodo]],5,2)</f>
        <v>05</v>
      </c>
      <c r="E669" s="1" t="s">
        <v>11</v>
      </c>
      <c r="F669" s="1" t="s">
        <v>14</v>
      </c>
      <c r="G669" s="1">
        <v>98815</v>
      </c>
      <c r="H669" s="1">
        <v>6949009</v>
      </c>
      <c r="I669" s="1">
        <v>70.323420698924352</v>
      </c>
      <c r="J669" s="1">
        <v>95755.727606050496</v>
      </c>
      <c r="K669" s="1">
        <v>80</v>
      </c>
      <c r="L669" s="1">
        <v>78</v>
      </c>
      <c r="M669" s="1">
        <v>69.114627897013889</v>
      </c>
      <c r="N669" s="1">
        <v>6618121</v>
      </c>
    </row>
    <row r="670" spans="1:14" x14ac:dyDescent="0.35">
      <c r="A670" s="1" t="s">
        <v>53</v>
      </c>
      <c r="B670" s="1">
        <v>202604</v>
      </c>
      <c r="C670" s="1" t="str">
        <f>MID(analisis_productividad__4[[#This Row],[Periodo]],1,4)</f>
        <v>2026</v>
      </c>
      <c r="D670" s="1" t="str">
        <f>MID(analisis_productividad__4[[#This Row],[Periodo]],5,2)</f>
        <v>04</v>
      </c>
      <c r="E670" s="1" t="s">
        <v>11</v>
      </c>
      <c r="F670" s="1" t="s">
        <v>12</v>
      </c>
      <c r="G670" s="1">
        <v>98740</v>
      </c>
      <c r="H670" s="1">
        <v>6994807</v>
      </c>
      <c r="I670" s="1">
        <v>70.840388888890871</v>
      </c>
      <c r="J670" s="1">
        <v>86130.139712370001</v>
      </c>
      <c r="K670" s="1">
        <v>81</v>
      </c>
      <c r="L670" s="1">
        <v>77</v>
      </c>
      <c r="M670" s="1">
        <v>69.978560745726568</v>
      </c>
      <c r="N670" s="1">
        <v>6027263</v>
      </c>
    </row>
    <row r="671" spans="1:14" x14ac:dyDescent="0.35">
      <c r="A671" s="1" t="s">
        <v>13</v>
      </c>
      <c r="B671" s="1">
        <v>202411</v>
      </c>
      <c r="C671" s="1" t="str">
        <f>MID(analisis_productividad__4[[#This Row],[Periodo]],1,4)</f>
        <v>2024</v>
      </c>
      <c r="D671" s="1" t="str">
        <f>MID(analisis_productividad__4[[#This Row],[Periodo]],5,2)</f>
        <v>11</v>
      </c>
      <c r="E671" s="1" t="s">
        <v>11</v>
      </c>
      <c r="F671" s="1" t="s">
        <v>14</v>
      </c>
      <c r="G671" s="1">
        <v>98692</v>
      </c>
      <c r="H671" s="1">
        <v>9052888</v>
      </c>
      <c r="I671" s="1">
        <v>91.72858333333329</v>
      </c>
      <c r="J671" s="1">
        <v>0</v>
      </c>
      <c r="K671" s="1">
        <v>100</v>
      </c>
      <c r="L671" s="1">
        <v>98</v>
      </c>
      <c r="M671" s="1"/>
      <c r="N671" s="1">
        <v>0</v>
      </c>
    </row>
    <row r="672" spans="1:14" x14ac:dyDescent="0.35">
      <c r="A672" s="1" t="s">
        <v>27</v>
      </c>
      <c r="B672" s="1">
        <v>202504</v>
      </c>
      <c r="C672" s="1" t="str">
        <f>MID(analisis_productividad__4[[#This Row],[Periodo]],1,4)</f>
        <v>2025</v>
      </c>
      <c r="D672" s="1" t="str">
        <f>MID(analisis_productividad__4[[#This Row],[Periodo]],5,2)</f>
        <v>04</v>
      </c>
      <c r="E672" s="1" t="s">
        <v>11</v>
      </c>
      <c r="F672" s="1" t="s">
        <v>14</v>
      </c>
      <c r="G672" s="1">
        <v>98611</v>
      </c>
      <c r="H672" s="1">
        <v>8068931</v>
      </c>
      <c r="I672" s="1">
        <v>81.826159722222229</v>
      </c>
      <c r="J672" s="1">
        <v>97515.201894115336</v>
      </c>
      <c r="K672" s="1">
        <v>88</v>
      </c>
      <c r="L672" s="1">
        <v>84</v>
      </c>
      <c r="M672" s="1">
        <v>82.745360654244095</v>
      </c>
      <c r="N672" s="1">
        <v>8363531</v>
      </c>
    </row>
    <row r="673" spans="1:14" x14ac:dyDescent="0.35">
      <c r="A673" s="1" t="s">
        <v>75</v>
      </c>
      <c r="B673" s="1">
        <v>202605</v>
      </c>
      <c r="C673" s="1" t="str">
        <f>MID(analisis_productividad__4[[#This Row],[Periodo]],1,4)</f>
        <v>2026</v>
      </c>
      <c r="D673" s="1" t="str">
        <f>MID(analisis_productividad__4[[#This Row],[Periodo]],5,2)</f>
        <v>05</v>
      </c>
      <c r="E673" s="1" t="s">
        <v>11</v>
      </c>
      <c r="F673" s="1" t="s">
        <v>52</v>
      </c>
      <c r="G673" s="1">
        <v>98608</v>
      </c>
      <c r="H673" s="1">
        <v>9552297</v>
      </c>
      <c r="I673" s="1">
        <v>96.871626344086479</v>
      </c>
      <c r="J673" s="1">
        <v>88605.444465826702</v>
      </c>
      <c r="K673" s="1">
        <v>118</v>
      </c>
      <c r="L673" s="1">
        <v>106</v>
      </c>
      <c r="M673" s="1">
        <v>102.17544085783207</v>
      </c>
      <c r="N673" s="1">
        <v>9053300</v>
      </c>
    </row>
    <row r="674" spans="1:14" x14ac:dyDescent="0.35">
      <c r="A674" s="1" t="s">
        <v>44</v>
      </c>
      <c r="B674" s="1">
        <v>202407</v>
      </c>
      <c r="C674" s="1" t="str">
        <f>MID(analisis_productividad__4[[#This Row],[Periodo]],1,4)</f>
        <v>2024</v>
      </c>
      <c r="D674" s="1" t="str">
        <f>MID(analisis_productividad__4[[#This Row],[Periodo]],5,2)</f>
        <v>07</v>
      </c>
      <c r="E674" s="1" t="s">
        <v>11</v>
      </c>
      <c r="F674" s="1" t="s">
        <v>12</v>
      </c>
      <c r="G674" s="1">
        <v>98546</v>
      </c>
      <c r="H674" s="1">
        <v>6529467</v>
      </c>
      <c r="I674" s="1">
        <v>66.257775537634402</v>
      </c>
      <c r="J674" s="1">
        <v>0</v>
      </c>
      <c r="K674" s="1">
        <v>78</v>
      </c>
      <c r="L674" s="1">
        <v>74.5</v>
      </c>
      <c r="M674" s="1"/>
      <c r="N674" s="1">
        <v>0</v>
      </c>
    </row>
    <row r="675" spans="1:14" x14ac:dyDescent="0.35">
      <c r="A675" s="1" t="s">
        <v>70</v>
      </c>
      <c r="B675" s="1">
        <v>202412</v>
      </c>
      <c r="C675" s="1" t="str">
        <f>MID(analisis_productividad__4[[#This Row],[Periodo]],1,4)</f>
        <v>2024</v>
      </c>
      <c r="D675" s="1" t="str">
        <f>MID(analisis_productividad__4[[#This Row],[Periodo]],5,2)</f>
        <v>12</v>
      </c>
      <c r="E675" s="1" t="s">
        <v>11</v>
      </c>
      <c r="F675" s="1" t="s">
        <v>14</v>
      </c>
      <c r="G675" s="1">
        <v>98536</v>
      </c>
      <c r="H675" s="1">
        <v>6591669</v>
      </c>
      <c r="I675" s="1">
        <v>66.896102150537644</v>
      </c>
      <c r="J675" s="1">
        <v>0</v>
      </c>
      <c r="K675" s="1">
        <v>65</v>
      </c>
      <c r="L675" s="1">
        <v>67.5</v>
      </c>
      <c r="M675" s="1"/>
      <c r="N675" s="1">
        <v>0</v>
      </c>
    </row>
    <row r="676" spans="1:14" x14ac:dyDescent="0.35">
      <c r="A676" s="1" t="s">
        <v>77</v>
      </c>
      <c r="B676" s="1">
        <v>202605</v>
      </c>
      <c r="C676" s="1" t="str">
        <f>MID(analisis_productividad__4[[#This Row],[Periodo]],1,4)</f>
        <v>2026</v>
      </c>
      <c r="D676" s="1" t="str">
        <f>MID(analisis_productividad__4[[#This Row],[Periodo]],5,2)</f>
        <v>05</v>
      </c>
      <c r="E676" s="1" t="s">
        <v>16</v>
      </c>
      <c r="F676" s="1" t="s">
        <v>21</v>
      </c>
      <c r="G676" s="1">
        <v>98500</v>
      </c>
      <c r="H676" s="1">
        <v>5256475</v>
      </c>
      <c r="I676" s="1">
        <v>53.365450268817781</v>
      </c>
      <c r="J676" s="1">
        <v>94001.815560954172</v>
      </c>
      <c r="K676" s="1">
        <v>60.5</v>
      </c>
      <c r="L676" s="1">
        <v>60.5</v>
      </c>
      <c r="M676" s="1">
        <v>53.343390369396616</v>
      </c>
      <c r="N676" s="1">
        <v>5014376</v>
      </c>
    </row>
    <row r="677" spans="1:14" x14ac:dyDescent="0.35">
      <c r="A677" s="1" t="s">
        <v>44</v>
      </c>
      <c r="B677" s="1">
        <v>202503</v>
      </c>
      <c r="C677" s="1" t="str">
        <f>MID(analisis_productividad__4[[#This Row],[Periodo]],1,4)</f>
        <v>2025</v>
      </c>
      <c r="D677" s="1" t="str">
        <f>MID(analisis_productividad__4[[#This Row],[Periodo]],5,2)</f>
        <v>03</v>
      </c>
      <c r="E677" s="1" t="s">
        <v>11</v>
      </c>
      <c r="F677" s="1" t="s">
        <v>12</v>
      </c>
      <c r="G677" s="1">
        <v>98496</v>
      </c>
      <c r="H677" s="1">
        <v>7092530</v>
      </c>
      <c r="I677" s="1">
        <v>72.008172043010731</v>
      </c>
      <c r="J677" s="1">
        <v>107499.6245617488</v>
      </c>
      <c r="K677" s="1">
        <v>78</v>
      </c>
      <c r="L677" s="1">
        <v>74.5</v>
      </c>
      <c r="M677" s="1">
        <v>65.977257398940822</v>
      </c>
      <c r="N677" s="1">
        <v>7353992</v>
      </c>
    </row>
    <row r="678" spans="1:14" x14ac:dyDescent="0.35">
      <c r="A678" s="1" t="s">
        <v>76</v>
      </c>
      <c r="B678" s="1">
        <v>202603</v>
      </c>
      <c r="C678" s="1" t="str">
        <f>MID(analisis_productividad__4[[#This Row],[Periodo]],1,4)</f>
        <v>2026</v>
      </c>
      <c r="D678" s="1" t="str">
        <f>MID(analisis_productividad__4[[#This Row],[Periodo]],5,2)</f>
        <v>03</v>
      </c>
      <c r="E678" s="1" t="s">
        <v>11</v>
      </c>
      <c r="F678" s="1" t="s">
        <v>14</v>
      </c>
      <c r="G678" s="1">
        <v>98481</v>
      </c>
      <c r="H678" s="1">
        <v>7064048</v>
      </c>
      <c r="I678" s="1">
        <v>71.729818548387087</v>
      </c>
      <c r="J678" s="1">
        <v>107476.08157955424</v>
      </c>
      <c r="K678" s="1">
        <v>80</v>
      </c>
      <c r="L678" s="1">
        <v>78</v>
      </c>
      <c r="M678" s="1">
        <v>69.114627897013889</v>
      </c>
      <c r="N678" s="1">
        <v>7428169</v>
      </c>
    </row>
    <row r="679" spans="1:14" x14ac:dyDescent="0.35">
      <c r="A679" s="1" t="s">
        <v>57</v>
      </c>
      <c r="B679" s="1">
        <v>202504</v>
      </c>
      <c r="C679" s="1" t="str">
        <f>MID(analisis_productividad__4[[#This Row],[Periodo]],1,4)</f>
        <v>2025</v>
      </c>
      <c r="D679" s="1" t="str">
        <f>MID(analisis_productividad__4[[#This Row],[Periodo]],5,2)</f>
        <v>04</v>
      </c>
      <c r="E679" s="1" t="s">
        <v>16</v>
      </c>
      <c r="F679" s="1" t="s">
        <v>19</v>
      </c>
      <c r="G679" s="1">
        <v>98471</v>
      </c>
      <c r="H679" s="1">
        <v>5857270</v>
      </c>
      <c r="I679" s="1">
        <v>59.482208333333368</v>
      </c>
      <c r="J679" s="1">
        <v>98023.632681075993</v>
      </c>
      <c r="K679" s="1">
        <v>71</v>
      </c>
      <c r="L679" s="1">
        <v>74.5</v>
      </c>
      <c r="M679" s="1">
        <v>59.753653785275183</v>
      </c>
      <c r="N679" s="1">
        <v>6120842</v>
      </c>
    </row>
    <row r="680" spans="1:14" x14ac:dyDescent="0.35">
      <c r="A680" s="1" t="s">
        <v>18</v>
      </c>
      <c r="B680" s="1">
        <v>202605</v>
      </c>
      <c r="C680" s="1" t="str">
        <f>MID(analisis_productividad__4[[#This Row],[Periodo]],1,4)</f>
        <v>2026</v>
      </c>
      <c r="D680" s="1" t="str">
        <f>MID(analisis_productividad__4[[#This Row],[Periodo]],5,2)</f>
        <v>05</v>
      </c>
      <c r="E680" s="1" t="s">
        <v>16</v>
      </c>
      <c r="F680" s="1" t="s">
        <v>19</v>
      </c>
      <c r="G680" s="1">
        <v>98423</v>
      </c>
      <c r="H680" s="1">
        <v>5861971</v>
      </c>
      <c r="I680" s="1">
        <v>59.558944892473214</v>
      </c>
      <c r="J680" s="1">
        <v>80627.785295687907</v>
      </c>
      <c r="K680" s="1">
        <v>70.5</v>
      </c>
      <c r="L680" s="1">
        <v>69.5</v>
      </c>
      <c r="M680" s="1">
        <v>63.576561684054447</v>
      </c>
      <c r="N680" s="1">
        <v>5126037</v>
      </c>
    </row>
    <row r="681" spans="1:14" x14ac:dyDescent="0.35">
      <c r="A681" s="1" t="s">
        <v>131</v>
      </c>
      <c r="B681" s="1">
        <v>202401</v>
      </c>
      <c r="C681" s="1" t="str">
        <f>MID(analisis_productividad__4[[#This Row],[Periodo]],1,4)</f>
        <v>2024</v>
      </c>
      <c r="D681" s="1" t="str">
        <f>MID(analisis_productividad__4[[#This Row],[Periodo]],5,2)</f>
        <v>01</v>
      </c>
      <c r="E681" s="1" t="s">
        <v>16</v>
      </c>
      <c r="F681" s="1" t="s">
        <v>21</v>
      </c>
      <c r="G681" s="1">
        <v>98356</v>
      </c>
      <c r="H681" s="1">
        <v>10442491</v>
      </c>
      <c r="I681" s="1">
        <v>106.17047715053768</v>
      </c>
      <c r="J681" s="1">
        <v>0</v>
      </c>
      <c r="K681" s="1">
        <v>99</v>
      </c>
      <c r="L681" s="1">
        <v>32.5</v>
      </c>
      <c r="M681" s="1"/>
      <c r="N681" s="1">
        <v>0</v>
      </c>
    </row>
    <row r="682" spans="1:14" x14ac:dyDescent="0.35">
      <c r="A682" s="1" t="s">
        <v>26</v>
      </c>
      <c r="B682" s="1">
        <v>202508</v>
      </c>
      <c r="C682" s="1" t="str">
        <f>MID(analisis_productividad__4[[#This Row],[Periodo]],1,4)</f>
        <v>2025</v>
      </c>
      <c r="D682" s="1" t="str">
        <f>MID(analisis_productividad__4[[#This Row],[Periodo]],5,2)</f>
        <v>08</v>
      </c>
      <c r="E682" s="1" t="s">
        <v>11</v>
      </c>
      <c r="F682" s="1" t="s">
        <v>12</v>
      </c>
      <c r="G682" s="1">
        <v>98346</v>
      </c>
      <c r="H682" s="1">
        <v>5824160</v>
      </c>
      <c r="I682" s="1">
        <v>59.221223118279575</v>
      </c>
      <c r="J682" s="1">
        <v>91200.877709725522</v>
      </c>
      <c r="K682" s="1">
        <v>65.5</v>
      </c>
      <c r="L682" s="1">
        <v>63</v>
      </c>
      <c r="M682" s="1">
        <v>63.860791324148849</v>
      </c>
      <c r="N682" s="1">
        <v>5529618</v>
      </c>
    </row>
    <row r="683" spans="1:14" x14ac:dyDescent="0.35">
      <c r="A683" s="1" t="s">
        <v>13</v>
      </c>
      <c r="B683" s="1">
        <v>202404</v>
      </c>
      <c r="C683" s="1" t="str">
        <f>MID(analisis_productividad__4[[#This Row],[Periodo]],1,4)</f>
        <v>2024</v>
      </c>
      <c r="D683" s="1" t="str">
        <f>MID(analisis_productividad__4[[#This Row],[Periodo]],5,2)</f>
        <v>04</v>
      </c>
      <c r="E683" s="1" t="s">
        <v>11</v>
      </c>
      <c r="F683" s="1" t="s">
        <v>14</v>
      </c>
      <c r="G683" s="1">
        <v>98215</v>
      </c>
      <c r="H683" s="1">
        <v>8971889</v>
      </c>
      <c r="I683" s="1">
        <v>91.349368055555573</v>
      </c>
      <c r="J683" s="1">
        <v>0</v>
      </c>
      <c r="K683" s="1">
        <v>100</v>
      </c>
      <c r="L683" s="1">
        <v>98</v>
      </c>
      <c r="M683" s="1"/>
      <c r="N683" s="1">
        <v>0</v>
      </c>
    </row>
    <row r="684" spans="1:14" x14ac:dyDescent="0.35">
      <c r="A684" s="1" t="s">
        <v>76</v>
      </c>
      <c r="B684" s="1">
        <v>202511</v>
      </c>
      <c r="C684" s="1" t="str">
        <f>MID(analisis_productividad__4[[#This Row],[Periodo]],1,4)</f>
        <v>2025</v>
      </c>
      <c r="D684" s="1" t="str">
        <f>MID(analisis_productividad__4[[#This Row],[Periodo]],5,2)</f>
        <v>11</v>
      </c>
      <c r="E684" s="1" t="s">
        <v>11</v>
      </c>
      <c r="F684" s="1" t="s">
        <v>14</v>
      </c>
      <c r="G684" s="1">
        <v>98185</v>
      </c>
      <c r="H684" s="1">
        <v>6336895</v>
      </c>
      <c r="I684" s="1">
        <v>64.540340277777801</v>
      </c>
      <c r="J684" s="1">
        <v>92052.531000109928</v>
      </c>
      <c r="K684" s="1">
        <v>80</v>
      </c>
      <c r="L684" s="1">
        <v>78</v>
      </c>
      <c r="M684" s="1">
        <v>68.839989961736421</v>
      </c>
      <c r="N684" s="1">
        <v>6578987</v>
      </c>
    </row>
    <row r="685" spans="1:14" x14ac:dyDescent="0.35">
      <c r="A685" s="1" t="s">
        <v>10</v>
      </c>
      <c r="B685" s="1">
        <v>202409</v>
      </c>
      <c r="C685" s="1" t="str">
        <f>MID(analisis_productividad__4[[#This Row],[Periodo]],1,4)</f>
        <v>2024</v>
      </c>
      <c r="D685" s="1" t="str">
        <f>MID(analisis_productividad__4[[#This Row],[Periodo]],5,2)</f>
        <v>09</v>
      </c>
      <c r="E685" s="1" t="s">
        <v>11</v>
      </c>
      <c r="F685" s="1" t="s">
        <v>12</v>
      </c>
      <c r="G685" s="1">
        <v>98141</v>
      </c>
      <c r="H685" s="1">
        <v>9127224</v>
      </c>
      <c r="I685" s="1">
        <v>93.000881944444458</v>
      </c>
      <c r="J685" s="1">
        <v>0</v>
      </c>
      <c r="K685" s="1">
        <v>98.5</v>
      </c>
      <c r="L685" s="1">
        <v>96.5</v>
      </c>
      <c r="M685" s="1"/>
      <c r="N685" s="1">
        <v>0</v>
      </c>
    </row>
    <row r="686" spans="1:14" x14ac:dyDescent="0.35">
      <c r="A686" s="1" t="s">
        <v>59</v>
      </c>
      <c r="B686" s="1">
        <v>202403</v>
      </c>
      <c r="C686" s="1" t="str">
        <f>MID(analisis_productividad__4[[#This Row],[Periodo]],1,4)</f>
        <v>2024</v>
      </c>
      <c r="D686" s="1" t="str">
        <f>MID(analisis_productividad__4[[#This Row],[Periodo]],5,2)</f>
        <v>03</v>
      </c>
      <c r="E686" s="1" t="s">
        <v>11</v>
      </c>
      <c r="F686" s="1" t="s">
        <v>12</v>
      </c>
      <c r="G686" s="1">
        <v>98126</v>
      </c>
      <c r="H686" s="1">
        <v>9196247</v>
      </c>
      <c r="I686" s="1">
        <v>93.718521505376316</v>
      </c>
      <c r="J686" s="1">
        <v>0</v>
      </c>
      <c r="K686" s="1">
        <v>94.5</v>
      </c>
      <c r="L686" s="1">
        <v>97</v>
      </c>
      <c r="M686" s="1"/>
      <c r="N686" s="1">
        <v>0</v>
      </c>
    </row>
    <row r="687" spans="1:14" x14ac:dyDescent="0.35">
      <c r="A687" s="1" t="s">
        <v>74</v>
      </c>
      <c r="B687" s="1">
        <v>202503</v>
      </c>
      <c r="C687" s="1" t="str">
        <f>MID(analisis_productividad__4[[#This Row],[Periodo]],1,4)</f>
        <v>2025</v>
      </c>
      <c r="D687" s="1" t="str">
        <f>MID(analisis_productividad__4[[#This Row],[Periodo]],5,2)</f>
        <v>03</v>
      </c>
      <c r="E687" s="1" t="s">
        <v>16</v>
      </c>
      <c r="F687" s="1" t="s">
        <v>19</v>
      </c>
      <c r="G687" s="1">
        <v>98104</v>
      </c>
      <c r="H687" s="1">
        <v>4819017</v>
      </c>
      <c r="I687" s="1">
        <v>49.121512096774183</v>
      </c>
      <c r="J687" s="1">
        <v>91944.026169990117</v>
      </c>
      <c r="K687" s="1">
        <v>50.5</v>
      </c>
      <c r="L687" s="1">
        <v>51.5</v>
      </c>
      <c r="M687" s="1">
        <v>52.412509335738577</v>
      </c>
      <c r="N687" s="1">
        <v>4560838</v>
      </c>
    </row>
    <row r="688" spans="1:14" x14ac:dyDescent="0.35">
      <c r="A688" s="1" t="s">
        <v>43</v>
      </c>
      <c r="B688" s="1">
        <v>202508</v>
      </c>
      <c r="C688" s="1" t="str">
        <f>MID(analisis_productividad__4[[#This Row],[Periodo]],1,4)</f>
        <v>2025</v>
      </c>
      <c r="D688" s="1" t="str">
        <f>MID(analisis_productividad__4[[#This Row],[Periodo]],5,2)</f>
        <v>08</v>
      </c>
      <c r="E688" s="1" t="s">
        <v>11</v>
      </c>
      <c r="F688" s="1" t="s">
        <v>12</v>
      </c>
      <c r="G688" s="1">
        <v>98097</v>
      </c>
      <c r="H688" s="1">
        <v>6674512</v>
      </c>
      <c r="I688" s="1">
        <v>68.039717741935505</v>
      </c>
      <c r="J688" s="1">
        <v>94684.411186543963</v>
      </c>
      <c r="K688" s="1">
        <v>84.5</v>
      </c>
      <c r="L688" s="1">
        <v>86.5</v>
      </c>
      <c r="M688" s="1">
        <v>70.492197357071831</v>
      </c>
      <c r="N688" s="1">
        <v>7194502</v>
      </c>
    </row>
    <row r="689" spans="1:14" x14ac:dyDescent="0.35">
      <c r="A689" s="1" t="s">
        <v>44</v>
      </c>
      <c r="B689" s="1">
        <v>202605</v>
      </c>
      <c r="C689" s="1" t="str">
        <f>MID(analisis_productividad__4[[#This Row],[Periodo]],1,4)</f>
        <v>2026</v>
      </c>
      <c r="D689" s="1" t="str">
        <f>MID(analisis_productividad__4[[#This Row],[Periodo]],5,2)</f>
        <v>05</v>
      </c>
      <c r="E689" s="1" t="s">
        <v>11</v>
      </c>
      <c r="F689" s="1" t="s">
        <v>12</v>
      </c>
      <c r="G689" s="1">
        <v>98067</v>
      </c>
      <c r="H689" s="1">
        <v>6203228</v>
      </c>
      <c r="I689" s="1">
        <v>63.255161290322796</v>
      </c>
      <c r="J689" s="1">
        <v>92209.991287641868</v>
      </c>
      <c r="K689" s="1">
        <v>78</v>
      </c>
      <c r="L689" s="1">
        <v>74.5</v>
      </c>
      <c r="M689" s="1">
        <v>66.954795775232199</v>
      </c>
      <c r="N689" s="1">
        <v>6173901</v>
      </c>
    </row>
    <row r="690" spans="1:14" x14ac:dyDescent="0.35">
      <c r="A690" s="1" t="s">
        <v>68</v>
      </c>
      <c r="B690" s="1">
        <v>202511</v>
      </c>
      <c r="C690" s="1" t="str">
        <f>MID(analisis_productividad__4[[#This Row],[Periodo]],1,4)</f>
        <v>2025</v>
      </c>
      <c r="D690" s="1" t="str">
        <f>MID(analisis_productividad__4[[#This Row],[Periodo]],5,2)</f>
        <v>11</v>
      </c>
      <c r="E690" s="1" t="s">
        <v>11</v>
      </c>
      <c r="F690" s="1" t="s">
        <v>52</v>
      </c>
      <c r="G690" s="1">
        <v>98027</v>
      </c>
      <c r="H690" s="1">
        <v>8054313</v>
      </c>
      <c r="I690" s="1">
        <v>82.163909722222272</v>
      </c>
      <c r="J690" s="1">
        <v>91115.942952302692</v>
      </c>
      <c r="K690" s="1">
        <v>103</v>
      </c>
      <c r="L690" s="1">
        <v>91</v>
      </c>
      <c r="M690" s="1">
        <v>88.396303314517255</v>
      </c>
      <c r="N690" s="1">
        <v>8683067</v>
      </c>
    </row>
    <row r="691" spans="1:14" x14ac:dyDescent="0.35">
      <c r="A691" s="1" t="s">
        <v>56</v>
      </c>
      <c r="B691" s="1">
        <v>202604</v>
      </c>
      <c r="C691" s="1" t="str">
        <f>MID(analisis_productividad__4[[#This Row],[Periodo]],1,4)</f>
        <v>2026</v>
      </c>
      <c r="D691" s="1" t="str">
        <f>MID(analisis_productividad__4[[#This Row],[Periodo]],5,2)</f>
        <v>04</v>
      </c>
      <c r="E691" s="1" t="s">
        <v>16</v>
      </c>
      <c r="F691" s="1" t="s">
        <v>21</v>
      </c>
      <c r="G691" s="1">
        <v>98019</v>
      </c>
      <c r="H691" s="1">
        <v>6117805</v>
      </c>
      <c r="I691" s="1">
        <v>62.41438194444617</v>
      </c>
      <c r="J691" s="1">
        <v>117010.55428062343</v>
      </c>
      <c r="K691" s="1">
        <v>72.5</v>
      </c>
      <c r="L691" s="1">
        <v>68.5</v>
      </c>
      <c r="M691" s="1">
        <v>63.042188618377821</v>
      </c>
      <c r="N691" s="1">
        <v>7376601</v>
      </c>
    </row>
    <row r="692" spans="1:14" x14ac:dyDescent="0.35">
      <c r="A692" s="1" t="s">
        <v>69</v>
      </c>
      <c r="B692" s="1">
        <v>202604</v>
      </c>
      <c r="C692" s="1" t="str">
        <f>MID(analisis_productividad__4[[#This Row],[Periodo]],1,4)</f>
        <v>2026</v>
      </c>
      <c r="D692" s="1" t="str">
        <f>MID(analisis_productividad__4[[#This Row],[Periodo]],5,2)</f>
        <v>04</v>
      </c>
      <c r="E692" s="1" t="s">
        <v>11</v>
      </c>
      <c r="F692" s="1" t="s">
        <v>52</v>
      </c>
      <c r="G692" s="1">
        <v>97996</v>
      </c>
      <c r="H692" s="1">
        <v>5092167</v>
      </c>
      <c r="I692" s="1">
        <v>51.962895833332993</v>
      </c>
      <c r="J692" s="1">
        <v>88169.728562666933</v>
      </c>
      <c r="K692" s="1">
        <v>68</v>
      </c>
      <c r="L692" s="1">
        <v>60.5</v>
      </c>
      <c r="M692" s="1">
        <v>56.717795741490448</v>
      </c>
      <c r="N692" s="1">
        <v>5000793</v>
      </c>
    </row>
    <row r="693" spans="1:14" x14ac:dyDescent="0.35">
      <c r="A693" s="1" t="s">
        <v>8</v>
      </c>
      <c r="B693" s="1">
        <v>202604</v>
      </c>
      <c r="C693" s="1" t="str">
        <f>MID(analisis_productividad__4[[#This Row],[Periodo]],1,4)</f>
        <v>2026</v>
      </c>
      <c r="D693" s="1" t="str">
        <f>MID(analisis_productividad__4[[#This Row],[Periodo]],5,2)</f>
        <v>04</v>
      </c>
      <c r="E693" s="1" t="s">
        <v>9</v>
      </c>
      <c r="F693" s="1" t="s">
        <v>9</v>
      </c>
      <c r="G693" s="1">
        <v>97980</v>
      </c>
      <c r="H693" s="1">
        <v>1141410</v>
      </c>
      <c r="I693" s="1">
        <v>11.649458333333332</v>
      </c>
      <c r="J693" s="1">
        <v>117521.43141039924</v>
      </c>
      <c r="K693" s="1">
        <v>13.5</v>
      </c>
      <c r="L693" s="1">
        <v>12.5</v>
      </c>
      <c r="M693" s="1">
        <v>11.712938172043014</v>
      </c>
      <c r="N693" s="1">
        <v>1376521</v>
      </c>
    </row>
    <row r="694" spans="1:14" x14ac:dyDescent="0.35">
      <c r="A694" s="1" t="s">
        <v>75</v>
      </c>
      <c r="B694" s="1">
        <v>202503</v>
      </c>
      <c r="C694" s="1" t="str">
        <f>MID(analisis_productividad__4[[#This Row],[Periodo]],1,4)</f>
        <v>2025</v>
      </c>
      <c r="D694" s="1" t="str">
        <f>MID(analisis_productividad__4[[#This Row],[Periodo]],5,2)</f>
        <v>03</v>
      </c>
      <c r="E694" s="1" t="s">
        <v>11</v>
      </c>
      <c r="F694" s="1" t="s">
        <v>52</v>
      </c>
      <c r="G694" s="1">
        <v>97972</v>
      </c>
      <c r="H694" s="1">
        <v>10358837</v>
      </c>
      <c r="I694" s="1">
        <v>105.73222446236558</v>
      </c>
      <c r="J694" s="1">
        <v>95673.359631614818</v>
      </c>
      <c r="K694" s="1">
        <v>118</v>
      </c>
      <c r="L694" s="1">
        <v>106</v>
      </c>
      <c r="M694" s="1">
        <v>108.2729520515027</v>
      </c>
      <c r="N694" s="1">
        <v>10723147</v>
      </c>
    </row>
    <row r="695" spans="1:14" x14ac:dyDescent="0.35">
      <c r="A695" s="1" t="s">
        <v>36</v>
      </c>
      <c r="B695" s="1">
        <v>202404</v>
      </c>
      <c r="C695" s="1" t="str">
        <f>MID(analisis_productividad__4[[#This Row],[Periodo]],1,4)</f>
        <v>2024</v>
      </c>
      <c r="D695" s="1" t="str">
        <f>MID(analisis_productividad__4[[#This Row],[Periodo]],5,2)</f>
        <v>04</v>
      </c>
      <c r="E695" s="1" t="s">
        <v>16</v>
      </c>
      <c r="F695" s="1" t="s">
        <v>17</v>
      </c>
      <c r="G695" s="1">
        <v>97963</v>
      </c>
      <c r="H695" s="1">
        <v>7000516</v>
      </c>
      <c r="I695" s="1">
        <v>71.460666666666683</v>
      </c>
      <c r="J695" s="1">
        <v>0</v>
      </c>
      <c r="K695" s="1">
        <v>76.5</v>
      </c>
      <c r="L695" s="1">
        <v>80</v>
      </c>
      <c r="M695" s="1"/>
      <c r="N695" s="1">
        <v>0</v>
      </c>
    </row>
    <row r="696" spans="1:14" x14ac:dyDescent="0.35">
      <c r="A696" s="1" t="s">
        <v>68</v>
      </c>
      <c r="B696" s="1">
        <v>202508</v>
      </c>
      <c r="C696" s="1" t="str">
        <f>MID(analisis_productividad__4[[#This Row],[Periodo]],1,4)</f>
        <v>2025</v>
      </c>
      <c r="D696" s="1" t="str">
        <f>MID(analisis_productividad__4[[#This Row],[Periodo]],5,2)</f>
        <v>08</v>
      </c>
      <c r="E696" s="1" t="s">
        <v>11</v>
      </c>
      <c r="F696" s="1" t="s">
        <v>52</v>
      </c>
      <c r="G696" s="1">
        <v>97961</v>
      </c>
      <c r="H696" s="1">
        <v>7813015</v>
      </c>
      <c r="I696" s="1">
        <v>79.756720430107535</v>
      </c>
      <c r="J696" s="1">
        <v>103757.03225591504</v>
      </c>
      <c r="K696" s="1">
        <v>103</v>
      </c>
      <c r="L696" s="1">
        <v>91</v>
      </c>
      <c r="M696" s="1">
        <v>75.301068179449487</v>
      </c>
      <c r="N696" s="1">
        <v>8387807</v>
      </c>
    </row>
    <row r="697" spans="1:14" x14ac:dyDescent="0.35">
      <c r="A697" s="1" t="s">
        <v>50</v>
      </c>
      <c r="B697" s="1">
        <v>202505</v>
      </c>
      <c r="C697" s="1" t="str">
        <f>MID(analisis_productividad__4[[#This Row],[Periodo]],1,4)</f>
        <v>2025</v>
      </c>
      <c r="D697" s="1" t="str">
        <f>MID(analisis_productividad__4[[#This Row],[Periodo]],5,2)</f>
        <v>05</v>
      </c>
      <c r="E697" s="1" t="s">
        <v>34</v>
      </c>
      <c r="F697" s="1" t="s">
        <v>35</v>
      </c>
      <c r="G697" s="1">
        <v>97919</v>
      </c>
      <c r="H697" s="1">
        <v>6136818</v>
      </c>
      <c r="I697" s="1">
        <v>62.672345430107519</v>
      </c>
      <c r="J697" s="1">
        <v>95051.658065703203</v>
      </c>
      <c r="K697" s="1">
        <v>79.5</v>
      </c>
      <c r="L697" s="1">
        <v>72.5</v>
      </c>
      <c r="M697" s="1">
        <v>64.562973386092921</v>
      </c>
      <c r="N697" s="1">
        <v>6270064</v>
      </c>
    </row>
    <row r="698" spans="1:14" x14ac:dyDescent="0.35">
      <c r="A698" s="1" t="s">
        <v>61</v>
      </c>
      <c r="B698" s="1">
        <v>202606</v>
      </c>
      <c r="C698" s="1" t="str">
        <f>MID(analisis_productividad__4[[#This Row],[Periodo]],1,4)</f>
        <v>2026</v>
      </c>
      <c r="D698" s="1" t="str">
        <f>MID(analisis_productividad__4[[#This Row],[Periodo]],5,2)</f>
        <v>06</v>
      </c>
      <c r="E698" s="1" t="s">
        <v>11</v>
      </c>
      <c r="F698" s="1" t="s">
        <v>52</v>
      </c>
      <c r="G698" s="1">
        <v>97911</v>
      </c>
      <c r="H698" s="1">
        <v>8653464</v>
      </c>
      <c r="I698" s="1">
        <v>88.380590277780044</v>
      </c>
      <c r="J698" s="1">
        <v>94721.103128868315</v>
      </c>
      <c r="K698" s="1">
        <v>104.5</v>
      </c>
      <c r="L698" s="1">
        <v>99</v>
      </c>
      <c r="M698" s="1">
        <v>90.280982690474389</v>
      </c>
      <c r="N698" s="1">
        <v>8551514</v>
      </c>
    </row>
    <row r="699" spans="1:14" x14ac:dyDescent="0.35">
      <c r="A699" s="1" t="s">
        <v>39</v>
      </c>
      <c r="B699" s="1">
        <v>202601</v>
      </c>
      <c r="C699" s="1" t="str">
        <f>MID(analisis_productividad__4[[#This Row],[Periodo]],1,4)</f>
        <v>2026</v>
      </c>
      <c r="D699" s="1" t="str">
        <f>MID(analisis_productividad__4[[#This Row],[Periodo]],5,2)</f>
        <v>01</v>
      </c>
      <c r="E699" s="1" t="s">
        <v>16</v>
      </c>
      <c r="F699" s="1" t="s">
        <v>17</v>
      </c>
      <c r="G699" s="1">
        <v>97845</v>
      </c>
      <c r="H699" s="1">
        <v>8456733</v>
      </c>
      <c r="I699" s="1">
        <v>86.429724462365542</v>
      </c>
      <c r="J699" s="1">
        <v>96511.239231655389</v>
      </c>
      <c r="K699" s="1">
        <v>93.5</v>
      </c>
      <c r="L699" s="1">
        <v>94</v>
      </c>
      <c r="M699" s="1">
        <v>84.619508156945685</v>
      </c>
      <c r="N699" s="1">
        <v>8166734</v>
      </c>
    </row>
    <row r="700" spans="1:14" x14ac:dyDescent="0.35">
      <c r="A700" s="1" t="s">
        <v>82</v>
      </c>
      <c r="B700" s="1">
        <v>202503</v>
      </c>
      <c r="C700" s="1" t="str">
        <f>MID(analisis_productividad__4[[#This Row],[Periodo]],1,4)</f>
        <v>2025</v>
      </c>
      <c r="D700" s="1" t="str">
        <f>MID(analisis_productividad__4[[#This Row],[Periodo]],5,2)</f>
        <v>03</v>
      </c>
      <c r="E700" s="1" t="s">
        <v>11</v>
      </c>
      <c r="F700" s="1" t="s">
        <v>12</v>
      </c>
      <c r="G700" s="1">
        <v>97830</v>
      </c>
      <c r="H700" s="1">
        <v>5410300</v>
      </c>
      <c r="I700" s="1">
        <v>55.303245967741944</v>
      </c>
      <c r="J700" s="1">
        <v>86154.596661681266</v>
      </c>
      <c r="K700" s="1">
        <v>53.5</v>
      </c>
      <c r="L700" s="1">
        <v>54</v>
      </c>
      <c r="M700" s="1">
        <v>62.797582829452494</v>
      </c>
      <c r="N700" s="1">
        <v>4874530</v>
      </c>
    </row>
    <row r="701" spans="1:14" x14ac:dyDescent="0.35">
      <c r="A701" s="1" t="s">
        <v>43</v>
      </c>
      <c r="B701" s="1">
        <v>202507</v>
      </c>
      <c r="C701" s="1" t="str">
        <f>MID(analisis_productividad__4[[#This Row],[Periodo]],1,4)</f>
        <v>2025</v>
      </c>
      <c r="D701" s="1" t="str">
        <f>MID(analisis_productividad__4[[#This Row],[Periodo]],5,2)</f>
        <v>07</v>
      </c>
      <c r="E701" s="1" t="s">
        <v>11</v>
      </c>
      <c r="F701" s="1" t="s">
        <v>12</v>
      </c>
      <c r="G701" s="1">
        <v>97795</v>
      </c>
      <c r="H701" s="1">
        <v>7087805</v>
      </c>
      <c r="I701" s="1">
        <v>72.475873655914</v>
      </c>
      <c r="J701" s="1">
        <v>98820.598766046547</v>
      </c>
      <c r="K701" s="1">
        <v>84.5</v>
      </c>
      <c r="L701" s="1">
        <v>86.5</v>
      </c>
      <c r="M701" s="1">
        <v>71.723967457230984</v>
      </c>
      <c r="N701" s="1">
        <v>7823333</v>
      </c>
    </row>
    <row r="702" spans="1:14" x14ac:dyDescent="0.35">
      <c r="A702" s="1" t="s">
        <v>44</v>
      </c>
      <c r="B702" s="1">
        <v>202511</v>
      </c>
      <c r="C702" s="1" t="str">
        <f>MID(analisis_productividad__4[[#This Row],[Periodo]],1,4)</f>
        <v>2025</v>
      </c>
      <c r="D702" s="1" t="str">
        <f>MID(analisis_productividad__4[[#This Row],[Periodo]],5,2)</f>
        <v>11</v>
      </c>
      <c r="E702" s="1" t="s">
        <v>11</v>
      </c>
      <c r="F702" s="1" t="s">
        <v>12</v>
      </c>
      <c r="G702" s="1">
        <v>97748</v>
      </c>
      <c r="H702" s="1">
        <v>6012269</v>
      </c>
      <c r="I702" s="1">
        <v>61.507930555555582</v>
      </c>
      <c r="J702" s="1">
        <v>93925.688623030306</v>
      </c>
      <c r="K702" s="1">
        <v>78</v>
      </c>
      <c r="L702" s="1">
        <v>74.5</v>
      </c>
      <c r="M702" s="1">
        <v>64.01091477891822</v>
      </c>
      <c r="N702" s="1">
        <v>5367086</v>
      </c>
    </row>
    <row r="703" spans="1:14" x14ac:dyDescent="0.35">
      <c r="A703" s="1" t="s">
        <v>56</v>
      </c>
      <c r="B703" s="1">
        <v>202403</v>
      </c>
      <c r="C703" s="1" t="str">
        <f>MID(analisis_productividad__4[[#This Row],[Periodo]],1,4)</f>
        <v>2024</v>
      </c>
      <c r="D703" s="1" t="str">
        <f>MID(analisis_productividad__4[[#This Row],[Periodo]],5,2)</f>
        <v>03</v>
      </c>
      <c r="E703" s="1" t="s">
        <v>16</v>
      </c>
      <c r="F703" s="1" t="s">
        <v>21</v>
      </c>
      <c r="G703" s="1">
        <v>97731</v>
      </c>
      <c r="H703" s="1">
        <v>6393376</v>
      </c>
      <c r="I703" s="1">
        <v>65.418198924731158</v>
      </c>
      <c r="J703" s="1">
        <v>0</v>
      </c>
      <c r="K703" s="1">
        <v>72.5</v>
      </c>
      <c r="L703" s="1">
        <v>68.5</v>
      </c>
      <c r="M703" s="1"/>
      <c r="N703" s="1">
        <v>0</v>
      </c>
    </row>
    <row r="704" spans="1:14" x14ac:dyDescent="0.35">
      <c r="A704" s="1" t="s">
        <v>54</v>
      </c>
      <c r="B704" s="1">
        <v>202604</v>
      </c>
      <c r="C704" s="1" t="str">
        <f>MID(analisis_productividad__4[[#This Row],[Periodo]],1,4)</f>
        <v>2026</v>
      </c>
      <c r="D704" s="1" t="str">
        <f>MID(analisis_productividad__4[[#This Row],[Periodo]],5,2)</f>
        <v>04</v>
      </c>
      <c r="E704" s="1" t="s">
        <v>11</v>
      </c>
      <c r="F704" s="1" t="s">
        <v>52</v>
      </c>
      <c r="G704" s="1">
        <v>97714</v>
      </c>
      <c r="H704" s="1">
        <v>8756421</v>
      </c>
      <c r="I704" s="1">
        <v>89.612979166668921</v>
      </c>
      <c r="J704" s="1">
        <v>98193.367093686</v>
      </c>
      <c r="K704" s="1">
        <v>106</v>
      </c>
      <c r="L704" s="1">
        <v>102.5</v>
      </c>
      <c r="M704" s="1">
        <v>90.060822135394957</v>
      </c>
      <c r="N704" s="1">
        <v>8843375</v>
      </c>
    </row>
    <row r="705" spans="1:14" x14ac:dyDescent="0.35">
      <c r="A705" s="1" t="s">
        <v>10</v>
      </c>
      <c r="B705" s="1">
        <v>202404</v>
      </c>
      <c r="C705" s="1" t="str">
        <f>MID(analisis_productividad__4[[#This Row],[Periodo]],1,4)</f>
        <v>2024</v>
      </c>
      <c r="D705" s="1" t="str">
        <f>MID(analisis_productividad__4[[#This Row],[Periodo]],5,2)</f>
        <v>04</v>
      </c>
      <c r="E705" s="1" t="s">
        <v>11</v>
      </c>
      <c r="F705" s="1" t="s">
        <v>12</v>
      </c>
      <c r="G705" s="1">
        <v>97682</v>
      </c>
      <c r="H705" s="1">
        <v>9433471</v>
      </c>
      <c r="I705" s="1">
        <v>96.573555555555558</v>
      </c>
      <c r="J705" s="1">
        <v>0</v>
      </c>
      <c r="K705" s="1">
        <v>98.5</v>
      </c>
      <c r="L705" s="1">
        <v>96.5</v>
      </c>
      <c r="M705" s="1"/>
      <c r="N705" s="1">
        <v>0</v>
      </c>
    </row>
    <row r="706" spans="1:14" x14ac:dyDescent="0.35">
      <c r="A706" s="1" t="s">
        <v>27</v>
      </c>
      <c r="B706" s="1">
        <v>202408</v>
      </c>
      <c r="C706" s="1" t="str">
        <f>MID(analisis_productividad__4[[#This Row],[Periodo]],1,4)</f>
        <v>2024</v>
      </c>
      <c r="D706" s="1" t="str">
        <f>MID(analisis_productividad__4[[#This Row],[Periodo]],5,2)</f>
        <v>08</v>
      </c>
      <c r="E706" s="1" t="s">
        <v>11</v>
      </c>
      <c r="F706" s="1" t="s">
        <v>14</v>
      </c>
      <c r="G706" s="1">
        <v>97594</v>
      </c>
      <c r="H706" s="1">
        <v>7795500</v>
      </c>
      <c r="I706" s="1">
        <v>79.876774193548371</v>
      </c>
      <c r="J706" s="1">
        <v>0</v>
      </c>
      <c r="K706" s="1">
        <v>88</v>
      </c>
      <c r="L706" s="1">
        <v>84</v>
      </c>
      <c r="M706" s="1"/>
      <c r="N706" s="1">
        <v>0</v>
      </c>
    </row>
    <row r="707" spans="1:14" x14ac:dyDescent="0.35">
      <c r="A707" s="1" t="s">
        <v>49</v>
      </c>
      <c r="B707" s="1">
        <v>202511</v>
      </c>
      <c r="C707" s="1" t="str">
        <f>MID(analisis_productividad__4[[#This Row],[Periodo]],1,4)</f>
        <v>2025</v>
      </c>
      <c r="D707" s="1" t="str">
        <f>MID(analisis_productividad__4[[#This Row],[Periodo]],5,2)</f>
        <v>11</v>
      </c>
      <c r="E707" s="1" t="s">
        <v>16</v>
      </c>
      <c r="F707" s="1" t="s">
        <v>21</v>
      </c>
      <c r="G707" s="1">
        <v>97582</v>
      </c>
      <c r="H707" s="1">
        <v>5825328</v>
      </c>
      <c r="I707" s="1">
        <v>59.697020833333355</v>
      </c>
      <c r="J707" s="1">
        <v>87554.328270299666</v>
      </c>
      <c r="K707" s="1">
        <v>75.5</v>
      </c>
      <c r="L707" s="1">
        <v>68</v>
      </c>
      <c r="M707" s="1">
        <v>66.533862974951063</v>
      </c>
      <c r="N707" s="1">
        <v>5860097</v>
      </c>
    </row>
    <row r="708" spans="1:14" x14ac:dyDescent="0.35">
      <c r="A708" s="1" t="s">
        <v>53</v>
      </c>
      <c r="B708" s="1">
        <v>202508</v>
      </c>
      <c r="C708" s="1" t="str">
        <f>MID(analisis_productividad__4[[#This Row],[Periodo]],1,4)</f>
        <v>2025</v>
      </c>
      <c r="D708" s="1" t="str">
        <f>MID(analisis_productividad__4[[#This Row],[Periodo]],5,2)</f>
        <v>08</v>
      </c>
      <c r="E708" s="1" t="s">
        <v>11</v>
      </c>
      <c r="F708" s="1" t="s">
        <v>12</v>
      </c>
      <c r="G708" s="1">
        <v>97544</v>
      </c>
      <c r="H708" s="1">
        <v>6311970</v>
      </c>
      <c r="I708" s="1">
        <v>64.708837365591393</v>
      </c>
      <c r="J708" s="1">
        <v>96874.345093488795</v>
      </c>
      <c r="K708" s="1">
        <v>81</v>
      </c>
      <c r="L708" s="1">
        <v>77</v>
      </c>
      <c r="M708" s="1">
        <v>65.156264271088688</v>
      </c>
      <c r="N708" s="1">
        <v>6747268</v>
      </c>
    </row>
    <row r="709" spans="1:14" x14ac:dyDescent="0.35">
      <c r="A709" s="1" t="s">
        <v>30</v>
      </c>
      <c r="B709" s="1">
        <v>202409</v>
      </c>
      <c r="C709" s="1" t="str">
        <f>MID(analisis_productividad__4[[#This Row],[Periodo]],1,4)</f>
        <v>2024</v>
      </c>
      <c r="D709" s="1" t="str">
        <f>MID(analisis_productividad__4[[#This Row],[Periodo]],5,2)</f>
        <v>09</v>
      </c>
      <c r="E709" s="1" t="s">
        <v>16</v>
      </c>
      <c r="F709" s="1" t="s">
        <v>19</v>
      </c>
      <c r="G709" s="1">
        <v>97489</v>
      </c>
      <c r="H709" s="1">
        <v>8986374</v>
      </c>
      <c r="I709" s="1">
        <v>92.178187500000021</v>
      </c>
      <c r="J709" s="1">
        <v>0</v>
      </c>
      <c r="K709" s="1">
        <v>101</v>
      </c>
      <c r="L709" s="1">
        <v>105</v>
      </c>
      <c r="M709" s="1"/>
      <c r="N709" s="1">
        <v>0</v>
      </c>
    </row>
    <row r="710" spans="1:14" x14ac:dyDescent="0.35">
      <c r="A710" s="1" t="s">
        <v>31</v>
      </c>
      <c r="B710" s="1">
        <v>202405</v>
      </c>
      <c r="C710" s="1" t="str">
        <f>MID(analisis_productividad__4[[#This Row],[Periodo]],1,4)</f>
        <v>2024</v>
      </c>
      <c r="D710" s="1" t="str">
        <f>MID(analisis_productividad__4[[#This Row],[Periodo]],5,2)</f>
        <v>05</v>
      </c>
      <c r="E710" s="1" t="s">
        <v>11</v>
      </c>
      <c r="F710" s="1" t="s">
        <v>14</v>
      </c>
      <c r="G710" s="1">
        <v>97476</v>
      </c>
      <c r="H710" s="1">
        <v>8776776</v>
      </c>
      <c r="I710" s="1">
        <v>90.040510752688149</v>
      </c>
      <c r="J710" s="1">
        <v>0</v>
      </c>
      <c r="K710" s="1">
        <v>101.5</v>
      </c>
      <c r="L710" s="1">
        <v>97.5</v>
      </c>
      <c r="M710" s="1"/>
      <c r="N710" s="1">
        <v>0</v>
      </c>
    </row>
    <row r="711" spans="1:14" x14ac:dyDescent="0.35">
      <c r="A711" s="1" t="s">
        <v>46</v>
      </c>
      <c r="B711" s="1">
        <v>202505</v>
      </c>
      <c r="C711" s="1" t="str">
        <f>MID(analisis_productividad__4[[#This Row],[Periodo]],1,4)</f>
        <v>2025</v>
      </c>
      <c r="D711" s="1" t="str">
        <f>MID(analisis_productividad__4[[#This Row],[Periodo]],5,2)</f>
        <v>05</v>
      </c>
      <c r="E711" s="1" t="s">
        <v>11</v>
      </c>
      <c r="F711" s="1" t="s">
        <v>14</v>
      </c>
      <c r="G711" s="1">
        <v>97465</v>
      </c>
      <c r="H711" s="1">
        <v>6914032</v>
      </c>
      <c r="I711" s="1">
        <v>70.938366935483899</v>
      </c>
      <c r="J711" s="1">
        <v>97297.730720451422</v>
      </c>
      <c r="K711" s="1">
        <v>77</v>
      </c>
      <c r="L711" s="1">
        <v>79</v>
      </c>
      <c r="M711" s="1">
        <v>71.060564607255642</v>
      </c>
      <c r="N711" s="1">
        <v>6659732</v>
      </c>
    </row>
    <row r="712" spans="1:14" x14ac:dyDescent="0.35">
      <c r="A712" s="1" t="s">
        <v>42</v>
      </c>
      <c r="B712" s="1">
        <v>202605</v>
      </c>
      <c r="C712" s="1" t="str">
        <f>MID(analisis_productividad__4[[#This Row],[Periodo]],1,4)</f>
        <v>2026</v>
      </c>
      <c r="D712" s="1" t="str">
        <f>MID(analisis_productividad__4[[#This Row],[Periodo]],5,2)</f>
        <v>05</v>
      </c>
      <c r="E712" s="1" t="s">
        <v>16</v>
      </c>
      <c r="F712" s="1" t="s">
        <v>19</v>
      </c>
      <c r="G712" s="1">
        <v>97463</v>
      </c>
      <c r="H712" s="1">
        <v>5415275</v>
      </c>
      <c r="I712" s="1">
        <v>55.562170698924923</v>
      </c>
      <c r="J712" s="1">
        <v>94583.050718172264</v>
      </c>
      <c r="K712" s="1">
        <v>62</v>
      </c>
      <c r="L712" s="1">
        <v>58</v>
      </c>
      <c r="M712" s="1">
        <v>54.66595376698497</v>
      </c>
      <c r="N712" s="1">
        <v>5170473</v>
      </c>
    </row>
    <row r="713" spans="1:14" x14ac:dyDescent="0.35">
      <c r="A713" s="1" t="s">
        <v>25</v>
      </c>
      <c r="B713" s="1">
        <v>202508</v>
      </c>
      <c r="C713" s="1" t="str">
        <f>MID(analisis_productividad__4[[#This Row],[Periodo]],1,4)</f>
        <v>2025</v>
      </c>
      <c r="D713" s="1" t="str">
        <f>MID(analisis_productividad__4[[#This Row],[Periodo]],5,2)</f>
        <v>08</v>
      </c>
      <c r="E713" s="1" t="s">
        <v>16</v>
      </c>
      <c r="F713" s="1" t="s">
        <v>19</v>
      </c>
      <c r="G713" s="1">
        <v>97431</v>
      </c>
      <c r="H713" s="1">
        <v>8385422</v>
      </c>
      <c r="I713" s="1">
        <v>86.065141129032298</v>
      </c>
      <c r="J713" s="1">
        <v>97909.928477327994</v>
      </c>
      <c r="K713" s="1">
        <v>94</v>
      </c>
      <c r="L713" s="1">
        <v>92</v>
      </c>
      <c r="M713" s="1">
        <v>85.644241400316474</v>
      </c>
      <c r="N713" s="1">
        <v>8230322</v>
      </c>
    </row>
    <row r="714" spans="1:14" x14ac:dyDescent="0.35">
      <c r="A714" s="1" t="s">
        <v>63</v>
      </c>
      <c r="B714" s="1">
        <v>202404</v>
      </c>
      <c r="C714" s="1" t="str">
        <f>MID(analisis_productividad__4[[#This Row],[Periodo]],1,4)</f>
        <v>2024</v>
      </c>
      <c r="D714" s="1" t="str">
        <f>MID(analisis_productividad__4[[#This Row],[Periodo]],5,2)</f>
        <v>04</v>
      </c>
      <c r="E714" s="1" t="s">
        <v>16</v>
      </c>
      <c r="F714" s="1" t="s">
        <v>17</v>
      </c>
      <c r="G714" s="1">
        <v>97427</v>
      </c>
      <c r="H714" s="1">
        <v>8902483</v>
      </c>
      <c r="I714" s="1">
        <v>91.375472222222228</v>
      </c>
      <c r="J714" s="1">
        <v>0</v>
      </c>
      <c r="K714" s="1">
        <v>86.5</v>
      </c>
      <c r="L714" s="1">
        <v>81.5</v>
      </c>
      <c r="M714" s="1"/>
      <c r="N714" s="1">
        <v>0</v>
      </c>
    </row>
    <row r="715" spans="1:14" x14ac:dyDescent="0.35">
      <c r="A715" s="1" t="s">
        <v>55</v>
      </c>
      <c r="B715" s="1">
        <v>202606</v>
      </c>
      <c r="C715" s="1" t="str">
        <f>MID(analisis_productividad__4[[#This Row],[Periodo]],1,4)</f>
        <v>2026</v>
      </c>
      <c r="D715" s="1" t="str">
        <f>MID(analisis_productividad__4[[#This Row],[Periodo]],5,2)</f>
        <v>06</v>
      </c>
      <c r="E715" s="1" t="s">
        <v>16</v>
      </c>
      <c r="F715" s="1" t="s">
        <v>21</v>
      </c>
      <c r="G715" s="1">
        <v>97401</v>
      </c>
      <c r="H715" s="1">
        <v>4407221</v>
      </c>
      <c r="I715" s="1">
        <v>45.248194444444302</v>
      </c>
      <c r="J715" s="1">
        <v>92868.585420323987</v>
      </c>
      <c r="K715" s="1">
        <v>55</v>
      </c>
      <c r="L715" s="1">
        <v>50.5</v>
      </c>
      <c r="M715" s="1">
        <v>48.493991244906027</v>
      </c>
      <c r="N715" s="1">
        <v>4503568</v>
      </c>
    </row>
    <row r="716" spans="1:14" x14ac:dyDescent="0.35">
      <c r="A716" s="1" t="s">
        <v>78</v>
      </c>
      <c r="B716" s="1">
        <v>202604</v>
      </c>
      <c r="C716" s="1" t="str">
        <f>MID(analisis_productividad__4[[#This Row],[Periodo]],1,4)</f>
        <v>2026</v>
      </c>
      <c r="D716" s="1" t="str">
        <f>MID(analisis_productividad__4[[#This Row],[Periodo]],5,2)</f>
        <v>04</v>
      </c>
      <c r="E716" s="1" t="s">
        <v>11</v>
      </c>
      <c r="F716" s="1" t="s">
        <v>14</v>
      </c>
      <c r="G716" s="1">
        <v>97399</v>
      </c>
      <c r="H716" s="1">
        <v>6423046</v>
      </c>
      <c r="I716" s="1">
        <v>65.945395833334999</v>
      </c>
      <c r="J716" s="1">
        <v>83220.743782263875</v>
      </c>
      <c r="K716" s="1">
        <v>79.5</v>
      </c>
      <c r="L716" s="1">
        <v>67</v>
      </c>
      <c r="M716" s="1">
        <v>68.682661472657543</v>
      </c>
      <c r="N716" s="1">
        <v>5715822</v>
      </c>
    </row>
    <row r="717" spans="1:14" x14ac:dyDescent="0.35">
      <c r="A717" s="1" t="s">
        <v>41</v>
      </c>
      <c r="B717" s="1">
        <v>202601</v>
      </c>
      <c r="C717" s="1" t="str">
        <f>MID(analisis_productividad__4[[#This Row],[Periodo]],1,4)</f>
        <v>2026</v>
      </c>
      <c r="D717" s="1" t="str">
        <f>MID(analisis_productividad__4[[#This Row],[Periodo]],5,2)</f>
        <v>01</v>
      </c>
      <c r="E717" s="1" t="s">
        <v>16</v>
      </c>
      <c r="F717" s="1" t="s">
        <v>19</v>
      </c>
      <c r="G717" s="1">
        <v>97397</v>
      </c>
      <c r="H717" s="1">
        <v>5370817</v>
      </c>
      <c r="I717" s="1">
        <v>55.143440860215065</v>
      </c>
      <c r="J717" s="1">
        <v>96903.494335813491</v>
      </c>
      <c r="K717" s="1">
        <v>57.5</v>
      </c>
      <c r="L717" s="1">
        <v>56.5</v>
      </c>
      <c r="M717" s="1">
        <v>50.698263574219922</v>
      </c>
      <c r="N717" s="1">
        <v>4912839</v>
      </c>
    </row>
    <row r="718" spans="1:14" x14ac:dyDescent="0.35">
      <c r="A718" s="1" t="s">
        <v>29</v>
      </c>
      <c r="B718" s="1">
        <v>202408</v>
      </c>
      <c r="C718" s="1" t="str">
        <f>MID(analisis_productividad__4[[#This Row],[Periodo]],1,4)</f>
        <v>2024</v>
      </c>
      <c r="D718" s="1" t="str">
        <f>MID(analisis_productividad__4[[#This Row],[Periodo]],5,2)</f>
        <v>08</v>
      </c>
      <c r="E718" s="1" t="s">
        <v>16</v>
      </c>
      <c r="F718" s="1" t="s">
        <v>19</v>
      </c>
      <c r="G718" s="1">
        <v>97395</v>
      </c>
      <c r="H718" s="1">
        <v>8709220</v>
      </c>
      <c r="I718" s="1">
        <v>89.421330645161291</v>
      </c>
      <c r="J718" s="1">
        <v>0</v>
      </c>
      <c r="K718" s="1">
        <v>96.5</v>
      </c>
      <c r="L718" s="1">
        <v>96</v>
      </c>
      <c r="M718" s="1"/>
      <c r="N718" s="1">
        <v>0</v>
      </c>
    </row>
    <row r="719" spans="1:14" x14ac:dyDescent="0.35">
      <c r="A719" s="1" t="s">
        <v>37</v>
      </c>
      <c r="B719" s="1">
        <v>202401</v>
      </c>
      <c r="C719" s="1" t="str">
        <f>MID(analisis_productividad__4[[#This Row],[Periodo]],1,4)</f>
        <v>2024</v>
      </c>
      <c r="D719" s="1" t="str">
        <f>MID(analisis_productividad__4[[#This Row],[Periodo]],5,2)</f>
        <v>01</v>
      </c>
      <c r="E719" s="1" t="s">
        <v>16</v>
      </c>
      <c r="F719" s="1" t="s">
        <v>17</v>
      </c>
      <c r="G719" s="1">
        <v>97373</v>
      </c>
      <c r="H719" s="1">
        <v>9437993</v>
      </c>
      <c r="I719" s="1">
        <v>96.926431451612899</v>
      </c>
      <c r="J719" s="1">
        <v>0</v>
      </c>
      <c r="K719" s="1">
        <v>107.5</v>
      </c>
      <c r="L719" s="1">
        <v>102.5</v>
      </c>
      <c r="M719" s="1"/>
      <c r="N719" s="1">
        <v>0</v>
      </c>
    </row>
    <row r="720" spans="1:14" x14ac:dyDescent="0.35">
      <c r="A720" s="1" t="s">
        <v>59</v>
      </c>
      <c r="B720" s="1">
        <v>202602</v>
      </c>
      <c r="C720" s="1" t="str">
        <f>MID(analisis_productividad__4[[#This Row],[Periodo]],1,4)</f>
        <v>2026</v>
      </c>
      <c r="D720" s="1" t="str">
        <f>MID(analisis_productividad__4[[#This Row],[Periodo]],5,2)</f>
        <v>02</v>
      </c>
      <c r="E720" s="1" t="s">
        <v>11</v>
      </c>
      <c r="F720" s="1" t="s">
        <v>12</v>
      </c>
      <c r="G720" s="1">
        <v>97344</v>
      </c>
      <c r="H720" s="1">
        <v>8633392</v>
      </c>
      <c r="I720" s="1">
        <v>88.689479166666672</v>
      </c>
      <c r="J720" s="1">
        <v>83857.241146778353</v>
      </c>
      <c r="K720" s="1">
        <v>94.5</v>
      </c>
      <c r="L720" s="1">
        <v>97</v>
      </c>
      <c r="M720" s="1">
        <v>83.184435661200979</v>
      </c>
      <c r="N720" s="1">
        <v>6975617</v>
      </c>
    </row>
    <row r="721" spans="1:14" x14ac:dyDescent="0.35">
      <c r="A721" s="1" t="s">
        <v>44</v>
      </c>
      <c r="B721" s="1">
        <v>202406</v>
      </c>
      <c r="C721" s="1" t="str">
        <f>MID(analisis_productividad__4[[#This Row],[Periodo]],1,4)</f>
        <v>2024</v>
      </c>
      <c r="D721" s="1" t="str">
        <f>MID(analisis_productividad__4[[#This Row],[Periodo]],5,2)</f>
        <v>06</v>
      </c>
      <c r="E721" s="1" t="s">
        <v>11</v>
      </c>
      <c r="F721" s="1" t="s">
        <v>12</v>
      </c>
      <c r="G721" s="1">
        <v>97307</v>
      </c>
      <c r="H721" s="1">
        <v>6423241</v>
      </c>
      <c r="I721" s="1">
        <v>66.010388888888883</v>
      </c>
      <c r="J721" s="1">
        <v>0</v>
      </c>
      <c r="K721" s="1">
        <v>78</v>
      </c>
      <c r="L721" s="1">
        <v>74.5</v>
      </c>
      <c r="M721" s="1"/>
      <c r="N721" s="1">
        <v>0</v>
      </c>
    </row>
    <row r="722" spans="1:14" x14ac:dyDescent="0.35">
      <c r="A722" s="1" t="s">
        <v>32</v>
      </c>
      <c r="B722" s="1">
        <v>202602</v>
      </c>
      <c r="C722" s="1" t="str">
        <f>MID(analisis_productividad__4[[#This Row],[Periodo]],1,4)</f>
        <v>2026</v>
      </c>
      <c r="D722" s="1" t="str">
        <f>MID(analisis_productividad__4[[#This Row],[Periodo]],5,2)</f>
        <v>02</v>
      </c>
      <c r="E722" s="1" t="s">
        <v>11</v>
      </c>
      <c r="F722" s="1" t="s">
        <v>12</v>
      </c>
      <c r="G722" s="1">
        <v>97283</v>
      </c>
      <c r="H722" s="1">
        <v>5719413</v>
      </c>
      <c r="I722" s="1">
        <v>58.791249999999991</v>
      </c>
      <c r="J722" s="1">
        <v>98291.871308202783</v>
      </c>
      <c r="K722" s="1">
        <v>65.5</v>
      </c>
      <c r="L722" s="1">
        <v>66</v>
      </c>
      <c r="M722" s="1">
        <v>55.812340478272937</v>
      </c>
      <c r="N722" s="1">
        <v>5485899</v>
      </c>
    </row>
    <row r="723" spans="1:14" x14ac:dyDescent="0.35">
      <c r="A723" s="1" t="s">
        <v>65</v>
      </c>
      <c r="B723" s="1">
        <v>202511</v>
      </c>
      <c r="C723" s="1" t="str">
        <f>MID(analisis_productividad__4[[#This Row],[Periodo]],1,4)</f>
        <v>2025</v>
      </c>
      <c r="D723" s="1" t="str">
        <f>MID(analisis_productividad__4[[#This Row],[Periodo]],5,2)</f>
        <v>11</v>
      </c>
      <c r="E723" s="1" t="s">
        <v>16</v>
      </c>
      <c r="F723" s="1" t="s">
        <v>19</v>
      </c>
      <c r="G723" s="1">
        <v>97270</v>
      </c>
      <c r="H723" s="1">
        <v>5852510</v>
      </c>
      <c r="I723" s="1">
        <v>60.167576388888918</v>
      </c>
      <c r="J723" s="1">
        <v>85995.093922390311</v>
      </c>
      <c r="K723" s="1">
        <v>68</v>
      </c>
      <c r="L723" s="1">
        <v>68.5</v>
      </c>
      <c r="M723" s="1">
        <v>68.05632534434848</v>
      </c>
      <c r="N723" s="1">
        <v>5159856</v>
      </c>
    </row>
    <row r="724" spans="1:14" x14ac:dyDescent="0.35">
      <c r="A724" s="1" t="s">
        <v>56</v>
      </c>
      <c r="B724" s="1">
        <v>202511</v>
      </c>
      <c r="C724" s="1" t="str">
        <f>MID(analisis_productividad__4[[#This Row],[Periodo]],1,4)</f>
        <v>2025</v>
      </c>
      <c r="D724" s="1" t="str">
        <f>MID(analisis_productividad__4[[#This Row],[Periodo]],5,2)</f>
        <v>11</v>
      </c>
      <c r="E724" s="1" t="s">
        <v>16</v>
      </c>
      <c r="F724" s="1" t="s">
        <v>21</v>
      </c>
      <c r="G724" s="1">
        <v>97252</v>
      </c>
      <c r="H724" s="1">
        <v>6310556</v>
      </c>
      <c r="I724" s="1">
        <v>64.888833333333366</v>
      </c>
      <c r="J724" s="1">
        <v>96057.745203846222</v>
      </c>
      <c r="K724" s="1">
        <v>72.5</v>
      </c>
      <c r="L724" s="1">
        <v>68.5</v>
      </c>
      <c r="M724" s="1">
        <v>65.695442950573451</v>
      </c>
      <c r="N724" s="1">
        <v>5590889</v>
      </c>
    </row>
    <row r="725" spans="1:14" x14ac:dyDescent="0.35">
      <c r="A725" s="1" t="s">
        <v>67</v>
      </c>
      <c r="B725" s="1">
        <v>202503</v>
      </c>
      <c r="C725" s="1" t="str">
        <f>MID(analisis_productividad__4[[#This Row],[Periodo]],1,4)</f>
        <v>2025</v>
      </c>
      <c r="D725" s="1" t="str">
        <f>MID(analisis_productividad__4[[#This Row],[Periodo]],5,2)</f>
        <v>03</v>
      </c>
      <c r="E725" s="1" t="s">
        <v>16</v>
      </c>
      <c r="F725" s="1" t="s">
        <v>19</v>
      </c>
      <c r="G725" s="1">
        <v>97229</v>
      </c>
      <c r="H725" s="1">
        <v>6617838</v>
      </c>
      <c r="I725" s="1">
        <v>68.064791666666707</v>
      </c>
      <c r="J725" s="1">
        <v>95369.108909370843</v>
      </c>
      <c r="K725" s="1">
        <v>79.5</v>
      </c>
      <c r="L725" s="1">
        <v>81.5</v>
      </c>
      <c r="M725" s="1">
        <v>69.391841401065449</v>
      </c>
      <c r="N725" s="1">
        <v>6620537</v>
      </c>
    </row>
    <row r="726" spans="1:14" x14ac:dyDescent="0.35">
      <c r="A726" s="1" t="s">
        <v>38</v>
      </c>
      <c r="B726" s="1">
        <v>202406</v>
      </c>
      <c r="C726" s="1" t="str">
        <f>MID(analisis_productividad__4[[#This Row],[Periodo]],1,4)</f>
        <v>2024</v>
      </c>
      <c r="D726" s="1" t="str">
        <f>MID(analisis_productividad__4[[#This Row],[Periodo]],5,2)</f>
        <v>06</v>
      </c>
      <c r="E726" s="1" t="s">
        <v>34</v>
      </c>
      <c r="F726" s="1" t="s">
        <v>35</v>
      </c>
      <c r="G726" s="1">
        <v>97205</v>
      </c>
      <c r="H726" s="1">
        <v>11281958</v>
      </c>
      <c r="I726" s="1">
        <v>116.06345138888892</v>
      </c>
      <c r="J726" s="1">
        <v>0</v>
      </c>
      <c r="K726" s="1">
        <v>140.5</v>
      </c>
      <c r="L726" s="1">
        <v>125.5</v>
      </c>
      <c r="M726" s="1"/>
      <c r="N726" s="1">
        <v>0</v>
      </c>
    </row>
    <row r="727" spans="1:14" x14ac:dyDescent="0.35">
      <c r="A727" s="1" t="s">
        <v>32</v>
      </c>
      <c r="B727" s="1">
        <v>202507</v>
      </c>
      <c r="C727" s="1" t="str">
        <f>MID(analisis_productividad__4[[#This Row],[Periodo]],1,4)</f>
        <v>2025</v>
      </c>
      <c r="D727" s="1" t="str">
        <f>MID(analisis_productividad__4[[#This Row],[Periodo]],5,2)</f>
        <v>07</v>
      </c>
      <c r="E727" s="1" t="s">
        <v>11</v>
      </c>
      <c r="F727" s="1" t="s">
        <v>12</v>
      </c>
      <c r="G727" s="1">
        <v>97135</v>
      </c>
      <c r="H727" s="1">
        <v>5708286</v>
      </c>
      <c r="I727" s="1">
        <v>58.766223118279598</v>
      </c>
      <c r="J727" s="1">
        <v>99977.837013544733</v>
      </c>
      <c r="K727" s="1">
        <v>65.5</v>
      </c>
      <c r="L727" s="1">
        <v>66</v>
      </c>
      <c r="M727" s="1">
        <v>57.095517071715179</v>
      </c>
      <c r="N727" s="1">
        <v>6108501</v>
      </c>
    </row>
    <row r="728" spans="1:14" x14ac:dyDescent="0.35">
      <c r="A728" s="1" t="s">
        <v>23</v>
      </c>
      <c r="B728" s="1">
        <v>202411</v>
      </c>
      <c r="C728" s="1" t="str">
        <f>MID(analisis_productividad__4[[#This Row],[Periodo]],1,4)</f>
        <v>2024</v>
      </c>
      <c r="D728" s="1" t="str">
        <f>MID(analisis_productividad__4[[#This Row],[Periodo]],5,2)</f>
        <v>11</v>
      </c>
      <c r="E728" s="1" t="s">
        <v>11</v>
      </c>
      <c r="F728" s="1" t="s">
        <v>12</v>
      </c>
      <c r="G728" s="1">
        <v>97130</v>
      </c>
      <c r="H728" s="1">
        <v>5793000</v>
      </c>
      <c r="I728" s="1">
        <v>59.641847222222218</v>
      </c>
      <c r="J728" s="1">
        <v>0</v>
      </c>
      <c r="K728" s="1">
        <v>68.5</v>
      </c>
      <c r="L728" s="1">
        <v>66</v>
      </c>
      <c r="M728" s="1"/>
      <c r="N728" s="1">
        <v>0</v>
      </c>
    </row>
    <row r="729" spans="1:14" x14ac:dyDescent="0.35">
      <c r="A729" s="1" t="s">
        <v>39</v>
      </c>
      <c r="B729" s="1">
        <v>202411</v>
      </c>
      <c r="C729" s="1" t="str">
        <f>MID(analisis_productividad__4[[#This Row],[Periodo]],1,4)</f>
        <v>2024</v>
      </c>
      <c r="D729" s="1" t="str">
        <f>MID(analisis_productividad__4[[#This Row],[Periodo]],5,2)</f>
        <v>11</v>
      </c>
      <c r="E729" s="1" t="s">
        <v>16</v>
      </c>
      <c r="F729" s="1" t="s">
        <v>17</v>
      </c>
      <c r="G729" s="1">
        <v>97121</v>
      </c>
      <c r="H729" s="1">
        <v>8461200</v>
      </c>
      <c r="I729" s="1">
        <v>87.119958333333315</v>
      </c>
      <c r="J729" s="1">
        <v>0</v>
      </c>
      <c r="K729" s="1">
        <v>93.5</v>
      </c>
      <c r="L729" s="1">
        <v>94</v>
      </c>
      <c r="M729" s="1"/>
      <c r="N729" s="1">
        <v>0</v>
      </c>
    </row>
    <row r="730" spans="1:14" x14ac:dyDescent="0.35">
      <c r="A730" s="1" t="s">
        <v>54</v>
      </c>
      <c r="B730" s="1">
        <v>202605</v>
      </c>
      <c r="C730" s="1" t="str">
        <f>MID(analisis_productividad__4[[#This Row],[Periodo]],1,4)</f>
        <v>2026</v>
      </c>
      <c r="D730" s="1" t="str">
        <f>MID(analisis_productividad__4[[#This Row],[Periodo]],5,2)</f>
        <v>05</v>
      </c>
      <c r="E730" s="1" t="s">
        <v>11</v>
      </c>
      <c r="F730" s="1" t="s">
        <v>52</v>
      </c>
      <c r="G730" s="1">
        <v>97118</v>
      </c>
      <c r="H730" s="1">
        <v>9447544</v>
      </c>
      <c r="I730" s="1">
        <v>97.279206989247569</v>
      </c>
      <c r="J730" s="1">
        <v>100905.517266297</v>
      </c>
      <c r="K730" s="1">
        <v>106</v>
      </c>
      <c r="L730" s="1">
        <v>102.5</v>
      </c>
      <c r="M730" s="1">
        <v>90.060822135394957</v>
      </c>
      <c r="N730" s="1">
        <v>9087634</v>
      </c>
    </row>
    <row r="731" spans="1:14" x14ac:dyDescent="0.35">
      <c r="A731" s="1" t="s">
        <v>44</v>
      </c>
      <c r="B731" s="1">
        <v>202602</v>
      </c>
      <c r="C731" s="1" t="str">
        <f>MID(analisis_productividad__4[[#This Row],[Periodo]],1,4)</f>
        <v>2026</v>
      </c>
      <c r="D731" s="1" t="str">
        <f>MID(analisis_productividad__4[[#This Row],[Periodo]],5,2)</f>
        <v>02</v>
      </c>
      <c r="E731" s="1" t="s">
        <v>11</v>
      </c>
      <c r="F731" s="1" t="s">
        <v>12</v>
      </c>
      <c r="G731" s="1">
        <v>97062</v>
      </c>
      <c r="H731" s="1">
        <v>6747684</v>
      </c>
      <c r="I731" s="1">
        <v>69.519427083333341</v>
      </c>
      <c r="J731" s="1">
        <v>89613.959908746998</v>
      </c>
      <c r="K731" s="1">
        <v>78</v>
      </c>
      <c r="L731" s="1">
        <v>74.5</v>
      </c>
      <c r="M731" s="1">
        <v>66.954795775232199</v>
      </c>
      <c r="N731" s="1">
        <v>6000084</v>
      </c>
    </row>
    <row r="732" spans="1:14" x14ac:dyDescent="0.35">
      <c r="A732" s="1" t="s">
        <v>36</v>
      </c>
      <c r="B732" s="1">
        <v>202502</v>
      </c>
      <c r="C732" s="1" t="str">
        <f>MID(analisis_productividad__4[[#This Row],[Periodo]],1,4)</f>
        <v>2025</v>
      </c>
      <c r="D732" s="1" t="str">
        <f>MID(analisis_productividad__4[[#This Row],[Periodo]],5,2)</f>
        <v>02</v>
      </c>
      <c r="E732" s="1" t="s">
        <v>16</v>
      </c>
      <c r="F732" s="1" t="s">
        <v>17</v>
      </c>
      <c r="G732" s="1">
        <v>97060</v>
      </c>
      <c r="H732" s="1">
        <v>6425955</v>
      </c>
      <c r="I732" s="1">
        <v>66.206041666666692</v>
      </c>
      <c r="J732" s="1">
        <v>109970.25156611548</v>
      </c>
      <c r="K732" s="1">
        <v>76.5</v>
      </c>
      <c r="L732" s="1">
        <v>80</v>
      </c>
      <c r="M732" s="1">
        <v>58.433572702492519</v>
      </c>
      <c r="N732" s="1">
        <v>7451797</v>
      </c>
    </row>
    <row r="733" spans="1:14" x14ac:dyDescent="0.35">
      <c r="A733" s="1" t="s">
        <v>26</v>
      </c>
      <c r="B733" s="1">
        <v>202506</v>
      </c>
      <c r="C733" s="1" t="str">
        <f>MID(analisis_productividad__4[[#This Row],[Periodo]],1,4)</f>
        <v>2025</v>
      </c>
      <c r="D733" s="1" t="str">
        <f>MID(analisis_productividad__4[[#This Row],[Periodo]],5,2)</f>
        <v>06</v>
      </c>
      <c r="E733" s="1" t="s">
        <v>11</v>
      </c>
      <c r="F733" s="1" t="s">
        <v>12</v>
      </c>
      <c r="G733" s="1">
        <v>96980</v>
      </c>
      <c r="H733" s="1">
        <v>5596372</v>
      </c>
      <c r="I733" s="1">
        <v>57.706736111111113</v>
      </c>
      <c r="J733" s="1">
        <v>85039.642443843841</v>
      </c>
      <c r="K733" s="1">
        <v>65.5</v>
      </c>
      <c r="L733" s="1">
        <v>63</v>
      </c>
      <c r="M733" s="1">
        <v>65.808981307695163</v>
      </c>
      <c r="N733" s="1">
        <v>5469043</v>
      </c>
    </row>
    <row r="734" spans="1:14" x14ac:dyDescent="0.35">
      <c r="A734" s="1" t="s">
        <v>39</v>
      </c>
      <c r="B734" s="1">
        <v>202506</v>
      </c>
      <c r="C734" s="1" t="str">
        <f>MID(analisis_productividad__4[[#This Row],[Periodo]],1,4)</f>
        <v>2025</v>
      </c>
      <c r="D734" s="1" t="str">
        <f>MID(analisis_productividad__4[[#This Row],[Periodo]],5,2)</f>
        <v>06</v>
      </c>
      <c r="E734" s="1" t="s">
        <v>16</v>
      </c>
      <c r="F734" s="1" t="s">
        <v>17</v>
      </c>
      <c r="G734" s="1">
        <v>96967</v>
      </c>
      <c r="H734" s="1">
        <v>8091213</v>
      </c>
      <c r="I734" s="1">
        <v>83.442527777777812</v>
      </c>
      <c r="J734" s="1">
        <v>105867.2243631272</v>
      </c>
      <c r="K734" s="1">
        <v>93.5</v>
      </c>
      <c r="L734" s="1">
        <v>94</v>
      </c>
      <c r="M734" s="1">
        <v>76.427928555555027</v>
      </c>
      <c r="N734" s="1">
        <v>8569623</v>
      </c>
    </row>
    <row r="735" spans="1:14" x14ac:dyDescent="0.35">
      <c r="A735" s="1" t="s">
        <v>40</v>
      </c>
      <c r="B735" s="1">
        <v>202605</v>
      </c>
      <c r="C735" s="1" t="str">
        <f>MID(analisis_productividad__4[[#This Row],[Periodo]],1,4)</f>
        <v>2026</v>
      </c>
      <c r="D735" s="1" t="str">
        <f>MID(analisis_productividad__4[[#This Row],[Periodo]],5,2)</f>
        <v>05</v>
      </c>
      <c r="E735" s="1" t="s">
        <v>11</v>
      </c>
      <c r="F735" s="1" t="s">
        <v>14</v>
      </c>
      <c r="G735" s="1">
        <v>96954</v>
      </c>
      <c r="H735" s="1">
        <v>6248431</v>
      </c>
      <c r="I735" s="1">
        <v>64.44723118279569</v>
      </c>
      <c r="J735" s="1">
        <v>92752.465157868341</v>
      </c>
      <c r="K735" s="1">
        <v>76.5</v>
      </c>
      <c r="L735" s="1">
        <v>75.5</v>
      </c>
      <c r="M735" s="1">
        <v>67.697971575339096</v>
      </c>
      <c r="N735" s="1">
        <v>6279154</v>
      </c>
    </row>
    <row r="736" spans="1:14" x14ac:dyDescent="0.35">
      <c r="A736" s="1" t="s">
        <v>59</v>
      </c>
      <c r="B736" s="1">
        <v>202601</v>
      </c>
      <c r="C736" s="1" t="str">
        <f>MID(analisis_productividad__4[[#This Row],[Periodo]],1,4)</f>
        <v>2026</v>
      </c>
      <c r="D736" s="1" t="str">
        <f>MID(analisis_productividad__4[[#This Row],[Periodo]],5,2)</f>
        <v>01</v>
      </c>
      <c r="E736" s="1" t="s">
        <v>11</v>
      </c>
      <c r="F736" s="1" t="s">
        <v>12</v>
      </c>
      <c r="G736" s="1">
        <v>96919</v>
      </c>
      <c r="H736" s="1">
        <v>8110029</v>
      </c>
      <c r="I736" s="1">
        <v>83.678790322580667</v>
      </c>
      <c r="J736" s="1">
        <v>83434.19981193867</v>
      </c>
      <c r="K736" s="1">
        <v>94.5</v>
      </c>
      <c r="L736" s="1">
        <v>97</v>
      </c>
      <c r="M736" s="1">
        <v>83.184435661200979</v>
      </c>
      <c r="N736" s="1">
        <v>6940427</v>
      </c>
    </row>
    <row r="737" spans="1:14" x14ac:dyDescent="0.35">
      <c r="A737" s="1" t="s">
        <v>50</v>
      </c>
      <c r="B737" s="1">
        <v>202407</v>
      </c>
      <c r="C737" s="1" t="str">
        <f>MID(analisis_productividad__4[[#This Row],[Periodo]],1,4)</f>
        <v>2024</v>
      </c>
      <c r="D737" s="1" t="str">
        <f>MID(analisis_productividad__4[[#This Row],[Periodo]],5,2)</f>
        <v>07</v>
      </c>
      <c r="E737" s="1" t="s">
        <v>34</v>
      </c>
      <c r="F737" s="1" t="s">
        <v>35</v>
      </c>
      <c r="G737" s="1">
        <v>96903</v>
      </c>
      <c r="H737" s="1">
        <v>5762281</v>
      </c>
      <c r="I737" s="1">
        <v>59.464341397849459</v>
      </c>
      <c r="J737" s="1">
        <v>0</v>
      </c>
      <c r="K737" s="1">
        <v>79.5</v>
      </c>
      <c r="L737" s="1">
        <v>72.5</v>
      </c>
      <c r="M737" s="1"/>
      <c r="N737" s="1">
        <v>0</v>
      </c>
    </row>
    <row r="738" spans="1:14" x14ac:dyDescent="0.35">
      <c r="A738" s="1" t="s">
        <v>29</v>
      </c>
      <c r="B738" s="1">
        <v>202405</v>
      </c>
      <c r="C738" s="1" t="str">
        <f>MID(analisis_productividad__4[[#This Row],[Periodo]],1,4)</f>
        <v>2024</v>
      </c>
      <c r="D738" s="1" t="str">
        <f>MID(analisis_productividad__4[[#This Row],[Periodo]],5,2)</f>
        <v>05</v>
      </c>
      <c r="E738" s="1" t="s">
        <v>16</v>
      </c>
      <c r="F738" s="1" t="s">
        <v>19</v>
      </c>
      <c r="G738" s="1">
        <v>96889</v>
      </c>
      <c r="H738" s="1">
        <v>8500725</v>
      </c>
      <c r="I738" s="1">
        <v>87.736579301075253</v>
      </c>
      <c r="J738" s="1">
        <v>0</v>
      </c>
      <c r="K738" s="1">
        <v>96.5</v>
      </c>
      <c r="L738" s="1">
        <v>96</v>
      </c>
      <c r="M738" s="1"/>
      <c r="N738" s="1">
        <v>0</v>
      </c>
    </row>
    <row r="739" spans="1:14" x14ac:dyDescent="0.35">
      <c r="A739" s="1" t="s">
        <v>32</v>
      </c>
      <c r="B739" s="1">
        <v>202605</v>
      </c>
      <c r="C739" s="1" t="str">
        <f>MID(analisis_productividad__4[[#This Row],[Periodo]],1,4)</f>
        <v>2026</v>
      </c>
      <c r="D739" s="1" t="str">
        <f>MID(analisis_productividad__4[[#This Row],[Periodo]],5,2)</f>
        <v>05</v>
      </c>
      <c r="E739" s="1" t="s">
        <v>11</v>
      </c>
      <c r="F739" s="1" t="s">
        <v>12</v>
      </c>
      <c r="G739" s="1">
        <v>96883</v>
      </c>
      <c r="H739" s="1">
        <v>5909448</v>
      </c>
      <c r="I739" s="1">
        <v>60.995920698925524</v>
      </c>
      <c r="J739" s="1">
        <v>102308.20515263741</v>
      </c>
      <c r="K739" s="1">
        <v>65.5</v>
      </c>
      <c r="L739" s="1">
        <v>66</v>
      </c>
      <c r="M739" s="1">
        <v>55.812340478272937</v>
      </c>
      <c r="N739" s="1">
        <v>5710060</v>
      </c>
    </row>
    <row r="740" spans="1:14" x14ac:dyDescent="0.35">
      <c r="A740" s="1" t="s">
        <v>28</v>
      </c>
      <c r="B740" s="1">
        <v>202604</v>
      </c>
      <c r="C740" s="1" t="str">
        <f>MID(analisis_productividad__4[[#This Row],[Periodo]],1,4)</f>
        <v>2026</v>
      </c>
      <c r="D740" s="1" t="str">
        <f>MID(analisis_productividad__4[[#This Row],[Periodo]],5,2)</f>
        <v>04</v>
      </c>
      <c r="E740" s="1" t="s">
        <v>16</v>
      </c>
      <c r="F740" s="1" t="s">
        <v>17</v>
      </c>
      <c r="G740" s="1">
        <v>96862</v>
      </c>
      <c r="H740" s="1">
        <v>6471814</v>
      </c>
      <c r="I740" s="1">
        <v>66.815000000001859</v>
      </c>
      <c r="J740" s="1">
        <v>127633.79427771839</v>
      </c>
      <c r="K740" s="1">
        <v>64</v>
      </c>
      <c r="L740" s="1">
        <v>67</v>
      </c>
      <c r="M740" s="1">
        <v>56.429371630436094</v>
      </c>
      <c r="N740" s="1">
        <v>7202295</v>
      </c>
    </row>
    <row r="741" spans="1:14" x14ac:dyDescent="0.35">
      <c r="A741" s="1" t="s">
        <v>59</v>
      </c>
      <c r="B741" s="1">
        <v>202604</v>
      </c>
      <c r="C741" s="1" t="str">
        <f>MID(analisis_productividad__4[[#This Row],[Periodo]],1,4)</f>
        <v>2026</v>
      </c>
      <c r="D741" s="1" t="str">
        <f>MID(analisis_productividad__4[[#This Row],[Periodo]],5,2)</f>
        <v>04</v>
      </c>
      <c r="E741" s="1" t="s">
        <v>11</v>
      </c>
      <c r="F741" s="1" t="s">
        <v>12</v>
      </c>
      <c r="G741" s="1">
        <v>96857</v>
      </c>
      <c r="H741" s="1">
        <v>8567293</v>
      </c>
      <c r="I741" s="1">
        <v>88.453458333335561</v>
      </c>
      <c r="J741" s="1">
        <v>90405.468019633903</v>
      </c>
      <c r="K741" s="1">
        <v>94.5</v>
      </c>
      <c r="L741" s="1">
        <v>97</v>
      </c>
      <c r="M741" s="1">
        <v>83.184435661200979</v>
      </c>
      <c r="N741" s="1">
        <v>7520328</v>
      </c>
    </row>
    <row r="742" spans="1:14" x14ac:dyDescent="0.35">
      <c r="A742" s="1" t="s">
        <v>46</v>
      </c>
      <c r="B742" s="1">
        <v>202408</v>
      </c>
      <c r="C742" s="1" t="str">
        <f>MID(analisis_productividad__4[[#This Row],[Periodo]],1,4)</f>
        <v>2024</v>
      </c>
      <c r="D742" s="1" t="str">
        <f>MID(analisis_productividad__4[[#This Row],[Periodo]],5,2)</f>
        <v>08</v>
      </c>
      <c r="E742" s="1" t="s">
        <v>11</v>
      </c>
      <c r="F742" s="1" t="s">
        <v>14</v>
      </c>
      <c r="G742" s="1">
        <v>96854</v>
      </c>
      <c r="H742" s="1">
        <v>6532263</v>
      </c>
      <c r="I742" s="1">
        <v>67.444482526881714</v>
      </c>
      <c r="J742" s="1">
        <v>0</v>
      </c>
      <c r="K742" s="1">
        <v>77</v>
      </c>
      <c r="L742" s="1">
        <v>79</v>
      </c>
      <c r="M742" s="1"/>
      <c r="N742" s="1">
        <v>0</v>
      </c>
    </row>
    <row r="743" spans="1:14" x14ac:dyDescent="0.35">
      <c r="A743" s="1" t="s">
        <v>28</v>
      </c>
      <c r="B743" s="1">
        <v>202406</v>
      </c>
      <c r="C743" s="1" t="str">
        <f>MID(analisis_productividad__4[[#This Row],[Periodo]],1,4)</f>
        <v>2024</v>
      </c>
      <c r="D743" s="1" t="str">
        <f>MID(analisis_productividad__4[[#This Row],[Periodo]],5,2)</f>
        <v>06</v>
      </c>
      <c r="E743" s="1" t="s">
        <v>16</v>
      </c>
      <c r="F743" s="1" t="s">
        <v>17</v>
      </c>
      <c r="G743" s="1">
        <v>96778</v>
      </c>
      <c r="H743" s="1">
        <v>5537688</v>
      </c>
      <c r="I743" s="1">
        <v>57.220381944444441</v>
      </c>
      <c r="J743" s="1">
        <v>0</v>
      </c>
      <c r="K743" s="1">
        <v>64</v>
      </c>
      <c r="L743" s="1">
        <v>67</v>
      </c>
      <c r="M743" s="1"/>
      <c r="N743" s="1">
        <v>0</v>
      </c>
    </row>
    <row r="744" spans="1:14" x14ac:dyDescent="0.35">
      <c r="A744" s="1" t="s">
        <v>41</v>
      </c>
      <c r="B744" s="1">
        <v>202602</v>
      </c>
      <c r="C744" s="1" t="str">
        <f>MID(analisis_productividad__4[[#This Row],[Periodo]],1,4)</f>
        <v>2026</v>
      </c>
      <c r="D744" s="1" t="str">
        <f>MID(analisis_productividad__4[[#This Row],[Periodo]],5,2)</f>
        <v>02</v>
      </c>
      <c r="E744" s="1" t="s">
        <v>16</v>
      </c>
      <c r="F744" s="1" t="s">
        <v>19</v>
      </c>
      <c r="G744" s="1">
        <v>96774</v>
      </c>
      <c r="H744" s="1">
        <v>5312500</v>
      </c>
      <c r="I744" s="1">
        <v>54.895833333333329</v>
      </c>
      <c r="J744" s="1">
        <v>93771.729107452978</v>
      </c>
      <c r="K744" s="1">
        <v>57.5</v>
      </c>
      <c r="L744" s="1">
        <v>56.5</v>
      </c>
      <c r="M744" s="1">
        <v>50.698263574219922</v>
      </c>
      <c r="N744" s="1">
        <v>4754064</v>
      </c>
    </row>
    <row r="745" spans="1:14" x14ac:dyDescent="0.35">
      <c r="A745" s="1" t="s">
        <v>68</v>
      </c>
      <c r="B745" s="1">
        <v>202401</v>
      </c>
      <c r="C745" s="1" t="str">
        <f>MID(analisis_productividad__4[[#This Row],[Periodo]],1,4)</f>
        <v>2024</v>
      </c>
      <c r="D745" s="1" t="str">
        <f>MID(analisis_productividad__4[[#This Row],[Periodo]],5,2)</f>
        <v>01</v>
      </c>
      <c r="E745" s="1" t="s">
        <v>11</v>
      </c>
      <c r="F745" s="1" t="s">
        <v>52</v>
      </c>
      <c r="G745" s="1">
        <v>96768</v>
      </c>
      <c r="H745" s="1">
        <v>7905160</v>
      </c>
      <c r="I745" s="1">
        <v>81.692116935483853</v>
      </c>
      <c r="J745" s="1">
        <v>0</v>
      </c>
      <c r="K745" s="1">
        <v>103</v>
      </c>
      <c r="L745" s="1">
        <v>91</v>
      </c>
      <c r="M745" s="1"/>
      <c r="N745" s="1">
        <v>0</v>
      </c>
    </row>
    <row r="746" spans="1:14" x14ac:dyDescent="0.35">
      <c r="A746" s="1" t="s">
        <v>48</v>
      </c>
      <c r="B746" s="1">
        <v>202605</v>
      </c>
      <c r="C746" s="1" t="str">
        <f>MID(analisis_productividad__4[[#This Row],[Periodo]],1,4)</f>
        <v>2026</v>
      </c>
      <c r="D746" s="1" t="str">
        <f>MID(analisis_productividad__4[[#This Row],[Periodo]],5,2)</f>
        <v>05</v>
      </c>
      <c r="E746" s="1" t="s">
        <v>16</v>
      </c>
      <c r="F746" s="1" t="s">
        <v>21</v>
      </c>
      <c r="G746" s="1">
        <v>96745</v>
      </c>
      <c r="H746" s="1">
        <v>5521085</v>
      </c>
      <c r="I746" s="1">
        <v>57.068346774193373</v>
      </c>
      <c r="J746" s="1">
        <v>112002.37378626858</v>
      </c>
      <c r="K746" s="1">
        <v>56</v>
      </c>
      <c r="L746" s="1">
        <v>60</v>
      </c>
      <c r="M746" s="1">
        <v>48.493991244906013</v>
      </c>
      <c r="N746" s="1">
        <v>5431442</v>
      </c>
    </row>
    <row r="747" spans="1:14" x14ac:dyDescent="0.35">
      <c r="A747" s="1" t="s">
        <v>87</v>
      </c>
      <c r="B747" s="1">
        <v>202512</v>
      </c>
      <c r="C747" s="1" t="str">
        <f>MID(analisis_productividad__4[[#This Row],[Periodo]],1,4)</f>
        <v>2025</v>
      </c>
      <c r="D747" s="1" t="str">
        <f>MID(analisis_productividad__4[[#This Row],[Periodo]],5,2)</f>
        <v>12</v>
      </c>
      <c r="E747" s="1" t="s">
        <v>9</v>
      </c>
      <c r="F747" s="1" t="s">
        <v>9</v>
      </c>
      <c r="G747" s="1">
        <v>96606</v>
      </c>
      <c r="H747" s="1">
        <v>1168928</v>
      </c>
      <c r="I747" s="1">
        <v>12.09997983870967</v>
      </c>
      <c r="J747" s="1">
        <v>92539.289013412461</v>
      </c>
      <c r="K747" s="1">
        <v>13.5</v>
      </c>
      <c r="L747" s="1">
        <v>12</v>
      </c>
      <c r="M747" s="1">
        <v>12.631693008043081</v>
      </c>
      <c r="N747" s="1">
        <v>1330952</v>
      </c>
    </row>
    <row r="748" spans="1:14" x14ac:dyDescent="0.35">
      <c r="A748" s="1" t="s">
        <v>40</v>
      </c>
      <c r="B748" s="1">
        <v>202406</v>
      </c>
      <c r="C748" s="1" t="str">
        <f>MID(analisis_productividad__4[[#This Row],[Periodo]],1,4)</f>
        <v>2024</v>
      </c>
      <c r="D748" s="1" t="str">
        <f>MID(analisis_productividad__4[[#This Row],[Periodo]],5,2)</f>
        <v>06</v>
      </c>
      <c r="E748" s="1" t="s">
        <v>11</v>
      </c>
      <c r="F748" s="1" t="s">
        <v>14</v>
      </c>
      <c r="G748" s="1">
        <v>96598</v>
      </c>
      <c r="H748" s="1">
        <v>6377903</v>
      </c>
      <c r="I748" s="1">
        <v>66.024972222222189</v>
      </c>
      <c r="J748" s="1">
        <v>0</v>
      </c>
      <c r="K748" s="1">
        <v>76.5</v>
      </c>
      <c r="L748" s="1">
        <v>75.5</v>
      </c>
      <c r="M748" s="1"/>
      <c r="N748" s="1">
        <v>0</v>
      </c>
    </row>
    <row r="749" spans="1:14" x14ac:dyDescent="0.35">
      <c r="A749" s="1" t="s">
        <v>31</v>
      </c>
      <c r="B749" s="1">
        <v>202510</v>
      </c>
      <c r="C749" s="1" t="str">
        <f>MID(analisis_productividad__4[[#This Row],[Periodo]],1,4)</f>
        <v>2025</v>
      </c>
      <c r="D749" s="1" t="str">
        <f>MID(analisis_productividad__4[[#This Row],[Periodo]],5,2)</f>
        <v>10</v>
      </c>
      <c r="E749" s="1" t="s">
        <v>11</v>
      </c>
      <c r="F749" s="1" t="s">
        <v>14</v>
      </c>
      <c r="G749" s="1">
        <v>96596</v>
      </c>
      <c r="H749" s="1">
        <v>7123901</v>
      </c>
      <c r="I749" s="1">
        <v>73.749186827957018</v>
      </c>
      <c r="J749" s="1">
        <v>108459.73895876079</v>
      </c>
      <c r="K749" s="1">
        <v>101.5</v>
      </c>
      <c r="L749" s="1">
        <v>97.5</v>
      </c>
      <c r="M749" s="1">
        <v>65.682445010389443</v>
      </c>
      <c r="N749" s="1">
        <v>9857315</v>
      </c>
    </row>
    <row r="750" spans="1:14" x14ac:dyDescent="0.35">
      <c r="A750" s="1" t="s">
        <v>43</v>
      </c>
      <c r="B750" s="1">
        <v>202505</v>
      </c>
      <c r="C750" s="1" t="str">
        <f>MID(analisis_productividad__4[[#This Row],[Periodo]],1,4)</f>
        <v>2025</v>
      </c>
      <c r="D750" s="1" t="str">
        <f>MID(analisis_productividad__4[[#This Row],[Periodo]],5,2)</f>
        <v>05</v>
      </c>
      <c r="E750" s="1" t="s">
        <v>11</v>
      </c>
      <c r="F750" s="1" t="s">
        <v>12</v>
      </c>
      <c r="G750" s="1">
        <v>96590</v>
      </c>
      <c r="H750" s="1">
        <v>7244880</v>
      </c>
      <c r="I750" s="1">
        <v>75.006834677419349</v>
      </c>
      <c r="J750" s="1">
        <v>91509.77274090772</v>
      </c>
      <c r="K750" s="1">
        <v>84.5</v>
      </c>
      <c r="L750" s="1">
        <v>86.5</v>
      </c>
      <c r="M750" s="1">
        <v>79.170565317788373</v>
      </c>
      <c r="N750" s="1">
        <v>7046078</v>
      </c>
    </row>
    <row r="751" spans="1:14" x14ac:dyDescent="0.35">
      <c r="A751" s="1" t="s">
        <v>38</v>
      </c>
      <c r="B751" s="1">
        <v>202502</v>
      </c>
      <c r="C751" s="1" t="str">
        <f>MID(analisis_productividad__4[[#This Row],[Periodo]],1,4)</f>
        <v>2025</v>
      </c>
      <c r="D751" s="1" t="str">
        <f>MID(analisis_productividad__4[[#This Row],[Periodo]],5,2)</f>
        <v>02</v>
      </c>
      <c r="E751" s="1" t="s">
        <v>34</v>
      </c>
      <c r="F751" s="1" t="s">
        <v>35</v>
      </c>
      <c r="G751" s="1">
        <v>96588</v>
      </c>
      <c r="H751" s="1">
        <v>10847518</v>
      </c>
      <c r="I751" s="1">
        <v>112.30656249999994</v>
      </c>
      <c r="J751" s="1">
        <v>95476.869675014008</v>
      </c>
      <c r="K751" s="1">
        <v>140.5</v>
      </c>
      <c r="L751" s="1">
        <v>125.5</v>
      </c>
      <c r="M751" s="1">
        <v>113.61409131785514</v>
      </c>
      <c r="N751" s="1">
        <v>10738156</v>
      </c>
    </row>
    <row r="752" spans="1:14" x14ac:dyDescent="0.35">
      <c r="A752" s="1" t="s">
        <v>49</v>
      </c>
      <c r="B752" s="1">
        <v>202602</v>
      </c>
      <c r="C752" s="1" t="str">
        <f>MID(analisis_productividad__4[[#This Row],[Periodo]],1,4)</f>
        <v>2026</v>
      </c>
      <c r="D752" s="1" t="str">
        <f>MID(analisis_productividad__4[[#This Row],[Periodo]],5,2)</f>
        <v>02</v>
      </c>
      <c r="E752" s="1" t="s">
        <v>16</v>
      </c>
      <c r="F752" s="1" t="s">
        <v>21</v>
      </c>
      <c r="G752" s="1">
        <v>96583</v>
      </c>
      <c r="H752" s="1">
        <v>6051370</v>
      </c>
      <c r="I752" s="1">
        <v>62.654791666666654</v>
      </c>
      <c r="J752" s="1">
        <v>84219.142615352263</v>
      </c>
      <c r="K752" s="1">
        <v>75.5</v>
      </c>
      <c r="L752" s="1">
        <v>68</v>
      </c>
      <c r="M752" s="1">
        <v>66.56902434528007</v>
      </c>
      <c r="N752" s="1">
        <v>5606386</v>
      </c>
    </row>
    <row r="753" spans="1:14" x14ac:dyDescent="0.35">
      <c r="A753" s="1" t="s">
        <v>48</v>
      </c>
      <c r="B753" s="1">
        <v>202602</v>
      </c>
      <c r="C753" s="1" t="str">
        <f>MID(analisis_productividad__4[[#This Row],[Periodo]],1,4)</f>
        <v>2026</v>
      </c>
      <c r="D753" s="1" t="str">
        <f>MID(analisis_productividad__4[[#This Row],[Periodo]],5,2)</f>
        <v>02</v>
      </c>
      <c r="E753" s="1" t="s">
        <v>16</v>
      </c>
      <c r="F753" s="1" t="s">
        <v>21</v>
      </c>
      <c r="G753" s="1">
        <v>96582</v>
      </c>
      <c r="H753" s="1">
        <v>5040093</v>
      </c>
      <c r="I753" s="1">
        <v>52.184583333333329</v>
      </c>
      <c r="J753" s="1">
        <v>101922.53906960468</v>
      </c>
      <c r="K753" s="1">
        <v>56</v>
      </c>
      <c r="L753" s="1">
        <v>60</v>
      </c>
      <c r="M753" s="1">
        <v>48.493991244906013</v>
      </c>
      <c r="N753" s="1">
        <v>4942631</v>
      </c>
    </row>
    <row r="754" spans="1:14" x14ac:dyDescent="0.35">
      <c r="A754" s="1" t="s">
        <v>79</v>
      </c>
      <c r="B754" s="1">
        <v>202603</v>
      </c>
      <c r="C754" s="1" t="str">
        <f>MID(analisis_productividad__4[[#This Row],[Periodo]],1,4)</f>
        <v>2026</v>
      </c>
      <c r="D754" s="1" t="str">
        <f>MID(analisis_productividad__4[[#This Row],[Periodo]],5,2)</f>
        <v>03</v>
      </c>
      <c r="E754" s="1" t="s">
        <v>11</v>
      </c>
      <c r="F754" s="1" t="s">
        <v>12</v>
      </c>
      <c r="G754" s="1">
        <v>96560</v>
      </c>
      <c r="H754" s="1">
        <v>6011558</v>
      </c>
      <c r="I754" s="1">
        <v>62.257096774193592</v>
      </c>
      <c r="J754" s="1">
        <v>115277.34525383502</v>
      </c>
      <c r="K754" s="1">
        <v>64.5</v>
      </c>
      <c r="L754" s="1">
        <v>64</v>
      </c>
      <c r="M754" s="1">
        <v>54.966698955874868</v>
      </c>
      <c r="N754" s="1">
        <v>6336415</v>
      </c>
    </row>
    <row r="755" spans="1:14" x14ac:dyDescent="0.35">
      <c r="A755" s="1" t="s">
        <v>66</v>
      </c>
      <c r="B755" s="1">
        <v>202412</v>
      </c>
      <c r="C755" s="1" t="str">
        <f>MID(analisis_productividad__4[[#This Row],[Periodo]],1,4)</f>
        <v>2024</v>
      </c>
      <c r="D755" s="1" t="str">
        <f>MID(analisis_productividad__4[[#This Row],[Periodo]],5,2)</f>
        <v>12</v>
      </c>
      <c r="E755" s="1" t="s">
        <v>11</v>
      </c>
      <c r="F755" s="1" t="s">
        <v>12</v>
      </c>
      <c r="G755" s="1">
        <v>96545</v>
      </c>
      <c r="H755" s="1">
        <v>8544279</v>
      </c>
      <c r="I755" s="1">
        <v>88.500557795698938</v>
      </c>
      <c r="J755" s="1">
        <v>0</v>
      </c>
      <c r="K755" s="1">
        <v>80</v>
      </c>
      <c r="L755" s="1">
        <v>80.5</v>
      </c>
      <c r="M755" s="1"/>
      <c r="N755" s="1">
        <v>0</v>
      </c>
    </row>
    <row r="756" spans="1:14" x14ac:dyDescent="0.35">
      <c r="A756" s="1" t="s">
        <v>53</v>
      </c>
      <c r="B756" s="1">
        <v>202507</v>
      </c>
      <c r="C756" s="1" t="str">
        <f>MID(analisis_productividad__4[[#This Row],[Periodo]],1,4)</f>
        <v>2025</v>
      </c>
      <c r="D756" s="1" t="str">
        <f>MID(analisis_productividad__4[[#This Row],[Periodo]],5,2)</f>
        <v>07</v>
      </c>
      <c r="E756" s="1" t="s">
        <v>11</v>
      </c>
      <c r="F756" s="1" t="s">
        <v>12</v>
      </c>
      <c r="G756" s="1">
        <v>96533</v>
      </c>
      <c r="H756" s="1">
        <v>6374185</v>
      </c>
      <c r="I756" s="1">
        <v>66.030981182795728</v>
      </c>
      <c r="J756" s="1">
        <v>106916.0679469139</v>
      </c>
      <c r="K756" s="1">
        <v>81</v>
      </c>
      <c r="L756" s="1">
        <v>77</v>
      </c>
      <c r="M756" s="1">
        <v>59.618589351461353</v>
      </c>
      <c r="N756" s="1">
        <v>7282512</v>
      </c>
    </row>
    <row r="757" spans="1:14" x14ac:dyDescent="0.35">
      <c r="A757" s="1" t="s">
        <v>37</v>
      </c>
      <c r="B757" s="1">
        <v>202409</v>
      </c>
      <c r="C757" s="1" t="str">
        <f>MID(analisis_productividad__4[[#This Row],[Periodo]],1,4)</f>
        <v>2024</v>
      </c>
      <c r="D757" s="1" t="str">
        <f>MID(analisis_productividad__4[[#This Row],[Periodo]],5,2)</f>
        <v>09</v>
      </c>
      <c r="E757" s="1" t="s">
        <v>16</v>
      </c>
      <c r="F757" s="1" t="s">
        <v>17</v>
      </c>
      <c r="G757" s="1">
        <v>96479</v>
      </c>
      <c r="H757" s="1">
        <v>9690585</v>
      </c>
      <c r="I757" s="1">
        <v>100.44207638888889</v>
      </c>
      <c r="J757" s="1">
        <v>0</v>
      </c>
      <c r="K757" s="1">
        <v>107.5</v>
      </c>
      <c r="L757" s="1">
        <v>102.5</v>
      </c>
      <c r="M757" s="1"/>
      <c r="N757" s="1">
        <v>0</v>
      </c>
    </row>
    <row r="758" spans="1:14" x14ac:dyDescent="0.35">
      <c r="A758" s="1" t="s">
        <v>57</v>
      </c>
      <c r="B758" s="1">
        <v>202501</v>
      </c>
      <c r="C758" s="1" t="str">
        <f>MID(analisis_productividad__4[[#This Row],[Periodo]],1,4)</f>
        <v>2025</v>
      </c>
      <c r="D758" s="1" t="str">
        <f>MID(analisis_productividad__4[[#This Row],[Periodo]],5,2)</f>
        <v>01</v>
      </c>
      <c r="E758" s="1" t="s">
        <v>16</v>
      </c>
      <c r="F758" s="1" t="s">
        <v>19</v>
      </c>
      <c r="G758" s="1">
        <v>96474</v>
      </c>
      <c r="H758" s="1">
        <v>6030239</v>
      </c>
      <c r="I758" s="1">
        <v>62.506424731182811</v>
      </c>
      <c r="J758" s="1">
        <v>111123.79721613509</v>
      </c>
      <c r="K758" s="1">
        <v>71</v>
      </c>
      <c r="L758" s="1">
        <v>74.5</v>
      </c>
      <c r="M758" s="1">
        <v>54.265951947909265</v>
      </c>
      <c r="N758" s="1">
        <v>6155100</v>
      </c>
    </row>
    <row r="759" spans="1:14" x14ac:dyDescent="0.35">
      <c r="A759" s="1" t="s">
        <v>39</v>
      </c>
      <c r="B759" s="1">
        <v>202409</v>
      </c>
      <c r="C759" s="1" t="str">
        <f>MID(analisis_productividad__4[[#This Row],[Periodo]],1,4)</f>
        <v>2024</v>
      </c>
      <c r="D759" s="1" t="str">
        <f>MID(analisis_productividad__4[[#This Row],[Periodo]],5,2)</f>
        <v>09</v>
      </c>
      <c r="E759" s="1" t="s">
        <v>16</v>
      </c>
      <c r="F759" s="1" t="s">
        <v>17</v>
      </c>
      <c r="G759" s="1">
        <v>96472</v>
      </c>
      <c r="H759" s="1">
        <v>8222124</v>
      </c>
      <c r="I759" s="1">
        <v>85.228256944444411</v>
      </c>
      <c r="J759" s="1">
        <v>0</v>
      </c>
      <c r="K759" s="1">
        <v>93.5</v>
      </c>
      <c r="L759" s="1">
        <v>94</v>
      </c>
      <c r="M759" s="1"/>
      <c r="N759" s="1">
        <v>0</v>
      </c>
    </row>
    <row r="760" spans="1:14" x14ac:dyDescent="0.35">
      <c r="A760" s="1" t="s">
        <v>131</v>
      </c>
      <c r="B760" s="1">
        <v>202402</v>
      </c>
      <c r="C760" s="1" t="str">
        <f>MID(analisis_productividad__4[[#This Row],[Periodo]],1,4)</f>
        <v>2024</v>
      </c>
      <c r="D760" s="1" t="str">
        <f>MID(analisis_productividad__4[[#This Row],[Periodo]],5,2)</f>
        <v>02</v>
      </c>
      <c r="E760" s="1" t="s">
        <v>16</v>
      </c>
      <c r="F760" s="1" t="s">
        <v>21</v>
      </c>
      <c r="G760" s="1">
        <v>96442</v>
      </c>
      <c r="H760" s="1">
        <v>11810683</v>
      </c>
      <c r="I760" s="1">
        <v>122.46404454022989</v>
      </c>
      <c r="J760" s="1">
        <v>0</v>
      </c>
      <c r="K760" s="1">
        <v>99</v>
      </c>
      <c r="L760" s="1">
        <v>32.5</v>
      </c>
      <c r="M760" s="1"/>
      <c r="N760" s="1">
        <v>0</v>
      </c>
    </row>
    <row r="761" spans="1:14" x14ac:dyDescent="0.35">
      <c r="A761" s="1" t="s">
        <v>99</v>
      </c>
      <c r="B761" s="1">
        <v>202512</v>
      </c>
      <c r="C761" s="1" t="str">
        <f>MID(analisis_productividad__4[[#This Row],[Periodo]],1,4)</f>
        <v>2025</v>
      </c>
      <c r="D761" s="1" t="str">
        <f>MID(analisis_productividad__4[[#This Row],[Periodo]],5,2)</f>
        <v>12</v>
      </c>
      <c r="E761" s="1" t="s">
        <v>11</v>
      </c>
      <c r="F761" s="1" t="s">
        <v>12</v>
      </c>
      <c r="G761" s="1">
        <v>96434</v>
      </c>
      <c r="H761" s="1">
        <v>2185488</v>
      </c>
      <c r="I761" s="1">
        <v>22.663111559139768</v>
      </c>
      <c r="J761" s="1">
        <v>76052.274710285768</v>
      </c>
      <c r="K761" s="1">
        <v>27</v>
      </c>
      <c r="L761" s="1">
        <v>27</v>
      </c>
      <c r="M761" s="1">
        <v>28.736650393764243</v>
      </c>
      <c r="N761" s="1">
        <v>2195731</v>
      </c>
    </row>
    <row r="762" spans="1:14" x14ac:dyDescent="0.35">
      <c r="A762" s="1" t="s">
        <v>50</v>
      </c>
      <c r="B762" s="1">
        <v>202510</v>
      </c>
      <c r="C762" s="1" t="str">
        <f>MID(analisis_productividad__4[[#This Row],[Periodo]],1,4)</f>
        <v>2025</v>
      </c>
      <c r="D762" s="1" t="str">
        <f>MID(analisis_productividad__4[[#This Row],[Periodo]],5,2)</f>
        <v>10</v>
      </c>
      <c r="E762" s="1" t="s">
        <v>34</v>
      </c>
      <c r="F762" s="1" t="s">
        <v>35</v>
      </c>
      <c r="G762" s="1">
        <v>96418</v>
      </c>
      <c r="H762" s="1">
        <v>5788509</v>
      </c>
      <c r="I762" s="1">
        <v>60.035302419354835</v>
      </c>
      <c r="J762" s="1">
        <v>94929.816770805483</v>
      </c>
      <c r="K762" s="1">
        <v>79.5</v>
      </c>
      <c r="L762" s="1">
        <v>72.5</v>
      </c>
      <c r="M762" s="1">
        <v>60.976718136679104</v>
      </c>
      <c r="N762" s="1">
        <v>6091984</v>
      </c>
    </row>
    <row r="763" spans="1:14" x14ac:dyDescent="0.35">
      <c r="A763" s="1" t="s">
        <v>94</v>
      </c>
      <c r="B763" s="1">
        <v>202412</v>
      </c>
      <c r="C763" s="1" t="str">
        <f>MID(analisis_productividad__4[[#This Row],[Periodo]],1,4)</f>
        <v>2024</v>
      </c>
      <c r="D763" s="1" t="str">
        <f>MID(analisis_productividad__4[[#This Row],[Periodo]],5,2)</f>
        <v>12</v>
      </c>
      <c r="E763" s="1" t="s">
        <v>11</v>
      </c>
      <c r="F763" s="1" t="s">
        <v>52</v>
      </c>
      <c r="G763" s="1">
        <v>96410</v>
      </c>
      <c r="H763" s="1">
        <v>7581528</v>
      </c>
      <c r="I763" s="1">
        <v>78.638508064516103</v>
      </c>
      <c r="J763" s="1">
        <v>0</v>
      </c>
      <c r="K763" s="1">
        <v>75.5</v>
      </c>
      <c r="L763" s="1">
        <v>70.5</v>
      </c>
      <c r="M763" s="1"/>
      <c r="N763" s="1">
        <v>0</v>
      </c>
    </row>
    <row r="764" spans="1:14" x14ac:dyDescent="0.35">
      <c r="A764" s="1" t="s">
        <v>37</v>
      </c>
      <c r="B764" s="1">
        <v>202406</v>
      </c>
      <c r="C764" s="1" t="str">
        <f>MID(analisis_productividad__4[[#This Row],[Periodo]],1,4)</f>
        <v>2024</v>
      </c>
      <c r="D764" s="1" t="str">
        <f>MID(analisis_productividad__4[[#This Row],[Periodo]],5,2)</f>
        <v>06</v>
      </c>
      <c r="E764" s="1" t="s">
        <v>16</v>
      </c>
      <c r="F764" s="1" t="s">
        <v>17</v>
      </c>
      <c r="G764" s="1">
        <v>96399</v>
      </c>
      <c r="H764" s="1">
        <v>10211778</v>
      </c>
      <c r="I764" s="1">
        <v>105.93294444444449</v>
      </c>
      <c r="J764" s="1">
        <v>0</v>
      </c>
      <c r="K764" s="1">
        <v>107.5</v>
      </c>
      <c r="L764" s="1">
        <v>102.5</v>
      </c>
      <c r="M764" s="1"/>
      <c r="N764" s="1">
        <v>0</v>
      </c>
    </row>
    <row r="765" spans="1:14" x14ac:dyDescent="0.35">
      <c r="A765" s="1" t="s">
        <v>28</v>
      </c>
      <c r="B765" s="1">
        <v>202510</v>
      </c>
      <c r="C765" s="1" t="str">
        <f>MID(analisis_productividad__4[[#This Row],[Periodo]],1,4)</f>
        <v>2025</v>
      </c>
      <c r="D765" s="1" t="str">
        <f>MID(analisis_productividad__4[[#This Row],[Periodo]],5,2)</f>
        <v>10</v>
      </c>
      <c r="E765" s="1" t="s">
        <v>16</v>
      </c>
      <c r="F765" s="1" t="s">
        <v>17</v>
      </c>
      <c r="G765" s="1">
        <v>96393</v>
      </c>
      <c r="H765" s="1">
        <v>5462797</v>
      </c>
      <c r="I765" s="1">
        <v>56.671868279569914</v>
      </c>
      <c r="J765" s="1">
        <v>98755.781973844947</v>
      </c>
      <c r="K765" s="1">
        <v>64</v>
      </c>
      <c r="L765" s="1">
        <v>67</v>
      </c>
      <c r="M765" s="1">
        <v>55.316219575343951</v>
      </c>
      <c r="N765" s="1">
        <v>5011775</v>
      </c>
    </row>
    <row r="766" spans="1:14" x14ac:dyDescent="0.35">
      <c r="A766" s="1" t="s">
        <v>42</v>
      </c>
      <c r="B766" s="1">
        <v>202501</v>
      </c>
      <c r="C766" s="1" t="str">
        <f>MID(analisis_productividad__4[[#This Row],[Periodo]],1,4)</f>
        <v>2025</v>
      </c>
      <c r="D766" s="1" t="str">
        <f>MID(analisis_productividad__4[[#This Row],[Periodo]],5,2)</f>
        <v>01</v>
      </c>
      <c r="E766" s="1" t="s">
        <v>16</v>
      </c>
      <c r="F766" s="1" t="s">
        <v>19</v>
      </c>
      <c r="G766" s="1">
        <v>96389</v>
      </c>
      <c r="H766" s="1">
        <v>5715029</v>
      </c>
      <c r="I766" s="1">
        <v>59.291364247311833</v>
      </c>
      <c r="J766" s="1">
        <v>93207.709728894057</v>
      </c>
      <c r="K766" s="1">
        <v>62</v>
      </c>
      <c r="L766" s="1">
        <v>58</v>
      </c>
      <c r="M766" s="1">
        <v>61.314979057235242</v>
      </c>
      <c r="N766" s="1">
        <v>5445161</v>
      </c>
    </row>
    <row r="767" spans="1:14" x14ac:dyDescent="0.35">
      <c r="A767" s="1" t="s">
        <v>42</v>
      </c>
      <c r="B767" s="1">
        <v>202606</v>
      </c>
      <c r="C767" s="1" t="str">
        <f>MID(analisis_productividad__4[[#This Row],[Periodo]],1,4)</f>
        <v>2026</v>
      </c>
      <c r="D767" s="1" t="str">
        <f>MID(analisis_productividad__4[[#This Row],[Periodo]],5,2)</f>
        <v>06</v>
      </c>
      <c r="E767" s="1" t="s">
        <v>16</v>
      </c>
      <c r="F767" s="1" t="s">
        <v>19</v>
      </c>
      <c r="G767" s="1">
        <v>96366</v>
      </c>
      <c r="H767" s="1">
        <v>5096594</v>
      </c>
      <c r="I767" s="1">
        <v>52.887673611110984</v>
      </c>
      <c r="J767" s="1">
        <v>87676.616865224176</v>
      </c>
      <c r="K767" s="1">
        <v>62</v>
      </c>
      <c r="L767" s="1">
        <v>58</v>
      </c>
      <c r="M767" s="1">
        <v>54.66595376698497</v>
      </c>
      <c r="N767" s="1">
        <v>4792926</v>
      </c>
    </row>
    <row r="768" spans="1:14" x14ac:dyDescent="0.35">
      <c r="A768" s="1" t="s">
        <v>80</v>
      </c>
      <c r="B768" s="1">
        <v>202603</v>
      </c>
      <c r="C768" s="1" t="str">
        <f>MID(analisis_productividad__4[[#This Row],[Periodo]],1,4)</f>
        <v>2026</v>
      </c>
      <c r="D768" s="1" t="str">
        <f>MID(analisis_productividad__4[[#This Row],[Periodo]],5,2)</f>
        <v>03</v>
      </c>
      <c r="E768" s="1" t="s">
        <v>16</v>
      </c>
      <c r="F768" s="1" t="s">
        <v>17</v>
      </c>
      <c r="G768" s="1">
        <v>96360</v>
      </c>
      <c r="H768" s="1">
        <v>5282065</v>
      </c>
      <c r="I768" s="1">
        <v>54.816115591397867</v>
      </c>
      <c r="J768" s="1">
        <v>101268.08453248843</v>
      </c>
      <c r="K768" s="1">
        <v>58</v>
      </c>
      <c r="L768" s="1">
        <v>58.5</v>
      </c>
      <c r="M768" s="1">
        <v>51.139118040082707</v>
      </c>
      <c r="N768" s="1">
        <v>5178761</v>
      </c>
    </row>
    <row r="769" spans="1:14" x14ac:dyDescent="0.35">
      <c r="A769" s="1" t="s">
        <v>82</v>
      </c>
      <c r="B769" s="1">
        <v>202512</v>
      </c>
      <c r="C769" s="1" t="str">
        <f>MID(analisis_productividad__4[[#This Row],[Periodo]],1,4)</f>
        <v>2025</v>
      </c>
      <c r="D769" s="1" t="str">
        <f>MID(analisis_productividad__4[[#This Row],[Periodo]],5,2)</f>
        <v>12</v>
      </c>
      <c r="E769" s="1" t="s">
        <v>11</v>
      </c>
      <c r="F769" s="1" t="s">
        <v>12</v>
      </c>
      <c r="G769" s="1">
        <v>96352</v>
      </c>
      <c r="H769" s="1">
        <v>5578714</v>
      </c>
      <c r="I769" s="1">
        <v>57.899267473118286</v>
      </c>
      <c r="J769" s="1">
        <v>98125.267905618603</v>
      </c>
      <c r="K769" s="1">
        <v>53.5</v>
      </c>
      <c r="L769" s="1">
        <v>54</v>
      </c>
      <c r="M769" s="1">
        <v>56.85298138870678</v>
      </c>
      <c r="N769" s="1">
        <v>5725519</v>
      </c>
    </row>
    <row r="770" spans="1:14" x14ac:dyDescent="0.35">
      <c r="A770" s="1" t="s">
        <v>91</v>
      </c>
      <c r="B770" s="1">
        <v>202412</v>
      </c>
      <c r="C770" s="1" t="str">
        <f>MID(analisis_productividad__4[[#This Row],[Periodo]],1,4)</f>
        <v>2024</v>
      </c>
      <c r="D770" s="1" t="str">
        <f>MID(analisis_productividad__4[[#This Row],[Periodo]],5,2)</f>
        <v>12</v>
      </c>
      <c r="E770" s="1" t="s">
        <v>11</v>
      </c>
      <c r="F770" s="1" t="s">
        <v>12</v>
      </c>
      <c r="G770" s="1">
        <v>96349</v>
      </c>
      <c r="H770" s="1">
        <v>5775348</v>
      </c>
      <c r="I770" s="1">
        <v>59.941922043010763</v>
      </c>
      <c r="J770" s="1">
        <v>0</v>
      </c>
      <c r="K770" s="1">
        <v>55</v>
      </c>
      <c r="L770" s="1">
        <v>55.5</v>
      </c>
      <c r="M770" s="1"/>
      <c r="N770" s="1">
        <v>0</v>
      </c>
    </row>
    <row r="771" spans="1:14" x14ac:dyDescent="0.35">
      <c r="A771" s="1" t="s">
        <v>22</v>
      </c>
      <c r="B771" s="1">
        <v>202410</v>
      </c>
      <c r="C771" s="1" t="str">
        <f>MID(analisis_productividad__4[[#This Row],[Periodo]],1,4)</f>
        <v>2024</v>
      </c>
      <c r="D771" s="1" t="str">
        <f>MID(analisis_productividad__4[[#This Row],[Periodo]],5,2)</f>
        <v>10</v>
      </c>
      <c r="E771" s="1" t="s">
        <v>16</v>
      </c>
      <c r="F771" s="1" t="s">
        <v>21</v>
      </c>
      <c r="G771" s="1">
        <v>96346</v>
      </c>
      <c r="H771" s="1">
        <v>4576912</v>
      </c>
      <c r="I771" s="1">
        <v>47.504831989247307</v>
      </c>
      <c r="J771" s="1">
        <v>0</v>
      </c>
      <c r="K771" s="1">
        <v>59.5</v>
      </c>
      <c r="L771" s="1">
        <v>55.5</v>
      </c>
      <c r="M771" s="1"/>
      <c r="N771" s="1">
        <v>0</v>
      </c>
    </row>
    <row r="772" spans="1:14" x14ac:dyDescent="0.35">
      <c r="A772" s="1" t="s">
        <v>61</v>
      </c>
      <c r="B772" s="1">
        <v>202403</v>
      </c>
      <c r="C772" s="1" t="str">
        <f>MID(analisis_productividad__4[[#This Row],[Periodo]],1,4)</f>
        <v>2024</v>
      </c>
      <c r="D772" s="1" t="str">
        <f>MID(analisis_productividad__4[[#This Row],[Periodo]],5,2)</f>
        <v>03</v>
      </c>
      <c r="E772" s="1" t="s">
        <v>11</v>
      </c>
      <c r="F772" s="1" t="s">
        <v>52</v>
      </c>
      <c r="G772" s="1">
        <v>96290</v>
      </c>
      <c r="H772" s="1">
        <v>9806206</v>
      </c>
      <c r="I772" s="1">
        <v>101.83988575268816</v>
      </c>
      <c r="J772" s="1">
        <v>0</v>
      </c>
      <c r="K772" s="1">
        <v>104.5</v>
      </c>
      <c r="L772" s="1">
        <v>99</v>
      </c>
      <c r="M772" s="1"/>
      <c r="N772" s="1">
        <v>0</v>
      </c>
    </row>
    <row r="773" spans="1:14" x14ac:dyDescent="0.35">
      <c r="A773" s="1" t="s">
        <v>70</v>
      </c>
      <c r="B773" s="1">
        <v>202403</v>
      </c>
      <c r="C773" s="1" t="str">
        <f>MID(analisis_productividad__4[[#This Row],[Periodo]],1,4)</f>
        <v>2024</v>
      </c>
      <c r="D773" s="1" t="str">
        <f>MID(analisis_productividad__4[[#This Row],[Periodo]],5,2)</f>
        <v>03</v>
      </c>
      <c r="E773" s="1" t="s">
        <v>11</v>
      </c>
      <c r="F773" s="1" t="s">
        <v>14</v>
      </c>
      <c r="G773" s="1">
        <v>96191</v>
      </c>
      <c r="H773" s="1">
        <v>5896293</v>
      </c>
      <c r="I773" s="1">
        <v>61.297983870967755</v>
      </c>
      <c r="J773" s="1">
        <v>0</v>
      </c>
      <c r="K773" s="1">
        <v>65</v>
      </c>
      <c r="L773" s="1">
        <v>67.5</v>
      </c>
      <c r="M773" s="1"/>
      <c r="N773" s="1">
        <v>0</v>
      </c>
    </row>
    <row r="774" spans="1:14" x14ac:dyDescent="0.35">
      <c r="A774" s="1" t="s">
        <v>46</v>
      </c>
      <c r="B774" s="1">
        <v>202606</v>
      </c>
      <c r="C774" s="1" t="str">
        <f>MID(analisis_productividad__4[[#This Row],[Periodo]],1,4)</f>
        <v>2026</v>
      </c>
      <c r="D774" s="1" t="str">
        <f>MID(analisis_productividad__4[[#This Row],[Periodo]],5,2)</f>
        <v>06</v>
      </c>
      <c r="E774" s="1" t="s">
        <v>11</v>
      </c>
      <c r="F774" s="1" t="s">
        <v>14</v>
      </c>
      <c r="G774" s="1">
        <v>96179</v>
      </c>
      <c r="H774" s="1">
        <v>6861655</v>
      </c>
      <c r="I774" s="1">
        <v>71.34234722222395</v>
      </c>
      <c r="J774" s="1">
        <v>100280.22901090939</v>
      </c>
      <c r="K774" s="1">
        <v>77</v>
      </c>
      <c r="L774" s="1">
        <v>79</v>
      </c>
      <c r="M774" s="1">
        <v>66.09086292651952</v>
      </c>
      <c r="N774" s="1">
        <v>6627607</v>
      </c>
    </row>
    <row r="775" spans="1:14" x14ac:dyDescent="0.35">
      <c r="A775" s="1" t="s">
        <v>63</v>
      </c>
      <c r="B775" s="1">
        <v>202603</v>
      </c>
      <c r="C775" s="1" t="str">
        <f>MID(analisis_productividad__4[[#This Row],[Periodo]],1,4)</f>
        <v>2026</v>
      </c>
      <c r="D775" s="1" t="str">
        <f>MID(analisis_productividad__4[[#This Row],[Periodo]],5,2)</f>
        <v>03</v>
      </c>
      <c r="E775" s="1" t="s">
        <v>16</v>
      </c>
      <c r="F775" s="1" t="s">
        <v>17</v>
      </c>
      <c r="G775" s="1">
        <v>96124</v>
      </c>
      <c r="H775" s="1">
        <v>8043442</v>
      </c>
      <c r="I775" s="1">
        <v>83.678178763440826</v>
      </c>
      <c r="J775" s="1">
        <v>110956.3198390922</v>
      </c>
      <c r="K775" s="1">
        <v>86.5</v>
      </c>
      <c r="L775" s="1">
        <v>81.5</v>
      </c>
      <c r="M775" s="1">
        <v>76.26782259426129</v>
      </c>
      <c r="N775" s="1">
        <v>8462397</v>
      </c>
    </row>
    <row r="776" spans="1:14" x14ac:dyDescent="0.35">
      <c r="A776" s="1" t="s">
        <v>46</v>
      </c>
      <c r="B776" s="1">
        <v>202507</v>
      </c>
      <c r="C776" s="1" t="str">
        <f>MID(analisis_productividad__4[[#This Row],[Periodo]],1,4)</f>
        <v>2025</v>
      </c>
      <c r="D776" s="1" t="str">
        <f>MID(analisis_productividad__4[[#This Row],[Periodo]],5,2)</f>
        <v>07</v>
      </c>
      <c r="E776" s="1" t="s">
        <v>11</v>
      </c>
      <c r="F776" s="1" t="s">
        <v>14</v>
      </c>
      <c r="G776" s="1">
        <v>96117</v>
      </c>
      <c r="H776" s="1">
        <v>6799851</v>
      </c>
      <c r="I776" s="1">
        <v>70.745631720430168</v>
      </c>
      <c r="J776" s="1">
        <v>116308.20726301074</v>
      </c>
      <c r="K776" s="1">
        <v>77</v>
      </c>
      <c r="L776" s="1">
        <v>79</v>
      </c>
      <c r="M776" s="1">
        <v>58.46406534857271</v>
      </c>
      <c r="N776" s="1">
        <v>7647594</v>
      </c>
    </row>
    <row r="777" spans="1:14" x14ac:dyDescent="0.35">
      <c r="A777" s="1" t="s">
        <v>23</v>
      </c>
      <c r="B777" s="1">
        <v>202506</v>
      </c>
      <c r="C777" s="1" t="str">
        <f>MID(analisis_productividad__4[[#This Row],[Periodo]],1,4)</f>
        <v>2025</v>
      </c>
      <c r="D777" s="1" t="str">
        <f>MID(analisis_productividad__4[[#This Row],[Periodo]],5,2)</f>
        <v>06</v>
      </c>
      <c r="E777" s="1" t="s">
        <v>11</v>
      </c>
      <c r="F777" s="1" t="s">
        <v>12</v>
      </c>
      <c r="G777" s="1">
        <v>96113</v>
      </c>
      <c r="H777" s="1">
        <v>5862529</v>
      </c>
      <c r="I777" s="1">
        <v>60.99595833333332</v>
      </c>
      <c r="J777" s="1">
        <v>105766.4818208917</v>
      </c>
      <c r="K777" s="1">
        <v>68.5</v>
      </c>
      <c r="L777" s="1">
        <v>66</v>
      </c>
      <c r="M777" s="1">
        <v>55.428989497143249</v>
      </c>
      <c r="N777" s="1">
        <v>6243907</v>
      </c>
    </row>
    <row r="778" spans="1:14" x14ac:dyDescent="0.35">
      <c r="A778" s="1" t="s">
        <v>44</v>
      </c>
      <c r="B778" s="1">
        <v>202408</v>
      </c>
      <c r="C778" s="1" t="str">
        <f>MID(analisis_productividad__4[[#This Row],[Periodo]],1,4)</f>
        <v>2024</v>
      </c>
      <c r="D778" s="1" t="str">
        <f>MID(analisis_productividad__4[[#This Row],[Periodo]],5,2)</f>
        <v>08</v>
      </c>
      <c r="E778" s="1" t="s">
        <v>11</v>
      </c>
      <c r="F778" s="1" t="s">
        <v>12</v>
      </c>
      <c r="G778" s="1">
        <v>96104</v>
      </c>
      <c r="H778" s="1">
        <v>6119968</v>
      </c>
      <c r="I778" s="1">
        <v>63.680571236559132</v>
      </c>
      <c r="J778" s="1">
        <v>0</v>
      </c>
      <c r="K778" s="1">
        <v>78</v>
      </c>
      <c r="L778" s="1">
        <v>74.5</v>
      </c>
      <c r="M778" s="1"/>
      <c r="N778" s="1">
        <v>0</v>
      </c>
    </row>
    <row r="779" spans="1:14" x14ac:dyDescent="0.35">
      <c r="A779" s="1" t="s">
        <v>51</v>
      </c>
      <c r="B779" s="1">
        <v>202411</v>
      </c>
      <c r="C779" s="1" t="str">
        <f>MID(analisis_productividad__4[[#This Row],[Periodo]],1,4)</f>
        <v>2024</v>
      </c>
      <c r="D779" s="1" t="str">
        <f>MID(analisis_productividad__4[[#This Row],[Periodo]],5,2)</f>
        <v>11</v>
      </c>
      <c r="E779" s="1" t="s">
        <v>11</v>
      </c>
      <c r="F779" s="1" t="s">
        <v>52</v>
      </c>
      <c r="G779" s="1">
        <v>96100</v>
      </c>
      <c r="H779" s="1">
        <v>9506773</v>
      </c>
      <c r="I779" s="1">
        <v>98.925895833333328</v>
      </c>
      <c r="J779" s="1">
        <v>0</v>
      </c>
      <c r="K779" s="1">
        <v>117.5</v>
      </c>
      <c r="L779" s="1">
        <v>99</v>
      </c>
      <c r="M779" s="1"/>
      <c r="N779" s="1">
        <v>0</v>
      </c>
    </row>
    <row r="780" spans="1:14" x14ac:dyDescent="0.35">
      <c r="A780" s="1" t="s">
        <v>80</v>
      </c>
      <c r="B780" s="1">
        <v>202601</v>
      </c>
      <c r="C780" s="1" t="str">
        <f>MID(analisis_productividad__4[[#This Row],[Periodo]],1,4)</f>
        <v>2026</v>
      </c>
      <c r="D780" s="1" t="str">
        <f>MID(analisis_productividad__4[[#This Row],[Periodo]],5,2)</f>
        <v>01</v>
      </c>
      <c r="E780" s="1" t="s">
        <v>16</v>
      </c>
      <c r="F780" s="1" t="s">
        <v>17</v>
      </c>
      <c r="G780" s="1">
        <v>96082</v>
      </c>
      <c r="H780" s="1">
        <v>4801563</v>
      </c>
      <c r="I780" s="1">
        <v>49.973696236559164</v>
      </c>
      <c r="J780" s="1">
        <v>86889.636636228824</v>
      </c>
      <c r="K780" s="1">
        <v>58</v>
      </c>
      <c r="L780" s="1">
        <v>58.5</v>
      </c>
      <c r="M780" s="1">
        <v>51.139118040082707</v>
      </c>
      <c r="N780" s="1">
        <v>4443459</v>
      </c>
    </row>
    <row r="781" spans="1:14" x14ac:dyDescent="0.35">
      <c r="A781" s="1" t="s">
        <v>69</v>
      </c>
      <c r="B781" s="1">
        <v>202606</v>
      </c>
      <c r="C781" s="1" t="str">
        <f>MID(analisis_productividad__4[[#This Row],[Periodo]],1,4)</f>
        <v>2026</v>
      </c>
      <c r="D781" s="1" t="str">
        <f>MID(analisis_productividad__4[[#This Row],[Periodo]],5,2)</f>
        <v>06</v>
      </c>
      <c r="E781" s="1" t="s">
        <v>11</v>
      </c>
      <c r="F781" s="1" t="s">
        <v>52</v>
      </c>
      <c r="G781" s="1">
        <v>96082</v>
      </c>
      <c r="H781" s="1">
        <v>5011815</v>
      </c>
      <c r="I781" s="1">
        <v>52.16210416666631</v>
      </c>
      <c r="J781" s="1">
        <v>94844.148300792935</v>
      </c>
      <c r="K781" s="1">
        <v>68</v>
      </c>
      <c r="L781" s="1">
        <v>60.5</v>
      </c>
      <c r="M781" s="1">
        <v>56.717795741490448</v>
      </c>
      <c r="N781" s="1">
        <v>5379351</v>
      </c>
    </row>
    <row r="782" spans="1:14" x14ac:dyDescent="0.35">
      <c r="A782" s="1" t="s">
        <v>38</v>
      </c>
      <c r="B782" s="1">
        <v>202510</v>
      </c>
      <c r="C782" s="1" t="str">
        <f>MID(analisis_productividad__4[[#This Row],[Periodo]],1,4)</f>
        <v>2025</v>
      </c>
      <c r="D782" s="1" t="str">
        <f>MID(analisis_productividad__4[[#This Row],[Periodo]],5,2)</f>
        <v>10</v>
      </c>
      <c r="E782" s="1" t="s">
        <v>34</v>
      </c>
      <c r="F782" s="1" t="s">
        <v>35</v>
      </c>
      <c r="G782" s="1">
        <v>95966</v>
      </c>
      <c r="H782" s="1">
        <v>11379513</v>
      </c>
      <c r="I782" s="1">
        <v>118.57905913978493</v>
      </c>
      <c r="J782" s="1">
        <v>104900.61038932689</v>
      </c>
      <c r="K782" s="1">
        <v>140.5</v>
      </c>
      <c r="L782" s="1">
        <v>125.5</v>
      </c>
      <c r="M782" s="1">
        <v>108.47899881388874</v>
      </c>
      <c r="N782" s="1">
        <v>12006571</v>
      </c>
    </row>
    <row r="783" spans="1:14" x14ac:dyDescent="0.35">
      <c r="A783" s="1" t="s">
        <v>75</v>
      </c>
      <c r="B783" s="1">
        <v>202508</v>
      </c>
      <c r="C783" s="1" t="str">
        <f>MID(analisis_productividad__4[[#This Row],[Periodo]],1,4)</f>
        <v>2025</v>
      </c>
      <c r="D783" s="1" t="str">
        <f>MID(analisis_productividad__4[[#This Row],[Periodo]],5,2)</f>
        <v>08</v>
      </c>
      <c r="E783" s="1" t="s">
        <v>11</v>
      </c>
      <c r="F783" s="1" t="s">
        <v>52</v>
      </c>
      <c r="G783" s="1">
        <v>95940</v>
      </c>
      <c r="H783" s="1">
        <v>9126843</v>
      </c>
      <c r="I783" s="1">
        <v>95.130611559139822</v>
      </c>
      <c r="J783" s="1">
        <v>99342.401583532672</v>
      </c>
      <c r="K783" s="1">
        <v>118</v>
      </c>
      <c r="L783" s="1">
        <v>106</v>
      </c>
      <c r="M783" s="1">
        <v>91.872581038074017</v>
      </c>
      <c r="N783" s="1">
        <v>9933414</v>
      </c>
    </row>
    <row r="784" spans="1:14" x14ac:dyDescent="0.35">
      <c r="A784" s="1" t="s">
        <v>55</v>
      </c>
      <c r="B784" s="1">
        <v>202403</v>
      </c>
      <c r="C784" s="1" t="str">
        <f>MID(analisis_productividad__4[[#This Row],[Periodo]],1,4)</f>
        <v>2024</v>
      </c>
      <c r="D784" s="1" t="str">
        <f>MID(analisis_productividad__4[[#This Row],[Periodo]],5,2)</f>
        <v>03</v>
      </c>
      <c r="E784" s="1" t="s">
        <v>16</v>
      </c>
      <c r="F784" s="1" t="s">
        <v>21</v>
      </c>
      <c r="G784" s="1">
        <v>95926</v>
      </c>
      <c r="H784" s="1">
        <v>5207754</v>
      </c>
      <c r="I784" s="1">
        <v>54.289375</v>
      </c>
      <c r="J784" s="1">
        <v>0</v>
      </c>
      <c r="K784" s="1">
        <v>55</v>
      </c>
      <c r="L784" s="1">
        <v>50.5</v>
      </c>
      <c r="M784" s="1"/>
      <c r="N784" s="1">
        <v>0</v>
      </c>
    </row>
    <row r="785" spans="1:14" x14ac:dyDescent="0.35">
      <c r="A785" s="1" t="s">
        <v>56</v>
      </c>
      <c r="B785" s="1">
        <v>202501</v>
      </c>
      <c r="C785" s="1" t="str">
        <f>MID(analisis_productividad__4[[#This Row],[Periodo]],1,4)</f>
        <v>2025</v>
      </c>
      <c r="D785" s="1" t="str">
        <f>MID(analisis_productividad__4[[#This Row],[Periodo]],5,2)</f>
        <v>01</v>
      </c>
      <c r="E785" s="1" t="s">
        <v>16</v>
      </c>
      <c r="F785" s="1" t="s">
        <v>21</v>
      </c>
      <c r="G785" s="1">
        <v>95903</v>
      </c>
      <c r="H785" s="1">
        <v>6163135</v>
      </c>
      <c r="I785" s="1">
        <v>64.26432795698922</v>
      </c>
      <c r="J785" s="1">
        <v>92433.89129843688</v>
      </c>
      <c r="K785" s="1">
        <v>72.5</v>
      </c>
      <c r="L785" s="1">
        <v>68.5</v>
      </c>
      <c r="M785" s="1">
        <v>66.676142521160131</v>
      </c>
      <c r="N785" s="1">
        <v>5866863</v>
      </c>
    </row>
    <row r="786" spans="1:14" x14ac:dyDescent="0.35">
      <c r="A786" s="1" t="s">
        <v>67</v>
      </c>
      <c r="B786" s="1">
        <v>202604</v>
      </c>
      <c r="C786" s="1" t="str">
        <f>MID(analisis_productividad__4[[#This Row],[Periodo]],1,4)</f>
        <v>2026</v>
      </c>
      <c r="D786" s="1" t="str">
        <f>MID(analisis_productividad__4[[#This Row],[Periodo]],5,2)</f>
        <v>04</v>
      </c>
      <c r="E786" s="1" t="s">
        <v>16</v>
      </c>
      <c r="F786" s="1" t="s">
        <v>19</v>
      </c>
      <c r="G786" s="1">
        <v>95870</v>
      </c>
      <c r="H786" s="1">
        <v>6799272</v>
      </c>
      <c r="I786" s="1">
        <v>70.921618055558156</v>
      </c>
      <c r="J786" s="1">
        <v>98210.448319182236</v>
      </c>
      <c r="K786" s="1">
        <v>79.5</v>
      </c>
      <c r="L786" s="1">
        <v>81.5</v>
      </c>
      <c r="M786" s="1">
        <v>68.773296674593993</v>
      </c>
      <c r="N786" s="1">
        <v>6754256</v>
      </c>
    </row>
    <row r="787" spans="1:14" x14ac:dyDescent="0.35">
      <c r="A787" s="1" t="s">
        <v>25</v>
      </c>
      <c r="B787" s="1">
        <v>202410</v>
      </c>
      <c r="C787" s="1" t="str">
        <f>MID(analisis_productividad__4[[#This Row],[Periodo]],1,4)</f>
        <v>2024</v>
      </c>
      <c r="D787" s="1" t="str">
        <f>MID(analisis_productividad__4[[#This Row],[Periodo]],5,2)</f>
        <v>10</v>
      </c>
      <c r="E787" s="1" t="s">
        <v>16</v>
      </c>
      <c r="F787" s="1" t="s">
        <v>19</v>
      </c>
      <c r="G787" s="1">
        <v>95837</v>
      </c>
      <c r="H787" s="1">
        <v>8196909</v>
      </c>
      <c r="I787" s="1">
        <v>85.529744623655873</v>
      </c>
      <c r="J787" s="1">
        <v>0</v>
      </c>
      <c r="K787" s="1">
        <v>94</v>
      </c>
      <c r="L787" s="1">
        <v>92</v>
      </c>
      <c r="M787" s="1"/>
      <c r="N787" s="1">
        <v>0</v>
      </c>
    </row>
    <row r="788" spans="1:14" x14ac:dyDescent="0.35">
      <c r="A788" s="1" t="s">
        <v>62</v>
      </c>
      <c r="B788" s="1">
        <v>202605</v>
      </c>
      <c r="C788" s="1" t="str">
        <f>MID(analisis_productividad__4[[#This Row],[Periodo]],1,4)</f>
        <v>2026</v>
      </c>
      <c r="D788" s="1" t="str">
        <f>MID(analisis_productividad__4[[#This Row],[Periodo]],5,2)</f>
        <v>05</v>
      </c>
      <c r="E788" s="1" t="s">
        <v>16</v>
      </c>
      <c r="F788" s="1" t="s">
        <v>17</v>
      </c>
      <c r="G788" s="1">
        <v>95801</v>
      </c>
      <c r="H788" s="1">
        <v>2764626</v>
      </c>
      <c r="I788" s="1">
        <v>28.858017473118352</v>
      </c>
      <c r="J788" s="1">
        <v>93672.444112473371</v>
      </c>
      <c r="K788" s="1">
        <v>32.5</v>
      </c>
      <c r="L788" s="1">
        <v>32</v>
      </c>
      <c r="M788" s="1">
        <v>29.073700348097926</v>
      </c>
      <c r="N788" s="1">
        <v>2723405</v>
      </c>
    </row>
    <row r="789" spans="1:14" x14ac:dyDescent="0.35">
      <c r="A789" s="1" t="s">
        <v>37</v>
      </c>
      <c r="B789" s="1">
        <v>202411</v>
      </c>
      <c r="C789" s="1" t="str">
        <f>MID(analisis_productividad__4[[#This Row],[Periodo]],1,4)</f>
        <v>2024</v>
      </c>
      <c r="D789" s="1" t="str">
        <f>MID(analisis_productividad__4[[#This Row],[Periodo]],5,2)</f>
        <v>11</v>
      </c>
      <c r="E789" s="1" t="s">
        <v>16</v>
      </c>
      <c r="F789" s="1" t="s">
        <v>17</v>
      </c>
      <c r="G789" s="1">
        <v>95776</v>
      </c>
      <c r="H789" s="1">
        <v>9977247</v>
      </c>
      <c r="I789" s="1">
        <v>104.17302777777778</v>
      </c>
      <c r="J789" s="1">
        <v>0</v>
      </c>
      <c r="K789" s="1">
        <v>107.5</v>
      </c>
      <c r="L789" s="1">
        <v>102.5</v>
      </c>
      <c r="M789" s="1"/>
      <c r="N789" s="1">
        <v>0</v>
      </c>
    </row>
    <row r="790" spans="1:14" x14ac:dyDescent="0.35">
      <c r="A790" s="1" t="s">
        <v>67</v>
      </c>
      <c r="B790" s="1">
        <v>202510</v>
      </c>
      <c r="C790" s="1" t="str">
        <f>MID(analisis_productividad__4[[#This Row],[Periodo]],1,4)</f>
        <v>2025</v>
      </c>
      <c r="D790" s="1" t="str">
        <f>MID(analisis_productividad__4[[#This Row],[Periodo]],5,2)</f>
        <v>10</v>
      </c>
      <c r="E790" s="1" t="s">
        <v>16</v>
      </c>
      <c r="F790" s="1" t="s">
        <v>19</v>
      </c>
      <c r="G790" s="1">
        <v>95765</v>
      </c>
      <c r="H790" s="1">
        <v>6278383</v>
      </c>
      <c r="I790" s="1">
        <v>65.560174731182812</v>
      </c>
      <c r="J790" s="1">
        <v>85317.059531493855</v>
      </c>
      <c r="K790" s="1">
        <v>79.5</v>
      </c>
      <c r="L790" s="1">
        <v>81.5</v>
      </c>
      <c r="M790" s="1">
        <v>73.588833516729508</v>
      </c>
      <c r="N790" s="1">
        <v>6312164</v>
      </c>
    </row>
    <row r="791" spans="1:14" x14ac:dyDescent="0.35">
      <c r="A791" s="1" t="s">
        <v>68</v>
      </c>
      <c r="B791" s="1">
        <v>202606</v>
      </c>
      <c r="C791" s="1" t="str">
        <f>MID(analisis_productividad__4[[#This Row],[Periodo]],1,4)</f>
        <v>2026</v>
      </c>
      <c r="D791" s="1" t="str">
        <f>MID(analisis_productividad__4[[#This Row],[Periodo]],5,2)</f>
        <v>06</v>
      </c>
      <c r="E791" s="1" t="s">
        <v>11</v>
      </c>
      <c r="F791" s="1" t="s">
        <v>52</v>
      </c>
      <c r="G791" s="1">
        <v>95735</v>
      </c>
      <c r="H791" s="1">
        <v>7705173</v>
      </c>
      <c r="I791" s="1">
        <v>80.484638888890004</v>
      </c>
      <c r="J791" s="1">
        <v>97035.378589267493</v>
      </c>
      <c r="K791" s="1">
        <v>103</v>
      </c>
      <c r="L791" s="1">
        <v>91</v>
      </c>
      <c r="M791" s="1">
        <v>85.91077884372821</v>
      </c>
      <c r="N791" s="1">
        <v>8336385</v>
      </c>
    </row>
    <row r="792" spans="1:14" x14ac:dyDescent="0.35">
      <c r="A792" s="1" t="s">
        <v>51</v>
      </c>
      <c r="B792" s="1">
        <v>202510</v>
      </c>
      <c r="C792" s="1" t="str">
        <f>MID(analisis_productividad__4[[#This Row],[Periodo]],1,4)</f>
        <v>2025</v>
      </c>
      <c r="D792" s="1" t="str">
        <f>MID(analisis_productividad__4[[#This Row],[Periodo]],5,2)</f>
        <v>10</v>
      </c>
      <c r="E792" s="1" t="s">
        <v>11</v>
      </c>
      <c r="F792" s="1" t="s">
        <v>52</v>
      </c>
      <c r="G792" s="1">
        <v>95704</v>
      </c>
      <c r="H792" s="1">
        <v>8935897</v>
      </c>
      <c r="I792" s="1">
        <v>93.370591397849481</v>
      </c>
      <c r="J792" s="1">
        <v>98038.424808736265</v>
      </c>
      <c r="K792" s="1">
        <v>117.5</v>
      </c>
      <c r="L792" s="1">
        <v>99</v>
      </c>
      <c r="M792" s="1">
        <v>91.14688947148116</v>
      </c>
      <c r="N792" s="1">
        <v>9744799</v>
      </c>
    </row>
    <row r="793" spans="1:14" x14ac:dyDescent="0.35">
      <c r="A793" s="1" t="s">
        <v>55</v>
      </c>
      <c r="B793" s="1">
        <v>202407</v>
      </c>
      <c r="C793" s="1" t="str">
        <f>MID(analisis_productividad__4[[#This Row],[Periodo]],1,4)</f>
        <v>2024</v>
      </c>
      <c r="D793" s="1" t="str">
        <f>MID(analisis_productividad__4[[#This Row],[Periodo]],5,2)</f>
        <v>07</v>
      </c>
      <c r="E793" s="1" t="s">
        <v>16</v>
      </c>
      <c r="F793" s="1" t="s">
        <v>21</v>
      </c>
      <c r="G793" s="1">
        <v>95698</v>
      </c>
      <c r="H793" s="1">
        <v>5155335</v>
      </c>
      <c r="I793" s="1">
        <v>53.871115591397846</v>
      </c>
      <c r="J793" s="1">
        <v>0</v>
      </c>
      <c r="K793" s="1">
        <v>55</v>
      </c>
      <c r="L793" s="1">
        <v>50.5</v>
      </c>
      <c r="M793" s="1"/>
      <c r="N793" s="1">
        <v>0</v>
      </c>
    </row>
    <row r="794" spans="1:14" x14ac:dyDescent="0.35">
      <c r="A794" s="1" t="s">
        <v>39</v>
      </c>
      <c r="B794" s="1">
        <v>202602</v>
      </c>
      <c r="C794" s="1" t="str">
        <f>MID(analisis_productividad__4[[#This Row],[Periodo]],1,4)</f>
        <v>2026</v>
      </c>
      <c r="D794" s="1" t="str">
        <f>MID(analisis_productividad__4[[#This Row],[Periodo]],5,2)</f>
        <v>02</v>
      </c>
      <c r="E794" s="1" t="s">
        <v>16</v>
      </c>
      <c r="F794" s="1" t="s">
        <v>17</v>
      </c>
      <c r="G794" s="1">
        <v>95683</v>
      </c>
      <c r="H794" s="1">
        <v>8174587</v>
      </c>
      <c r="I794" s="1">
        <v>85.434479166666634</v>
      </c>
      <c r="J794" s="1">
        <v>90428.152350019474</v>
      </c>
      <c r="K794" s="1">
        <v>93.5</v>
      </c>
      <c r="L794" s="1">
        <v>94</v>
      </c>
      <c r="M794" s="1">
        <v>84.619508156945685</v>
      </c>
      <c r="N794" s="1">
        <v>7651986</v>
      </c>
    </row>
    <row r="795" spans="1:14" x14ac:dyDescent="0.35">
      <c r="A795" s="1" t="s">
        <v>44</v>
      </c>
      <c r="B795" s="1">
        <v>202604</v>
      </c>
      <c r="C795" s="1" t="str">
        <f>MID(analisis_productividad__4[[#This Row],[Periodo]],1,4)</f>
        <v>2026</v>
      </c>
      <c r="D795" s="1" t="str">
        <f>MID(analisis_productividad__4[[#This Row],[Periodo]],5,2)</f>
        <v>04</v>
      </c>
      <c r="E795" s="1" t="s">
        <v>11</v>
      </c>
      <c r="F795" s="1" t="s">
        <v>12</v>
      </c>
      <c r="G795" s="1">
        <v>95662</v>
      </c>
      <c r="H795" s="1">
        <v>6058057</v>
      </c>
      <c r="I795" s="1">
        <v>63.327736111113005</v>
      </c>
      <c r="J795" s="1">
        <v>86155.719504619701</v>
      </c>
      <c r="K795" s="1">
        <v>78</v>
      </c>
      <c r="L795" s="1">
        <v>74.5</v>
      </c>
      <c r="M795" s="1">
        <v>66.954795775232199</v>
      </c>
      <c r="N795" s="1">
        <v>5768539</v>
      </c>
    </row>
    <row r="796" spans="1:14" x14ac:dyDescent="0.35">
      <c r="A796" s="1" t="s">
        <v>51</v>
      </c>
      <c r="B796" s="1">
        <v>202405</v>
      </c>
      <c r="C796" s="1" t="str">
        <f>MID(analisis_productividad__4[[#This Row],[Periodo]],1,4)</f>
        <v>2024</v>
      </c>
      <c r="D796" s="1" t="str">
        <f>MID(analisis_productividad__4[[#This Row],[Periodo]],5,2)</f>
        <v>05</v>
      </c>
      <c r="E796" s="1" t="s">
        <v>11</v>
      </c>
      <c r="F796" s="1" t="s">
        <v>52</v>
      </c>
      <c r="G796" s="1">
        <v>95652</v>
      </c>
      <c r="H796" s="1">
        <v>9230904</v>
      </c>
      <c r="I796" s="1">
        <v>96.504643817204325</v>
      </c>
      <c r="J796" s="1">
        <v>0</v>
      </c>
      <c r="K796" s="1">
        <v>117.5</v>
      </c>
      <c r="L796" s="1">
        <v>99</v>
      </c>
      <c r="M796" s="1"/>
      <c r="N796" s="1">
        <v>0</v>
      </c>
    </row>
    <row r="797" spans="1:14" x14ac:dyDescent="0.35">
      <c r="A797" s="1" t="s">
        <v>62</v>
      </c>
      <c r="B797" s="1">
        <v>202601</v>
      </c>
      <c r="C797" s="1" t="str">
        <f>MID(analisis_productividad__4[[#This Row],[Periodo]],1,4)</f>
        <v>2026</v>
      </c>
      <c r="D797" s="1" t="str">
        <f>MID(analisis_productividad__4[[#This Row],[Periodo]],5,2)</f>
        <v>01</v>
      </c>
      <c r="E797" s="1" t="s">
        <v>16</v>
      </c>
      <c r="F797" s="1" t="s">
        <v>17</v>
      </c>
      <c r="G797" s="1">
        <v>95641</v>
      </c>
      <c r="H797" s="1">
        <v>2713915</v>
      </c>
      <c r="I797" s="1">
        <v>28.376108870967734</v>
      </c>
      <c r="J797" s="1">
        <v>89194.566035680255</v>
      </c>
      <c r="K797" s="1">
        <v>32.5</v>
      </c>
      <c r="L797" s="1">
        <v>32</v>
      </c>
      <c r="M797" s="1">
        <v>29.073700348097926</v>
      </c>
      <c r="N797" s="1">
        <v>2593216</v>
      </c>
    </row>
    <row r="798" spans="1:14" x14ac:dyDescent="0.35">
      <c r="A798" s="1" t="s">
        <v>59</v>
      </c>
      <c r="B798" s="1">
        <v>202407</v>
      </c>
      <c r="C798" s="1" t="str">
        <f>MID(analisis_productividad__4[[#This Row],[Periodo]],1,4)</f>
        <v>2024</v>
      </c>
      <c r="D798" s="1" t="str">
        <f>MID(analisis_productividad__4[[#This Row],[Periodo]],5,2)</f>
        <v>07</v>
      </c>
      <c r="E798" s="1" t="s">
        <v>11</v>
      </c>
      <c r="F798" s="1" t="s">
        <v>12</v>
      </c>
      <c r="G798" s="1">
        <v>95634</v>
      </c>
      <c r="H798" s="1">
        <v>8607382</v>
      </c>
      <c r="I798" s="1">
        <v>90.00325268817204</v>
      </c>
      <c r="J798" s="1">
        <v>0</v>
      </c>
      <c r="K798" s="1">
        <v>94.5</v>
      </c>
      <c r="L798" s="1">
        <v>97</v>
      </c>
      <c r="M798" s="1"/>
      <c r="N798" s="1">
        <v>0</v>
      </c>
    </row>
    <row r="799" spans="1:14" x14ac:dyDescent="0.35">
      <c r="A799" s="1" t="s">
        <v>38</v>
      </c>
      <c r="B799" s="1">
        <v>202505</v>
      </c>
      <c r="C799" s="1" t="str">
        <f>MID(analisis_productividad__4[[#This Row],[Periodo]],1,4)</f>
        <v>2025</v>
      </c>
      <c r="D799" s="1" t="str">
        <f>MID(analisis_productividad__4[[#This Row],[Periodo]],5,2)</f>
        <v>05</v>
      </c>
      <c r="E799" s="1" t="s">
        <v>34</v>
      </c>
      <c r="F799" s="1" t="s">
        <v>35</v>
      </c>
      <c r="G799" s="1">
        <v>95624</v>
      </c>
      <c r="H799" s="1">
        <v>11511534</v>
      </c>
      <c r="I799" s="1">
        <v>120.38315860215056</v>
      </c>
      <c r="J799" s="1">
        <v>96177.576235112545</v>
      </c>
      <c r="K799" s="1">
        <v>140.5</v>
      </c>
      <c r="L799" s="1">
        <v>125.5</v>
      </c>
      <c r="M799" s="1">
        <v>119.69041704543771</v>
      </c>
      <c r="N799" s="1">
        <v>12049182</v>
      </c>
    </row>
    <row r="800" spans="1:14" x14ac:dyDescent="0.35">
      <c r="A800" s="1" t="s">
        <v>38</v>
      </c>
      <c r="B800" s="1">
        <v>202509</v>
      </c>
      <c r="C800" s="1" t="str">
        <f>MID(analisis_productividad__4[[#This Row],[Periodo]],1,4)</f>
        <v>2025</v>
      </c>
      <c r="D800" s="1" t="str">
        <f>MID(analisis_productividad__4[[#This Row],[Periodo]],5,2)</f>
        <v>09</v>
      </c>
      <c r="E800" s="1" t="s">
        <v>34</v>
      </c>
      <c r="F800" s="1" t="s">
        <v>35</v>
      </c>
      <c r="G800" s="1">
        <v>95606</v>
      </c>
      <c r="H800" s="1">
        <v>11203001</v>
      </c>
      <c r="I800" s="1">
        <v>117.1794166666667</v>
      </c>
      <c r="J800" s="1">
        <v>97225.077572618524</v>
      </c>
      <c r="K800" s="1">
        <v>140.5</v>
      </c>
      <c r="L800" s="1">
        <v>125.5</v>
      </c>
      <c r="M800" s="1">
        <v>115.22748564157581</v>
      </c>
      <c r="N800" s="1">
        <v>11692699</v>
      </c>
    </row>
    <row r="801" spans="1:14" x14ac:dyDescent="0.35">
      <c r="A801" s="1" t="s">
        <v>20</v>
      </c>
      <c r="B801" s="1">
        <v>202501</v>
      </c>
      <c r="C801" s="1" t="str">
        <f>MID(analisis_productividad__4[[#This Row],[Periodo]],1,4)</f>
        <v>2025</v>
      </c>
      <c r="D801" s="1" t="str">
        <f>MID(analisis_productividad__4[[#This Row],[Periodo]],5,2)</f>
        <v>01</v>
      </c>
      <c r="E801" s="1" t="s">
        <v>16</v>
      </c>
      <c r="F801" s="1" t="s">
        <v>21</v>
      </c>
      <c r="G801" s="1">
        <v>95593</v>
      </c>
      <c r="H801" s="1">
        <v>8267945</v>
      </c>
      <c r="I801" s="1">
        <v>86.490739247311737</v>
      </c>
      <c r="J801" s="1">
        <v>96377.041159769797</v>
      </c>
      <c r="K801" s="1">
        <v>96.5</v>
      </c>
      <c r="L801" s="1">
        <v>94</v>
      </c>
      <c r="M801" s="1">
        <v>85.787493893838786</v>
      </c>
      <c r="N801" s="1">
        <v>8046504</v>
      </c>
    </row>
    <row r="802" spans="1:14" x14ac:dyDescent="0.35">
      <c r="A802" s="1" t="s">
        <v>38</v>
      </c>
      <c r="B802" s="1">
        <v>202506</v>
      </c>
      <c r="C802" s="1" t="str">
        <f>MID(analisis_productividad__4[[#This Row],[Periodo]],1,4)</f>
        <v>2025</v>
      </c>
      <c r="D802" s="1" t="str">
        <f>MID(analisis_productividad__4[[#This Row],[Periodo]],5,2)</f>
        <v>06</v>
      </c>
      <c r="E802" s="1" t="s">
        <v>34</v>
      </c>
      <c r="F802" s="1" t="s">
        <v>35</v>
      </c>
      <c r="G802" s="1">
        <v>95583</v>
      </c>
      <c r="H802" s="1">
        <v>11339493</v>
      </c>
      <c r="I802" s="1">
        <v>118.63527083333344</v>
      </c>
      <c r="J802" s="1">
        <v>102065.34316137059</v>
      </c>
      <c r="K802" s="1">
        <v>140.5</v>
      </c>
      <c r="L802" s="1">
        <v>125.5</v>
      </c>
      <c r="M802" s="1">
        <v>111.10032875774174</v>
      </c>
      <c r="N802" s="1">
        <v>11851253</v>
      </c>
    </row>
    <row r="803" spans="1:14" x14ac:dyDescent="0.35">
      <c r="A803" s="1" t="s">
        <v>51</v>
      </c>
      <c r="B803" s="1">
        <v>202406</v>
      </c>
      <c r="C803" s="1" t="str">
        <f>MID(analisis_productividad__4[[#This Row],[Periodo]],1,4)</f>
        <v>2024</v>
      </c>
      <c r="D803" s="1" t="str">
        <f>MID(analisis_productividad__4[[#This Row],[Periodo]],5,2)</f>
        <v>06</v>
      </c>
      <c r="E803" s="1" t="s">
        <v>11</v>
      </c>
      <c r="F803" s="1" t="s">
        <v>52</v>
      </c>
      <c r="G803" s="1">
        <v>95492</v>
      </c>
      <c r="H803" s="1">
        <v>9318815</v>
      </c>
      <c r="I803" s="1">
        <v>97.587486111111133</v>
      </c>
      <c r="J803" s="1">
        <v>0</v>
      </c>
      <c r="K803" s="1">
        <v>117.5</v>
      </c>
      <c r="L803" s="1">
        <v>99</v>
      </c>
      <c r="M803" s="1"/>
      <c r="N803" s="1">
        <v>0</v>
      </c>
    </row>
    <row r="804" spans="1:14" x14ac:dyDescent="0.35">
      <c r="A804" s="1" t="s">
        <v>63</v>
      </c>
      <c r="B804" s="1">
        <v>202402</v>
      </c>
      <c r="C804" s="1" t="str">
        <f>MID(analisis_productividad__4[[#This Row],[Periodo]],1,4)</f>
        <v>2024</v>
      </c>
      <c r="D804" s="1" t="str">
        <f>MID(analisis_productividad__4[[#This Row],[Periodo]],5,2)</f>
        <v>02</v>
      </c>
      <c r="E804" s="1" t="s">
        <v>16</v>
      </c>
      <c r="F804" s="1" t="s">
        <v>17</v>
      </c>
      <c r="G804" s="1">
        <v>95448</v>
      </c>
      <c r="H804" s="1">
        <v>8804246</v>
      </c>
      <c r="I804" s="1">
        <v>92.241494252873622</v>
      </c>
      <c r="J804" s="1">
        <v>0</v>
      </c>
      <c r="K804" s="1">
        <v>86.5</v>
      </c>
      <c r="L804" s="1">
        <v>81.5</v>
      </c>
      <c r="M804" s="1"/>
      <c r="N804" s="1">
        <v>0</v>
      </c>
    </row>
    <row r="805" spans="1:14" x14ac:dyDescent="0.35">
      <c r="A805" s="1" t="s">
        <v>75</v>
      </c>
      <c r="B805" s="1">
        <v>202606</v>
      </c>
      <c r="C805" s="1" t="str">
        <f>MID(analisis_productividad__4[[#This Row],[Periodo]],1,4)</f>
        <v>2026</v>
      </c>
      <c r="D805" s="1" t="str">
        <f>MID(analisis_productividad__4[[#This Row],[Periodo]],5,2)</f>
        <v>06</v>
      </c>
      <c r="E805" s="1" t="s">
        <v>11</v>
      </c>
      <c r="F805" s="1" t="s">
        <v>52</v>
      </c>
      <c r="G805" s="1">
        <v>95333</v>
      </c>
      <c r="H805" s="1">
        <v>8885351</v>
      </c>
      <c r="I805" s="1">
        <v>93.203250000002143</v>
      </c>
      <c r="J805" s="1">
        <v>86731.165506106219</v>
      </c>
      <c r="K805" s="1">
        <v>118</v>
      </c>
      <c r="L805" s="1">
        <v>106</v>
      </c>
      <c r="M805" s="1">
        <v>102.17544085783207</v>
      </c>
      <c r="N805" s="1">
        <v>8861795</v>
      </c>
    </row>
    <row r="806" spans="1:14" x14ac:dyDescent="0.35">
      <c r="A806" s="1" t="s">
        <v>20</v>
      </c>
      <c r="B806" s="1">
        <v>202402</v>
      </c>
      <c r="C806" s="1" t="str">
        <f>MID(analisis_productividad__4[[#This Row],[Periodo]],1,4)</f>
        <v>2024</v>
      </c>
      <c r="D806" s="1" t="str">
        <f>MID(analisis_productividad__4[[#This Row],[Periodo]],5,2)</f>
        <v>02</v>
      </c>
      <c r="E806" s="1" t="s">
        <v>16</v>
      </c>
      <c r="F806" s="1" t="s">
        <v>21</v>
      </c>
      <c r="G806" s="1">
        <v>95327</v>
      </c>
      <c r="H806" s="1">
        <v>9023638</v>
      </c>
      <c r="I806" s="1">
        <v>94.659461206896665</v>
      </c>
      <c r="J806" s="1">
        <v>0</v>
      </c>
      <c r="K806" s="1">
        <v>96.5</v>
      </c>
      <c r="L806" s="1">
        <v>94</v>
      </c>
      <c r="M806" s="1"/>
      <c r="N806" s="1">
        <v>0</v>
      </c>
    </row>
    <row r="807" spans="1:14" x14ac:dyDescent="0.35">
      <c r="A807" s="1" t="s">
        <v>24</v>
      </c>
      <c r="B807" s="1">
        <v>202606</v>
      </c>
      <c r="C807" s="1" t="str">
        <f>MID(analisis_productividad__4[[#This Row],[Periodo]],1,4)</f>
        <v>2026</v>
      </c>
      <c r="D807" s="1" t="str">
        <f>MID(analisis_productividad__4[[#This Row],[Periodo]],5,2)</f>
        <v>06</v>
      </c>
      <c r="E807" s="1" t="s">
        <v>16</v>
      </c>
      <c r="F807" s="1" t="s">
        <v>21</v>
      </c>
      <c r="G807" s="1">
        <v>95288</v>
      </c>
      <c r="H807" s="1">
        <v>9609769</v>
      </c>
      <c r="I807" s="1">
        <v>100.84972916666906</v>
      </c>
      <c r="J807" s="1">
        <v>90076.662981094007</v>
      </c>
      <c r="K807" s="1">
        <v>125</v>
      </c>
      <c r="L807" s="1">
        <v>118.5</v>
      </c>
      <c r="M807" s="1">
        <v>102.97612103755296</v>
      </c>
      <c r="N807" s="1">
        <v>9275745</v>
      </c>
    </row>
    <row r="808" spans="1:14" x14ac:dyDescent="0.35">
      <c r="A808" s="1" t="s">
        <v>131</v>
      </c>
      <c r="B808" s="1">
        <v>202408</v>
      </c>
      <c r="C808" s="1" t="str">
        <f>MID(analisis_productividad__4[[#This Row],[Periodo]],1,4)</f>
        <v>2024</v>
      </c>
      <c r="D808" s="1" t="str">
        <f>MID(analisis_productividad__4[[#This Row],[Periodo]],5,2)</f>
        <v>08</v>
      </c>
      <c r="E808" s="1" t="s">
        <v>16</v>
      </c>
      <c r="F808" s="1" t="s">
        <v>21</v>
      </c>
      <c r="G808" s="1">
        <v>95287</v>
      </c>
      <c r="H808" s="1">
        <v>11311575</v>
      </c>
      <c r="I808" s="1">
        <v>118.71082661290319</v>
      </c>
      <c r="J808" s="1">
        <v>0</v>
      </c>
      <c r="K808" s="1">
        <v>99</v>
      </c>
      <c r="L808" s="1">
        <v>32.5</v>
      </c>
      <c r="M808" s="1"/>
      <c r="N808" s="1">
        <v>0</v>
      </c>
    </row>
    <row r="809" spans="1:14" x14ac:dyDescent="0.35">
      <c r="A809" s="1" t="s">
        <v>28</v>
      </c>
      <c r="B809" s="1">
        <v>202404</v>
      </c>
      <c r="C809" s="1" t="str">
        <f>MID(analisis_productividad__4[[#This Row],[Periodo]],1,4)</f>
        <v>2024</v>
      </c>
      <c r="D809" s="1" t="str">
        <f>MID(analisis_productividad__4[[#This Row],[Periodo]],5,2)</f>
        <v>04</v>
      </c>
      <c r="E809" s="1" t="s">
        <v>16</v>
      </c>
      <c r="F809" s="1" t="s">
        <v>17</v>
      </c>
      <c r="G809" s="1">
        <v>95268</v>
      </c>
      <c r="H809" s="1">
        <v>5337720</v>
      </c>
      <c r="I809" s="1">
        <v>56.028486111111114</v>
      </c>
      <c r="J809" s="1">
        <v>0</v>
      </c>
      <c r="K809" s="1">
        <v>64</v>
      </c>
      <c r="L809" s="1">
        <v>67</v>
      </c>
      <c r="M809" s="1"/>
      <c r="N809" s="1">
        <v>0</v>
      </c>
    </row>
    <row r="810" spans="1:14" x14ac:dyDescent="0.35">
      <c r="A810" s="1" t="s">
        <v>67</v>
      </c>
      <c r="B810" s="1">
        <v>202412</v>
      </c>
      <c r="C810" s="1" t="str">
        <f>MID(analisis_productividad__4[[#This Row],[Periodo]],1,4)</f>
        <v>2024</v>
      </c>
      <c r="D810" s="1" t="str">
        <f>MID(analisis_productividad__4[[#This Row],[Periodo]],5,2)</f>
        <v>12</v>
      </c>
      <c r="E810" s="1" t="s">
        <v>16</v>
      </c>
      <c r="F810" s="1" t="s">
        <v>19</v>
      </c>
      <c r="G810" s="1">
        <v>95259</v>
      </c>
      <c r="H810" s="1">
        <v>7980665</v>
      </c>
      <c r="I810" s="1">
        <v>83.778474462365594</v>
      </c>
      <c r="J810" s="1">
        <v>0</v>
      </c>
      <c r="K810" s="1">
        <v>79.5</v>
      </c>
      <c r="L810" s="1">
        <v>81.5</v>
      </c>
      <c r="M810" s="1"/>
      <c r="N810" s="1">
        <v>0</v>
      </c>
    </row>
    <row r="811" spans="1:14" x14ac:dyDescent="0.35">
      <c r="A811" s="1" t="s">
        <v>112</v>
      </c>
      <c r="B811" s="1">
        <v>202512</v>
      </c>
      <c r="C811" s="1" t="str">
        <f>MID(analisis_productividad__4[[#This Row],[Periodo]],1,4)</f>
        <v>2025</v>
      </c>
      <c r="D811" s="1" t="str">
        <f>MID(analisis_productividad__4[[#This Row],[Periodo]],5,2)</f>
        <v>12</v>
      </c>
      <c r="E811" s="1" t="s">
        <v>34</v>
      </c>
      <c r="F811" s="1" t="s">
        <v>35</v>
      </c>
      <c r="G811" s="1">
        <v>95252</v>
      </c>
      <c r="H811" s="1">
        <v>2535489</v>
      </c>
      <c r="I811" s="1">
        <v>26.61881720430107</v>
      </c>
      <c r="J811" s="1">
        <v>97733.109394131039</v>
      </c>
      <c r="K811" s="1">
        <v>31</v>
      </c>
      <c r="L811" s="1">
        <v>27</v>
      </c>
      <c r="M811" s="1">
        <v>25.942989798626609</v>
      </c>
      <c r="N811" s="1">
        <v>2437851</v>
      </c>
    </row>
    <row r="812" spans="1:14" x14ac:dyDescent="0.35">
      <c r="A812" s="1" t="s">
        <v>68</v>
      </c>
      <c r="B812" s="1">
        <v>202506</v>
      </c>
      <c r="C812" s="1" t="str">
        <f>MID(analisis_productividad__4[[#This Row],[Periodo]],1,4)</f>
        <v>2025</v>
      </c>
      <c r="D812" s="1" t="str">
        <f>MID(analisis_productividad__4[[#This Row],[Periodo]],5,2)</f>
        <v>06</v>
      </c>
      <c r="E812" s="1" t="s">
        <v>11</v>
      </c>
      <c r="F812" s="1" t="s">
        <v>52</v>
      </c>
      <c r="G812" s="1">
        <v>95248</v>
      </c>
      <c r="H812" s="1">
        <v>8028120</v>
      </c>
      <c r="I812" s="1">
        <v>84.286708333333337</v>
      </c>
      <c r="J812" s="1">
        <v>90688.539114746687</v>
      </c>
      <c r="K812" s="1">
        <v>103</v>
      </c>
      <c r="L812" s="1">
        <v>91</v>
      </c>
      <c r="M812" s="1">
        <v>88.524085935954446</v>
      </c>
      <c r="N812" s="1">
        <v>8362455</v>
      </c>
    </row>
    <row r="813" spans="1:14" x14ac:dyDescent="0.35">
      <c r="A813" s="1" t="s">
        <v>20</v>
      </c>
      <c r="B813" s="1">
        <v>202411</v>
      </c>
      <c r="C813" s="1" t="str">
        <f>MID(analisis_productividad__4[[#This Row],[Periodo]],1,4)</f>
        <v>2024</v>
      </c>
      <c r="D813" s="1" t="str">
        <f>MID(analisis_productividad__4[[#This Row],[Periodo]],5,2)</f>
        <v>11</v>
      </c>
      <c r="E813" s="1" t="s">
        <v>16</v>
      </c>
      <c r="F813" s="1" t="s">
        <v>21</v>
      </c>
      <c r="G813" s="1">
        <v>95227</v>
      </c>
      <c r="H813" s="1">
        <v>8512622</v>
      </c>
      <c r="I813" s="1">
        <v>89.393208333333376</v>
      </c>
      <c r="J813" s="1">
        <v>0</v>
      </c>
      <c r="K813" s="1">
        <v>96.5</v>
      </c>
      <c r="L813" s="1">
        <v>94</v>
      </c>
      <c r="M813" s="1"/>
      <c r="N813" s="1">
        <v>0</v>
      </c>
    </row>
    <row r="814" spans="1:14" x14ac:dyDescent="0.35">
      <c r="A814" s="1" t="s">
        <v>32</v>
      </c>
      <c r="B814" s="1">
        <v>202407</v>
      </c>
      <c r="C814" s="1" t="str">
        <f>MID(analisis_productividad__4[[#This Row],[Periodo]],1,4)</f>
        <v>2024</v>
      </c>
      <c r="D814" s="1" t="str">
        <f>MID(analisis_productividad__4[[#This Row],[Periodo]],5,2)</f>
        <v>07</v>
      </c>
      <c r="E814" s="1" t="s">
        <v>11</v>
      </c>
      <c r="F814" s="1" t="s">
        <v>12</v>
      </c>
      <c r="G814" s="1">
        <v>95217</v>
      </c>
      <c r="H814" s="1">
        <v>5903727</v>
      </c>
      <c r="I814" s="1">
        <v>62.002876344086026</v>
      </c>
      <c r="J814" s="1">
        <v>0</v>
      </c>
      <c r="K814" s="1">
        <v>65.5</v>
      </c>
      <c r="L814" s="1">
        <v>66</v>
      </c>
      <c r="M814" s="1"/>
      <c r="N814" s="1">
        <v>0</v>
      </c>
    </row>
    <row r="815" spans="1:14" x14ac:dyDescent="0.35">
      <c r="A815" s="1" t="s">
        <v>13</v>
      </c>
      <c r="B815" s="1">
        <v>202409</v>
      </c>
      <c r="C815" s="1" t="str">
        <f>MID(analisis_productividad__4[[#This Row],[Periodo]],1,4)</f>
        <v>2024</v>
      </c>
      <c r="D815" s="1" t="str">
        <f>MID(analisis_productividad__4[[#This Row],[Periodo]],5,2)</f>
        <v>09</v>
      </c>
      <c r="E815" s="1" t="s">
        <v>11</v>
      </c>
      <c r="F815" s="1" t="s">
        <v>14</v>
      </c>
      <c r="G815" s="1">
        <v>95215</v>
      </c>
      <c r="H815" s="1">
        <v>8534368</v>
      </c>
      <c r="I815" s="1">
        <v>89.632326388888956</v>
      </c>
      <c r="J815" s="1">
        <v>0</v>
      </c>
      <c r="K815" s="1">
        <v>100</v>
      </c>
      <c r="L815" s="1">
        <v>98</v>
      </c>
      <c r="M815" s="1"/>
      <c r="N815" s="1">
        <v>0</v>
      </c>
    </row>
    <row r="816" spans="1:14" x14ac:dyDescent="0.35">
      <c r="A816" s="1" t="s">
        <v>30</v>
      </c>
      <c r="B816" s="1">
        <v>202602</v>
      </c>
      <c r="C816" s="1" t="str">
        <f>MID(analisis_productividad__4[[#This Row],[Periodo]],1,4)</f>
        <v>2026</v>
      </c>
      <c r="D816" s="1" t="str">
        <f>MID(analisis_productividad__4[[#This Row],[Periodo]],5,2)</f>
        <v>02</v>
      </c>
      <c r="E816" s="1" t="s">
        <v>16</v>
      </c>
      <c r="F816" s="1" t="s">
        <v>19</v>
      </c>
      <c r="G816" s="1">
        <v>95202</v>
      </c>
      <c r="H816" s="1">
        <v>9353533</v>
      </c>
      <c r="I816" s="1">
        <v>98.249739583333351</v>
      </c>
      <c r="J816" s="1">
        <v>94958.948929032413</v>
      </c>
      <c r="K816" s="1">
        <v>101</v>
      </c>
      <c r="L816" s="1">
        <v>105</v>
      </c>
      <c r="M816" s="1">
        <v>90.439897606894348</v>
      </c>
      <c r="N816" s="1">
        <v>8588078</v>
      </c>
    </row>
    <row r="817" spans="1:14" x14ac:dyDescent="0.35">
      <c r="A817" s="1" t="s">
        <v>39</v>
      </c>
      <c r="B817" s="1">
        <v>202509</v>
      </c>
      <c r="C817" s="1" t="str">
        <f>MID(analisis_productividad__4[[#This Row],[Periodo]],1,4)</f>
        <v>2025</v>
      </c>
      <c r="D817" s="1" t="str">
        <f>MID(analisis_productividad__4[[#This Row],[Periodo]],5,2)</f>
        <v>09</v>
      </c>
      <c r="E817" s="1" t="s">
        <v>16</v>
      </c>
      <c r="F817" s="1" t="s">
        <v>17</v>
      </c>
      <c r="G817" s="1">
        <v>95171</v>
      </c>
      <c r="H817" s="1">
        <v>8096166</v>
      </c>
      <c r="I817" s="1">
        <v>85.069979166666684</v>
      </c>
      <c r="J817" s="1">
        <v>101295.39655055397</v>
      </c>
      <c r="K817" s="1">
        <v>93.5</v>
      </c>
      <c r="L817" s="1">
        <v>94</v>
      </c>
      <c r="M817" s="1">
        <v>79.926301645498839</v>
      </c>
      <c r="N817" s="1">
        <v>8265286</v>
      </c>
    </row>
    <row r="818" spans="1:14" x14ac:dyDescent="0.35">
      <c r="A818" s="1" t="s">
        <v>50</v>
      </c>
      <c r="B818" s="1">
        <v>202601</v>
      </c>
      <c r="C818" s="1" t="str">
        <f>MID(analisis_productividad__4[[#This Row],[Periodo]],1,4)</f>
        <v>2026</v>
      </c>
      <c r="D818" s="1" t="str">
        <f>MID(analisis_productividad__4[[#This Row],[Periodo]],5,2)</f>
        <v>01</v>
      </c>
      <c r="E818" s="1" t="s">
        <v>34</v>
      </c>
      <c r="F818" s="1" t="s">
        <v>35</v>
      </c>
      <c r="G818" s="1">
        <v>95165</v>
      </c>
      <c r="H818" s="1">
        <v>5950274</v>
      </c>
      <c r="I818" s="1">
        <v>62.52575940860217</v>
      </c>
      <c r="J818" s="1">
        <v>93101.052719767395</v>
      </c>
      <c r="K818" s="1">
        <v>79.5</v>
      </c>
      <c r="L818" s="1">
        <v>72.5</v>
      </c>
      <c r="M818" s="1">
        <v>64.209802769832038</v>
      </c>
      <c r="N818" s="1">
        <v>5978000</v>
      </c>
    </row>
    <row r="819" spans="1:14" x14ac:dyDescent="0.35">
      <c r="A819" s="1" t="s">
        <v>28</v>
      </c>
      <c r="B819" s="1">
        <v>202506</v>
      </c>
      <c r="C819" s="1" t="str">
        <f>MID(analisis_productividad__4[[#This Row],[Periodo]],1,4)</f>
        <v>2025</v>
      </c>
      <c r="D819" s="1" t="str">
        <f>MID(analisis_productividad__4[[#This Row],[Periodo]],5,2)</f>
        <v>06</v>
      </c>
      <c r="E819" s="1" t="s">
        <v>16</v>
      </c>
      <c r="F819" s="1" t="s">
        <v>17</v>
      </c>
      <c r="G819" s="1">
        <v>95136</v>
      </c>
      <c r="H819" s="1">
        <v>5372116</v>
      </c>
      <c r="I819" s="1">
        <v>56.467833333333331</v>
      </c>
      <c r="J819" s="1">
        <v>101617.16251991114</v>
      </c>
      <c r="K819" s="1">
        <v>64</v>
      </c>
      <c r="L819" s="1">
        <v>67</v>
      </c>
      <c r="M819" s="1">
        <v>52.866227680263897</v>
      </c>
      <c r="N819" s="1">
        <v>5393647</v>
      </c>
    </row>
    <row r="820" spans="1:14" x14ac:dyDescent="0.35">
      <c r="A820" s="1" t="s">
        <v>30</v>
      </c>
      <c r="B820" s="1">
        <v>202402</v>
      </c>
      <c r="C820" s="1" t="str">
        <f>MID(analisis_productividad__4[[#This Row],[Periodo]],1,4)</f>
        <v>2024</v>
      </c>
      <c r="D820" s="1" t="str">
        <f>MID(analisis_productividad__4[[#This Row],[Periodo]],5,2)</f>
        <v>02</v>
      </c>
      <c r="E820" s="1" t="s">
        <v>16</v>
      </c>
      <c r="F820" s="1" t="s">
        <v>19</v>
      </c>
      <c r="G820" s="1">
        <v>95087</v>
      </c>
      <c r="H820" s="1">
        <v>8247647</v>
      </c>
      <c r="I820" s="1">
        <v>86.737643678160936</v>
      </c>
      <c r="J820" s="1">
        <v>0</v>
      </c>
      <c r="K820" s="1">
        <v>101</v>
      </c>
      <c r="L820" s="1">
        <v>105</v>
      </c>
      <c r="M820" s="1"/>
      <c r="N820" s="1">
        <v>0</v>
      </c>
    </row>
    <row r="821" spans="1:14" x14ac:dyDescent="0.35">
      <c r="A821" s="1" t="s">
        <v>131</v>
      </c>
      <c r="B821" s="1">
        <v>202411</v>
      </c>
      <c r="C821" s="1" t="str">
        <f>MID(analisis_productividad__4[[#This Row],[Periodo]],1,4)</f>
        <v>2024</v>
      </c>
      <c r="D821" s="1" t="str">
        <f>MID(analisis_productividad__4[[#This Row],[Periodo]],5,2)</f>
        <v>11</v>
      </c>
      <c r="E821" s="1" t="s">
        <v>16</v>
      </c>
      <c r="F821" s="1" t="s">
        <v>21</v>
      </c>
      <c r="G821" s="1">
        <v>95082</v>
      </c>
      <c r="H821" s="1">
        <v>11438677</v>
      </c>
      <c r="I821" s="1">
        <v>120.30292361111104</v>
      </c>
      <c r="J821" s="1">
        <v>0</v>
      </c>
      <c r="K821" s="1">
        <v>99</v>
      </c>
      <c r="L821" s="1">
        <v>32.5</v>
      </c>
      <c r="M821" s="1"/>
      <c r="N821" s="1">
        <v>0</v>
      </c>
    </row>
    <row r="822" spans="1:14" x14ac:dyDescent="0.35">
      <c r="A822" s="1" t="s">
        <v>51</v>
      </c>
      <c r="B822" s="1">
        <v>202501</v>
      </c>
      <c r="C822" s="1" t="str">
        <f>MID(analisis_productividad__4[[#This Row],[Periodo]],1,4)</f>
        <v>2025</v>
      </c>
      <c r="D822" s="1" t="str">
        <f>MID(analisis_productividad__4[[#This Row],[Periodo]],5,2)</f>
        <v>01</v>
      </c>
      <c r="E822" s="1" t="s">
        <v>11</v>
      </c>
      <c r="F822" s="1" t="s">
        <v>52</v>
      </c>
      <c r="G822" s="1">
        <v>95075</v>
      </c>
      <c r="H822" s="1">
        <v>9785448</v>
      </c>
      <c r="I822" s="1">
        <v>102.92305107526877</v>
      </c>
      <c r="J822" s="1">
        <v>109746.07059748794</v>
      </c>
      <c r="K822" s="1">
        <v>117.5</v>
      </c>
      <c r="L822" s="1">
        <v>99</v>
      </c>
      <c r="M822" s="1">
        <v>89.164454059496734</v>
      </c>
      <c r="N822" s="1">
        <v>9492669</v>
      </c>
    </row>
    <row r="823" spans="1:14" x14ac:dyDescent="0.35">
      <c r="A823" s="1" t="s">
        <v>39</v>
      </c>
      <c r="B823" s="1">
        <v>202401</v>
      </c>
      <c r="C823" s="1" t="str">
        <f>MID(analisis_productividad__4[[#This Row],[Periodo]],1,4)</f>
        <v>2024</v>
      </c>
      <c r="D823" s="1" t="str">
        <f>MID(analisis_productividad__4[[#This Row],[Periodo]],5,2)</f>
        <v>01</v>
      </c>
      <c r="E823" s="1" t="s">
        <v>16</v>
      </c>
      <c r="F823" s="1" t="s">
        <v>17</v>
      </c>
      <c r="G823" s="1">
        <v>95060</v>
      </c>
      <c r="H823" s="1">
        <v>7367001</v>
      </c>
      <c r="I823" s="1">
        <v>77.498514784946167</v>
      </c>
      <c r="J823" s="1">
        <v>0</v>
      </c>
      <c r="K823" s="1">
        <v>93.5</v>
      </c>
      <c r="L823" s="1">
        <v>94</v>
      </c>
      <c r="M823" s="1"/>
      <c r="N823" s="1">
        <v>0</v>
      </c>
    </row>
    <row r="824" spans="1:14" x14ac:dyDescent="0.35">
      <c r="A824" s="1" t="s">
        <v>20</v>
      </c>
      <c r="B824" s="1">
        <v>202507</v>
      </c>
      <c r="C824" s="1" t="str">
        <f>MID(analisis_productividad__4[[#This Row],[Periodo]],1,4)</f>
        <v>2025</v>
      </c>
      <c r="D824" s="1" t="str">
        <f>MID(analisis_productividad__4[[#This Row],[Periodo]],5,2)</f>
        <v>07</v>
      </c>
      <c r="E824" s="1" t="s">
        <v>16</v>
      </c>
      <c r="F824" s="1" t="s">
        <v>21</v>
      </c>
      <c r="G824" s="1">
        <v>95052</v>
      </c>
      <c r="H824" s="1">
        <v>8758051</v>
      </c>
      <c r="I824" s="1">
        <v>92.139569892473162</v>
      </c>
      <c r="J824" s="1">
        <v>109474.18320738868</v>
      </c>
      <c r="K824" s="1">
        <v>96.5</v>
      </c>
      <c r="L824" s="1">
        <v>94</v>
      </c>
      <c r="M824" s="1">
        <v>80.001061194571236</v>
      </c>
      <c r="N824" s="1">
        <v>9101028</v>
      </c>
    </row>
    <row r="825" spans="1:14" x14ac:dyDescent="0.35">
      <c r="A825" s="1" t="s">
        <v>27</v>
      </c>
      <c r="B825" s="1">
        <v>202401</v>
      </c>
      <c r="C825" s="1" t="str">
        <f>MID(analisis_productividad__4[[#This Row],[Periodo]],1,4)</f>
        <v>2024</v>
      </c>
      <c r="D825" s="1" t="str">
        <f>MID(analisis_productividad__4[[#This Row],[Periodo]],5,2)</f>
        <v>01</v>
      </c>
      <c r="E825" s="1" t="s">
        <v>11</v>
      </c>
      <c r="F825" s="1" t="s">
        <v>14</v>
      </c>
      <c r="G825" s="1">
        <v>95037</v>
      </c>
      <c r="H825" s="1">
        <v>7496254</v>
      </c>
      <c r="I825" s="1">
        <v>78.876922043010779</v>
      </c>
      <c r="J825" s="1">
        <v>0</v>
      </c>
      <c r="K825" s="1">
        <v>88</v>
      </c>
      <c r="L825" s="1">
        <v>84</v>
      </c>
      <c r="M825" s="1"/>
      <c r="N825" s="1">
        <v>0</v>
      </c>
    </row>
    <row r="826" spans="1:14" x14ac:dyDescent="0.35">
      <c r="A826" s="1" t="s">
        <v>76</v>
      </c>
      <c r="B826" s="1">
        <v>202601</v>
      </c>
      <c r="C826" s="1" t="str">
        <f>MID(analisis_productividad__4[[#This Row],[Periodo]],1,4)</f>
        <v>2026</v>
      </c>
      <c r="D826" s="1" t="str">
        <f>MID(analisis_productividad__4[[#This Row],[Periodo]],5,2)</f>
        <v>01</v>
      </c>
      <c r="E826" s="1" t="s">
        <v>11</v>
      </c>
      <c r="F826" s="1" t="s">
        <v>14</v>
      </c>
      <c r="G826" s="1">
        <v>95035</v>
      </c>
      <c r="H826" s="1">
        <v>6335617</v>
      </c>
      <c r="I826" s="1">
        <v>66.665967741935489</v>
      </c>
      <c r="J826" s="1">
        <v>95204.829948658269</v>
      </c>
      <c r="K826" s="1">
        <v>80</v>
      </c>
      <c r="L826" s="1">
        <v>78</v>
      </c>
      <c r="M826" s="1">
        <v>69.114627897013889</v>
      </c>
      <c r="N826" s="1">
        <v>6580046</v>
      </c>
    </row>
    <row r="827" spans="1:14" x14ac:dyDescent="0.35">
      <c r="A827" s="1" t="s">
        <v>25</v>
      </c>
      <c r="B827" s="1">
        <v>202507</v>
      </c>
      <c r="C827" s="1" t="str">
        <f>MID(analisis_productividad__4[[#This Row],[Periodo]],1,4)</f>
        <v>2025</v>
      </c>
      <c r="D827" s="1" t="str">
        <f>MID(analisis_productividad__4[[#This Row],[Periodo]],5,2)</f>
        <v>07</v>
      </c>
      <c r="E827" s="1" t="s">
        <v>16</v>
      </c>
      <c r="F827" s="1" t="s">
        <v>19</v>
      </c>
      <c r="G827" s="1">
        <v>95016</v>
      </c>
      <c r="H827" s="1">
        <v>8411060</v>
      </c>
      <c r="I827" s="1">
        <v>88.522573924731262</v>
      </c>
      <c r="J827" s="1">
        <v>99139.539591084467</v>
      </c>
      <c r="K827" s="1">
        <v>94</v>
      </c>
      <c r="L827" s="1">
        <v>92</v>
      </c>
      <c r="M827" s="1">
        <v>84.840616011458664</v>
      </c>
      <c r="N827" s="1">
        <v>8761964</v>
      </c>
    </row>
    <row r="828" spans="1:14" x14ac:dyDescent="0.35">
      <c r="A828" s="1" t="s">
        <v>56</v>
      </c>
      <c r="B828" s="1">
        <v>202603</v>
      </c>
      <c r="C828" s="1" t="str">
        <f>MID(analisis_productividad__4[[#This Row],[Periodo]],1,4)</f>
        <v>2026</v>
      </c>
      <c r="D828" s="1" t="str">
        <f>MID(analisis_productividad__4[[#This Row],[Periodo]],5,2)</f>
        <v>03</v>
      </c>
      <c r="E828" s="1" t="s">
        <v>16</v>
      </c>
      <c r="F828" s="1" t="s">
        <v>21</v>
      </c>
      <c r="G828" s="1">
        <v>94998</v>
      </c>
      <c r="H828" s="1">
        <v>6413220</v>
      </c>
      <c r="I828" s="1">
        <v>67.508884408602185</v>
      </c>
      <c r="J828" s="1">
        <v>140497.11824119583</v>
      </c>
      <c r="K828" s="1">
        <v>72.5</v>
      </c>
      <c r="L828" s="1">
        <v>68.5</v>
      </c>
      <c r="M828" s="1">
        <v>63.042188618377821</v>
      </c>
      <c r="N828" s="1">
        <v>8857246</v>
      </c>
    </row>
    <row r="829" spans="1:14" x14ac:dyDescent="0.35">
      <c r="A829" s="1" t="s">
        <v>71</v>
      </c>
      <c r="B829" s="1">
        <v>202606</v>
      </c>
      <c r="C829" s="1" t="str">
        <f>MID(analisis_productividad__4[[#This Row],[Periodo]],1,4)</f>
        <v>2026</v>
      </c>
      <c r="D829" s="1" t="str">
        <f>MID(analisis_productividad__4[[#This Row],[Periodo]],5,2)</f>
        <v>06</v>
      </c>
      <c r="E829" s="1" t="s">
        <v>16</v>
      </c>
      <c r="F829" s="1" t="s">
        <v>19</v>
      </c>
      <c r="G829" s="1">
        <v>94974</v>
      </c>
      <c r="H829" s="1">
        <v>3014442</v>
      </c>
      <c r="I829" s="1">
        <v>31.73955555555542</v>
      </c>
      <c r="J829" s="1">
        <v>75032.560732402766</v>
      </c>
      <c r="K829" s="1">
        <v>41.5</v>
      </c>
      <c r="L829" s="1">
        <v>35.5</v>
      </c>
      <c r="M829" s="1">
        <v>37.124878906032741</v>
      </c>
      <c r="N829" s="1">
        <v>2785575</v>
      </c>
    </row>
    <row r="830" spans="1:14" x14ac:dyDescent="0.35">
      <c r="A830" s="1" t="s">
        <v>81</v>
      </c>
      <c r="B830" s="1">
        <v>202605</v>
      </c>
      <c r="C830" s="1" t="str">
        <f>MID(analisis_productividad__4[[#This Row],[Periodo]],1,4)</f>
        <v>2026</v>
      </c>
      <c r="D830" s="1" t="str">
        <f>MID(analisis_productividad__4[[#This Row],[Periodo]],5,2)</f>
        <v>05</v>
      </c>
      <c r="E830" s="1" t="s">
        <v>34</v>
      </c>
      <c r="F830" s="1" t="s">
        <v>35</v>
      </c>
      <c r="G830" s="1">
        <v>94971</v>
      </c>
      <c r="H830" s="1">
        <v>8044748</v>
      </c>
      <c r="I830" s="1">
        <v>84.707056451612914</v>
      </c>
      <c r="J830" s="1">
        <v>89135.317800844423</v>
      </c>
      <c r="K830" s="1">
        <v>106</v>
      </c>
      <c r="L830" s="1">
        <v>94.5</v>
      </c>
      <c r="M830" s="1">
        <v>88.413034538205707</v>
      </c>
      <c r="N830" s="1">
        <v>7880724</v>
      </c>
    </row>
    <row r="831" spans="1:14" x14ac:dyDescent="0.35">
      <c r="A831" s="1" t="s">
        <v>87</v>
      </c>
      <c r="B831" s="1">
        <v>202403</v>
      </c>
      <c r="C831" s="1" t="str">
        <f>MID(analisis_productividad__4[[#This Row],[Periodo]],1,4)</f>
        <v>2024</v>
      </c>
      <c r="D831" s="1" t="str">
        <f>MID(analisis_productividad__4[[#This Row],[Periodo]],5,2)</f>
        <v>03</v>
      </c>
      <c r="E831" s="1" t="s">
        <v>9</v>
      </c>
      <c r="F831" s="1" t="s">
        <v>9</v>
      </c>
      <c r="G831" s="1">
        <v>94963</v>
      </c>
      <c r="H831" s="1">
        <v>1116765</v>
      </c>
      <c r="I831" s="1">
        <v>11.760047043010754</v>
      </c>
      <c r="J831" s="1">
        <v>0</v>
      </c>
      <c r="K831" s="1">
        <v>13.5</v>
      </c>
      <c r="L831" s="1">
        <v>12</v>
      </c>
      <c r="M831" s="1"/>
      <c r="N831" s="1">
        <v>0</v>
      </c>
    </row>
    <row r="832" spans="1:14" x14ac:dyDescent="0.35">
      <c r="A832" s="1" t="s">
        <v>78</v>
      </c>
      <c r="B832" s="1">
        <v>202512</v>
      </c>
      <c r="C832" s="1" t="str">
        <f>MID(analisis_productividad__4[[#This Row],[Periodo]],1,4)</f>
        <v>2025</v>
      </c>
      <c r="D832" s="1" t="str">
        <f>MID(analisis_productividad__4[[#This Row],[Periodo]],5,2)</f>
        <v>12</v>
      </c>
      <c r="E832" s="1" t="s">
        <v>11</v>
      </c>
      <c r="F832" s="1" t="s">
        <v>14</v>
      </c>
      <c r="G832" s="1">
        <v>94962</v>
      </c>
      <c r="H832" s="1">
        <v>7230944</v>
      </c>
      <c r="I832" s="1">
        <v>76.145604838709673</v>
      </c>
      <c r="J832" s="1">
        <v>89570.752755000329</v>
      </c>
      <c r="K832" s="1">
        <v>79.5</v>
      </c>
      <c r="L832" s="1">
        <v>67</v>
      </c>
      <c r="M832" s="1">
        <v>80.728849067267987</v>
      </c>
      <c r="N832" s="1">
        <v>7429222</v>
      </c>
    </row>
    <row r="833" spans="1:14" x14ac:dyDescent="0.35">
      <c r="A833" s="1" t="s">
        <v>23</v>
      </c>
      <c r="B833" s="1">
        <v>202405</v>
      </c>
      <c r="C833" s="1" t="str">
        <f>MID(analisis_productividad__4[[#This Row],[Periodo]],1,4)</f>
        <v>2024</v>
      </c>
      <c r="D833" s="1" t="str">
        <f>MID(analisis_productividad__4[[#This Row],[Periodo]],5,2)</f>
        <v>05</v>
      </c>
      <c r="E833" s="1" t="s">
        <v>11</v>
      </c>
      <c r="F833" s="1" t="s">
        <v>12</v>
      </c>
      <c r="G833" s="1">
        <v>94918</v>
      </c>
      <c r="H833" s="1">
        <v>5820637</v>
      </c>
      <c r="I833" s="1">
        <v>61.322869623655905</v>
      </c>
      <c r="J833" s="1">
        <v>0</v>
      </c>
      <c r="K833" s="1">
        <v>68.5</v>
      </c>
      <c r="L833" s="1">
        <v>66</v>
      </c>
      <c r="M833" s="1"/>
      <c r="N833" s="1">
        <v>0</v>
      </c>
    </row>
    <row r="834" spans="1:14" x14ac:dyDescent="0.35">
      <c r="A834" s="1" t="s">
        <v>55</v>
      </c>
      <c r="B834" s="1">
        <v>202510</v>
      </c>
      <c r="C834" s="1" t="str">
        <f>MID(analisis_productividad__4[[#This Row],[Periodo]],1,4)</f>
        <v>2025</v>
      </c>
      <c r="D834" s="1" t="str">
        <f>MID(analisis_productividad__4[[#This Row],[Periodo]],5,2)</f>
        <v>10</v>
      </c>
      <c r="E834" s="1" t="s">
        <v>16</v>
      </c>
      <c r="F834" s="1" t="s">
        <v>21</v>
      </c>
      <c r="G834" s="1">
        <v>94877</v>
      </c>
      <c r="H834" s="1">
        <v>4298854</v>
      </c>
      <c r="I834" s="1">
        <v>45.3095698924731</v>
      </c>
      <c r="J834" s="1">
        <v>94192.325330250795</v>
      </c>
      <c r="K834" s="1">
        <v>55</v>
      </c>
      <c r="L834" s="1">
        <v>50.5</v>
      </c>
      <c r="M834" s="1">
        <v>45.639107909563201</v>
      </c>
      <c r="N834" s="1">
        <v>4818761</v>
      </c>
    </row>
    <row r="835" spans="1:14" x14ac:dyDescent="0.35">
      <c r="A835" s="1" t="s">
        <v>27</v>
      </c>
      <c r="B835" s="1">
        <v>202405</v>
      </c>
      <c r="C835" s="1" t="str">
        <f>MID(analisis_productividad__4[[#This Row],[Periodo]],1,4)</f>
        <v>2024</v>
      </c>
      <c r="D835" s="1" t="str">
        <f>MID(analisis_productividad__4[[#This Row],[Periodo]],5,2)</f>
        <v>05</v>
      </c>
      <c r="E835" s="1" t="s">
        <v>11</v>
      </c>
      <c r="F835" s="1" t="s">
        <v>14</v>
      </c>
      <c r="G835" s="1">
        <v>94877</v>
      </c>
      <c r="H835" s="1">
        <v>7814307</v>
      </c>
      <c r="I835" s="1">
        <v>82.362668010752728</v>
      </c>
      <c r="J835" s="1">
        <v>0</v>
      </c>
      <c r="K835" s="1">
        <v>88</v>
      </c>
      <c r="L835" s="1">
        <v>84</v>
      </c>
      <c r="M835" s="1"/>
      <c r="N835" s="1">
        <v>0</v>
      </c>
    </row>
    <row r="836" spans="1:14" x14ac:dyDescent="0.35">
      <c r="A836" s="1" t="s">
        <v>57</v>
      </c>
      <c r="B836" s="1">
        <v>202406</v>
      </c>
      <c r="C836" s="1" t="str">
        <f>MID(analisis_productividad__4[[#This Row],[Periodo]],1,4)</f>
        <v>2024</v>
      </c>
      <c r="D836" s="1" t="str">
        <f>MID(analisis_productividad__4[[#This Row],[Periodo]],5,2)</f>
        <v>06</v>
      </c>
      <c r="E836" s="1" t="s">
        <v>16</v>
      </c>
      <c r="F836" s="1" t="s">
        <v>19</v>
      </c>
      <c r="G836" s="1">
        <v>94866</v>
      </c>
      <c r="H836" s="1">
        <v>5941879</v>
      </c>
      <c r="I836" s="1">
        <v>62.634347222222232</v>
      </c>
      <c r="J836" s="1">
        <v>0</v>
      </c>
      <c r="K836" s="1">
        <v>71</v>
      </c>
      <c r="L836" s="1">
        <v>74.5</v>
      </c>
      <c r="M836" s="1"/>
      <c r="N836" s="1">
        <v>0</v>
      </c>
    </row>
    <row r="837" spans="1:14" x14ac:dyDescent="0.35">
      <c r="A837" s="1" t="s">
        <v>31</v>
      </c>
      <c r="B837" s="1">
        <v>202602</v>
      </c>
      <c r="C837" s="1" t="str">
        <f>MID(analisis_productividad__4[[#This Row],[Periodo]],1,4)</f>
        <v>2026</v>
      </c>
      <c r="D837" s="1" t="str">
        <f>MID(analisis_productividad__4[[#This Row],[Periodo]],5,2)</f>
        <v>02</v>
      </c>
      <c r="E837" s="1" t="s">
        <v>11</v>
      </c>
      <c r="F837" s="1" t="s">
        <v>14</v>
      </c>
      <c r="G837" s="1">
        <v>94843</v>
      </c>
      <c r="H837" s="1">
        <v>8633173</v>
      </c>
      <c r="I837" s="1">
        <v>91.0260416666667</v>
      </c>
      <c r="J837" s="1">
        <v>103083.7535131045</v>
      </c>
      <c r="K837" s="1">
        <v>101.5</v>
      </c>
      <c r="L837" s="1">
        <v>97.5</v>
      </c>
      <c r="M837" s="1">
        <v>87.689184144336366</v>
      </c>
      <c r="N837" s="1">
        <v>9039330</v>
      </c>
    </row>
    <row r="838" spans="1:14" x14ac:dyDescent="0.35">
      <c r="A838" s="1" t="s">
        <v>63</v>
      </c>
      <c r="B838" s="1">
        <v>202605</v>
      </c>
      <c r="C838" s="1" t="str">
        <f>MID(analisis_productividad__4[[#This Row],[Periodo]],1,4)</f>
        <v>2026</v>
      </c>
      <c r="D838" s="1" t="str">
        <f>MID(analisis_productividad__4[[#This Row],[Periodo]],5,2)</f>
        <v>05</v>
      </c>
      <c r="E838" s="1" t="s">
        <v>16</v>
      </c>
      <c r="F838" s="1" t="s">
        <v>17</v>
      </c>
      <c r="G838" s="1">
        <v>94838</v>
      </c>
      <c r="H838" s="1">
        <v>7382461</v>
      </c>
      <c r="I838" s="1">
        <v>77.843151881720672</v>
      </c>
      <c r="J838" s="1">
        <v>97191.731131940745</v>
      </c>
      <c r="K838" s="1">
        <v>86.5</v>
      </c>
      <c r="L838" s="1">
        <v>81.5</v>
      </c>
      <c r="M838" s="1">
        <v>76.26782259426129</v>
      </c>
      <c r="N838" s="1">
        <v>7412602</v>
      </c>
    </row>
    <row r="839" spans="1:14" x14ac:dyDescent="0.35">
      <c r="A839" s="1" t="s">
        <v>50</v>
      </c>
      <c r="B839" s="1">
        <v>202408</v>
      </c>
      <c r="C839" s="1" t="str">
        <f>MID(analisis_productividad__4[[#This Row],[Periodo]],1,4)</f>
        <v>2024</v>
      </c>
      <c r="D839" s="1" t="str">
        <f>MID(analisis_productividad__4[[#This Row],[Periodo]],5,2)</f>
        <v>08</v>
      </c>
      <c r="E839" s="1" t="s">
        <v>34</v>
      </c>
      <c r="F839" s="1" t="s">
        <v>35</v>
      </c>
      <c r="G839" s="1">
        <v>94741</v>
      </c>
      <c r="H839" s="1">
        <v>5737894</v>
      </c>
      <c r="I839" s="1">
        <v>60.56397177419354</v>
      </c>
      <c r="J839" s="1">
        <v>0</v>
      </c>
      <c r="K839" s="1">
        <v>79.5</v>
      </c>
      <c r="L839" s="1">
        <v>72.5</v>
      </c>
      <c r="M839" s="1"/>
      <c r="N839" s="1">
        <v>0</v>
      </c>
    </row>
    <row r="840" spans="1:14" x14ac:dyDescent="0.35">
      <c r="A840" s="1" t="s">
        <v>61</v>
      </c>
      <c r="B840" s="1">
        <v>202602</v>
      </c>
      <c r="C840" s="1" t="str">
        <f>MID(analisis_productividad__4[[#This Row],[Periodo]],1,4)</f>
        <v>2026</v>
      </c>
      <c r="D840" s="1" t="str">
        <f>MID(analisis_productividad__4[[#This Row],[Periodo]],5,2)</f>
        <v>02</v>
      </c>
      <c r="E840" s="1" t="s">
        <v>11</v>
      </c>
      <c r="F840" s="1" t="s">
        <v>52</v>
      </c>
      <c r="G840" s="1">
        <v>94732</v>
      </c>
      <c r="H840" s="1">
        <v>8664829</v>
      </c>
      <c r="I840" s="1">
        <v>91.4668229166667</v>
      </c>
      <c r="J840" s="1">
        <v>90637.194840407654</v>
      </c>
      <c r="K840" s="1">
        <v>104.5</v>
      </c>
      <c r="L840" s="1">
        <v>99</v>
      </c>
      <c r="M840" s="1">
        <v>90.280982690474389</v>
      </c>
      <c r="N840" s="1">
        <v>8182815</v>
      </c>
    </row>
    <row r="841" spans="1:14" x14ac:dyDescent="0.35">
      <c r="A841" s="1" t="s">
        <v>49</v>
      </c>
      <c r="B841" s="1">
        <v>202408</v>
      </c>
      <c r="C841" s="1" t="str">
        <f>MID(analisis_productividad__4[[#This Row],[Periodo]],1,4)</f>
        <v>2024</v>
      </c>
      <c r="D841" s="1" t="str">
        <f>MID(analisis_productividad__4[[#This Row],[Periodo]],5,2)</f>
        <v>08</v>
      </c>
      <c r="E841" s="1" t="s">
        <v>16</v>
      </c>
      <c r="F841" s="1" t="s">
        <v>21</v>
      </c>
      <c r="G841" s="1">
        <v>94730</v>
      </c>
      <c r="H841" s="1">
        <v>5698041</v>
      </c>
      <c r="I841" s="1">
        <v>60.150510752688177</v>
      </c>
      <c r="J841" s="1">
        <v>0</v>
      </c>
      <c r="K841" s="1">
        <v>75.5</v>
      </c>
      <c r="L841" s="1">
        <v>68</v>
      </c>
      <c r="M841" s="1"/>
      <c r="N841" s="1">
        <v>0</v>
      </c>
    </row>
    <row r="842" spans="1:14" x14ac:dyDescent="0.35">
      <c r="A842" s="1" t="s">
        <v>43</v>
      </c>
      <c r="B842" s="1">
        <v>202510</v>
      </c>
      <c r="C842" s="1" t="str">
        <f>MID(analisis_productividad__4[[#This Row],[Periodo]],1,4)</f>
        <v>2025</v>
      </c>
      <c r="D842" s="1" t="str">
        <f>MID(analisis_productividad__4[[#This Row],[Periodo]],5,2)</f>
        <v>10</v>
      </c>
      <c r="E842" s="1" t="s">
        <v>11</v>
      </c>
      <c r="F842" s="1" t="s">
        <v>12</v>
      </c>
      <c r="G842" s="1">
        <v>94702</v>
      </c>
      <c r="H842" s="1">
        <v>6308362</v>
      </c>
      <c r="I842" s="1">
        <v>66.612809139784972</v>
      </c>
      <c r="J842" s="1">
        <v>91350.324356848112</v>
      </c>
      <c r="K842" s="1">
        <v>84.5</v>
      </c>
      <c r="L842" s="1">
        <v>86.5</v>
      </c>
      <c r="M842" s="1">
        <v>69.056815117122127</v>
      </c>
      <c r="N842" s="1">
        <v>6756699</v>
      </c>
    </row>
    <row r="843" spans="1:14" x14ac:dyDescent="0.35">
      <c r="A843" s="1" t="s">
        <v>78</v>
      </c>
      <c r="B843" s="1">
        <v>202603</v>
      </c>
      <c r="C843" s="1" t="str">
        <f>MID(analisis_productividad__4[[#This Row],[Periodo]],1,4)</f>
        <v>2026</v>
      </c>
      <c r="D843" s="1" t="str">
        <f>MID(analisis_productividad__4[[#This Row],[Periodo]],5,2)</f>
        <v>03</v>
      </c>
      <c r="E843" s="1" t="s">
        <v>11</v>
      </c>
      <c r="F843" s="1" t="s">
        <v>14</v>
      </c>
      <c r="G843" s="1">
        <v>94682</v>
      </c>
      <c r="H843" s="1">
        <v>6937209</v>
      </c>
      <c r="I843" s="1">
        <v>73.268642473118263</v>
      </c>
      <c r="J843" s="1">
        <v>91302.87956293665</v>
      </c>
      <c r="K843" s="1">
        <v>79.5</v>
      </c>
      <c r="L843" s="1">
        <v>67</v>
      </c>
      <c r="M843" s="1">
        <v>68.682661472657543</v>
      </c>
      <c r="N843" s="1">
        <v>6270925</v>
      </c>
    </row>
    <row r="844" spans="1:14" x14ac:dyDescent="0.35">
      <c r="A844" s="1" t="s">
        <v>37</v>
      </c>
      <c r="B844" s="1">
        <v>202410</v>
      </c>
      <c r="C844" s="1" t="str">
        <f>MID(analisis_productividad__4[[#This Row],[Periodo]],1,4)</f>
        <v>2024</v>
      </c>
      <c r="D844" s="1" t="str">
        <f>MID(analisis_productividad__4[[#This Row],[Periodo]],5,2)</f>
        <v>10</v>
      </c>
      <c r="E844" s="1" t="s">
        <v>16</v>
      </c>
      <c r="F844" s="1" t="s">
        <v>17</v>
      </c>
      <c r="G844" s="1">
        <v>94652</v>
      </c>
      <c r="H844" s="1">
        <v>9300371</v>
      </c>
      <c r="I844" s="1">
        <v>98.258501344086028</v>
      </c>
      <c r="J844" s="1">
        <v>0</v>
      </c>
      <c r="K844" s="1">
        <v>107.5</v>
      </c>
      <c r="L844" s="1">
        <v>102.5</v>
      </c>
      <c r="M844" s="1"/>
      <c r="N844" s="1">
        <v>0</v>
      </c>
    </row>
    <row r="845" spans="1:14" x14ac:dyDescent="0.35">
      <c r="A845" s="1" t="s">
        <v>51</v>
      </c>
      <c r="B845" s="1">
        <v>202505</v>
      </c>
      <c r="C845" s="1" t="str">
        <f>MID(analisis_productividad__4[[#This Row],[Periodo]],1,4)</f>
        <v>2025</v>
      </c>
      <c r="D845" s="1" t="str">
        <f>MID(analisis_productividad__4[[#This Row],[Periodo]],5,2)</f>
        <v>05</v>
      </c>
      <c r="E845" s="1" t="s">
        <v>11</v>
      </c>
      <c r="F845" s="1" t="s">
        <v>52</v>
      </c>
      <c r="G845" s="1">
        <v>94647</v>
      </c>
      <c r="H845" s="1">
        <v>8809963</v>
      </c>
      <c r="I845" s="1">
        <v>93.082641129032211</v>
      </c>
      <c r="J845" s="1">
        <v>100435.059470911</v>
      </c>
      <c r="K845" s="1">
        <v>117.5</v>
      </c>
      <c r="L845" s="1">
        <v>99</v>
      </c>
      <c r="M845" s="1">
        <v>87.718006206305162</v>
      </c>
      <c r="N845" s="1">
        <v>9916033</v>
      </c>
    </row>
    <row r="846" spans="1:14" x14ac:dyDescent="0.35">
      <c r="A846" s="1" t="s">
        <v>26</v>
      </c>
      <c r="B846" s="1">
        <v>202509</v>
      </c>
      <c r="C846" s="1" t="str">
        <f>MID(analisis_productividad__4[[#This Row],[Periodo]],1,4)</f>
        <v>2025</v>
      </c>
      <c r="D846" s="1" t="str">
        <f>MID(analisis_productividad__4[[#This Row],[Periodo]],5,2)</f>
        <v>09</v>
      </c>
      <c r="E846" s="1" t="s">
        <v>11</v>
      </c>
      <c r="F846" s="1" t="s">
        <v>12</v>
      </c>
      <c r="G846" s="1">
        <v>94642</v>
      </c>
      <c r="H846" s="1">
        <v>5367930</v>
      </c>
      <c r="I846" s="1">
        <v>56.717986111111109</v>
      </c>
      <c r="J846" s="1">
        <v>86760.245227821128</v>
      </c>
      <c r="K846" s="1">
        <v>65.5</v>
      </c>
      <c r="L846" s="1">
        <v>63</v>
      </c>
      <c r="M846" s="1">
        <v>61.870844254814109</v>
      </c>
      <c r="N846" s="1">
        <v>4491442</v>
      </c>
    </row>
    <row r="847" spans="1:14" x14ac:dyDescent="0.35">
      <c r="A847" s="1" t="s">
        <v>74</v>
      </c>
      <c r="B847" s="1">
        <v>202604</v>
      </c>
      <c r="C847" s="1" t="str">
        <f>MID(analisis_productividad__4[[#This Row],[Periodo]],1,4)</f>
        <v>2026</v>
      </c>
      <c r="D847" s="1" t="str">
        <f>MID(analisis_productividad__4[[#This Row],[Periodo]],5,2)</f>
        <v>04</v>
      </c>
      <c r="E847" s="1" t="s">
        <v>16</v>
      </c>
      <c r="F847" s="1" t="s">
        <v>19</v>
      </c>
      <c r="G847" s="1">
        <v>94619</v>
      </c>
      <c r="H847" s="1">
        <v>4247926</v>
      </c>
      <c r="I847" s="1">
        <v>44.895131944444266</v>
      </c>
      <c r="J847" s="1">
        <v>87397.564447321405</v>
      </c>
      <c r="K847" s="1">
        <v>50.5</v>
      </c>
      <c r="L847" s="1">
        <v>51.5</v>
      </c>
      <c r="M847" s="1">
        <v>44.728769766304502</v>
      </c>
      <c r="N847" s="1">
        <v>3909186</v>
      </c>
    </row>
    <row r="848" spans="1:14" x14ac:dyDescent="0.35">
      <c r="A848" s="1" t="s">
        <v>75</v>
      </c>
      <c r="B848" s="1">
        <v>202408</v>
      </c>
      <c r="C848" s="1" t="str">
        <f>MID(analisis_productividad__4[[#This Row],[Periodo]],1,4)</f>
        <v>2024</v>
      </c>
      <c r="D848" s="1" t="str">
        <f>MID(analisis_productividad__4[[#This Row],[Periodo]],5,2)</f>
        <v>08</v>
      </c>
      <c r="E848" s="1" t="s">
        <v>11</v>
      </c>
      <c r="F848" s="1" t="s">
        <v>52</v>
      </c>
      <c r="G848" s="1">
        <v>94612</v>
      </c>
      <c r="H848" s="1">
        <v>9531623</v>
      </c>
      <c r="I848" s="1">
        <v>100.74453629032256</v>
      </c>
      <c r="J848" s="1">
        <v>0</v>
      </c>
      <c r="K848" s="1">
        <v>118</v>
      </c>
      <c r="L848" s="1">
        <v>106</v>
      </c>
      <c r="M848" s="1"/>
      <c r="N848" s="1">
        <v>0</v>
      </c>
    </row>
    <row r="849" spans="1:14" x14ac:dyDescent="0.35">
      <c r="A849" s="1" t="s">
        <v>68</v>
      </c>
      <c r="B849" s="1">
        <v>202403</v>
      </c>
      <c r="C849" s="1" t="str">
        <f>MID(analisis_productividad__4[[#This Row],[Periodo]],1,4)</f>
        <v>2024</v>
      </c>
      <c r="D849" s="1" t="str">
        <f>MID(analisis_productividad__4[[#This Row],[Periodo]],5,2)</f>
        <v>03</v>
      </c>
      <c r="E849" s="1" t="s">
        <v>11</v>
      </c>
      <c r="F849" s="1" t="s">
        <v>52</v>
      </c>
      <c r="G849" s="1">
        <v>94611</v>
      </c>
      <c r="H849" s="1">
        <v>8779397</v>
      </c>
      <c r="I849" s="1">
        <v>92.794220430107515</v>
      </c>
      <c r="J849" s="1">
        <v>0</v>
      </c>
      <c r="K849" s="1">
        <v>103</v>
      </c>
      <c r="L849" s="1">
        <v>91</v>
      </c>
      <c r="M849" s="1"/>
      <c r="N849" s="1">
        <v>0</v>
      </c>
    </row>
    <row r="850" spans="1:14" x14ac:dyDescent="0.35">
      <c r="A850" s="1" t="s">
        <v>46</v>
      </c>
      <c r="B850" s="1">
        <v>202504</v>
      </c>
      <c r="C850" s="1" t="str">
        <f>MID(analisis_productividad__4[[#This Row],[Periodo]],1,4)</f>
        <v>2025</v>
      </c>
      <c r="D850" s="1" t="str">
        <f>MID(analisis_productividad__4[[#This Row],[Periodo]],5,2)</f>
        <v>04</v>
      </c>
      <c r="E850" s="1" t="s">
        <v>11</v>
      </c>
      <c r="F850" s="1" t="s">
        <v>14</v>
      </c>
      <c r="G850" s="1">
        <v>94601</v>
      </c>
      <c r="H850" s="1">
        <v>6302287</v>
      </c>
      <c r="I850" s="1">
        <v>66.619972222222231</v>
      </c>
      <c r="J850" s="1">
        <v>91189.171364977476</v>
      </c>
      <c r="K850" s="1">
        <v>77</v>
      </c>
      <c r="L850" s="1">
        <v>79</v>
      </c>
      <c r="M850" s="1">
        <v>69.112234442569829</v>
      </c>
      <c r="N850" s="1">
        <v>6444231</v>
      </c>
    </row>
    <row r="851" spans="1:14" x14ac:dyDescent="0.35">
      <c r="A851" s="1" t="s">
        <v>68</v>
      </c>
      <c r="B851" s="1">
        <v>202505</v>
      </c>
      <c r="C851" s="1" t="str">
        <f>MID(analisis_productividad__4[[#This Row],[Periodo]],1,4)</f>
        <v>2025</v>
      </c>
      <c r="D851" s="1" t="str">
        <f>MID(analisis_productividad__4[[#This Row],[Periodo]],5,2)</f>
        <v>05</v>
      </c>
      <c r="E851" s="1" t="s">
        <v>11</v>
      </c>
      <c r="F851" s="1" t="s">
        <v>52</v>
      </c>
      <c r="G851" s="1">
        <v>94583</v>
      </c>
      <c r="H851" s="1">
        <v>8045367</v>
      </c>
      <c r="I851" s="1">
        <v>85.061619623655901</v>
      </c>
      <c r="J851" s="1">
        <v>94092.308994474894</v>
      </c>
      <c r="K851" s="1">
        <v>103</v>
      </c>
      <c r="L851" s="1">
        <v>91</v>
      </c>
      <c r="M851" s="1">
        <v>85.505046331389565</v>
      </c>
      <c r="N851" s="1">
        <v>8409677</v>
      </c>
    </row>
    <row r="852" spans="1:14" x14ac:dyDescent="0.35">
      <c r="A852" s="1" t="s">
        <v>76</v>
      </c>
      <c r="B852" s="1">
        <v>202604</v>
      </c>
      <c r="C852" s="1" t="str">
        <f>MID(analisis_productividad__4[[#This Row],[Periodo]],1,4)</f>
        <v>2026</v>
      </c>
      <c r="D852" s="1" t="str">
        <f>MID(analisis_productividad__4[[#This Row],[Periodo]],5,2)</f>
        <v>04</v>
      </c>
      <c r="E852" s="1" t="s">
        <v>11</v>
      </c>
      <c r="F852" s="1" t="s">
        <v>14</v>
      </c>
      <c r="G852" s="1">
        <v>94569</v>
      </c>
      <c r="H852" s="1">
        <v>6479343</v>
      </c>
      <c r="I852" s="1">
        <v>68.514347222223876</v>
      </c>
      <c r="J852" s="1">
        <v>91487.173478267272</v>
      </c>
      <c r="K852" s="1">
        <v>80</v>
      </c>
      <c r="L852" s="1">
        <v>78</v>
      </c>
      <c r="M852" s="1">
        <v>69.114627897013889</v>
      </c>
      <c r="N852" s="1">
        <v>6323102</v>
      </c>
    </row>
    <row r="853" spans="1:14" x14ac:dyDescent="0.35">
      <c r="A853" s="1" t="s">
        <v>68</v>
      </c>
      <c r="B853" s="1">
        <v>202503</v>
      </c>
      <c r="C853" s="1" t="str">
        <f>MID(analisis_productividad__4[[#This Row],[Periodo]],1,4)</f>
        <v>2025</v>
      </c>
      <c r="D853" s="1" t="str">
        <f>MID(analisis_productividad__4[[#This Row],[Periodo]],5,2)</f>
        <v>03</v>
      </c>
      <c r="E853" s="1" t="s">
        <v>11</v>
      </c>
      <c r="F853" s="1" t="s">
        <v>52</v>
      </c>
      <c r="G853" s="1">
        <v>94564</v>
      </c>
      <c r="H853" s="1">
        <v>8817575</v>
      </c>
      <c r="I853" s="1">
        <v>93.244986559139733</v>
      </c>
      <c r="J853" s="1">
        <v>99342.034646901928</v>
      </c>
      <c r="K853" s="1">
        <v>103</v>
      </c>
      <c r="L853" s="1">
        <v>91</v>
      </c>
      <c r="M853" s="1">
        <v>88.759756344239378</v>
      </c>
      <c r="N853" s="1">
        <v>8971212</v>
      </c>
    </row>
    <row r="854" spans="1:14" x14ac:dyDescent="0.35">
      <c r="A854" s="1" t="s">
        <v>33</v>
      </c>
      <c r="B854" s="1">
        <v>202604</v>
      </c>
      <c r="C854" s="1" t="str">
        <f>MID(analisis_productividad__4[[#This Row],[Periodo]],1,4)</f>
        <v>2026</v>
      </c>
      <c r="D854" s="1" t="str">
        <f>MID(analisis_productividad__4[[#This Row],[Periodo]],5,2)</f>
        <v>04</v>
      </c>
      <c r="E854" s="1" t="s">
        <v>34</v>
      </c>
      <c r="F854" s="1" t="s">
        <v>35</v>
      </c>
      <c r="G854" s="1">
        <v>94552</v>
      </c>
      <c r="H854" s="1">
        <v>1180435</v>
      </c>
      <c r="I854" s="1">
        <v>12.48454861111111</v>
      </c>
      <c r="J854" s="1">
        <v>76504.644469779683</v>
      </c>
      <c r="K854" s="1">
        <v>15</v>
      </c>
      <c r="L854" s="1">
        <v>15</v>
      </c>
      <c r="M854" s="1">
        <v>13.971887755419019</v>
      </c>
      <c r="N854" s="1">
        <v>1068914</v>
      </c>
    </row>
    <row r="855" spans="1:14" x14ac:dyDescent="0.35">
      <c r="A855" s="1" t="s">
        <v>57</v>
      </c>
      <c r="B855" s="1">
        <v>202505</v>
      </c>
      <c r="C855" s="1" t="str">
        <f>MID(analisis_productividad__4[[#This Row],[Periodo]],1,4)</f>
        <v>2025</v>
      </c>
      <c r="D855" s="1" t="str">
        <f>MID(analisis_productividad__4[[#This Row],[Periodo]],5,2)</f>
        <v>05</v>
      </c>
      <c r="E855" s="1" t="s">
        <v>16</v>
      </c>
      <c r="F855" s="1" t="s">
        <v>19</v>
      </c>
      <c r="G855" s="1">
        <v>94546</v>
      </c>
      <c r="H855" s="1">
        <v>5803496</v>
      </c>
      <c r="I855" s="1">
        <v>61.382802419354839</v>
      </c>
      <c r="J855" s="1">
        <v>94200.808821464379</v>
      </c>
      <c r="K855" s="1">
        <v>71</v>
      </c>
      <c r="L855" s="1">
        <v>74.5</v>
      </c>
      <c r="M855" s="1">
        <v>61.607713591920131</v>
      </c>
      <c r="N855" s="1">
        <v>5765207</v>
      </c>
    </row>
    <row r="856" spans="1:14" x14ac:dyDescent="0.35">
      <c r="A856" s="1" t="s">
        <v>64</v>
      </c>
      <c r="B856" s="1">
        <v>202604</v>
      </c>
      <c r="C856" s="1" t="str">
        <f>MID(analisis_productividad__4[[#This Row],[Periodo]],1,4)</f>
        <v>2026</v>
      </c>
      <c r="D856" s="1" t="str">
        <f>MID(analisis_productividad__4[[#This Row],[Periodo]],5,2)</f>
        <v>04</v>
      </c>
      <c r="E856" s="1" t="s">
        <v>16</v>
      </c>
      <c r="F856" s="1" t="s">
        <v>21</v>
      </c>
      <c r="G856" s="1">
        <v>94534</v>
      </c>
      <c r="H856" s="1">
        <v>10181196</v>
      </c>
      <c r="I856" s="1">
        <v>107.69893750000358</v>
      </c>
      <c r="J856" s="1">
        <v>89866.168492841753</v>
      </c>
      <c r="K856" s="1">
        <v>88.5</v>
      </c>
      <c r="L856" s="1">
        <v>92.5</v>
      </c>
      <c r="M856" s="1">
        <v>102.97612103755296</v>
      </c>
      <c r="N856" s="1">
        <v>9254069</v>
      </c>
    </row>
    <row r="857" spans="1:14" x14ac:dyDescent="0.35">
      <c r="A857" s="1" t="s">
        <v>53</v>
      </c>
      <c r="B857" s="1">
        <v>202401</v>
      </c>
      <c r="C857" s="1" t="str">
        <f>MID(analisis_productividad__4[[#This Row],[Periodo]],1,4)</f>
        <v>2024</v>
      </c>
      <c r="D857" s="1" t="str">
        <f>MID(analisis_productividad__4[[#This Row],[Periodo]],5,2)</f>
        <v>01</v>
      </c>
      <c r="E857" s="1" t="s">
        <v>11</v>
      </c>
      <c r="F857" s="1" t="s">
        <v>12</v>
      </c>
      <c r="G857" s="1">
        <v>94529</v>
      </c>
      <c r="H857" s="1">
        <v>6425604</v>
      </c>
      <c r="I857" s="1">
        <v>67.975080645161285</v>
      </c>
      <c r="J857" s="1">
        <v>0</v>
      </c>
      <c r="K857" s="1">
        <v>81</v>
      </c>
      <c r="L857" s="1">
        <v>77</v>
      </c>
      <c r="M857" s="1"/>
      <c r="N857" s="1">
        <v>0</v>
      </c>
    </row>
    <row r="858" spans="1:14" x14ac:dyDescent="0.35">
      <c r="A858" s="1" t="s">
        <v>25</v>
      </c>
      <c r="B858" s="1">
        <v>202501</v>
      </c>
      <c r="C858" s="1" t="str">
        <f>MID(analisis_productividad__4[[#This Row],[Periodo]],1,4)</f>
        <v>2025</v>
      </c>
      <c r="D858" s="1" t="str">
        <f>MID(analisis_productividad__4[[#This Row],[Periodo]],5,2)</f>
        <v>01</v>
      </c>
      <c r="E858" s="1" t="s">
        <v>16</v>
      </c>
      <c r="F858" s="1" t="s">
        <v>19</v>
      </c>
      <c r="G858" s="1">
        <v>94518</v>
      </c>
      <c r="H858" s="1">
        <v>8088638</v>
      </c>
      <c r="I858" s="1">
        <v>85.57796370967742</v>
      </c>
      <c r="J858" s="1">
        <v>93484.943561593973</v>
      </c>
      <c r="K858" s="1">
        <v>94</v>
      </c>
      <c r="L858" s="1">
        <v>92</v>
      </c>
      <c r="M858" s="1">
        <v>86.523433419742915</v>
      </c>
      <c r="N858" s="1">
        <v>7239192</v>
      </c>
    </row>
    <row r="859" spans="1:14" x14ac:dyDescent="0.35">
      <c r="A859" s="1" t="s">
        <v>29</v>
      </c>
      <c r="B859" s="1">
        <v>202402</v>
      </c>
      <c r="C859" s="1" t="str">
        <f>MID(analisis_productividad__4[[#This Row],[Periodo]],1,4)</f>
        <v>2024</v>
      </c>
      <c r="D859" s="1" t="str">
        <f>MID(analisis_productividad__4[[#This Row],[Periodo]],5,2)</f>
        <v>02</v>
      </c>
      <c r="E859" s="1" t="s">
        <v>16</v>
      </c>
      <c r="F859" s="1" t="s">
        <v>19</v>
      </c>
      <c r="G859" s="1">
        <v>94496</v>
      </c>
      <c r="H859" s="1">
        <v>8845296</v>
      </c>
      <c r="I859" s="1">
        <v>93.604935344827581</v>
      </c>
      <c r="J859" s="1">
        <v>0</v>
      </c>
      <c r="K859" s="1">
        <v>96.5</v>
      </c>
      <c r="L859" s="1">
        <v>96</v>
      </c>
      <c r="M859" s="1"/>
      <c r="N859" s="1">
        <v>0</v>
      </c>
    </row>
    <row r="860" spans="1:14" x14ac:dyDescent="0.35">
      <c r="A860" s="1" t="s">
        <v>40</v>
      </c>
      <c r="B860" s="1">
        <v>202402</v>
      </c>
      <c r="C860" s="1" t="str">
        <f>MID(analisis_productividad__4[[#This Row],[Periodo]],1,4)</f>
        <v>2024</v>
      </c>
      <c r="D860" s="1" t="str">
        <f>MID(analisis_productividad__4[[#This Row],[Periodo]],5,2)</f>
        <v>02</v>
      </c>
      <c r="E860" s="1" t="s">
        <v>11</v>
      </c>
      <c r="F860" s="1" t="s">
        <v>14</v>
      </c>
      <c r="G860" s="1">
        <v>94480</v>
      </c>
      <c r="H860" s="1">
        <v>6895113</v>
      </c>
      <c r="I860" s="1">
        <v>72.979978448275872</v>
      </c>
      <c r="J860" s="1">
        <v>0</v>
      </c>
      <c r="K860" s="1">
        <v>76.5</v>
      </c>
      <c r="L860" s="1">
        <v>75.5</v>
      </c>
      <c r="M860" s="1"/>
      <c r="N860" s="1">
        <v>0</v>
      </c>
    </row>
    <row r="861" spans="1:14" x14ac:dyDescent="0.35">
      <c r="A861" s="1" t="s">
        <v>112</v>
      </c>
      <c r="B861" s="1">
        <v>202503</v>
      </c>
      <c r="C861" s="1" t="str">
        <f>MID(analisis_productividad__4[[#This Row],[Periodo]],1,4)</f>
        <v>2025</v>
      </c>
      <c r="D861" s="1" t="str">
        <f>MID(analisis_productividad__4[[#This Row],[Periodo]],5,2)</f>
        <v>03</v>
      </c>
      <c r="E861" s="1" t="s">
        <v>34</v>
      </c>
      <c r="F861" s="1" t="s">
        <v>35</v>
      </c>
      <c r="G861" s="1">
        <v>94474</v>
      </c>
      <c r="H861" s="1">
        <v>2452740</v>
      </c>
      <c r="I861" s="1">
        <v>25.962049731182795</v>
      </c>
      <c r="J861" s="1">
        <v>66151.788381754683</v>
      </c>
      <c r="K861" s="1">
        <v>31</v>
      </c>
      <c r="L861" s="1">
        <v>27</v>
      </c>
      <c r="M861" s="1">
        <v>37.077460640149383</v>
      </c>
      <c r="N861" s="1">
        <v>1609718</v>
      </c>
    </row>
    <row r="862" spans="1:14" x14ac:dyDescent="0.35">
      <c r="A862" s="1" t="s">
        <v>32</v>
      </c>
      <c r="B862" s="1">
        <v>202505</v>
      </c>
      <c r="C862" s="1" t="str">
        <f>MID(analisis_productividad__4[[#This Row],[Periodo]],1,4)</f>
        <v>2025</v>
      </c>
      <c r="D862" s="1" t="str">
        <f>MID(analisis_productividad__4[[#This Row],[Periodo]],5,2)</f>
        <v>05</v>
      </c>
      <c r="E862" s="1" t="s">
        <v>11</v>
      </c>
      <c r="F862" s="1" t="s">
        <v>12</v>
      </c>
      <c r="G862" s="1">
        <v>94436</v>
      </c>
      <c r="H862" s="1">
        <v>5537331</v>
      </c>
      <c r="I862" s="1">
        <v>58.635819892473116</v>
      </c>
      <c r="J862" s="1">
        <v>84491.679197343852</v>
      </c>
      <c r="K862" s="1">
        <v>65.5</v>
      </c>
      <c r="L862" s="1">
        <v>66</v>
      </c>
      <c r="M862" s="1">
        <v>65.536997519799272</v>
      </c>
      <c r="N862" s="1">
        <v>5525438</v>
      </c>
    </row>
    <row r="863" spans="1:14" x14ac:dyDescent="0.35">
      <c r="A863" s="1" t="s">
        <v>49</v>
      </c>
      <c r="B863" s="1">
        <v>202601</v>
      </c>
      <c r="C863" s="1" t="str">
        <f>MID(analisis_productividad__4[[#This Row],[Periodo]],1,4)</f>
        <v>2026</v>
      </c>
      <c r="D863" s="1" t="str">
        <f>MID(analisis_productividad__4[[#This Row],[Periodo]],5,2)</f>
        <v>01</v>
      </c>
      <c r="E863" s="1" t="s">
        <v>16</v>
      </c>
      <c r="F863" s="1" t="s">
        <v>21</v>
      </c>
      <c r="G863" s="1">
        <v>94435</v>
      </c>
      <c r="H863" s="1">
        <v>5732262</v>
      </c>
      <c r="I863" s="1">
        <v>60.700913978494611</v>
      </c>
      <c r="J863" s="1">
        <v>90712.841362653344</v>
      </c>
      <c r="K863" s="1">
        <v>75.5</v>
      </c>
      <c r="L863" s="1">
        <v>68</v>
      </c>
      <c r="M863" s="1">
        <v>66.56902434528007</v>
      </c>
      <c r="N863" s="1">
        <v>6038665</v>
      </c>
    </row>
    <row r="864" spans="1:14" x14ac:dyDescent="0.35">
      <c r="A864" s="1" t="s">
        <v>25</v>
      </c>
      <c r="B864" s="1">
        <v>202407</v>
      </c>
      <c r="C864" s="1" t="str">
        <f>MID(analisis_productividad__4[[#This Row],[Periodo]],1,4)</f>
        <v>2024</v>
      </c>
      <c r="D864" s="1" t="str">
        <f>MID(analisis_productividad__4[[#This Row],[Periodo]],5,2)</f>
        <v>07</v>
      </c>
      <c r="E864" s="1" t="s">
        <v>16</v>
      </c>
      <c r="F864" s="1" t="s">
        <v>19</v>
      </c>
      <c r="G864" s="1">
        <v>94419</v>
      </c>
      <c r="H864" s="1">
        <v>8097795</v>
      </c>
      <c r="I864" s="1">
        <v>85.764818548387126</v>
      </c>
      <c r="J864" s="1">
        <v>0</v>
      </c>
      <c r="K864" s="1">
        <v>94</v>
      </c>
      <c r="L864" s="1">
        <v>92</v>
      </c>
      <c r="M864" s="1"/>
      <c r="N864" s="1">
        <v>0</v>
      </c>
    </row>
    <row r="865" spans="1:14" x14ac:dyDescent="0.35">
      <c r="A865" s="1" t="s">
        <v>43</v>
      </c>
      <c r="B865" s="1">
        <v>202501</v>
      </c>
      <c r="C865" s="1" t="str">
        <f>MID(analisis_productividad__4[[#This Row],[Periodo]],1,4)</f>
        <v>2025</v>
      </c>
      <c r="D865" s="1" t="str">
        <f>MID(analisis_productividad__4[[#This Row],[Periodo]],5,2)</f>
        <v>01</v>
      </c>
      <c r="E865" s="1" t="s">
        <v>11</v>
      </c>
      <c r="F865" s="1" t="s">
        <v>12</v>
      </c>
      <c r="G865" s="1">
        <v>94405</v>
      </c>
      <c r="H865" s="1">
        <v>6778287</v>
      </c>
      <c r="I865" s="1">
        <v>71.799959677419338</v>
      </c>
      <c r="J865" s="1">
        <v>89102.895879688251</v>
      </c>
      <c r="K865" s="1">
        <v>84.5</v>
      </c>
      <c r="L865" s="1">
        <v>86.5</v>
      </c>
      <c r="M865" s="1">
        <v>76.072575454252643</v>
      </c>
      <c r="N865" s="1">
        <v>6456367</v>
      </c>
    </row>
    <row r="866" spans="1:14" x14ac:dyDescent="0.35">
      <c r="A866" s="1" t="s">
        <v>25</v>
      </c>
      <c r="B866" s="1">
        <v>202505</v>
      </c>
      <c r="C866" s="1" t="str">
        <f>MID(analisis_productividad__4[[#This Row],[Periodo]],1,4)</f>
        <v>2025</v>
      </c>
      <c r="D866" s="1" t="str">
        <f>MID(analisis_productividad__4[[#This Row],[Periodo]],5,2)</f>
        <v>05</v>
      </c>
      <c r="E866" s="1" t="s">
        <v>16</v>
      </c>
      <c r="F866" s="1" t="s">
        <v>19</v>
      </c>
      <c r="G866" s="1">
        <v>94403</v>
      </c>
      <c r="H866" s="1">
        <v>8347340</v>
      </c>
      <c r="I866" s="1">
        <v>88.422231182795755</v>
      </c>
      <c r="J866" s="1">
        <v>91152.400195018912</v>
      </c>
      <c r="K866" s="1">
        <v>94</v>
      </c>
      <c r="L866" s="1">
        <v>92</v>
      </c>
      <c r="M866" s="1">
        <v>91.575643780536936</v>
      </c>
      <c r="N866" s="1">
        <v>7748843</v>
      </c>
    </row>
    <row r="867" spans="1:14" x14ac:dyDescent="0.35">
      <c r="A867" s="1" t="s">
        <v>56</v>
      </c>
      <c r="B867" s="1">
        <v>202606</v>
      </c>
      <c r="C867" s="1" t="str">
        <f>MID(analisis_productividad__4[[#This Row],[Periodo]],1,4)</f>
        <v>2026</v>
      </c>
      <c r="D867" s="1" t="str">
        <f>MID(analisis_productividad__4[[#This Row],[Periodo]],5,2)</f>
        <v>06</v>
      </c>
      <c r="E867" s="1" t="s">
        <v>16</v>
      </c>
      <c r="F867" s="1" t="s">
        <v>21</v>
      </c>
      <c r="G867" s="1">
        <v>94382</v>
      </c>
      <c r="H867" s="1">
        <v>5474442</v>
      </c>
      <c r="I867" s="1">
        <v>58.003312500000682</v>
      </c>
      <c r="J867" s="1">
        <v>101599.7146969739</v>
      </c>
      <c r="K867" s="1">
        <v>72.5</v>
      </c>
      <c r="L867" s="1">
        <v>68.5</v>
      </c>
      <c r="M867" s="1">
        <v>63.042188618377821</v>
      </c>
      <c r="N867" s="1">
        <v>6405068</v>
      </c>
    </row>
    <row r="868" spans="1:14" x14ac:dyDescent="0.35">
      <c r="A868" s="1" t="s">
        <v>13</v>
      </c>
      <c r="B868" s="1">
        <v>202402</v>
      </c>
      <c r="C868" s="1" t="str">
        <f>MID(analisis_productividad__4[[#This Row],[Periodo]],1,4)</f>
        <v>2024</v>
      </c>
      <c r="D868" s="1" t="str">
        <f>MID(analisis_productividad__4[[#This Row],[Periodo]],5,2)</f>
        <v>02</v>
      </c>
      <c r="E868" s="1" t="s">
        <v>11</v>
      </c>
      <c r="F868" s="1" t="s">
        <v>14</v>
      </c>
      <c r="G868" s="1">
        <v>94377</v>
      </c>
      <c r="H868" s="1">
        <v>8524599</v>
      </c>
      <c r="I868" s="1">
        <v>90.325395114942538</v>
      </c>
      <c r="J868" s="1">
        <v>0</v>
      </c>
      <c r="K868" s="1">
        <v>100</v>
      </c>
      <c r="L868" s="1">
        <v>98</v>
      </c>
      <c r="M868" s="1"/>
      <c r="N868" s="1">
        <v>0</v>
      </c>
    </row>
    <row r="869" spans="1:14" x14ac:dyDescent="0.35">
      <c r="A869" s="1" t="s">
        <v>25</v>
      </c>
      <c r="B869" s="1">
        <v>202504</v>
      </c>
      <c r="C869" s="1" t="str">
        <f>MID(analisis_productividad__4[[#This Row],[Periodo]],1,4)</f>
        <v>2025</v>
      </c>
      <c r="D869" s="1" t="str">
        <f>MID(analisis_productividad__4[[#This Row],[Periodo]],5,2)</f>
        <v>04</v>
      </c>
      <c r="E869" s="1" t="s">
        <v>16</v>
      </c>
      <c r="F869" s="1" t="s">
        <v>19</v>
      </c>
      <c r="G869" s="1">
        <v>94285</v>
      </c>
      <c r="H869" s="1">
        <v>8494729</v>
      </c>
      <c r="I869" s="1">
        <v>90.096416666666713</v>
      </c>
      <c r="J869" s="1">
        <v>96612.817347702905</v>
      </c>
      <c r="K869" s="1">
        <v>94</v>
      </c>
      <c r="L869" s="1">
        <v>92</v>
      </c>
      <c r="M869" s="1">
        <v>87.925490770319371</v>
      </c>
      <c r="N869" s="1">
        <v>7662704</v>
      </c>
    </row>
    <row r="870" spans="1:14" x14ac:dyDescent="0.35">
      <c r="A870" s="1" t="s">
        <v>24</v>
      </c>
      <c r="B870" s="1">
        <v>202406</v>
      </c>
      <c r="C870" s="1" t="str">
        <f>MID(analisis_productividad__4[[#This Row],[Periodo]],1,4)</f>
        <v>2024</v>
      </c>
      <c r="D870" s="1" t="str">
        <f>MID(analisis_productividad__4[[#This Row],[Periodo]],5,2)</f>
        <v>06</v>
      </c>
      <c r="E870" s="1" t="s">
        <v>16</v>
      </c>
      <c r="F870" s="1" t="s">
        <v>21</v>
      </c>
      <c r="G870" s="1">
        <v>94245</v>
      </c>
      <c r="H870" s="1">
        <v>9804161</v>
      </c>
      <c r="I870" s="1">
        <v>104.02855555555558</v>
      </c>
      <c r="J870" s="1">
        <v>0</v>
      </c>
      <c r="K870" s="1">
        <v>125</v>
      </c>
      <c r="L870" s="1">
        <v>118.5</v>
      </c>
      <c r="M870" s="1"/>
      <c r="N870" s="1">
        <v>0</v>
      </c>
    </row>
    <row r="871" spans="1:14" x14ac:dyDescent="0.35">
      <c r="A871" s="1" t="s">
        <v>27</v>
      </c>
      <c r="B871" s="1">
        <v>202411</v>
      </c>
      <c r="C871" s="1" t="str">
        <f>MID(analisis_productividad__4[[#This Row],[Periodo]],1,4)</f>
        <v>2024</v>
      </c>
      <c r="D871" s="1" t="str">
        <f>MID(analisis_productividad__4[[#This Row],[Periodo]],5,2)</f>
        <v>11</v>
      </c>
      <c r="E871" s="1" t="s">
        <v>11</v>
      </c>
      <c r="F871" s="1" t="s">
        <v>14</v>
      </c>
      <c r="G871" s="1">
        <v>94232</v>
      </c>
      <c r="H871" s="1">
        <v>7611920</v>
      </c>
      <c r="I871" s="1">
        <v>80.778444444444446</v>
      </c>
      <c r="J871" s="1">
        <v>0</v>
      </c>
      <c r="K871" s="1">
        <v>88</v>
      </c>
      <c r="L871" s="1">
        <v>84</v>
      </c>
      <c r="M871" s="1"/>
      <c r="N871" s="1">
        <v>0</v>
      </c>
    </row>
    <row r="872" spans="1:14" x14ac:dyDescent="0.35">
      <c r="A872" s="1" t="s">
        <v>55</v>
      </c>
      <c r="B872" s="1">
        <v>202501</v>
      </c>
      <c r="C872" s="1" t="str">
        <f>MID(analisis_productividad__4[[#This Row],[Periodo]],1,4)</f>
        <v>2025</v>
      </c>
      <c r="D872" s="1" t="str">
        <f>MID(analisis_productividad__4[[#This Row],[Periodo]],5,2)</f>
        <v>01</v>
      </c>
      <c r="E872" s="1" t="s">
        <v>16</v>
      </c>
      <c r="F872" s="1" t="s">
        <v>21</v>
      </c>
      <c r="G872" s="1">
        <v>94175</v>
      </c>
      <c r="H872" s="1">
        <v>4611334</v>
      </c>
      <c r="I872" s="1">
        <v>48.965564516129028</v>
      </c>
      <c r="J872" s="1">
        <v>109536.47790537088</v>
      </c>
      <c r="K872" s="1">
        <v>55</v>
      </c>
      <c r="L872" s="1">
        <v>50.5</v>
      </c>
      <c r="M872" s="1">
        <v>42.098611879631143</v>
      </c>
      <c r="N872" s="1">
        <v>4820393</v>
      </c>
    </row>
    <row r="873" spans="1:14" x14ac:dyDescent="0.35">
      <c r="A873" s="1" t="s">
        <v>57</v>
      </c>
      <c r="B873" s="1">
        <v>202508</v>
      </c>
      <c r="C873" s="1" t="str">
        <f>MID(analisis_productividad__4[[#This Row],[Periodo]],1,4)</f>
        <v>2025</v>
      </c>
      <c r="D873" s="1" t="str">
        <f>MID(analisis_productividad__4[[#This Row],[Periodo]],5,2)</f>
        <v>08</v>
      </c>
      <c r="E873" s="1" t="s">
        <v>16</v>
      </c>
      <c r="F873" s="1" t="s">
        <v>19</v>
      </c>
      <c r="G873" s="1">
        <v>94151</v>
      </c>
      <c r="H873" s="1">
        <v>5625500</v>
      </c>
      <c r="I873" s="1">
        <v>59.749798387096774</v>
      </c>
      <c r="J873" s="1">
        <v>95837.99994948681</v>
      </c>
      <c r="K873" s="1">
        <v>71</v>
      </c>
      <c r="L873" s="1">
        <v>74.5</v>
      </c>
      <c r="M873" s="1">
        <v>58.698009588733306</v>
      </c>
      <c r="N873" s="1">
        <v>5967955</v>
      </c>
    </row>
    <row r="874" spans="1:14" x14ac:dyDescent="0.35">
      <c r="A874" s="1" t="s">
        <v>55</v>
      </c>
      <c r="B874" s="1">
        <v>202505</v>
      </c>
      <c r="C874" s="1" t="str">
        <f>MID(analisis_productividad__4[[#This Row],[Periodo]],1,4)</f>
        <v>2025</v>
      </c>
      <c r="D874" s="1" t="str">
        <f>MID(analisis_productividad__4[[#This Row],[Periodo]],5,2)</f>
        <v>05</v>
      </c>
      <c r="E874" s="1" t="s">
        <v>16</v>
      </c>
      <c r="F874" s="1" t="s">
        <v>21</v>
      </c>
      <c r="G874" s="1">
        <v>94142</v>
      </c>
      <c r="H874" s="1">
        <v>4603620</v>
      </c>
      <c r="I874" s="1">
        <v>48.900739247311819</v>
      </c>
      <c r="J874" s="1">
        <v>96436.927844726175</v>
      </c>
      <c r="K874" s="1">
        <v>55</v>
      </c>
      <c r="L874" s="1">
        <v>50.5</v>
      </c>
      <c r="M874" s="1">
        <v>47.737109973187088</v>
      </c>
      <c r="N874" s="1">
        <v>4979171</v>
      </c>
    </row>
    <row r="875" spans="1:14" x14ac:dyDescent="0.35">
      <c r="A875" s="1" t="s">
        <v>61</v>
      </c>
      <c r="B875" s="1">
        <v>202501</v>
      </c>
      <c r="C875" s="1" t="str">
        <f>MID(analisis_productividad__4[[#This Row],[Periodo]],1,4)</f>
        <v>2025</v>
      </c>
      <c r="D875" s="1" t="str">
        <f>MID(analisis_productividad__4[[#This Row],[Periodo]],5,2)</f>
        <v>01</v>
      </c>
      <c r="E875" s="1" t="s">
        <v>11</v>
      </c>
      <c r="F875" s="1" t="s">
        <v>52</v>
      </c>
      <c r="G875" s="1">
        <v>94129</v>
      </c>
      <c r="H875" s="1">
        <v>8652871</v>
      </c>
      <c r="I875" s="1">
        <v>91.92571236559138</v>
      </c>
      <c r="J875" s="1">
        <v>95248.542454725233</v>
      </c>
      <c r="K875" s="1">
        <v>104.5</v>
      </c>
      <c r="L875" s="1">
        <v>99</v>
      </c>
      <c r="M875" s="1">
        <v>90.845175338121265</v>
      </c>
      <c r="N875" s="1">
        <v>8960280</v>
      </c>
    </row>
    <row r="876" spans="1:14" x14ac:dyDescent="0.35">
      <c r="A876" s="1" t="s">
        <v>43</v>
      </c>
      <c r="B876" s="1">
        <v>202407</v>
      </c>
      <c r="C876" s="1" t="str">
        <f>MID(analisis_productividad__4[[#This Row],[Periodo]],1,4)</f>
        <v>2024</v>
      </c>
      <c r="D876" s="1" t="str">
        <f>MID(analisis_productividad__4[[#This Row],[Periodo]],5,2)</f>
        <v>07</v>
      </c>
      <c r="E876" s="1" t="s">
        <v>11</v>
      </c>
      <c r="F876" s="1" t="s">
        <v>12</v>
      </c>
      <c r="G876" s="1">
        <v>94115</v>
      </c>
      <c r="H876" s="1">
        <v>7633865</v>
      </c>
      <c r="I876" s="1">
        <v>81.112217741935439</v>
      </c>
      <c r="J876" s="1">
        <v>0</v>
      </c>
      <c r="K876" s="1">
        <v>84.5</v>
      </c>
      <c r="L876" s="1">
        <v>86.5</v>
      </c>
      <c r="M876" s="1"/>
      <c r="N876" s="1">
        <v>0</v>
      </c>
    </row>
    <row r="877" spans="1:14" x14ac:dyDescent="0.35">
      <c r="A877" s="1" t="s">
        <v>50</v>
      </c>
      <c r="B877" s="1">
        <v>202507</v>
      </c>
      <c r="C877" s="1" t="str">
        <f>MID(analisis_productividad__4[[#This Row],[Periodo]],1,4)</f>
        <v>2025</v>
      </c>
      <c r="D877" s="1" t="str">
        <f>MID(analisis_productividad__4[[#This Row],[Periodo]],5,2)</f>
        <v>07</v>
      </c>
      <c r="E877" s="1" t="s">
        <v>34</v>
      </c>
      <c r="F877" s="1" t="s">
        <v>35</v>
      </c>
      <c r="G877" s="1">
        <v>94096</v>
      </c>
      <c r="H877" s="1">
        <v>5793049</v>
      </c>
      <c r="I877" s="1">
        <v>61.565000000000026</v>
      </c>
      <c r="J877" s="1">
        <v>101748.2860613809</v>
      </c>
      <c r="K877" s="1">
        <v>79.5</v>
      </c>
      <c r="L877" s="1">
        <v>72.5</v>
      </c>
      <c r="M877" s="1">
        <v>56.935098312174745</v>
      </c>
      <c r="N877" s="1">
        <v>6070535</v>
      </c>
    </row>
    <row r="878" spans="1:14" x14ac:dyDescent="0.35">
      <c r="A878" s="1" t="s">
        <v>59</v>
      </c>
      <c r="B878" s="1">
        <v>202406</v>
      </c>
      <c r="C878" s="1" t="str">
        <f>MID(analisis_productividad__4[[#This Row],[Periodo]],1,4)</f>
        <v>2024</v>
      </c>
      <c r="D878" s="1" t="str">
        <f>MID(analisis_productividad__4[[#This Row],[Periodo]],5,2)</f>
        <v>06</v>
      </c>
      <c r="E878" s="1" t="s">
        <v>11</v>
      </c>
      <c r="F878" s="1" t="s">
        <v>12</v>
      </c>
      <c r="G878" s="1">
        <v>94095</v>
      </c>
      <c r="H878" s="1">
        <v>7865898</v>
      </c>
      <c r="I878" s="1">
        <v>83.594874999999973</v>
      </c>
      <c r="J878" s="1">
        <v>0</v>
      </c>
      <c r="K878" s="1">
        <v>94.5</v>
      </c>
      <c r="L878" s="1">
        <v>97</v>
      </c>
      <c r="M878" s="1"/>
      <c r="N878" s="1">
        <v>0</v>
      </c>
    </row>
    <row r="879" spans="1:14" x14ac:dyDescent="0.35">
      <c r="A879" s="1" t="s">
        <v>28</v>
      </c>
      <c r="B879" s="1">
        <v>202410</v>
      </c>
      <c r="C879" s="1" t="str">
        <f>MID(analisis_productividad__4[[#This Row],[Periodo]],1,4)</f>
        <v>2024</v>
      </c>
      <c r="D879" s="1" t="str">
        <f>MID(analisis_productividad__4[[#This Row],[Periodo]],5,2)</f>
        <v>10</v>
      </c>
      <c r="E879" s="1" t="s">
        <v>16</v>
      </c>
      <c r="F879" s="1" t="s">
        <v>17</v>
      </c>
      <c r="G879" s="1">
        <v>94053</v>
      </c>
      <c r="H879" s="1">
        <v>5246520</v>
      </c>
      <c r="I879" s="1">
        <v>55.782520161290336</v>
      </c>
      <c r="J879" s="1">
        <v>0</v>
      </c>
      <c r="K879" s="1">
        <v>64</v>
      </c>
      <c r="L879" s="1">
        <v>67</v>
      </c>
      <c r="M879" s="1"/>
      <c r="N879" s="1">
        <v>0</v>
      </c>
    </row>
    <row r="880" spans="1:14" x14ac:dyDescent="0.35">
      <c r="A880" s="1" t="s">
        <v>131</v>
      </c>
      <c r="B880" s="1">
        <v>202409</v>
      </c>
      <c r="C880" s="1" t="str">
        <f>MID(analisis_productividad__4[[#This Row],[Periodo]],1,4)</f>
        <v>2024</v>
      </c>
      <c r="D880" s="1" t="str">
        <f>MID(analisis_productividad__4[[#This Row],[Periodo]],5,2)</f>
        <v>09</v>
      </c>
      <c r="E880" s="1" t="s">
        <v>16</v>
      </c>
      <c r="F880" s="1" t="s">
        <v>21</v>
      </c>
      <c r="G880" s="1">
        <v>94038</v>
      </c>
      <c r="H880" s="1">
        <v>10985952</v>
      </c>
      <c r="I880" s="1">
        <v>116.8241180555555</v>
      </c>
      <c r="J880" s="1">
        <v>0</v>
      </c>
      <c r="K880" s="1">
        <v>99</v>
      </c>
      <c r="L880" s="1">
        <v>32.5</v>
      </c>
      <c r="M880" s="1"/>
      <c r="N880" s="1">
        <v>0</v>
      </c>
    </row>
    <row r="881" spans="1:14" x14ac:dyDescent="0.35">
      <c r="A881" s="1" t="s">
        <v>32</v>
      </c>
      <c r="B881" s="1">
        <v>202508</v>
      </c>
      <c r="C881" s="1" t="str">
        <f>MID(analisis_productividad__4[[#This Row],[Periodo]],1,4)</f>
        <v>2025</v>
      </c>
      <c r="D881" s="1" t="str">
        <f>MID(analisis_productividad__4[[#This Row],[Periodo]],5,2)</f>
        <v>08</v>
      </c>
      <c r="E881" s="1" t="s">
        <v>11</v>
      </c>
      <c r="F881" s="1" t="s">
        <v>12</v>
      </c>
      <c r="G881" s="1">
        <v>94035</v>
      </c>
      <c r="H881" s="1">
        <v>5154384</v>
      </c>
      <c r="I881" s="1">
        <v>54.813293010752687</v>
      </c>
      <c r="J881" s="1">
        <v>97197.647267207358</v>
      </c>
      <c r="K881" s="1">
        <v>65.5</v>
      </c>
      <c r="L881" s="1">
        <v>66</v>
      </c>
      <c r="M881" s="1">
        <v>53.029920835738082</v>
      </c>
      <c r="N881" s="1">
        <v>5420372</v>
      </c>
    </row>
    <row r="882" spans="1:14" x14ac:dyDescent="0.35">
      <c r="A882" s="1" t="s">
        <v>47</v>
      </c>
      <c r="B882" s="1">
        <v>202412</v>
      </c>
      <c r="C882" s="1" t="str">
        <f>MID(analisis_productividad__4[[#This Row],[Periodo]],1,4)</f>
        <v>2024</v>
      </c>
      <c r="D882" s="1" t="str">
        <f>MID(analisis_productividad__4[[#This Row],[Periodo]],5,2)</f>
        <v>12</v>
      </c>
      <c r="E882" s="1" t="s">
        <v>11</v>
      </c>
      <c r="F882" s="1" t="s">
        <v>14</v>
      </c>
      <c r="G882" s="1">
        <v>94022</v>
      </c>
      <c r="H882" s="1">
        <v>5973585</v>
      </c>
      <c r="I882" s="1">
        <v>63.533655913978521</v>
      </c>
      <c r="J882" s="1">
        <v>0</v>
      </c>
      <c r="K882" s="1">
        <v>61.5</v>
      </c>
      <c r="L882" s="1">
        <v>48.5</v>
      </c>
      <c r="M882" s="1"/>
      <c r="N882" s="1">
        <v>0</v>
      </c>
    </row>
    <row r="883" spans="1:14" x14ac:dyDescent="0.35">
      <c r="A883" s="1" t="s">
        <v>39</v>
      </c>
      <c r="B883" s="1">
        <v>202408</v>
      </c>
      <c r="C883" s="1" t="str">
        <f>MID(analisis_productividad__4[[#This Row],[Periodo]],1,4)</f>
        <v>2024</v>
      </c>
      <c r="D883" s="1" t="str">
        <f>MID(analisis_productividad__4[[#This Row],[Periodo]],5,2)</f>
        <v>08</v>
      </c>
      <c r="E883" s="1" t="s">
        <v>16</v>
      </c>
      <c r="F883" s="1" t="s">
        <v>17</v>
      </c>
      <c r="G883" s="1">
        <v>94018</v>
      </c>
      <c r="H883" s="1">
        <v>8640476</v>
      </c>
      <c r="I883" s="1">
        <v>91.902614247311732</v>
      </c>
      <c r="J883" s="1">
        <v>0</v>
      </c>
      <c r="K883" s="1">
        <v>93.5</v>
      </c>
      <c r="L883" s="1">
        <v>94</v>
      </c>
      <c r="M883" s="1"/>
      <c r="N883" s="1">
        <v>0</v>
      </c>
    </row>
    <row r="884" spans="1:14" x14ac:dyDescent="0.35">
      <c r="A884" s="1" t="s">
        <v>77</v>
      </c>
      <c r="B884" s="1">
        <v>202603</v>
      </c>
      <c r="C884" s="1" t="str">
        <f>MID(analisis_productividad__4[[#This Row],[Periodo]],1,4)</f>
        <v>2026</v>
      </c>
      <c r="D884" s="1" t="str">
        <f>MID(analisis_productividad__4[[#This Row],[Periodo]],5,2)</f>
        <v>03</v>
      </c>
      <c r="E884" s="1" t="s">
        <v>16</v>
      </c>
      <c r="F884" s="1" t="s">
        <v>21</v>
      </c>
      <c r="G884" s="1">
        <v>94008</v>
      </c>
      <c r="H884" s="1">
        <v>5387372</v>
      </c>
      <c r="I884" s="1">
        <v>57.307419354838707</v>
      </c>
      <c r="J884" s="1">
        <v>96406.587796308653</v>
      </c>
      <c r="K884" s="1">
        <v>60.5</v>
      </c>
      <c r="L884" s="1">
        <v>60.5</v>
      </c>
      <c r="M884" s="1">
        <v>53.343390369396616</v>
      </c>
      <c r="N884" s="1">
        <v>5142654</v>
      </c>
    </row>
    <row r="885" spans="1:14" x14ac:dyDescent="0.35">
      <c r="A885" s="1" t="s">
        <v>63</v>
      </c>
      <c r="B885" s="1">
        <v>202601</v>
      </c>
      <c r="C885" s="1" t="str">
        <f>MID(analisis_productividad__4[[#This Row],[Periodo]],1,4)</f>
        <v>2026</v>
      </c>
      <c r="D885" s="1" t="str">
        <f>MID(analisis_productividad__4[[#This Row],[Periodo]],5,2)</f>
        <v>01</v>
      </c>
      <c r="E885" s="1" t="s">
        <v>16</v>
      </c>
      <c r="F885" s="1" t="s">
        <v>17</v>
      </c>
      <c r="G885" s="1">
        <v>94005</v>
      </c>
      <c r="H885" s="1">
        <v>6780165</v>
      </c>
      <c r="I885" s="1">
        <v>72.125544354838681</v>
      </c>
      <c r="J885" s="1">
        <v>119655.23794154664</v>
      </c>
      <c r="K885" s="1">
        <v>86.5</v>
      </c>
      <c r="L885" s="1">
        <v>81.5</v>
      </c>
      <c r="M885" s="1">
        <v>76.26782259426129</v>
      </c>
      <c r="N885" s="1">
        <v>9125844</v>
      </c>
    </row>
    <row r="886" spans="1:14" x14ac:dyDescent="0.35">
      <c r="A886" s="1" t="s">
        <v>64</v>
      </c>
      <c r="B886" s="1">
        <v>202403</v>
      </c>
      <c r="C886" s="1" t="str">
        <f>MID(analisis_productividad__4[[#This Row],[Periodo]],1,4)</f>
        <v>2024</v>
      </c>
      <c r="D886" s="1" t="str">
        <f>MID(analisis_productividad__4[[#This Row],[Periodo]],5,2)</f>
        <v>03</v>
      </c>
      <c r="E886" s="1" t="s">
        <v>16</v>
      </c>
      <c r="F886" s="1" t="s">
        <v>21</v>
      </c>
      <c r="G886" s="1">
        <v>93968</v>
      </c>
      <c r="H886" s="1">
        <v>7740735</v>
      </c>
      <c r="I886" s="1">
        <v>82.376169354838723</v>
      </c>
      <c r="J886" s="1">
        <v>0</v>
      </c>
      <c r="K886" s="1">
        <v>88.5</v>
      </c>
      <c r="L886" s="1">
        <v>92.5</v>
      </c>
      <c r="M886" s="1"/>
      <c r="N886" s="1">
        <v>0</v>
      </c>
    </row>
    <row r="887" spans="1:14" x14ac:dyDescent="0.35">
      <c r="A887" s="1" t="s">
        <v>18</v>
      </c>
      <c r="B887" s="1">
        <v>202411</v>
      </c>
      <c r="C887" s="1" t="str">
        <f>MID(analisis_productividad__4[[#This Row],[Periodo]],1,4)</f>
        <v>2024</v>
      </c>
      <c r="D887" s="1" t="str">
        <f>MID(analisis_productividad__4[[#This Row],[Periodo]],5,2)</f>
        <v>11</v>
      </c>
      <c r="E887" s="1" t="s">
        <v>16</v>
      </c>
      <c r="F887" s="1" t="s">
        <v>19</v>
      </c>
      <c r="G887" s="1">
        <v>93942</v>
      </c>
      <c r="H887" s="1">
        <v>5957710</v>
      </c>
      <c r="I887" s="1">
        <v>63.418881944444472</v>
      </c>
      <c r="J887" s="1">
        <v>0</v>
      </c>
      <c r="K887" s="1">
        <v>70.5</v>
      </c>
      <c r="L887" s="1">
        <v>69.5</v>
      </c>
      <c r="M887" s="1"/>
      <c r="N887" s="1">
        <v>0</v>
      </c>
    </row>
    <row r="888" spans="1:14" x14ac:dyDescent="0.35">
      <c r="A888" s="1" t="s">
        <v>51</v>
      </c>
      <c r="B888" s="1">
        <v>202402</v>
      </c>
      <c r="C888" s="1" t="str">
        <f>MID(analisis_productividad__4[[#This Row],[Periodo]],1,4)</f>
        <v>2024</v>
      </c>
      <c r="D888" s="1" t="str">
        <f>MID(analisis_productividad__4[[#This Row],[Periodo]],5,2)</f>
        <v>02</v>
      </c>
      <c r="E888" s="1" t="s">
        <v>11</v>
      </c>
      <c r="F888" s="1" t="s">
        <v>52</v>
      </c>
      <c r="G888" s="1">
        <v>93913</v>
      </c>
      <c r="H888" s="1">
        <v>8815777</v>
      </c>
      <c r="I888" s="1">
        <v>93.872061781609176</v>
      </c>
      <c r="J888" s="1">
        <v>0</v>
      </c>
      <c r="K888" s="1">
        <v>117.5</v>
      </c>
      <c r="L888" s="1">
        <v>99</v>
      </c>
      <c r="M888" s="1"/>
      <c r="N888" s="1">
        <v>0</v>
      </c>
    </row>
    <row r="889" spans="1:14" x14ac:dyDescent="0.35">
      <c r="A889" s="1" t="s">
        <v>40</v>
      </c>
      <c r="B889" s="1">
        <v>202508</v>
      </c>
      <c r="C889" s="1" t="str">
        <f>MID(analisis_productividad__4[[#This Row],[Periodo]],1,4)</f>
        <v>2025</v>
      </c>
      <c r="D889" s="1" t="str">
        <f>MID(analisis_productividad__4[[#This Row],[Periodo]],5,2)</f>
        <v>08</v>
      </c>
      <c r="E889" s="1" t="s">
        <v>11</v>
      </c>
      <c r="F889" s="1" t="s">
        <v>14</v>
      </c>
      <c r="G889" s="1">
        <v>93902</v>
      </c>
      <c r="H889" s="1">
        <v>5540328</v>
      </c>
      <c r="I889" s="1">
        <v>59.001485215053755</v>
      </c>
      <c r="J889" s="1">
        <v>97865.645380498026</v>
      </c>
      <c r="K889" s="1">
        <v>76.5</v>
      </c>
      <c r="L889" s="1">
        <v>75.5</v>
      </c>
      <c r="M889" s="1">
        <v>56.611574352362418</v>
      </c>
      <c r="N889" s="1">
        <v>6013045</v>
      </c>
    </row>
    <row r="890" spans="1:14" x14ac:dyDescent="0.35">
      <c r="A890" s="1" t="s">
        <v>65</v>
      </c>
      <c r="B890" s="1">
        <v>202604</v>
      </c>
      <c r="C890" s="1" t="str">
        <f>MID(analisis_productividad__4[[#This Row],[Periodo]],1,4)</f>
        <v>2026</v>
      </c>
      <c r="D890" s="1" t="str">
        <f>MID(analisis_productividad__4[[#This Row],[Periodo]],5,2)</f>
        <v>04</v>
      </c>
      <c r="E890" s="1" t="s">
        <v>16</v>
      </c>
      <c r="F890" s="1" t="s">
        <v>19</v>
      </c>
      <c r="G890" s="1">
        <v>93900</v>
      </c>
      <c r="H890" s="1">
        <v>6003071</v>
      </c>
      <c r="I890" s="1">
        <v>63.930562500000931</v>
      </c>
      <c r="J890" s="1">
        <v>92739.829586351334</v>
      </c>
      <c r="K890" s="1">
        <v>68</v>
      </c>
      <c r="L890" s="1">
        <v>68.5</v>
      </c>
      <c r="M890" s="1">
        <v>60.397061823201135</v>
      </c>
      <c r="N890" s="1">
        <v>5601213</v>
      </c>
    </row>
    <row r="891" spans="1:14" x14ac:dyDescent="0.35">
      <c r="A891" s="1" t="s">
        <v>63</v>
      </c>
      <c r="B891" s="1">
        <v>202604</v>
      </c>
      <c r="C891" s="1" t="str">
        <f>MID(analisis_productividad__4[[#This Row],[Periodo]],1,4)</f>
        <v>2026</v>
      </c>
      <c r="D891" s="1" t="str">
        <f>MID(analisis_productividad__4[[#This Row],[Periodo]],5,2)</f>
        <v>04</v>
      </c>
      <c r="E891" s="1" t="s">
        <v>16</v>
      </c>
      <c r="F891" s="1" t="s">
        <v>17</v>
      </c>
      <c r="G891" s="1">
        <v>93893</v>
      </c>
      <c r="H891" s="1">
        <v>7255945</v>
      </c>
      <c r="I891" s="1">
        <v>77.278979166667298</v>
      </c>
      <c r="J891" s="1">
        <v>94290.432360410734</v>
      </c>
      <c r="K891" s="1">
        <v>86.5</v>
      </c>
      <c r="L891" s="1">
        <v>81.5</v>
      </c>
      <c r="M891" s="1">
        <v>76.26782259426129</v>
      </c>
      <c r="N891" s="1">
        <v>7191326</v>
      </c>
    </row>
    <row r="892" spans="1:14" x14ac:dyDescent="0.35">
      <c r="A892" s="1" t="s">
        <v>61</v>
      </c>
      <c r="B892" s="1">
        <v>202406</v>
      </c>
      <c r="C892" s="1" t="str">
        <f>MID(analisis_productividad__4[[#This Row],[Periodo]],1,4)</f>
        <v>2024</v>
      </c>
      <c r="D892" s="1" t="str">
        <f>MID(analisis_productividad__4[[#This Row],[Periodo]],5,2)</f>
        <v>06</v>
      </c>
      <c r="E892" s="1" t="s">
        <v>11</v>
      </c>
      <c r="F892" s="1" t="s">
        <v>52</v>
      </c>
      <c r="G892" s="1">
        <v>93879</v>
      </c>
      <c r="H892" s="1">
        <v>8785062</v>
      </c>
      <c r="I892" s="1">
        <v>93.57823611111111</v>
      </c>
      <c r="J892" s="1">
        <v>0</v>
      </c>
      <c r="K892" s="1">
        <v>104.5</v>
      </c>
      <c r="L892" s="1">
        <v>99</v>
      </c>
      <c r="M892" s="1"/>
      <c r="N892" s="1">
        <v>0</v>
      </c>
    </row>
    <row r="893" spans="1:14" x14ac:dyDescent="0.35">
      <c r="A893" s="1" t="s">
        <v>78</v>
      </c>
      <c r="B893" s="1">
        <v>202605</v>
      </c>
      <c r="C893" s="1" t="str">
        <f>MID(analisis_productividad__4[[#This Row],[Periodo]],1,4)</f>
        <v>2026</v>
      </c>
      <c r="D893" s="1" t="str">
        <f>MID(analisis_productividad__4[[#This Row],[Periodo]],5,2)</f>
        <v>05</v>
      </c>
      <c r="E893" s="1" t="s">
        <v>11</v>
      </c>
      <c r="F893" s="1" t="s">
        <v>14</v>
      </c>
      <c r="G893" s="1">
        <v>93869</v>
      </c>
      <c r="H893" s="1">
        <v>6072336</v>
      </c>
      <c r="I893" s="1">
        <v>64.689737903225463</v>
      </c>
      <c r="J893" s="1">
        <v>80253.555466750942</v>
      </c>
      <c r="K893" s="1">
        <v>79.5</v>
      </c>
      <c r="L893" s="1">
        <v>67</v>
      </c>
      <c r="M893" s="1">
        <v>68.682661472657543</v>
      </c>
      <c r="N893" s="1">
        <v>5512028</v>
      </c>
    </row>
    <row r="894" spans="1:14" x14ac:dyDescent="0.35">
      <c r="A894" s="1" t="s">
        <v>20</v>
      </c>
      <c r="B894" s="1">
        <v>202408</v>
      </c>
      <c r="C894" s="1" t="str">
        <f>MID(analisis_productividad__4[[#This Row],[Periodo]],1,4)</f>
        <v>2024</v>
      </c>
      <c r="D894" s="1" t="str">
        <f>MID(analisis_productividad__4[[#This Row],[Periodo]],5,2)</f>
        <v>08</v>
      </c>
      <c r="E894" s="1" t="s">
        <v>16</v>
      </c>
      <c r="F894" s="1" t="s">
        <v>21</v>
      </c>
      <c r="G894" s="1">
        <v>93853</v>
      </c>
      <c r="H894" s="1">
        <v>8134366</v>
      </c>
      <c r="I894" s="1">
        <v>86.671008064516158</v>
      </c>
      <c r="J894" s="1">
        <v>0</v>
      </c>
      <c r="K894" s="1">
        <v>96.5</v>
      </c>
      <c r="L894" s="1">
        <v>94</v>
      </c>
      <c r="M894" s="1"/>
      <c r="N894" s="1">
        <v>0</v>
      </c>
    </row>
    <row r="895" spans="1:14" x14ac:dyDescent="0.35">
      <c r="A895" s="1" t="s">
        <v>61</v>
      </c>
      <c r="B895" s="1">
        <v>202510</v>
      </c>
      <c r="C895" s="1" t="str">
        <f>MID(analisis_productividad__4[[#This Row],[Periodo]],1,4)</f>
        <v>2025</v>
      </c>
      <c r="D895" s="1" t="str">
        <f>MID(analisis_productividad__4[[#This Row],[Periodo]],5,2)</f>
        <v>10</v>
      </c>
      <c r="E895" s="1" t="s">
        <v>11</v>
      </c>
      <c r="F895" s="1" t="s">
        <v>52</v>
      </c>
      <c r="G895" s="1">
        <v>93830</v>
      </c>
      <c r="H895" s="1">
        <v>8406490</v>
      </c>
      <c r="I895" s="1">
        <v>89.593037634408574</v>
      </c>
      <c r="J895" s="1">
        <v>96417.701445830564</v>
      </c>
      <c r="K895" s="1">
        <v>104.5</v>
      </c>
      <c r="L895" s="1">
        <v>99</v>
      </c>
      <c r="M895" s="1">
        <v>87.188239544612415</v>
      </c>
      <c r="N895" s="1">
        <v>9176907</v>
      </c>
    </row>
    <row r="896" spans="1:14" x14ac:dyDescent="0.35">
      <c r="A896" s="1" t="s">
        <v>43</v>
      </c>
      <c r="B896" s="1">
        <v>202406</v>
      </c>
      <c r="C896" s="1" t="str">
        <f>MID(analisis_productividad__4[[#This Row],[Periodo]],1,4)</f>
        <v>2024</v>
      </c>
      <c r="D896" s="1" t="str">
        <f>MID(analisis_productividad__4[[#This Row],[Periodo]],5,2)</f>
        <v>06</v>
      </c>
      <c r="E896" s="1" t="s">
        <v>11</v>
      </c>
      <c r="F896" s="1" t="s">
        <v>12</v>
      </c>
      <c r="G896" s="1">
        <v>93815</v>
      </c>
      <c r="H896" s="1">
        <v>7099340</v>
      </c>
      <c r="I896" s="1">
        <v>75.673597222222256</v>
      </c>
      <c r="J896" s="1">
        <v>0</v>
      </c>
      <c r="K896" s="1">
        <v>84.5</v>
      </c>
      <c r="L896" s="1">
        <v>86.5</v>
      </c>
      <c r="M896" s="1"/>
      <c r="N896" s="1">
        <v>0</v>
      </c>
    </row>
    <row r="897" spans="1:14" x14ac:dyDescent="0.35">
      <c r="A897" s="1" t="s">
        <v>64</v>
      </c>
      <c r="B897" s="1">
        <v>202602</v>
      </c>
      <c r="C897" s="1" t="str">
        <f>MID(analisis_productividad__4[[#This Row],[Periodo]],1,4)</f>
        <v>2026</v>
      </c>
      <c r="D897" s="1" t="str">
        <f>MID(analisis_productividad__4[[#This Row],[Periodo]],5,2)</f>
        <v>02</v>
      </c>
      <c r="E897" s="1" t="s">
        <v>16</v>
      </c>
      <c r="F897" s="1" t="s">
        <v>21</v>
      </c>
      <c r="G897" s="1">
        <v>93776</v>
      </c>
      <c r="H897" s="1">
        <v>9907585</v>
      </c>
      <c r="I897" s="1">
        <v>105.65171874999996</v>
      </c>
      <c r="J897" s="1">
        <v>72374.255859590325</v>
      </c>
      <c r="K897" s="1">
        <v>88.5</v>
      </c>
      <c r="L897" s="1">
        <v>92.5</v>
      </c>
      <c r="M897" s="1">
        <v>102.97612103755296</v>
      </c>
      <c r="N897" s="1">
        <v>7452820</v>
      </c>
    </row>
    <row r="898" spans="1:14" x14ac:dyDescent="0.35">
      <c r="A898" s="1" t="s">
        <v>37</v>
      </c>
      <c r="B898" s="1">
        <v>202504</v>
      </c>
      <c r="C898" s="1" t="str">
        <f>MID(analisis_productividad__4[[#This Row],[Periodo]],1,4)</f>
        <v>2025</v>
      </c>
      <c r="D898" s="1" t="str">
        <f>MID(analisis_productividad__4[[#This Row],[Periodo]],5,2)</f>
        <v>04</v>
      </c>
      <c r="E898" s="1" t="s">
        <v>16</v>
      </c>
      <c r="F898" s="1" t="s">
        <v>17</v>
      </c>
      <c r="G898" s="1">
        <v>93766</v>
      </c>
      <c r="H898" s="1">
        <v>9296042</v>
      </c>
      <c r="I898" s="1">
        <v>99.140513888888876</v>
      </c>
      <c r="J898" s="1">
        <v>94786.307702774371</v>
      </c>
      <c r="K898" s="1">
        <v>107.5</v>
      </c>
      <c r="L898" s="1">
        <v>102.5</v>
      </c>
      <c r="M898" s="1">
        <v>98.07368485277442</v>
      </c>
      <c r="N898" s="1">
        <v>10380714</v>
      </c>
    </row>
    <row r="899" spans="1:14" x14ac:dyDescent="0.35">
      <c r="A899" s="1" t="s">
        <v>87</v>
      </c>
      <c r="B899" s="1">
        <v>202504</v>
      </c>
      <c r="C899" s="1" t="str">
        <f>MID(analisis_productividad__4[[#This Row],[Periodo]],1,4)</f>
        <v>2025</v>
      </c>
      <c r="D899" s="1" t="str">
        <f>MID(analisis_productividad__4[[#This Row],[Periodo]],5,2)</f>
        <v>04</v>
      </c>
      <c r="E899" s="1" t="s">
        <v>9</v>
      </c>
      <c r="F899" s="1" t="s">
        <v>9</v>
      </c>
      <c r="G899" s="1">
        <v>93757</v>
      </c>
      <c r="H899" s="1">
        <v>911123</v>
      </c>
      <c r="I899" s="1">
        <v>9.7178958333333334</v>
      </c>
      <c r="J899" s="1">
        <v>98180.662804041203</v>
      </c>
      <c r="K899" s="1">
        <v>13.5</v>
      </c>
      <c r="L899" s="1">
        <v>12</v>
      </c>
      <c r="M899" s="1">
        <v>9.2800657887033271</v>
      </c>
      <c r="N899" s="1">
        <v>1025443</v>
      </c>
    </row>
    <row r="900" spans="1:14" x14ac:dyDescent="0.35">
      <c r="A900" s="1" t="s">
        <v>41</v>
      </c>
      <c r="B900" s="1">
        <v>202501</v>
      </c>
      <c r="C900" s="1" t="str">
        <f>MID(analisis_productividad__4[[#This Row],[Periodo]],1,4)</f>
        <v>2025</v>
      </c>
      <c r="D900" s="1" t="str">
        <f>MID(analisis_productividad__4[[#This Row],[Periodo]],5,2)</f>
        <v>01</v>
      </c>
      <c r="E900" s="1" t="s">
        <v>16</v>
      </c>
      <c r="F900" s="1" t="s">
        <v>19</v>
      </c>
      <c r="G900" s="1">
        <v>93693</v>
      </c>
      <c r="H900" s="1">
        <v>5124832</v>
      </c>
      <c r="I900" s="1">
        <v>54.698037634408593</v>
      </c>
      <c r="J900" s="1">
        <v>93986.87369718228</v>
      </c>
      <c r="K900" s="1">
        <v>57.5</v>
      </c>
      <c r="L900" s="1">
        <v>56.5</v>
      </c>
      <c r="M900" s="1">
        <v>54.527105098864915</v>
      </c>
      <c r="N900" s="1">
        <v>4692061</v>
      </c>
    </row>
    <row r="901" spans="1:14" x14ac:dyDescent="0.35">
      <c r="A901" s="1" t="s">
        <v>23</v>
      </c>
      <c r="B901" s="1">
        <v>202410</v>
      </c>
      <c r="C901" s="1" t="str">
        <f>MID(analisis_productividad__4[[#This Row],[Periodo]],1,4)</f>
        <v>2024</v>
      </c>
      <c r="D901" s="1" t="str">
        <f>MID(analisis_productividad__4[[#This Row],[Periodo]],5,2)</f>
        <v>10</v>
      </c>
      <c r="E901" s="1" t="s">
        <v>11</v>
      </c>
      <c r="F901" s="1" t="s">
        <v>12</v>
      </c>
      <c r="G901" s="1">
        <v>93604</v>
      </c>
      <c r="H901" s="1">
        <v>5475236</v>
      </c>
      <c r="I901" s="1">
        <v>58.493749999999991</v>
      </c>
      <c r="J901" s="1">
        <v>0</v>
      </c>
      <c r="K901" s="1">
        <v>68.5</v>
      </c>
      <c r="L901" s="1">
        <v>66</v>
      </c>
      <c r="M901" s="1"/>
      <c r="N901" s="1">
        <v>0</v>
      </c>
    </row>
    <row r="902" spans="1:14" x14ac:dyDescent="0.35">
      <c r="A902" s="1" t="s">
        <v>39</v>
      </c>
      <c r="B902" s="1">
        <v>202504</v>
      </c>
      <c r="C902" s="1" t="str">
        <f>MID(analisis_productividad__4[[#This Row],[Periodo]],1,4)</f>
        <v>2025</v>
      </c>
      <c r="D902" s="1" t="str">
        <f>MID(analisis_productividad__4[[#This Row],[Periodo]],5,2)</f>
        <v>04</v>
      </c>
      <c r="E902" s="1" t="s">
        <v>16</v>
      </c>
      <c r="F902" s="1" t="s">
        <v>17</v>
      </c>
      <c r="G902" s="1">
        <v>93547</v>
      </c>
      <c r="H902" s="1">
        <v>7969404</v>
      </c>
      <c r="I902" s="1">
        <v>85.191847222222265</v>
      </c>
      <c r="J902" s="1">
        <v>92361.892227572258</v>
      </c>
      <c r="K902" s="1">
        <v>93.5</v>
      </c>
      <c r="L902" s="1">
        <v>94</v>
      </c>
      <c r="M902" s="1">
        <v>86.284544608116434</v>
      </c>
      <c r="N902" s="1">
        <v>8293194</v>
      </c>
    </row>
    <row r="903" spans="1:14" x14ac:dyDescent="0.35">
      <c r="A903" s="1" t="s">
        <v>47</v>
      </c>
      <c r="B903" s="1">
        <v>202503</v>
      </c>
      <c r="C903" s="1" t="str">
        <f>MID(analisis_productividad__4[[#This Row],[Periodo]],1,4)</f>
        <v>2025</v>
      </c>
      <c r="D903" s="1" t="str">
        <f>MID(analisis_productividad__4[[#This Row],[Periodo]],5,2)</f>
        <v>03</v>
      </c>
      <c r="E903" s="1" t="s">
        <v>11</v>
      </c>
      <c r="F903" s="1" t="s">
        <v>14</v>
      </c>
      <c r="G903" s="1">
        <v>93543</v>
      </c>
      <c r="H903" s="1">
        <v>5149693</v>
      </c>
      <c r="I903" s="1">
        <v>55.051377688172039</v>
      </c>
      <c r="J903" s="1">
        <v>87505.019270908626</v>
      </c>
      <c r="K903" s="1">
        <v>61.5</v>
      </c>
      <c r="L903" s="1">
        <v>48.5</v>
      </c>
      <c r="M903" s="1">
        <v>58.85026359524538</v>
      </c>
      <c r="N903" s="1">
        <v>5111690</v>
      </c>
    </row>
    <row r="904" spans="1:14" x14ac:dyDescent="0.35">
      <c r="A904" s="1" t="s">
        <v>24</v>
      </c>
      <c r="B904" s="1">
        <v>202408</v>
      </c>
      <c r="C904" s="1" t="str">
        <f>MID(analisis_productividad__4[[#This Row],[Periodo]],1,4)</f>
        <v>2024</v>
      </c>
      <c r="D904" s="1" t="str">
        <f>MID(analisis_productividad__4[[#This Row],[Periodo]],5,2)</f>
        <v>08</v>
      </c>
      <c r="E904" s="1" t="s">
        <v>16</v>
      </c>
      <c r="F904" s="1" t="s">
        <v>21</v>
      </c>
      <c r="G904" s="1">
        <v>93535</v>
      </c>
      <c r="H904" s="1">
        <v>9766935</v>
      </c>
      <c r="I904" s="1">
        <v>104.42005376344089</v>
      </c>
      <c r="J904" s="1">
        <v>0</v>
      </c>
      <c r="K904" s="1">
        <v>125</v>
      </c>
      <c r="L904" s="1">
        <v>118.5</v>
      </c>
      <c r="M904" s="1"/>
      <c r="N904" s="1">
        <v>0</v>
      </c>
    </row>
    <row r="905" spans="1:14" x14ac:dyDescent="0.35">
      <c r="A905" s="1" t="s">
        <v>87</v>
      </c>
      <c r="B905" s="1">
        <v>202404</v>
      </c>
      <c r="C905" s="1" t="str">
        <f>MID(analisis_productividad__4[[#This Row],[Periodo]],1,4)</f>
        <v>2024</v>
      </c>
      <c r="D905" s="1" t="str">
        <f>MID(analisis_productividad__4[[#This Row],[Periodo]],5,2)</f>
        <v>04</v>
      </c>
      <c r="E905" s="1" t="s">
        <v>9</v>
      </c>
      <c r="F905" s="1" t="s">
        <v>9</v>
      </c>
      <c r="G905" s="1">
        <v>93505</v>
      </c>
      <c r="H905" s="1">
        <v>970439</v>
      </c>
      <c r="I905" s="1">
        <v>10.378423611111113</v>
      </c>
      <c r="J905" s="1">
        <v>0</v>
      </c>
      <c r="K905" s="1">
        <v>13.5</v>
      </c>
      <c r="L905" s="1">
        <v>12</v>
      </c>
      <c r="M905" s="1"/>
      <c r="N905" s="1">
        <v>0</v>
      </c>
    </row>
    <row r="906" spans="1:14" x14ac:dyDescent="0.35">
      <c r="A906" s="1" t="s">
        <v>22</v>
      </c>
      <c r="B906" s="1">
        <v>202508</v>
      </c>
      <c r="C906" s="1" t="str">
        <f>MID(analisis_productividad__4[[#This Row],[Periodo]],1,4)</f>
        <v>2025</v>
      </c>
      <c r="D906" s="1" t="str">
        <f>MID(analisis_productividad__4[[#This Row],[Periodo]],5,2)</f>
        <v>08</v>
      </c>
      <c r="E906" s="1" t="s">
        <v>16</v>
      </c>
      <c r="F906" s="1" t="s">
        <v>21</v>
      </c>
      <c r="G906" s="1">
        <v>93475</v>
      </c>
      <c r="H906" s="1">
        <v>4831449</v>
      </c>
      <c r="I906" s="1">
        <v>51.687143817204323</v>
      </c>
      <c r="J906" s="1">
        <v>93203.882542812513</v>
      </c>
      <c r="K906" s="1">
        <v>59.5</v>
      </c>
      <c r="L906" s="1">
        <v>55.5</v>
      </c>
      <c r="M906" s="1">
        <v>51.837421448411355</v>
      </c>
      <c r="N906" s="1">
        <v>4940436</v>
      </c>
    </row>
    <row r="907" spans="1:14" x14ac:dyDescent="0.35">
      <c r="A907" s="1" t="s">
        <v>49</v>
      </c>
      <c r="B907" s="1">
        <v>202604</v>
      </c>
      <c r="C907" s="1" t="str">
        <f>MID(analisis_productividad__4[[#This Row],[Periodo]],1,4)</f>
        <v>2026</v>
      </c>
      <c r="D907" s="1" t="str">
        <f>MID(analisis_productividad__4[[#This Row],[Periodo]],5,2)</f>
        <v>04</v>
      </c>
      <c r="E907" s="1" t="s">
        <v>16</v>
      </c>
      <c r="F907" s="1" t="s">
        <v>21</v>
      </c>
      <c r="G907" s="1">
        <v>93466</v>
      </c>
      <c r="H907" s="1">
        <v>5565095</v>
      </c>
      <c r="I907" s="1">
        <v>59.541659722222882</v>
      </c>
      <c r="J907" s="1">
        <v>86896.305723160913</v>
      </c>
      <c r="K907" s="1">
        <v>75.5</v>
      </c>
      <c r="L907" s="1">
        <v>68</v>
      </c>
      <c r="M907" s="1">
        <v>66.56902434528007</v>
      </c>
      <c r="N907" s="1">
        <v>5784602</v>
      </c>
    </row>
    <row r="908" spans="1:14" x14ac:dyDescent="0.35">
      <c r="A908" s="1" t="s">
        <v>82</v>
      </c>
      <c r="B908" s="1">
        <v>202412</v>
      </c>
      <c r="C908" s="1" t="str">
        <f>MID(analisis_productividad__4[[#This Row],[Periodo]],1,4)</f>
        <v>2024</v>
      </c>
      <c r="D908" s="1" t="str">
        <f>MID(analisis_productividad__4[[#This Row],[Periodo]],5,2)</f>
        <v>12</v>
      </c>
      <c r="E908" s="1" t="s">
        <v>11</v>
      </c>
      <c r="F908" s="1" t="s">
        <v>12</v>
      </c>
      <c r="G908" s="1">
        <v>93453</v>
      </c>
      <c r="H908" s="1">
        <v>5621844</v>
      </c>
      <c r="I908" s="1">
        <v>60.157143817204293</v>
      </c>
      <c r="J908" s="1">
        <v>0</v>
      </c>
      <c r="K908" s="1">
        <v>53.5</v>
      </c>
      <c r="L908" s="1">
        <v>54</v>
      </c>
      <c r="M908" s="1"/>
      <c r="N908" s="1">
        <v>0</v>
      </c>
    </row>
    <row r="909" spans="1:14" x14ac:dyDescent="0.35">
      <c r="A909" s="1" t="s">
        <v>65</v>
      </c>
      <c r="B909" s="1">
        <v>202510</v>
      </c>
      <c r="C909" s="1" t="str">
        <f>MID(analisis_productividad__4[[#This Row],[Periodo]],1,4)</f>
        <v>2025</v>
      </c>
      <c r="D909" s="1" t="str">
        <f>MID(analisis_productividad__4[[#This Row],[Periodo]],5,2)</f>
        <v>10</v>
      </c>
      <c r="E909" s="1" t="s">
        <v>16</v>
      </c>
      <c r="F909" s="1" t="s">
        <v>19</v>
      </c>
      <c r="G909" s="1">
        <v>93395</v>
      </c>
      <c r="H909" s="1">
        <v>5449828</v>
      </c>
      <c r="I909" s="1">
        <v>58.352573924731196</v>
      </c>
      <c r="J909" s="1">
        <v>80497.395426472853</v>
      </c>
      <c r="K909" s="1">
        <v>68</v>
      </c>
      <c r="L909" s="1">
        <v>68.5</v>
      </c>
      <c r="M909" s="1">
        <v>67.701919809044355</v>
      </c>
      <c r="N909" s="1">
        <v>5331336</v>
      </c>
    </row>
    <row r="910" spans="1:14" x14ac:dyDescent="0.35">
      <c r="A910" s="1" t="s">
        <v>26</v>
      </c>
      <c r="B910" s="1">
        <v>202411</v>
      </c>
      <c r="C910" s="1" t="str">
        <f>MID(analisis_productividad__4[[#This Row],[Periodo]],1,4)</f>
        <v>2024</v>
      </c>
      <c r="D910" s="1" t="str">
        <f>MID(analisis_productividad__4[[#This Row],[Periodo]],5,2)</f>
        <v>11</v>
      </c>
      <c r="E910" s="1" t="s">
        <v>11</v>
      </c>
      <c r="F910" s="1" t="s">
        <v>12</v>
      </c>
      <c r="G910" s="1">
        <v>93380</v>
      </c>
      <c r="H910" s="1">
        <v>5488982</v>
      </c>
      <c r="I910" s="1">
        <v>58.781090277777771</v>
      </c>
      <c r="J910" s="1">
        <v>0</v>
      </c>
      <c r="K910" s="1">
        <v>65.5</v>
      </c>
      <c r="L910" s="1">
        <v>63</v>
      </c>
      <c r="M910" s="1"/>
      <c r="N910" s="1">
        <v>0</v>
      </c>
    </row>
    <row r="911" spans="1:14" x14ac:dyDescent="0.35">
      <c r="A911" s="1" t="s">
        <v>50</v>
      </c>
      <c r="B911" s="1">
        <v>202509</v>
      </c>
      <c r="C911" s="1" t="str">
        <f>MID(analisis_productividad__4[[#This Row],[Periodo]],1,4)</f>
        <v>2025</v>
      </c>
      <c r="D911" s="1" t="str">
        <f>MID(analisis_productividad__4[[#This Row],[Periodo]],5,2)</f>
        <v>09</v>
      </c>
      <c r="E911" s="1" t="s">
        <v>34</v>
      </c>
      <c r="F911" s="1" t="s">
        <v>35</v>
      </c>
      <c r="G911" s="1">
        <v>93379</v>
      </c>
      <c r="H911" s="1">
        <v>5648571</v>
      </c>
      <c r="I911" s="1">
        <v>60.490645833333367</v>
      </c>
      <c r="J911" s="1">
        <v>90695.079951148829</v>
      </c>
      <c r="K911" s="1">
        <v>79.5</v>
      </c>
      <c r="L911" s="1">
        <v>72.5</v>
      </c>
      <c r="M911" s="1">
        <v>62.280902371357904</v>
      </c>
      <c r="N911" s="1">
        <v>5986850</v>
      </c>
    </row>
    <row r="912" spans="1:14" x14ac:dyDescent="0.35">
      <c r="A912" s="1" t="s">
        <v>51</v>
      </c>
      <c r="B912" s="1">
        <v>202410</v>
      </c>
      <c r="C912" s="1" t="str">
        <f>MID(analisis_productividad__4[[#This Row],[Periodo]],1,4)</f>
        <v>2024</v>
      </c>
      <c r="D912" s="1" t="str">
        <f>MID(analisis_productividad__4[[#This Row],[Periodo]],5,2)</f>
        <v>10</v>
      </c>
      <c r="E912" s="1" t="s">
        <v>11</v>
      </c>
      <c r="F912" s="1" t="s">
        <v>52</v>
      </c>
      <c r="G912" s="1">
        <v>93370</v>
      </c>
      <c r="H912" s="1">
        <v>9156209</v>
      </c>
      <c r="I912" s="1">
        <v>98.063790322580644</v>
      </c>
      <c r="J912" s="1">
        <v>0</v>
      </c>
      <c r="K912" s="1">
        <v>117.5</v>
      </c>
      <c r="L912" s="1">
        <v>99</v>
      </c>
      <c r="M912" s="1"/>
      <c r="N912" s="1">
        <v>0</v>
      </c>
    </row>
    <row r="913" spans="1:14" x14ac:dyDescent="0.35">
      <c r="A913" s="1" t="s">
        <v>75</v>
      </c>
      <c r="B913" s="1">
        <v>202511</v>
      </c>
      <c r="C913" s="1" t="str">
        <f>MID(analisis_productividad__4[[#This Row],[Periodo]],1,4)</f>
        <v>2025</v>
      </c>
      <c r="D913" s="1" t="str">
        <f>MID(analisis_productividad__4[[#This Row],[Periodo]],5,2)</f>
        <v>11</v>
      </c>
      <c r="E913" s="1" t="s">
        <v>11</v>
      </c>
      <c r="F913" s="1" t="s">
        <v>52</v>
      </c>
      <c r="G913" s="1">
        <v>93360</v>
      </c>
      <c r="H913" s="1">
        <v>9267133</v>
      </c>
      <c r="I913" s="1">
        <v>99.261944444444495</v>
      </c>
      <c r="J913" s="1">
        <v>94096.124768171299</v>
      </c>
      <c r="K913" s="1">
        <v>118</v>
      </c>
      <c r="L913" s="1">
        <v>106</v>
      </c>
      <c r="M913" s="1">
        <v>98.485813234411438</v>
      </c>
      <c r="N913" s="1">
        <v>10166622</v>
      </c>
    </row>
    <row r="914" spans="1:14" x14ac:dyDescent="0.35">
      <c r="A914" s="1" t="s">
        <v>57</v>
      </c>
      <c r="B914" s="1">
        <v>202404</v>
      </c>
      <c r="C914" s="1" t="str">
        <f>MID(analisis_productividad__4[[#This Row],[Periodo]],1,4)</f>
        <v>2024</v>
      </c>
      <c r="D914" s="1" t="str">
        <f>MID(analisis_productividad__4[[#This Row],[Periodo]],5,2)</f>
        <v>04</v>
      </c>
      <c r="E914" s="1" t="s">
        <v>16</v>
      </c>
      <c r="F914" s="1" t="s">
        <v>19</v>
      </c>
      <c r="G914" s="1">
        <v>93356</v>
      </c>
      <c r="H914" s="1">
        <v>5983748</v>
      </c>
      <c r="I914" s="1">
        <v>64.096131944444437</v>
      </c>
      <c r="J914" s="1">
        <v>0</v>
      </c>
      <c r="K914" s="1">
        <v>71</v>
      </c>
      <c r="L914" s="1">
        <v>74.5</v>
      </c>
      <c r="M914" s="1"/>
      <c r="N914" s="1">
        <v>0</v>
      </c>
    </row>
    <row r="915" spans="1:14" x14ac:dyDescent="0.35">
      <c r="A915" s="1" t="s">
        <v>31</v>
      </c>
      <c r="B915" s="1">
        <v>202402</v>
      </c>
      <c r="C915" s="1" t="str">
        <f>MID(analisis_productividad__4[[#This Row],[Periodo]],1,4)</f>
        <v>2024</v>
      </c>
      <c r="D915" s="1" t="str">
        <f>MID(analisis_productividad__4[[#This Row],[Periodo]],5,2)</f>
        <v>02</v>
      </c>
      <c r="E915" s="1" t="s">
        <v>11</v>
      </c>
      <c r="F915" s="1" t="s">
        <v>14</v>
      </c>
      <c r="G915" s="1">
        <v>93281</v>
      </c>
      <c r="H915" s="1">
        <v>8888511</v>
      </c>
      <c r="I915" s="1">
        <v>95.287248563218341</v>
      </c>
      <c r="J915" s="1">
        <v>0</v>
      </c>
      <c r="K915" s="1">
        <v>101.5</v>
      </c>
      <c r="L915" s="1">
        <v>97.5</v>
      </c>
      <c r="M915" s="1"/>
      <c r="N915" s="1">
        <v>0</v>
      </c>
    </row>
    <row r="916" spans="1:14" x14ac:dyDescent="0.35">
      <c r="A916" s="1" t="s">
        <v>25</v>
      </c>
      <c r="B916" s="1">
        <v>202408</v>
      </c>
      <c r="C916" s="1" t="str">
        <f>MID(analisis_productividad__4[[#This Row],[Periodo]],1,4)</f>
        <v>2024</v>
      </c>
      <c r="D916" s="1" t="str">
        <f>MID(analisis_productividad__4[[#This Row],[Periodo]],5,2)</f>
        <v>08</v>
      </c>
      <c r="E916" s="1" t="s">
        <v>16</v>
      </c>
      <c r="F916" s="1" t="s">
        <v>19</v>
      </c>
      <c r="G916" s="1">
        <v>93248</v>
      </c>
      <c r="H916" s="1">
        <v>7933472</v>
      </c>
      <c r="I916" s="1">
        <v>85.079684139784931</v>
      </c>
      <c r="J916" s="1">
        <v>0</v>
      </c>
      <c r="K916" s="1">
        <v>94</v>
      </c>
      <c r="L916" s="1">
        <v>92</v>
      </c>
      <c r="M916" s="1"/>
      <c r="N916" s="1">
        <v>0</v>
      </c>
    </row>
    <row r="917" spans="1:14" x14ac:dyDescent="0.35">
      <c r="A917" s="1" t="s">
        <v>82</v>
      </c>
      <c r="B917" s="1">
        <v>202603</v>
      </c>
      <c r="C917" s="1" t="str">
        <f>MID(analisis_productividad__4[[#This Row],[Periodo]],1,4)</f>
        <v>2026</v>
      </c>
      <c r="D917" s="1" t="str">
        <f>MID(analisis_productividad__4[[#This Row],[Periodo]],5,2)</f>
        <v>03</v>
      </c>
      <c r="E917" s="1" t="s">
        <v>11</v>
      </c>
      <c r="F917" s="1" t="s">
        <v>12</v>
      </c>
      <c r="G917" s="1">
        <v>93241</v>
      </c>
      <c r="H917" s="1">
        <v>4881000</v>
      </c>
      <c r="I917" s="1">
        <v>52.347956989247329</v>
      </c>
      <c r="J917" s="1">
        <v>118254.49120106069</v>
      </c>
      <c r="K917" s="1">
        <v>53.5</v>
      </c>
      <c r="L917" s="1">
        <v>54</v>
      </c>
      <c r="M917" s="1">
        <v>47.165198395018514</v>
      </c>
      <c r="N917" s="1">
        <v>5577497</v>
      </c>
    </row>
    <row r="918" spans="1:14" x14ac:dyDescent="0.35">
      <c r="A918" s="1" t="s">
        <v>61</v>
      </c>
      <c r="B918" s="1">
        <v>202407</v>
      </c>
      <c r="C918" s="1" t="str">
        <f>MID(analisis_productividad__4[[#This Row],[Periodo]],1,4)</f>
        <v>2024</v>
      </c>
      <c r="D918" s="1" t="str">
        <f>MID(analisis_productividad__4[[#This Row],[Periodo]],5,2)</f>
        <v>07</v>
      </c>
      <c r="E918" s="1" t="s">
        <v>11</v>
      </c>
      <c r="F918" s="1" t="s">
        <v>52</v>
      </c>
      <c r="G918" s="1">
        <v>93232</v>
      </c>
      <c r="H918" s="1">
        <v>8881666</v>
      </c>
      <c r="I918" s="1">
        <v>95.264448924731198</v>
      </c>
      <c r="J918" s="1">
        <v>0</v>
      </c>
      <c r="K918" s="1">
        <v>104.5</v>
      </c>
      <c r="L918" s="1">
        <v>99</v>
      </c>
      <c r="M918" s="1"/>
      <c r="N918" s="1">
        <v>0</v>
      </c>
    </row>
    <row r="919" spans="1:14" x14ac:dyDescent="0.35">
      <c r="A919" s="1" t="s">
        <v>24</v>
      </c>
      <c r="B919" s="1">
        <v>202402</v>
      </c>
      <c r="C919" s="1" t="str">
        <f>MID(analisis_productividad__4[[#This Row],[Periodo]],1,4)</f>
        <v>2024</v>
      </c>
      <c r="D919" s="1" t="str">
        <f>MID(analisis_productividad__4[[#This Row],[Periodo]],5,2)</f>
        <v>02</v>
      </c>
      <c r="E919" s="1" t="s">
        <v>16</v>
      </c>
      <c r="F919" s="1" t="s">
        <v>21</v>
      </c>
      <c r="G919" s="1">
        <v>93211</v>
      </c>
      <c r="H919" s="1">
        <v>10285057</v>
      </c>
      <c r="I919" s="1">
        <v>110.34217672413796</v>
      </c>
      <c r="J919" s="1">
        <v>0</v>
      </c>
      <c r="K919" s="1">
        <v>125</v>
      </c>
      <c r="L919" s="1">
        <v>118.5</v>
      </c>
      <c r="M919" s="1"/>
      <c r="N919" s="1">
        <v>0</v>
      </c>
    </row>
    <row r="920" spans="1:14" x14ac:dyDescent="0.35">
      <c r="A920" s="1" t="s">
        <v>40</v>
      </c>
      <c r="B920" s="1">
        <v>202408</v>
      </c>
      <c r="C920" s="1" t="str">
        <f>MID(analisis_productividad__4[[#This Row],[Periodo]],1,4)</f>
        <v>2024</v>
      </c>
      <c r="D920" s="1" t="str">
        <f>MID(analisis_productividad__4[[#This Row],[Periodo]],5,2)</f>
        <v>08</v>
      </c>
      <c r="E920" s="1" t="s">
        <v>11</v>
      </c>
      <c r="F920" s="1" t="s">
        <v>14</v>
      </c>
      <c r="G920" s="1">
        <v>93205</v>
      </c>
      <c r="H920" s="1">
        <v>5938108</v>
      </c>
      <c r="I920" s="1">
        <v>63.709926075268804</v>
      </c>
      <c r="J920" s="1">
        <v>0</v>
      </c>
      <c r="K920" s="1">
        <v>76.5</v>
      </c>
      <c r="L920" s="1">
        <v>75.5</v>
      </c>
      <c r="M920" s="1"/>
      <c r="N920" s="1">
        <v>0</v>
      </c>
    </row>
    <row r="921" spans="1:14" x14ac:dyDescent="0.35">
      <c r="A921" s="1" t="s">
        <v>62</v>
      </c>
      <c r="B921" s="1">
        <v>202604</v>
      </c>
      <c r="C921" s="1" t="str">
        <f>MID(analisis_productividad__4[[#This Row],[Periodo]],1,4)</f>
        <v>2026</v>
      </c>
      <c r="D921" s="1" t="str">
        <f>MID(analisis_productividad__4[[#This Row],[Periodo]],5,2)</f>
        <v>04</v>
      </c>
      <c r="E921" s="1" t="s">
        <v>16</v>
      </c>
      <c r="F921" s="1" t="s">
        <v>17</v>
      </c>
      <c r="G921" s="1">
        <v>93175</v>
      </c>
      <c r="H921" s="1">
        <v>2747750</v>
      </c>
      <c r="I921" s="1">
        <v>29.490124999999878</v>
      </c>
      <c r="J921" s="1">
        <v>89542.555675074793</v>
      </c>
      <c r="K921" s="1">
        <v>32.5</v>
      </c>
      <c r="L921" s="1">
        <v>32</v>
      </c>
      <c r="M921" s="1">
        <v>29.073700348097926</v>
      </c>
      <c r="N921" s="1">
        <v>2603333</v>
      </c>
    </row>
    <row r="922" spans="1:14" x14ac:dyDescent="0.35">
      <c r="A922" s="1" t="s">
        <v>79</v>
      </c>
      <c r="B922" s="1">
        <v>202407</v>
      </c>
      <c r="C922" s="1" t="str">
        <f>MID(analisis_productividad__4[[#This Row],[Periodo]],1,4)</f>
        <v>2024</v>
      </c>
      <c r="D922" s="1" t="str">
        <f>MID(analisis_productividad__4[[#This Row],[Periodo]],5,2)</f>
        <v>07</v>
      </c>
      <c r="E922" s="1" t="s">
        <v>11</v>
      </c>
      <c r="F922" s="1" t="s">
        <v>12</v>
      </c>
      <c r="G922" s="1">
        <v>93158</v>
      </c>
      <c r="H922" s="1">
        <v>5986236</v>
      </c>
      <c r="I922" s="1">
        <v>64.258635752688178</v>
      </c>
      <c r="J922" s="1">
        <v>0</v>
      </c>
      <c r="K922" s="1">
        <v>64.5</v>
      </c>
      <c r="L922" s="1">
        <v>64</v>
      </c>
      <c r="M922" s="1"/>
      <c r="N922" s="1">
        <v>0</v>
      </c>
    </row>
    <row r="923" spans="1:14" x14ac:dyDescent="0.35">
      <c r="A923" s="1" t="s">
        <v>75</v>
      </c>
      <c r="B923" s="1">
        <v>202603</v>
      </c>
      <c r="C923" s="1" t="str">
        <f>MID(analisis_productividad__4[[#This Row],[Periodo]],1,4)</f>
        <v>2026</v>
      </c>
      <c r="D923" s="1" t="str">
        <f>MID(analisis_productividad__4[[#This Row],[Periodo]],5,2)</f>
        <v>03</v>
      </c>
      <c r="E923" s="1" t="s">
        <v>11</v>
      </c>
      <c r="F923" s="1" t="s">
        <v>52</v>
      </c>
      <c r="G923" s="1">
        <v>93110</v>
      </c>
      <c r="H923" s="1">
        <v>10069020</v>
      </c>
      <c r="I923" s="1">
        <v>108.14153225806459</v>
      </c>
      <c r="J923" s="1">
        <v>97530.842733194164</v>
      </c>
      <c r="K923" s="1">
        <v>118</v>
      </c>
      <c r="L923" s="1">
        <v>106</v>
      </c>
      <c r="M923" s="1">
        <v>102.17544085783207</v>
      </c>
      <c r="N923" s="1">
        <v>9965257</v>
      </c>
    </row>
    <row r="924" spans="1:14" x14ac:dyDescent="0.35">
      <c r="A924" s="1" t="s">
        <v>112</v>
      </c>
      <c r="B924" s="1">
        <v>202412</v>
      </c>
      <c r="C924" s="1" t="str">
        <f>MID(analisis_productividad__4[[#This Row],[Periodo]],1,4)</f>
        <v>2024</v>
      </c>
      <c r="D924" s="1" t="str">
        <f>MID(analisis_productividad__4[[#This Row],[Periodo]],5,2)</f>
        <v>12</v>
      </c>
      <c r="E924" s="1" t="s">
        <v>34</v>
      </c>
      <c r="F924" s="1" t="s">
        <v>35</v>
      </c>
      <c r="G924" s="1">
        <v>93079</v>
      </c>
      <c r="H924" s="1">
        <v>2562035</v>
      </c>
      <c r="I924" s="1">
        <v>27.525336021505371</v>
      </c>
      <c r="J924" s="1">
        <v>0</v>
      </c>
      <c r="K924" s="1">
        <v>31</v>
      </c>
      <c r="L924" s="1">
        <v>27</v>
      </c>
      <c r="M924" s="1"/>
      <c r="N924" s="1">
        <v>0</v>
      </c>
    </row>
    <row r="925" spans="1:14" x14ac:dyDescent="0.35">
      <c r="A925" s="1" t="s">
        <v>46</v>
      </c>
      <c r="B925" s="1">
        <v>202508</v>
      </c>
      <c r="C925" s="1" t="str">
        <f>MID(analisis_productividad__4[[#This Row],[Periodo]],1,4)</f>
        <v>2025</v>
      </c>
      <c r="D925" s="1" t="str">
        <f>MID(analisis_productividad__4[[#This Row],[Periodo]],5,2)</f>
        <v>08</v>
      </c>
      <c r="E925" s="1" t="s">
        <v>11</v>
      </c>
      <c r="F925" s="1" t="s">
        <v>14</v>
      </c>
      <c r="G925" s="1">
        <v>93079</v>
      </c>
      <c r="H925" s="1">
        <v>6379262</v>
      </c>
      <c r="I925" s="1">
        <v>68.536115591397902</v>
      </c>
      <c r="J925" s="1">
        <v>101696.61592060138</v>
      </c>
      <c r="K925" s="1">
        <v>77</v>
      </c>
      <c r="L925" s="1">
        <v>79</v>
      </c>
      <c r="M925" s="1">
        <v>62.728359269894945</v>
      </c>
      <c r="N925" s="1">
        <v>6628385</v>
      </c>
    </row>
    <row r="926" spans="1:14" x14ac:dyDescent="0.35">
      <c r="A926" s="1" t="s">
        <v>32</v>
      </c>
      <c r="B926" s="1">
        <v>202606</v>
      </c>
      <c r="C926" s="1" t="str">
        <f>MID(analisis_productividad__4[[#This Row],[Periodo]],1,4)</f>
        <v>2026</v>
      </c>
      <c r="D926" s="1" t="str">
        <f>MID(analisis_productividad__4[[#This Row],[Periodo]],5,2)</f>
        <v>06</v>
      </c>
      <c r="E926" s="1" t="s">
        <v>11</v>
      </c>
      <c r="F926" s="1" t="s">
        <v>12</v>
      </c>
      <c r="G926" s="1">
        <v>93059</v>
      </c>
      <c r="H926" s="1">
        <v>5354998</v>
      </c>
      <c r="I926" s="1">
        <v>57.54437499999969</v>
      </c>
      <c r="J926" s="1">
        <v>98314.955853465668</v>
      </c>
      <c r="K926" s="1">
        <v>65.5</v>
      </c>
      <c r="L926" s="1">
        <v>66</v>
      </c>
      <c r="M926" s="1">
        <v>55.812340478272937</v>
      </c>
      <c r="N926" s="1">
        <v>5487188</v>
      </c>
    </row>
    <row r="927" spans="1:14" x14ac:dyDescent="0.35">
      <c r="A927" s="1" t="s">
        <v>53</v>
      </c>
      <c r="B927" s="1">
        <v>202505</v>
      </c>
      <c r="C927" s="1" t="str">
        <f>MID(analisis_productividad__4[[#This Row],[Periodo]],1,4)</f>
        <v>2025</v>
      </c>
      <c r="D927" s="1" t="str">
        <f>MID(analisis_productividad__4[[#This Row],[Periodo]],5,2)</f>
        <v>05</v>
      </c>
      <c r="E927" s="1" t="s">
        <v>11</v>
      </c>
      <c r="F927" s="1" t="s">
        <v>12</v>
      </c>
      <c r="G927" s="1">
        <v>93058</v>
      </c>
      <c r="H927" s="1">
        <v>6387287</v>
      </c>
      <c r="I927" s="1">
        <v>68.637775537634425</v>
      </c>
      <c r="J927" s="1">
        <v>94897.42315135822</v>
      </c>
      <c r="K927" s="1">
        <v>81</v>
      </c>
      <c r="L927" s="1">
        <v>77</v>
      </c>
      <c r="M927" s="1">
        <v>67.307273241892872</v>
      </c>
      <c r="N927" s="1">
        <v>6778870</v>
      </c>
    </row>
    <row r="928" spans="1:14" x14ac:dyDescent="0.35">
      <c r="A928" s="1" t="s">
        <v>60</v>
      </c>
      <c r="B928" s="1">
        <v>202605</v>
      </c>
      <c r="C928" s="1" t="str">
        <f>MID(analisis_productividad__4[[#This Row],[Periodo]],1,4)</f>
        <v>2026</v>
      </c>
      <c r="D928" s="1" t="str">
        <f>MID(analisis_productividad__4[[#This Row],[Periodo]],5,2)</f>
        <v>05</v>
      </c>
      <c r="E928" s="1" t="s">
        <v>11</v>
      </c>
      <c r="F928" s="1" t="s">
        <v>14</v>
      </c>
      <c r="G928" s="1">
        <v>93057</v>
      </c>
      <c r="H928" s="1">
        <v>6172549</v>
      </c>
      <c r="I928" s="1">
        <v>66.330504032258361</v>
      </c>
      <c r="J928" s="1">
        <v>95763.765018788225</v>
      </c>
      <c r="K928" s="1">
        <v>75.5</v>
      </c>
      <c r="L928" s="1">
        <v>74</v>
      </c>
      <c r="M928" s="1">
        <v>63.845934941054651</v>
      </c>
      <c r="N928" s="1">
        <v>6114127</v>
      </c>
    </row>
    <row r="929" spans="1:14" x14ac:dyDescent="0.35">
      <c r="A929" s="1" t="s">
        <v>24</v>
      </c>
      <c r="B929" s="1">
        <v>202411</v>
      </c>
      <c r="C929" s="1" t="str">
        <f>MID(analisis_productividad__4[[#This Row],[Periodo]],1,4)</f>
        <v>2024</v>
      </c>
      <c r="D929" s="1" t="str">
        <f>MID(analisis_productividad__4[[#This Row],[Periodo]],5,2)</f>
        <v>11</v>
      </c>
      <c r="E929" s="1" t="s">
        <v>16</v>
      </c>
      <c r="F929" s="1" t="s">
        <v>21</v>
      </c>
      <c r="G929" s="1">
        <v>93035</v>
      </c>
      <c r="H929" s="1">
        <v>9206293</v>
      </c>
      <c r="I929" s="1">
        <v>98.955451388888946</v>
      </c>
      <c r="J929" s="1">
        <v>0</v>
      </c>
      <c r="K929" s="1">
        <v>125</v>
      </c>
      <c r="L929" s="1">
        <v>118.5</v>
      </c>
      <c r="M929" s="1"/>
      <c r="N929" s="1">
        <v>0</v>
      </c>
    </row>
    <row r="930" spans="1:14" x14ac:dyDescent="0.35">
      <c r="A930" s="1" t="s">
        <v>77</v>
      </c>
      <c r="B930" s="1">
        <v>202601</v>
      </c>
      <c r="C930" s="1" t="str">
        <f>MID(analisis_productividad__4[[#This Row],[Periodo]],1,4)</f>
        <v>2026</v>
      </c>
      <c r="D930" s="1" t="str">
        <f>MID(analisis_productividad__4[[#This Row],[Periodo]],5,2)</f>
        <v>01</v>
      </c>
      <c r="E930" s="1" t="s">
        <v>16</v>
      </c>
      <c r="F930" s="1" t="s">
        <v>21</v>
      </c>
      <c r="G930" s="1">
        <v>93032</v>
      </c>
      <c r="H930" s="1">
        <v>4618851</v>
      </c>
      <c r="I930" s="1">
        <v>49.648111559139807</v>
      </c>
      <c r="J930" s="1">
        <v>86332.544577857712</v>
      </c>
      <c r="K930" s="1">
        <v>60.5</v>
      </c>
      <c r="L930" s="1">
        <v>60.5</v>
      </c>
      <c r="M930" s="1">
        <v>53.343390369396616</v>
      </c>
      <c r="N930" s="1">
        <v>4605271</v>
      </c>
    </row>
    <row r="931" spans="1:14" x14ac:dyDescent="0.35">
      <c r="A931" s="1" t="s">
        <v>68</v>
      </c>
      <c r="B931" s="1">
        <v>202510</v>
      </c>
      <c r="C931" s="1" t="str">
        <f>MID(analisis_productividad__4[[#This Row],[Periodo]],1,4)</f>
        <v>2025</v>
      </c>
      <c r="D931" s="1" t="str">
        <f>MID(analisis_productividad__4[[#This Row],[Periodo]],5,2)</f>
        <v>10</v>
      </c>
      <c r="E931" s="1" t="s">
        <v>11</v>
      </c>
      <c r="F931" s="1" t="s">
        <v>52</v>
      </c>
      <c r="G931" s="1">
        <v>93001</v>
      </c>
      <c r="H931" s="1">
        <v>7544427</v>
      </c>
      <c r="I931" s="1">
        <v>81.122143817204332</v>
      </c>
      <c r="J931" s="1">
        <v>92503.352423903256</v>
      </c>
      <c r="K931" s="1">
        <v>103</v>
      </c>
      <c r="L931" s="1">
        <v>91</v>
      </c>
      <c r="M931" s="1">
        <v>81.558419693019587</v>
      </c>
      <c r="N931" s="1">
        <v>8515354</v>
      </c>
    </row>
    <row r="932" spans="1:14" x14ac:dyDescent="0.35">
      <c r="A932" s="1" t="s">
        <v>23</v>
      </c>
      <c r="B932" s="1">
        <v>202509</v>
      </c>
      <c r="C932" s="1" t="str">
        <f>MID(analisis_productividad__4[[#This Row],[Periodo]],1,4)</f>
        <v>2025</v>
      </c>
      <c r="D932" s="1" t="str">
        <f>MID(analisis_productividad__4[[#This Row],[Periodo]],5,2)</f>
        <v>09</v>
      </c>
      <c r="E932" s="1" t="s">
        <v>11</v>
      </c>
      <c r="F932" s="1" t="s">
        <v>12</v>
      </c>
      <c r="G932" s="1">
        <v>92954</v>
      </c>
      <c r="H932" s="1">
        <v>5566743</v>
      </c>
      <c r="I932" s="1">
        <v>59.887381944444499</v>
      </c>
      <c r="J932" s="1">
        <v>92400.639445430716</v>
      </c>
      <c r="K932" s="1">
        <v>68.5</v>
      </c>
      <c r="L932" s="1">
        <v>66</v>
      </c>
      <c r="M932" s="1">
        <v>60.245715542775713</v>
      </c>
      <c r="N932" s="1">
        <v>5656695</v>
      </c>
    </row>
    <row r="933" spans="1:14" x14ac:dyDescent="0.35">
      <c r="A933" s="1" t="s">
        <v>27</v>
      </c>
      <c r="B933" s="1">
        <v>202404</v>
      </c>
      <c r="C933" s="1" t="str">
        <f>MID(analisis_productividad__4[[#This Row],[Periodo]],1,4)</f>
        <v>2024</v>
      </c>
      <c r="D933" s="1" t="str">
        <f>MID(analisis_productividad__4[[#This Row],[Periodo]],5,2)</f>
        <v>04</v>
      </c>
      <c r="E933" s="1" t="s">
        <v>11</v>
      </c>
      <c r="F933" s="1" t="s">
        <v>14</v>
      </c>
      <c r="G933" s="1">
        <v>92872</v>
      </c>
      <c r="H933" s="1">
        <v>7230536</v>
      </c>
      <c r="I933" s="1">
        <v>77.85516666666669</v>
      </c>
      <c r="J933" s="1">
        <v>0</v>
      </c>
      <c r="K933" s="1">
        <v>88</v>
      </c>
      <c r="L933" s="1">
        <v>84</v>
      </c>
      <c r="M933" s="1"/>
      <c r="N933" s="1">
        <v>0</v>
      </c>
    </row>
    <row r="934" spans="1:14" x14ac:dyDescent="0.35">
      <c r="A934" s="1" t="s">
        <v>20</v>
      </c>
      <c r="B934" s="1">
        <v>202406</v>
      </c>
      <c r="C934" s="1" t="str">
        <f>MID(analisis_productividad__4[[#This Row],[Periodo]],1,4)</f>
        <v>2024</v>
      </c>
      <c r="D934" s="1" t="str">
        <f>MID(analisis_productividad__4[[#This Row],[Periodo]],5,2)</f>
        <v>06</v>
      </c>
      <c r="E934" s="1" t="s">
        <v>16</v>
      </c>
      <c r="F934" s="1" t="s">
        <v>21</v>
      </c>
      <c r="G934" s="1">
        <v>92845</v>
      </c>
      <c r="H934" s="1">
        <v>8154585</v>
      </c>
      <c r="I934" s="1">
        <v>87.829680555555598</v>
      </c>
      <c r="J934" s="1">
        <v>0</v>
      </c>
      <c r="K934" s="1">
        <v>96.5</v>
      </c>
      <c r="L934" s="1">
        <v>94</v>
      </c>
      <c r="M934" s="1"/>
      <c r="N934" s="1">
        <v>0</v>
      </c>
    </row>
    <row r="935" spans="1:14" x14ac:dyDescent="0.35">
      <c r="A935" s="1" t="s">
        <v>32</v>
      </c>
      <c r="B935" s="1">
        <v>202601</v>
      </c>
      <c r="C935" s="1" t="str">
        <f>MID(analisis_productividad__4[[#This Row],[Periodo]],1,4)</f>
        <v>2026</v>
      </c>
      <c r="D935" s="1" t="str">
        <f>MID(analisis_productividad__4[[#This Row],[Periodo]],5,2)</f>
        <v>01</v>
      </c>
      <c r="E935" s="1" t="s">
        <v>11</v>
      </c>
      <c r="F935" s="1" t="s">
        <v>12</v>
      </c>
      <c r="G935" s="1">
        <v>92811</v>
      </c>
      <c r="H935" s="1">
        <v>5402380</v>
      </c>
      <c r="I935" s="1">
        <v>58.20815188172044</v>
      </c>
      <c r="J935" s="1">
        <v>95614.636565499779</v>
      </c>
      <c r="K935" s="1">
        <v>65.5</v>
      </c>
      <c r="L935" s="1">
        <v>66</v>
      </c>
      <c r="M935" s="1">
        <v>55.812340478272937</v>
      </c>
      <c r="N935" s="1">
        <v>5336477</v>
      </c>
    </row>
    <row r="936" spans="1:14" x14ac:dyDescent="0.35">
      <c r="A936" s="1" t="s">
        <v>46</v>
      </c>
      <c r="B936" s="1">
        <v>202401</v>
      </c>
      <c r="C936" s="1" t="str">
        <f>MID(analisis_productividad__4[[#This Row],[Periodo]],1,4)</f>
        <v>2024</v>
      </c>
      <c r="D936" s="1" t="str">
        <f>MID(analisis_productividad__4[[#This Row],[Periodo]],5,2)</f>
        <v>01</v>
      </c>
      <c r="E936" s="1" t="s">
        <v>11</v>
      </c>
      <c r="F936" s="1" t="s">
        <v>14</v>
      </c>
      <c r="G936" s="1">
        <v>92811</v>
      </c>
      <c r="H936" s="1">
        <v>5616607</v>
      </c>
      <c r="I936" s="1">
        <v>60.516599462365591</v>
      </c>
      <c r="J936" s="1">
        <v>0</v>
      </c>
      <c r="K936" s="1">
        <v>77</v>
      </c>
      <c r="L936" s="1">
        <v>79</v>
      </c>
      <c r="M936" s="1"/>
      <c r="N936" s="1">
        <v>0</v>
      </c>
    </row>
    <row r="937" spans="1:14" x14ac:dyDescent="0.35">
      <c r="A937" s="1" t="s">
        <v>79</v>
      </c>
      <c r="B937" s="1">
        <v>202605</v>
      </c>
      <c r="C937" s="1" t="str">
        <f>MID(analisis_productividad__4[[#This Row],[Periodo]],1,4)</f>
        <v>2026</v>
      </c>
      <c r="D937" s="1" t="str">
        <f>MID(analisis_productividad__4[[#This Row],[Periodo]],5,2)</f>
        <v>05</v>
      </c>
      <c r="E937" s="1" t="s">
        <v>11</v>
      </c>
      <c r="F937" s="1" t="s">
        <v>12</v>
      </c>
      <c r="G937" s="1">
        <v>92805</v>
      </c>
      <c r="H937" s="1">
        <v>5526601</v>
      </c>
      <c r="I937" s="1">
        <v>59.550430107526942</v>
      </c>
      <c r="J937" s="1">
        <v>97422.154848679682</v>
      </c>
      <c r="K937" s="1">
        <v>64.5</v>
      </c>
      <c r="L937" s="1">
        <v>64</v>
      </c>
      <c r="M937" s="1">
        <v>54.966698955874868</v>
      </c>
      <c r="N937" s="1">
        <v>5354974</v>
      </c>
    </row>
    <row r="938" spans="1:14" x14ac:dyDescent="0.35">
      <c r="A938" s="1" t="s">
        <v>46</v>
      </c>
      <c r="B938" s="1">
        <v>202501</v>
      </c>
      <c r="C938" s="1" t="str">
        <f>MID(analisis_productividad__4[[#This Row],[Periodo]],1,4)</f>
        <v>2025</v>
      </c>
      <c r="D938" s="1" t="str">
        <f>MID(analisis_productividad__4[[#This Row],[Periodo]],5,2)</f>
        <v>01</v>
      </c>
      <c r="E938" s="1" t="s">
        <v>11</v>
      </c>
      <c r="F938" s="1" t="s">
        <v>14</v>
      </c>
      <c r="G938" s="1">
        <v>92789</v>
      </c>
      <c r="H938" s="1">
        <v>6152401</v>
      </c>
      <c r="I938" s="1">
        <v>66.30561827956987</v>
      </c>
      <c r="J938" s="1">
        <v>97451.562445565563</v>
      </c>
      <c r="K938" s="1">
        <v>77</v>
      </c>
      <c r="L938" s="1">
        <v>79</v>
      </c>
      <c r="M938" s="1">
        <v>63.132915631153736</v>
      </c>
      <c r="N938" s="1">
        <v>5766002</v>
      </c>
    </row>
    <row r="939" spans="1:14" x14ac:dyDescent="0.35">
      <c r="A939" s="1" t="s">
        <v>50</v>
      </c>
      <c r="B939" s="1">
        <v>202602</v>
      </c>
      <c r="C939" s="1" t="str">
        <f>MID(analisis_productividad__4[[#This Row],[Periodo]],1,4)</f>
        <v>2026</v>
      </c>
      <c r="D939" s="1" t="str">
        <f>MID(analisis_productividad__4[[#This Row],[Periodo]],5,2)</f>
        <v>02</v>
      </c>
      <c r="E939" s="1" t="s">
        <v>34</v>
      </c>
      <c r="F939" s="1" t="s">
        <v>35</v>
      </c>
      <c r="G939" s="1">
        <v>92783</v>
      </c>
      <c r="H939" s="1">
        <v>5866426</v>
      </c>
      <c r="I939" s="1">
        <v>63.227656249999988</v>
      </c>
      <c r="J939" s="1">
        <v>88091.937039207871</v>
      </c>
      <c r="K939" s="1">
        <v>79.5</v>
      </c>
      <c r="L939" s="1">
        <v>72.5</v>
      </c>
      <c r="M939" s="1">
        <v>64.209802769832038</v>
      </c>
      <c r="N939" s="1">
        <v>5656366</v>
      </c>
    </row>
    <row r="940" spans="1:14" x14ac:dyDescent="0.35">
      <c r="A940" s="1" t="s">
        <v>50</v>
      </c>
      <c r="B940" s="1">
        <v>202404</v>
      </c>
      <c r="C940" s="1" t="str">
        <f>MID(analisis_productividad__4[[#This Row],[Periodo]],1,4)</f>
        <v>2024</v>
      </c>
      <c r="D940" s="1" t="str">
        <f>MID(analisis_productividad__4[[#This Row],[Periodo]],5,2)</f>
        <v>04</v>
      </c>
      <c r="E940" s="1" t="s">
        <v>34</v>
      </c>
      <c r="F940" s="1" t="s">
        <v>35</v>
      </c>
      <c r="G940" s="1">
        <v>92781</v>
      </c>
      <c r="H940" s="1">
        <v>5735138</v>
      </c>
      <c r="I940" s="1">
        <v>61.8138402777778</v>
      </c>
      <c r="J940" s="1">
        <v>0</v>
      </c>
      <c r="K940" s="1">
        <v>79.5</v>
      </c>
      <c r="L940" s="1">
        <v>72.5</v>
      </c>
      <c r="M940" s="1"/>
      <c r="N940" s="1">
        <v>0</v>
      </c>
    </row>
    <row r="941" spans="1:14" x14ac:dyDescent="0.35">
      <c r="A941" s="1" t="s">
        <v>74</v>
      </c>
      <c r="B941" s="1">
        <v>202601</v>
      </c>
      <c r="C941" s="1" t="str">
        <f>MID(analisis_productividad__4[[#This Row],[Periodo]],1,4)</f>
        <v>2026</v>
      </c>
      <c r="D941" s="1" t="str">
        <f>MID(analisis_productividad__4[[#This Row],[Periodo]],5,2)</f>
        <v>01</v>
      </c>
      <c r="E941" s="1" t="s">
        <v>16</v>
      </c>
      <c r="F941" s="1" t="s">
        <v>19</v>
      </c>
      <c r="G941" s="1">
        <v>92778</v>
      </c>
      <c r="H941" s="1">
        <v>4092156</v>
      </c>
      <c r="I941" s="1">
        <v>44.107150537634411</v>
      </c>
      <c r="J941" s="1">
        <v>90791.025090058465</v>
      </c>
      <c r="K941" s="1">
        <v>50.5</v>
      </c>
      <c r="L941" s="1">
        <v>51.5</v>
      </c>
      <c r="M941" s="1">
        <v>44.728769766304502</v>
      </c>
      <c r="N941" s="1">
        <v>4060971</v>
      </c>
    </row>
    <row r="942" spans="1:14" x14ac:dyDescent="0.35">
      <c r="A942" s="1" t="s">
        <v>18</v>
      </c>
      <c r="B942" s="1">
        <v>202407</v>
      </c>
      <c r="C942" s="1" t="str">
        <f>MID(analisis_productividad__4[[#This Row],[Periodo]],1,4)</f>
        <v>2024</v>
      </c>
      <c r="D942" s="1" t="str">
        <f>MID(analisis_productividad__4[[#This Row],[Periodo]],5,2)</f>
        <v>07</v>
      </c>
      <c r="E942" s="1" t="s">
        <v>16</v>
      </c>
      <c r="F942" s="1" t="s">
        <v>19</v>
      </c>
      <c r="G942" s="1">
        <v>92753</v>
      </c>
      <c r="H942" s="1">
        <v>5911299</v>
      </c>
      <c r="I942" s="1">
        <v>63.731330645161279</v>
      </c>
      <c r="J942" s="1">
        <v>0</v>
      </c>
      <c r="K942" s="1">
        <v>70.5</v>
      </c>
      <c r="L942" s="1">
        <v>69.5</v>
      </c>
      <c r="M942" s="1"/>
      <c r="N942" s="1">
        <v>0</v>
      </c>
    </row>
    <row r="943" spans="1:14" x14ac:dyDescent="0.35">
      <c r="A943" s="1" t="s">
        <v>81</v>
      </c>
      <c r="B943" s="1">
        <v>202601</v>
      </c>
      <c r="C943" s="1" t="str">
        <f>MID(analisis_productividad__4[[#This Row],[Periodo]],1,4)</f>
        <v>2026</v>
      </c>
      <c r="D943" s="1" t="str">
        <f>MID(analisis_productividad__4[[#This Row],[Periodo]],5,2)</f>
        <v>01</v>
      </c>
      <c r="E943" s="1" t="s">
        <v>34</v>
      </c>
      <c r="F943" s="1" t="s">
        <v>35</v>
      </c>
      <c r="G943" s="1">
        <v>92722</v>
      </c>
      <c r="H943" s="1">
        <v>7439451</v>
      </c>
      <c r="I943" s="1">
        <v>80.234018817204287</v>
      </c>
      <c r="J943" s="1">
        <v>89761.998708126906</v>
      </c>
      <c r="K943" s="1">
        <v>106</v>
      </c>
      <c r="L943" s="1">
        <v>94.5</v>
      </c>
      <c r="M943" s="1">
        <v>88.413034538205707</v>
      </c>
      <c r="N943" s="1">
        <v>7936131</v>
      </c>
    </row>
    <row r="944" spans="1:14" x14ac:dyDescent="0.35">
      <c r="A944" s="1" t="s">
        <v>81</v>
      </c>
      <c r="B944" s="1">
        <v>202606</v>
      </c>
      <c r="C944" s="1" t="str">
        <f>MID(analisis_productividad__4[[#This Row],[Periodo]],1,4)</f>
        <v>2026</v>
      </c>
      <c r="D944" s="1" t="str">
        <f>MID(analisis_productividad__4[[#This Row],[Periodo]],5,2)</f>
        <v>06</v>
      </c>
      <c r="E944" s="1" t="s">
        <v>34</v>
      </c>
      <c r="F944" s="1" t="s">
        <v>35</v>
      </c>
      <c r="G944" s="1">
        <v>92697</v>
      </c>
      <c r="H944" s="1">
        <v>7766438</v>
      </c>
      <c r="I944" s="1">
        <v>83.783194444446778</v>
      </c>
      <c r="J944" s="1">
        <v>85052.613258631056</v>
      </c>
      <c r="K944" s="1">
        <v>106</v>
      </c>
      <c r="L944" s="1">
        <v>94.5</v>
      </c>
      <c r="M944" s="1">
        <v>88.413034538205707</v>
      </c>
      <c r="N944" s="1">
        <v>7519760</v>
      </c>
    </row>
    <row r="945" spans="1:14" x14ac:dyDescent="0.35">
      <c r="A945" s="1" t="s">
        <v>24</v>
      </c>
      <c r="B945" s="1">
        <v>202508</v>
      </c>
      <c r="C945" s="1" t="str">
        <f>MID(analisis_productividad__4[[#This Row],[Periodo]],1,4)</f>
        <v>2025</v>
      </c>
      <c r="D945" s="1" t="str">
        <f>MID(analisis_productividad__4[[#This Row],[Periodo]],5,2)</f>
        <v>08</v>
      </c>
      <c r="E945" s="1" t="s">
        <v>16</v>
      </c>
      <c r="F945" s="1" t="s">
        <v>21</v>
      </c>
      <c r="G945" s="1">
        <v>92680</v>
      </c>
      <c r="H945" s="1">
        <v>9309700</v>
      </c>
      <c r="I945" s="1">
        <v>100.4497647849462</v>
      </c>
      <c r="J945" s="1">
        <v>98211.801195131527</v>
      </c>
      <c r="K945" s="1">
        <v>125</v>
      </c>
      <c r="L945" s="1">
        <v>118.5</v>
      </c>
      <c r="M945" s="1">
        <v>94.792075256853039</v>
      </c>
      <c r="N945" s="1">
        <v>9486917</v>
      </c>
    </row>
    <row r="946" spans="1:14" x14ac:dyDescent="0.35">
      <c r="A946" s="1" t="s">
        <v>46</v>
      </c>
      <c r="B946" s="1">
        <v>202405</v>
      </c>
      <c r="C946" s="1" t="str">
        <f>MID(analisis_productividad__4[[#This Row],[Periodo]],1,4)</f>
        <v>2024</v>
      </c>
      <c r="D946" s="1" t="str">
        <f>MID(analisis_productividad__4[[#This Row],[Periodo]],5,2)</f>
        <v>05</v>
      </c>
      <c r="E946" s="1" t="s">
        <v>11</v>
      </c>
      <c r="F946" s="1" t="s">
        <v>14</v>
      </c>
      <c r="G946" s="1">
        <v>92665</v>
      </c>
      <c r="H946" s="1">
        <v>6333302</v>
      </c>
      <c r="I946" s="1">
        <v>68.346579301075266</v>
      </c>
      <c r="J946" s="1">
        <v>0</v>
      </c>
      <c r="K946" s="1">
        <v>77</v>
      </c>
      <c r="L946" s="1">
        <v>79</v>
      </c>
      <c r="M946" s="1"/>
      <c r="N946" s="1">
        <v>0</v>
      </c>
    </row>
    <row r="947" spans="1:14" x14ac:dyDescent="0.35">
      <c r="A947" s="1" t="s">
        <v>38</v>
      </c>
      <c r="B947" s="1">
        <v>202409</v>
      </c>
      <c r="C947" s="1" t="str">
        <f>MID(analisis_productividad__4[[#This Row],[Periodo]],1,4)</f>
        <v>2024</v>
      </c>
      <c r="D947" s="1" t="str">
        <f>MID(analisis_productividad__4[[#This Row],[Periodo]],5,2)</f>
        <v>09</v>
      </c>
      <c r="E947" s="1" t="s">
        <v>34</v>
      </c>
      <c r="F947" s="1" t="s">
        <v>35</v>
      </c>
      <c r="G947" s="1">
        <v>92595</v>
      </c>
      <c r="H947" s="1">
        <v>11085468</v>
      </c>
      <c r="I947" s="1">
        <v>119.71954166666663</v>
      </c>
      <c r="J947" s="1">
        <v>0</v>
      </c>
      <c r="K947" s="1">
        <v>140.5</v>
      </c>
      <c r="L947" s="1">
        <v>125.5</v>
      </c>
      <c r="M947" s="1"/>
      <c r="N947" s="1">
        <v>0</v>
      </c>
    </row>
    <row r="948" spans="1:14" x14ac:dyDescent="0.35">
      <c r="A948" s="1" t="s">
        <v>32</v>
      </c>
      <c r="B948" s="1">
        <v>202408</v>
      </c>
      <c r="C948" s="1" t="str">
        <f>MID(analisis_productividad__4[[#This Row],[Periodo]],1,4)</f>
        <v>2024</v>
      </c>
      <c r="D948" s="1" t="str">
        <f>MID(analisis_productividad__4[[#This Row],[Periodo]],5,2)</f>
        <v>08</v>
      </c>
      <c r="E948" s="1" t="s">
        <v>11</v>
      </c>
      <c r="F948" s="1" t="s">
        <v>12</v>
      </c>
      <c r="G948" s="1">
        <v>92569</v>
      </c>
      <c r="H948" s="1">
        <v>5367501</v>
      </c>
      <c r="I948" s="1">
        <v>57.983662634408596</v>
      </c>
      <c r="J948" s="1">
        <v>0</v>
      </c>
      <c r="K948" s="1">
        <v>65.5</v>
      </c>
      <c r="L948" s="1">
        <v>66</v>
      </c>
      <c r="M948" s="1"/>
      <c r="N948" s="1">
        <v>0</v>
      </c>
    </row>
    <row r="949" spans="1:14" x14ac:dyDescent="0.35">
      <c r="A949" s="1" t="s">
        <v>27</v>
      </c>
      <c r="B949" s="1">
        <v>202501</v>
      </c>
      <c r="C949" s="1" t="str">
        <f>MID(analisis_productividad__4[[#This Row],[Periodo]],1,4)</f>
        <v>2025</v>
      </c>
      <c r="D949" s="1" t="str">
        <f>MID(analisis_productividad__4[[#This Row],[Periodo]],5,2)</f>
        <v>01</v>
      </c>
      <c r="E949" s="1" t="s">
        <v>11</v>
      </c>
      <c r="F949" s="1" t="s">
        <v>14</v>
      </c>
      <c r="G949" s="1">
        <v>92554</v>
      </c>
      <c r="H949" s="1">
        <v>7655103</v>
      </c>
      <c r="I949" s="1">
        <v>82.709422043010719</v>
      </c>
      <c r="J949" s="1">
        <v>99789.222064319198</v>
      </c>
      <c r="K949" s="1">
        <v>88</v>
      </c>
      <c r="L949" s="1">
        <v>84</v>
      </c>
      <c r="M949" s="1">
        <v>76.712724797733159</v>
      </c>
      <c r="N949" s="1">
        <v>7834878</v>
      </c>
    </row>
    <row r="950" spans="1:14" x14ac:dyDescent="0.35">
      <c r="A950" s="1" t="s">
        <v>32</v>
      </c>
      <c r="B950" s="1">
        <v>202406</v>
      </c>
      <c r="C950" s="1" t="str">
        <f>MID(analisis_productividad__4[[#This Row],[Periodo]],1,4)</f>
        <v>2024</v>
      </c>
      <c r="D950" s="1" t="str">
        <f>MID(analisis_productividad__4[[#This Row],[Periodo]],5,2)</f>
        <v>06</v>
      </c>
      <c r="E950" s="1" t="s">
        <v>11</v>
      </c>
      <c r="F950" s="1" t="s">
        <v>12</v>
      </c>
      <c r="G950" s="1">
        <v>92539</v>
      </c>
      <c r="H950" s="1">
        <v>5578005</v>
      </c>
      <c r="I950" s="1">
        <v>60.277437499999991</v>
      </c>
      <c r="J950" s="1">
        <v>0</v>
      </c>
      <c r="K950" s="1">
        <v>65.5</v>
      </c>
      <c r="L950" s="1">
        <v>66</v>
      </c>
      <c r="M950" s="1"/>
      <c r="N950" s="1">
        <v>0</v>
      </c>
    </row>
    <row r="951" spans="1:14" x14ac:dyDescent="0.35">
      <c r="A951" s="1" t="s">
        <v>57</v>
      </c>
      <c r="B951" s="1">
        <v>202411</v>
      </c>
      <c r="C951" s="1" t="str">
        <f>MID(analisis_productividad__4[[#This Row],[Periodo]],1,4)</f>
        <v>2024</v>
      </c>
      <c r="D951" s="1" t="str">
        <f>MID(analisis_productividad__4[[#This Row],[Periodo]],5,2)</f>
        <v>11</v>
      </c>
      <c r="E951" s="1" t="s">
        <v>16</v>
      </c>
      <c r="F951" s="1" t="s">
        <v>19</v>
      </c>
      <c r="G951" s="1">
        <v>92513</v>
      </c>
      <c r="H951" s="1">
        <v>6057464</v>
      </c>
      <c r="I951" s="1">
        <v>65.476638888888886</v>
      </c>
      <c r="J951" s="1">
        <v>0</v>
      </c>
      <c r="K951" s="1">
        <v>71</v>
      </c>
      <c r="L951" s="1">
        <v>74.5</v>
      </c>
      <c r="M951" s="1"/>
      <c r="N951" s="1">
        <v>0</v>
      </c>
    </row>
    <row r="952" spans="1:14" x14ac:dyDescent="0.35">
      <c r="A952" s="1" t="s">
        <v>83</v>
      </c>
      <c r="B952" s="1">
        <v>202603</v>
      </c>
      <c r="C952" s="1" t="str">
        <f>MID(analisis_productividad__4[[#This Row],[Periodo]],1,4)</f>
        <v>2026</v>
      </c>
      <c r="D952" s="1" t="str">
        <f>MID(analisis_productividad__4[[#This Row],[Periodo]],5,2)</f>
        <v>03</v>
      </c>
      <c r="E952" s="1" t="s">
        <v>16</v>
      </c>
      <c r="F952" s="1" t="s">
        <v>17</v>
      </c>
      <c r="G952" s="1">
        <v>92466</v>
      </c>
      <c r="H952" s="1">
        <v>4321005</v>
      </c>
      <c r="I952" s="1">
        <v>46.730927419354856</v>
      </c>
      <c r="J952" s="1">
        <v>91218.694754519078</v>
      </c>
      <c r="K952" s="1">
        <v>52</v>
      </c>
      <c r="L952" s="1">
        <v>52</v>
      </c>
      <c r="M952" s="1">
        <v>46.517920556956689</v>
      </c>
      <c r="N952" s="1">
        <v>4243304</v>
      </c>
    </row>
    <row r="953" spans="1:14" x14ac:dyDescent="0.35">
      <c r="A953" s="1" t="s">
        <v>68</v>
      </c>
      <c r="B953" s="1">
        <v>202509</v>
      </c>
      <c r="C953" s="1" t="str">
        <f>MID(analisis_productividad__4[[#This Row],[Periodo]],1,4)</f>
        <v>2025</v>
      </c>
      <c r="D953" s="1" t="str">
        <f>MID(analisis_productividad__4[[#This Row],[Periodo]],5,2)</f>
        <v>09</v>
      </c>
      <c r="E953" s="1" t="s">
        <v>11</v>
      </c>
      <c r="F953" s="1" t="s">
        <v>52</v>
      </c>
      <c r="G953" s="1">
        <v>92447</v>
      </c>
      <c r="H953" s="1">
        <v>7367446</v>
      </c>
      <c r="I953" s="1">
        <v>79.69363888888897</v>
      </c>
      <c r="J953" s="1">
        <v>97056.525876674685</v>
      </c>
      <c r="K953" s="1">
        <v>103</v>
      </c>
      <c r="L953" s="1">
        <v>91</v>
      </c>
      <c r="M953" s="1">
        <v>75.908812245778066</v>
      </c>
      <c r="N953" s="1">
        <v>8301449</v>
      </c>
    </row>
    <row r="954" spans="1:14" x14ac:dyDescent="0.35">
      <c r="A954" s="1" t="s">
        <v>64</v>
      </c>
      <c r="B954" s="1">
        <v>202502</v>
      </c>
      <c r="C954" s="1" t="str">
        <f>MID(analisis_productividad__4[[#This Row],[Periodo]],1,4)</f>
        <v>2025</v>
      </c>
      <c r="D954" s="1" t="str">
        <f>MID(analisis_productividad__4[[#This Row],[Periodo]],5,2)</f>
        <v>02</v>
      </c>
      <c r="E954" s="1" t="s">
        <v>16</v>
      </c>
      <c r="F954" s="1" t="s">
        <v>21</v>
      </c>
      <c r="G954" s="1">
        <v>92441</v>
      </c>
      <c r="H954" s="1">
        <v>7387253</v>
      </c>
      <c r="I954" s="1">
        <v>79.913385416666685</v>
      </c>
      <c r="J954" s="1">
        <v>83465.932779651193</v>
      </c>
      <c r="K954" s="1">
        <v>88.5</v>
      </c>
      <c r="L954" s="1">
        <v>92.5</v>
      </c>
      <c r="M954" s="1">
        <v>88.506199643179428</v>
      </c>
      <c r="N954" s="1">
        <v>5933284</v>
      </c>
    </row>
    <row r="955" spans="1:14" x14ac:dyDescent="0.35">
      <c r="A955" s="1" t="s">
        <v>68</v>
      </c>
      <c r="B955" s="1">
        <v>202409</v>
      </c>
      <c r="C955" s="1" t="str">
        <f>MID(analisis_productividad__4[[#This Row],[Periodo]],1,4)</f>
        <v>2024</v>
      </c>
      <c r="D955" s="1" t="str">
        <f>MID(analisis_productividad__4[[#This Row],[Periodo]],5,2)</f>
        <v>09</v>
      </c>
      <c r="E955" s="1" t="s">
        <v>11</v>
      </c>
      <c r="F955" s="1" t="s">
        <v>52</v>
      </c>
      <c r="G955" s="1">
        <v>92435</v>
      </c>
      <c r="H955" s="1">
        <v>7574399</v>
      </c>
      <c r="I955" s="1">
        <v>81.943166666666684</v>
      </c>
      <c r="J955" s="1">
        <v>0</v>
      </c>
      <c r="K955" s="1">
        <v>103</v>
      </c>
      <c r="L955" s="1">
        <v>91</v>
      </c>
      <c r="M955" s="1"/>
      <c r="N955" s="1">
        <v>0</v>
      </c>
    </row>
    <row r="956" spans="1:14" x14ac:dyDescent="0.35">
      <c r="A956" s="1" t="s">
        <v>55</v>
      </c>
      <c r="B956" s="1">
        <v>202408</v>
      </c>
      <c r="C956" s="1" t="str">
        <f>MID(analisis_productividad__4[[#This Row],[Periodo]],1,4)</f>
        <v>2024</v>
      </c>
      <c r="D956" s="1" t="str">
        <f>MID(analisis_productividad__4[[#This Row],[Periodo]],5,2)</f>
        <v>08</v>
      </c>
      <c r="E956" s="1" t="s">
        <v>16</v>
      </c>
      <c r="F956" s="1" t="s">
        <v>21</v>
      </c>
      <c r="G956" s="1">
        <v>92432</v>
      </c>
      <c r="H956" s="1">
        <v>4739428</v>
      </c>
      <c r="I956" s="1">
        <v>51.274576612903239</v>
      </c>
      <c r="J956" s="1">
        <v>0</v>
      </c>
      <c r="K956" s="1">
        <v>55</v>
      </c>
      <c r="L956" s="1">
        <v>50.5</v>
      </c>
      <c r="M956" s="1"/>
      <c r="N956" s="1">
        <v>0</v>
      </c>
    </row>
    <row r="957" spans="1:14" x14ac:dyDescent="0.35">
      <c r="A957" s="1" t="s">
        <v>76</v>
      </c>
      <c r="B957" s="1">
        <v>202606</v>
      </c>
      <c r="C957" s="1" t="str">
        <f>MID(analisis_productividad__4[[#This Row],[Periodo]],1,4)</f>
        <v>2026</v>
      </c>
      <c r="D957" s="1" t="str">
        <f>MID(analisis_productividad__4[[#This Row],[Periodo]],5,2)</f>
        <v>06</v>
      </c>
      <c r="E957" s="1" t="s">
        <v>11</v>
      </c>
      <c r="F957" s="1" t="s">
        <v>14</v>
      </c>
      <c r="G957" s="1">
        <v>92416</v>
      </c>
      <c r="H957" s="1">
        <v>6257457</v>
      </c>
      <c r="I957" s="1">
        <v>67.709833333334487</v>
      </c>
      <c r="J957" s="1">
        <v>88702.632326041596</v>
      </c>
      <c r="K957" s="1">
        <v>80</v>
      </c>
      <c r="L957" s="1">
        <v>78</v>
      </c>
      <c r="M957" s="1">
        <v>69.114627897013889</v>
      </c>
      <c r="N957" s="1">
        <v>6130649</v>
      </c>
    </row>
    <row r="958" spans="1:14" x14ac:dyDescent="0.35">
      <c r="A958" s="1" t="s">
        <v>65</v>
      </c>
      <c r="B958" s="1">
        <v>202503</v>
      </c>
      <c r="C958" s="1" t="str">
        <f>MID(analisis_productividad__4[[#This Row],[Periodo]],1,4)</f>
        <v>2025</v>
      </c>
      <c r="D958" s="1" t="str">
        <f>MID(analisis_productividad__4[[#This Row],[Periodo]],5,2)</f>
        <v>03</v>
      </c>
      <c r="E958" s="1" t="s">
        <v>16</v>
      </c>
      <c r="F958" s="1" t="s">
        <v>19</v>
      </c>
      <c r="G958" s="1">
        <v>92402</v>
      </c>
      <c r="H958" s="1">
        <v>6134959</v>
      </c>
      <c r="I958" s="1">
        <v>66.394012096774205</v>
      </c>
      <c r="J958" s="1">
        <v>94432.254178611518</v>
      </c>
      <c r="K958" s="1">
        <v>68</v>
      </c>
      <c r="L958" s="1">
        <v>68.5</v>
      </c>
      <c r="M958" s="1">
        <v>64.966774047309997</v>
      </c>
      <c r="N958" s="1">
        <v>5543023</v>
      </c>
    </row>
    <row r="959" spans="1:14" x14ac:dyDescent="0.35">
      <c r="A959" s="1" t="s">
        <v>51</v>
      </c>
      <c r="B959" s="1">
        <v>202409</v>
      </c>
      <c r="C959" s="1" t="str">
        <f>MID(analisis_productividad__4[[#This Row],[Periodo]],1,4)</f>
        <v>2024</v>
      </c>
      <c r="D959" s="1" t="str">
        <f>MID(analisis_productividad__4[[#This Row],[Periodo]],5,2)</f>
        <v>09</v>
      </c>
      <c r="E959" s="1" t="s">
        <v>11</v>
      </c>
      <c r="F959" s="1" t="s">
        <v>52</v>
      </c>
      <c r="G959" s="1">
        <v>92388</v>
      </c>
      <c r="H959" s="1">
        <v>9025811</v>
      </c>
      <c r="I959" s="1">
        <v>97.694770833333351</v>
      </c>
      <c r="J959" s="1">
        <v>0</v>
      </c>
      <c r="K959" s="1">
        <v>117.5</v>
      </c>
      <c r="L959" s="1">
        <v>99</v>
      </c>
      <c r="M959" s="1"/>
      <c r="N959" s="1">
        <v>0</v>
      </c>
    </row>
    <row r="960" spans="1:14" x14ac:dyDescent="0.35">
      <c r="A960" s="1" t="s">
        <v>28</v>
      </c>
      <c r="B960" s="1">
        <v>202405</v>
      </c>
      <c r="C960" s="1" t="str">
        <f>MID(analisis_productividad__4[[#This Row],[Periodo]],1,4)</f>
        <v>2024</v>
      </c>
      <c r="D960" s="1" t="str">
        <f>MID(analisis_productividad__4[[#This Row],[Periodo]],5,2)</f>
        <v>05</v>
      </c>
      <c r="E960" s="1" t="s">
        <v>16</v>
      </c>
      <c r="F960" s="1" t="s">
        <v>17</v>
      </c>
      <c r="G960" s="1">
        <v>92385</v>
      </c>
      <c r="H960" s="1">
        <v>5464947</v>
      </c>
      <c r="I960" s="1">
        <v>59.153951612903221</v>
      </c>
      <c r="J960" s="1">
        <v>0</v>
      </c>
      <c r="K960" s="1">
        <v>64</v>
      </c>
      <c r="L960" s="1">
        <v>67</v>
      </c>
      <c r="M960" s="1"/>
      <c r="N960" s="1">
        <v>0</v>
      </c>
    </row>
    <row r="961" spans="1:14" x14ac:dyDescent="0.35">
      <c r="A961" s="1" t="s">
        <v>41</v>
      </c>
      <c r="B961" s="1">
        <v>202606</v>
      </c>
      <c r="C961" s="1" t="str">
        <f>MID(analisis_productividad__4[[#This Row],[Periodo]],1,4)</f>
        <v>2026</v>
      </c>
      <c r="D961" s="1" t="str">
        <f>MID(analisis_productividad__4[[#This Row],[Periodo]],5,2)</f>
        <v>06</v>
      </c>
      <c r="E961" s="1" t="s">
        <v>16</v>
      </c>
      <c r="F961" s="1" t="s">
        <v>19</v>
      </c>
      <c r="G961" s="1">
        <v>92381</v>
      </c>
      <c r="H961" s="1">
        <v>4419981</v>
      </c>
      <c r="I961" s="1">
        <v>47.845097222222314</v>
      </c>
      <c r="J961" s="1">
        <v>87291.274051649685</v>
      </c>
      <c r="K961" s="1">
        <v>57.5</v>
      </c>
      <c r="L961" s="1">
        <v>56.5</v>
      </c>
      <c r="M961" s="1">
        <v>50.698263574219922</v>
      </c>
      <c r="N961" s="1">
        <v>4425516</v>
      </c>
    </row>
    <row r="962" spans="1:14" x14ac:dyDescent="0.35">
      <c r="A962" s="1" t="s">
        <v>71</v>
      </c>
      <c r="B962" s="1">
        <v>202604</v>
      </c>
      <c r="C962" s="1" t="str">
        <f>MID(analisis_productividad__4[[#This Row],[Periodo]],1,4)</f>
        <v>2026</v>
      </c>
      <c r="D962" s="1" t="str">
        <f>MID(analisis_productividad__4[[#This Row],[Periodo]],5,2)</f>
        <v>04</v>
      </c>
      <c r="E962" s="1" t="s">
        <v>16</v>
      </c>
      <c r="F962" s="1" t="s">
        <v>19</v>
      </c>
      <c r="G962" s="1">
        <v>92375</v>
      </c>
      <c r="H962" s="1">
        <v>3295944</v>
      </c>
      <c r="I962" s="1">
        <v>35.679972222222354</v>
      </c>
      <c r="J962" s="1">
        <v>69175.744742501527</v>
      </c>
      <c r="K962" s="1">
        <v>41.5</v>
      </c>
      <c r="L962" s="1">
        <v>35.5</v>
      </c>
      <c r="M962" s="1">
        <v>37.124878906032741</v>
      </c>
      <c r="N962" s="1">
        <v>2568141</v>
      </c>
    </row>
    <row r="963" spans="1:14" x14ac:dyDescent="0.35">
      <c r="A963" s="1" t="s">
        <v>80</v>
      </c>
      <c r="B963" s="1">
        <v>202501</v>
      </c>
      <c r="C963" s="1" t="str">
        <f>MID(analisis_productividad__4[[#This Row],[Periodo]],1,4)</f>
        <v>2025</v>
      </c>
      <c r="D963" s="1" t="str">
        <f>MID(analisis_productividad__4[[#This Row],[Periodo]],5,2)</f>
        <v>01</v>
      </c>
      <c r="E963" s="1" t="s">
        <v>16</v>
      </c>
      <c r="F963" s="1" t="s">
        <v>17</v>
      </c>
      <c r="G963" s="1">
        <v>92360</v>
      </c>
      <c r="H963" s="1">
        <v>4765753</v>
      </c>
      <c r="I963" s="1">
        <v>51.600020161290303</v>
      </c>
      <c r="J963" s="1">
        <v>83749.09897237517</v>
      </c>
      <c r="K963" s="1">
        <v>58</v>
      </c>
      <c r="L963" s="1">
        <v>58.5</v>
      </c>
      <c r="M963" s="1">
        <v>56.905127678710826</v>
      </c>
      <c r="N963" s="1">
        <v>4457547</v>
      </c>
    </row>
    <row r="964" spans="1:14" x14ac:dyDescent="0.35">
      <c r="A964" s="1" t="s">
        <v>43</v>
      </c>
      <c r="B964" s="1">
        <v>202509</v>
      </c>
      <c r="C964" s="1" t="str">
        <f>MID(analisis_productividad__4[[#This Row],[Periodo]],1,4)</f>
        <v>2025</v>
      </c>
      <c r="D964" s="1" t="str">
        <f>MID(analisis_productividad__4[[#This Row],[Periodo]],5,2)</f>
        <v>09</v>
      </c>
      <c r="E964" s="1" t="s">
        <v>11</v>
      </c>
      <c r="F964" s="1" t="s">
        <v>12</v>
      </c>
      <c r="G964" s="1">
        <v>92351</v>
      </c>
      <c r="H964" s="1">
        <v>6128222</v>
      </c>
      <c r="I964" s="1">
        <v>66.357861111111163</v>
      </c>
      <c r="J964" s="1">
        <v>86077.358643636384</v>
      </c>
      <c r="K964" s="1">
        <v>84.5</v>
      </c>
      <c r="L964" s="1">
        <v>86.5</v>
      </c>
      <c r="M964" s="1">
        <v>71.194356292588878</v>
      </c>
      <c r="N964" s="1">
        <v>6406806</v>
      </c>
    </row>
    <row r="965" spans="1:14" x14ac:dyDescent="0.35">
      <c r="A965" s="1" t="s">
        <v>53</v>
      </c>
      <c r="B965" s="1">
        <v>202511</v>
      </c>
      <c r="C965" s="1" t="str">
        <f>MID(analisis_productividad__4[[#This Row],[Periodo]],1,4)</f>
        <v>2025</v>
      </c>
      <c r="D965" s="1" t="str">
        <f>MID(analisis_productividad__4[[#This Row],[Periodo]],5,2)</f>
        <v>11</v>
      </c>
      <c r="E965" s="1" t="s">
        <v>11</v>
      </c>
      <c r="F965" s="1" t="s">
        <v>12</v>
      </c>
      <c r="G965" s="1">
        <v>92336</v>
      </c>
      <c r="H965" s="1">
        <v>6608649</v>
      </c>
      <c r="I965" s="1">
        <v>71.571791666666684</v>
      </c>
      <c r="J965" s="1">
        <v>95211.987304675175</v>
      </c>
      <c r="K965" s="1">
        <v>81</v>
      </c>
      <c r="L965" s="1">
        <v>77</v>
      </c>
      <c r="M965" s="1">
        <v>69.409837847964937</v>
      </c>
      <c r="N965" s="1">
        <v>6754229</v>
      </c>
    </row>
    <row r="966" spans="1:14" x14ac:dyDescent="0.35">
      <c r="A966" s="1" t="s">
        <v>60</v>
      </c>
      <c r="B966" s="1">
        <v>202604</v>
      </c>
      <c r="C966" s="1" t="str">
        <f>MID(analisis_productividad__4[[#This Row],[Periodo]],1,4)</f>
        <v>2026</v>
      </c>
      <c r="D966" s="1" t="str">
        <f>MID(analisis_productividad__4[[#This Row],[Periodo]],5,2)</f>
        <v>04</v>
      </c>
      <c r="E966" s="1" t="s">
        <v>11</v>
      </c>
      <c r="F966" s="1" t="s">
        <v>14</v>
      </c>
      <c r="G966" s="1">
        <v>92315</v>
      </c>
      <c r="H966" s="1">
        <v>5886462</v>
      </c>
      <c r="I966" s="1">
        <v>63.765284722223363</v>
      </c>
      <c r="J966" s="1">
        <v>89160.202967590332</v>
      </c>
      <c r="K966" s="1">
        <v>75.5</v>
      </c>
      <c r="L966" s="1">
        <v>74</v>
      </c>
      <c r="M966" s="1">
        <v>63.845934941054651</v>
      </c>
      <c r="N966" s="1">
        <v>5692517</v>
      </c>
    </row>
    <row r="967" spans="1:14" x14ac:dyDescent="0.35">
      <c r="A967" s="1" t="s">
        <v>72</v>
      </c>
      <c r="B967" s="1">
        <v>202605</v>
      </c>
      <c r="C967" s="1" t="str">
        <f>MID(analisis_productividad__4[[#This Row],[Periodo]],1,4)</f>
        <v>2026</v>
      </c>
      <c r="D967" s="1" t="str">
        <f>MID(analisis_productividad__4[[#This Row],[Periodo]],5,2)</f>
        <v>05</v>
      </c>
      <c r="E967" s="1" t="s">
        <v>11</v>
      </c>
      <c r="F967" s="1" t="s">
        <v>14</v>
      </c>
      <c r="G967" s="1">
        <v>92300</v>
      </c>
      <c r="H967" s="1">
        <v>5126938</v>
      </c>
      <c r="I967" s="1">
        <v>55.546505376344513</v>
      </c>
      <c r="J967" s="1">
        <v>89598.234132475773</v>
      </c>
      <c r="K967" s="1">
        <v>66</v>
      </c>
      <c r="L967" s="1">
        <v>64.5</v>
      </c>
      <c r="M967" s="1">
        <v>56.772923994003754</v>
      </c>
      <c r="N967" s="1">
        <v>5086754</v>
      </c>
    </row>
    <row r="968" spans="1:14" x14ac:dyDescent="0.35">
      <c r="A968" s="1" t="s">
        <v>54</v>
      </c>
      <c r="B968" s="1">
        <v>202602</v>
      </c>
      <c r="C968" s="1" t="str">
        <f>MID(analisis_productividad__4[[#This Row],[Periodo]],1,4)</f>
        <v>2026</v>
      </c>
      <c r="D968" s="1" t="str">
        <f>MID(analisis_productividad__4[[#This Row],[Periodo]],5,2)</f>
        <v>02</v>
      </c>
      <c r="E968" s="1" t="s">
        <v>11</v>
      </c>
      <c r="F968" s="1" t="s">
        <v>52</v>
      </c>
      <c r="G968" s="1">
        <v>92296</v>
      </c>
      <c r="H968" s="1">
        <v>8593961</v>
      </c>
      <c r="I968" s="1">
        <v>93.112708333333288</v>
      </c>
      <c r="J968" s="1">
        <v>97858.66739868786</v>
      </c>
      <c r="K968" s="1">
        <v>106</v>
      </c>
      <c r="L968" s="1">
        <v>102.5</v>
      </c>
      <c r="M968" s="1">
        <v>90.060822135394957</v>
      </c>
      <c r="N968" s="1">
        <v>8813232</v>
      </c>
    </row>
    <row r="969" spans="1:14" x14ac:dyDescent="0.35">
      <c r="A969" s="1" t="s">
        <v>84</v>
      </c>
      <c r="B969" s="1">
        <v>202408</v>
      </c>
      <c r="C969" s="1" t="str">
        <f>MID(analisis_productividad__4[[#This Row],[Periodo]],1,4)</f>
        <v>2024</v>
      </c>
      <c r="D969" s="1" t="str">
        <f>MID(analisis_productividad__4[[#This Row],[Periodo]],5,2)</f>
        <v>08</v>
      </c>
      <c r="E969" s="1" t="s">
        <v>11</v>
      </c>
      <c r="F969" s="1" t="s">
        <v>52</v>
      </c>
      <c r="G969" s="1">
        <v>92277</v>
      </c>
      <c r="H969" s="1">
        <v>9073747</v>
      </c>
      <c r="I969" s="1">
        <v>98.33202956989247</v>
      </c>
      <c r="J969" s="1">
        <v>0</v>
      </c>
      <c r="K969" s="1">
        <v>123</v>
      </c>
      <c r="L969" s="1">
        <v>115.5</v>
      </c>
      <c r="M969" s="1"/>
      <c r="N969" s="1">
        <v>0</v>
      </c>
    </row>
    <row r="970" spans="1:14" x14ac:dyDescent="0.35">
      <c r="A970" s="1" t="s">
        <v>53</v>
      </c>
      <c r="B970" s="1">
        <v>202408</v>
      </c>
      <c r="C970" s="1" t="str">
        <f>MID(analisis_productividad__4[[#This Row],[Periodo]],1,4)</f>
        <v>2024</v>
      </c>
      <c r="D970" s="1" t="str">
        <f>MID(analisis_productividad__4[[#This Row],[Periodo]],5,2)</f>
        <v>08</v>
      </c>
      <c r="E970" s="1" t="s">
        <v>11</v>
      </c>
      <c r="F970" s="1" t="s">
        <v>12</v>
      </c>
      <c r="G970" s="1">
        <v>92261</v>
      </c>
      <c r="H970" s="1">
        <v>6523228</v>
      </c>
      <c r="I970" s="1">
        <v>70.703857526881677</v>
      </c>
      <c r="J970" s="1">
        <v>0</v>
      </c>
      <c r="K970" s="1">
        <v>81</v>
      </c>
      <c r="L970" s="1">
        <v>77</v>
      </c>
      <c r="M970" s="1"/>
      <c r="N970" s="1">
        <v>0</v>
      </c>
    </row>
    <row r="971" spans="1:14" x14ac:dyDescent="0.35">
      <c r="A971" s="1" t="s">
        <v>89</v>
      </c>
      <c r="B971" s="1">
        <v>202412</v>
      </c>
      <c r="C971" s="1" t="str">
        <f>MID(analisis_productividad__4[[#This Row],[Periodo]],1,4)</f>
        <v>2024</v>
      </c>
      <c r="D971" s="1" t="str">
        <f>MID(analisis_productividad__4[[#This Row],[Periodo]],5,2)</f>
        <v>12</v>
      </c>
      <c r="E971" s="1" t="s">
        <v>9</v>
      </c>
      <c r="F971" s="1" t="s">
        <v>9</v>
      </c>
      <c r="G971" s="1">
        <v>92261</v>
      </c>
      <c r="H971" s="1">
        <v>1281742</v>
      </c>
      <c r="I971" s="1">
        <v>13.89255376344086</v>
      </c>
      <c r="J971" s="1">
        <v>0</v>
      </c>
      <c r="K971" s="1">
        <v>17</v>
      </c>
      <c r="L971" s="1">
        <v>13.5</v>
      </c>
      <c r="M971" s="1"/>
      <c r="N971" s="1">
        <v>0</v>
      </c>
    </row>
    <row r="972" spans="1:14" x14ac:dyDescent="0.35">
      <c r="A972" s="1" t="s">
        <v>22</v>
      </c>
      <c r="B972" s="1">
        <v>202510</v>
      </c>
      <c r="C972" s="1" t="str">
        <f>MID(analisis_productividad__4[[#This Row],[Periodo]],1,4)</f>
        <v>2025</v>
      </c>
      <c r="D972" s="1" t="str">
        <f>MID(analisis_productividad__4[[#This Row],[Periodo]],5,2)</f>
        <v>10</v>
      </c>
      <c r="E972" s="1" t="s">
        <v>16</v>
      </c>
      <c r="F972" s="1" t="s">
        <v>21</v>
      </c>
      <c r="G972" s="1">
        <v>92228</v>
      </c>
      <c r="H972" s="1">
        <v>4615629</v>
      </c>
      <c r="I972" s="1">
        <v>50.046001344086008</v>
      </c>
      <c r="J972" s="1">
        <v>101163.54771211024</v>
      </c>
      <c r="K972" s="1">
        <v>59.5</v>
      </c>
      <c r="L972" s="1">
        <v>55.5</v>
      </c>
      <c r="M972" s="1">
        <v>45.625413050312247</v>
      </c>
      <c r="N972" s="1">
        <v>4954749</v>
      </c>
    </row>
    <row r="973" spans="1:14" x14ac:dyDescent="0.35">
      <c r="A973" s="1" t="s">
        <v>37</v>
      </c>
      <c r="B973" s="1">
        <v>202405</v>
      </c>
      <c r="C973" s="1" t="str">
        <f>MID(analisis_productividad__4[[#This Row],[Periodo]],1,4)</f>
        <v>2024</v>
      </c>
      <c r="D973" s="1" t="str">
        <f>MID(analisis_productividad__4[[#This Row],[Periodo]],5,2)</f>
        <v>05</v>
      </c>
      <c r="E973" s="1" t="s">
        <v>16</v>
      </c>
      <c r="F973" s="1" t="s">
        <v>17</v>
      </c>
      <c r="G973" s="1">
        <v>92208</v>
      </c>
      <c r="H973" s="1">
        <v>9619322</v>
      </c>
      <c r="I973" s="1">
        <v>104.32196908602145</v>
      </c>
      <c r="J973" s="1">
        <v>0</v>
      </c>
      <c r="K973" s="1">
        <v>107.5</v>
      </c>
      <c r="L973" s="1">
        <v>102.5</v>
      </c>
      <c r="M973" s="1"/>
      <c r="N973" s="1">
        <v>0</v>
      </c>
    </row>
    <row r="974" spans="1:14" x14ac:dyDescent="0.35">
      <c r="A974" s="1" t="s">
        <v>81</v>
      </c>
      <c r="B974" s="1">
        <v>202512</v>
      </c>
      <c r="C974" s="1" t="str">
        <f>MID(analisis_productividad__4[[#This Row],[Periodo]],1,4)</f>
        <v>2025</v>
      </c>
      <c r="D974" s="1" t="str">
        <f>MID(analisis_productividad__4[[#This Row],[Periodo]],5,2)</f>
        <v>12</v>
      </c>
      <c r="E974" s="1" t="s">
        <v>34</v>
      </c>
      <c r="F974" s="1" t="s">
        <v>35</v>
      </c>
      <c r="G974" s="1">
        <v>92163</v>
      </c>
      <c r="H974" s="1">
        <v>8865141</v>
      </c>
      <c r="I974" s="1">
        <v>96.189973118279511</v>
      </c>
      <c r="J974" s="1">
        <v>86912.709617242101</v>
      </c>
      <c r="K974" s="1">
        <v>106</v>
      </c>
      <c r="L974" s="1">
        <v>94.5</v>
      </c>
      <c r="M974" s="1">
        <v>102.00051119153343</v>
      </c>
      <c r="N974" s="1">
        <v>9649556</v>
      </c>
    </row>
    <row r="975" spans="1:14" x14ac:dyDescent="0.35">
      <c r="A975" s="1" t="s">
        <v>84</v>
      </c>
      <c r="B975" s="1">
        <v>202603</v>
      </c>
      <c r="C975" s="1" t="str">
        <f>MID(analisis_productividad__4[[#This Row],[Periodo]],1,4)</f>
        <v>2026</v>
      </c>
      <c r="D975" s="1" t="str">
        <f>MID(analisis_productividad__4[[#This Row],[Periodo]],5,2)</f>
        <v>03</v>
      </c>
      <c r="E975" s="1" t="s">
        <v>11</v>
      </c>
      <c r="F975" s="1" t="s">
        <v>52</v>
      </c>
      <c r="G975" s="1">
        <v>92132</v>
      </c>
      <c r="H975" s="1">
        <v>10068047</v>
      </c>
      <c r="I975" s="1">
        <v>109.27870295698924</v>
      </c>
      <c r="J975" s="1">
        <v>99470.288049203606</v>
      </c>
      <c r="K975" s="1">
        <v>123</v>
      </c>
      <c r="L975" s="1">
        <v>115.5</v>
      </c>
      <c r="M975" s="1">
        <v>102.59248347357834</v>
      </c>
      <c r="N975" s="1">
        <v>10204904</v>
      </c>
    </row>
    <row r="976" spans="1:14" x14ac:dyDescent="0.35">
      <c r="A976" s="1" t="s">
        <v>48</v>
      </c>
      <c r="B976" s="1">
        <v>202505</v>
      </c>
      <c r="C976" s="1" t="str">
        <f>MID(analisis_productividad__4[[#This Row],[Periodo]],1,4)</f>
        <v>2025</v>
      </c>
      <c r="D976" s="1" t="str">
        <f>MID(analisis_productividad__4[[#This Row],[Periodo]],5,2)</f>
        <v>05</v>
      </c>
      <c r="E976" s="1" t="s">
        <v>16</v>
      </c>
      <c r="F976" s="1" t="s">
        <v>21</v>
      </c>
      <c r="G976" s="1">
        <v>92126</v>
      </c>
      <c r="H976" s="1">
        <v>5002698</v>
      </c>
      <c r="I976" s="1">
        <v>54.302688172042991</v>
      </c>
      <c r="J976" s="1">
        <v>67495.275292099948</v>
      </c>
      <c r="K976" s="1">
        <v>56</v>
      </c>
      <c r="L976" s="1">
        <v>60</v>
      </c>
      <c r="M976" s="1">
        <v>74.119234988668097</v>
      </c>
      <c r="N976" s="1">
        <v>4852985</v>
      </c>
    </row>
    <row r="977" spans="1:14" x14ac:dyDescent="0.35">
      <c r="A977" s="1" t="s">
        <v>68</v>
      </c>
      <c r="B977" s="1">
        <v>202507</v>
      </c>
      <c r="C977" s="1" t="str">
        <f>MID(analisis_productividad__4[[#This Row],[Periodo]],1,4)</f>
        <v>2025</v>
      </c>
      <c r="D977" s="1" t="str">
        <f>MID(analisis_productividad__4[[#This Row],[Periodo]],5,2)</f>
        <v>07</v>
      </c>
      <c r="E977" s="1" t="s">
        <v>11</v>
      </c>
      <c r="F977" s="1" t="s">
        <v>52</v>
      </c>
      <c r="G977" s="1">
        <v>92097</v>
      </c>
      <c r="H977" s="1">
        <v>7627029</v>
      </c>
      <c r="I977" s="1">
        <v>82.815362903225846</v>
      </c>
      <c r="J977" s="1">
        <v>94854.01581884874</v>
      </c>
      <c r="K977" s="1">
        <v>103</v>
      </c>
      <c r="L977" s="1">
        <v>91</v>
      </c>
      <c r="M977" s="1">
        <v>80.408076602323519</v>
      </c>
      <c r="N977" s="1">
        <v>8494016</v>
      </c>
    </row>
    <row r="978" spans="1:14" x14ac:dyDescent="0.35">
      <c r="A978" s="1" t="s">
        <v>73</v>
      </c>
      <c r="B978" s="1">
        <v>202412</v>
      </c>
      <c r="C978" s="1" t="str">
        <f>MID(analisis_productividad__4[[#This Row],[Periodo]],1,4)</f>
        <v>2024</v>
      </c>
      <c r="D978" s="1" t="str">
        <f>MID(analisis_productividad__4[[#This Row],[Periodo]],5,2)</f>
        <v>12</v>
      </c>
      <c r="E978" s="1" t="s">
        <v>16</v>
      </c>
      <c r="F978" s="1" t="s">
        <v>21</v>
      </c>
      <c r="G978" s="1">
        <v>92094</v>
      </c>
      <c r="H978" s="1">
        <v>3938829</v>
      </c>
      <c r="I978" s="1">
        <v>42.769576612903222</v>
      </c>
      <c r="J978" s="1">
        <v>0</v>
      </c>
      <c r="K978" s="1">
        <v>43.5</v>
      </c>
      <c r="L978" s="1">
        <v>41</v>
      </c>
      <c r="M978" s="1"/>
      <c r="N978" s="1">
        <v>0</v>
      </c>
    </row>
    <row r="979" spans="1:14" x14ac:dyDescent="0.35">
      <c r="A979" s="1" t="s">
        <v>23</v>
      </c>
      <c r="B979" s="1">
        <v>202401</v>
      </c>
      <c r="C979" s="1" t="str">
        <f>MID(analisis_productividad__4[[#This Row],[Periodo]],1,4)</f>
        <v>2024</v>
      </c>
      <c r="D979" s="1" t="str">
        <f>MID(analisis_productividad__4[[#This Row],[Periodo]],5,2)</f>
        <v>01</v>
      </c>
      <c r="E979" s="1" t="s">
        <v>11</v>
      </c>
      <c r="F979" s="1" t="s">
        <v>12</v>
      </c>
      <c r="G979" s="1">
        <v>92037</v>
      </c>
      <c r="H979" s="1">
        <v>5449296</v>
      </c>
      <c r="I979" s="1">
        <v>59.207533602150534</v>
      </c>
      <c r="J979" s="1">
        <v>0</v>
      </c>
      <c r="K979" s="1">
        <v>68.5</v>
      </c>
      <c r="L979" s="1">
        <v>66</v>
      </c>
      <c r="M979" s="1"/>
      <c r="N979" s="1">
        <v>0</v>
      </c>
    </row>
    <row r="980" spans="1:14" x14ac:dyDescent="0.35">
      <c r="A980" s="1" t="s">
        <v>45</v>
      </c>
      <c r="B980" s="1">
        <v>202402</v>
      </c>
      <c r="C980" s="1" t="str">
        <f>MID(analisis_productividad__4[[#This Row],[Periodo]],1,4)</f>
        <v>2024</v>
      </c>
      <c r="D980" s="1" t="str">
        <f>MID(analisis_productividad__4[[#This Row],[Periodo]],5,2)</f>
        <v>02</v>
      </c>
      <c r="E980" s="1" t="s">
        <v>34</v>
      </c>
      <c r="F980" s="1" t="s">
        <v>35</v>
      </c>
      <c r="G980" s="1">
        <v>92021</v>
      </c>
      <c r="H980" s="1">
        <v>2660186</v>
      </c>
      <c r="I980" s="1">
        <v>28.908591954022992</v>
      </c>
      <c r="J980" s="1">
        <v>0</v>
      </c>
      <c r="K980" s="1">
        <v>22.5</v>
      </c>
      <c r="L980" s="1">
        <v>21</v>
      </c>
      <c r="M980" s="1"/>
      <c r="N980" s="1">
        <v>0</v>
      </c>
    </row>
    <row r="981" spans="1:14" x14ac:dyDescent="0.35">
      <c r="A981" s="1" t="s">
        <v>25</v>
      </c>
      <c r="B981" s="1">
        <v>202404</v>
      </c>
      <c r="C981" s="1" t="str">
        <f>MID(analisis_productividad__4[[#This Row],[Periodo]],1,4)</f>
        <v>2024</v>
      </c>
      <c r="D981" s="1" t="str">
        <f>MID(analisis_productividad__4[[#This Row],[Periodo]],5,2)</f>
        <v>04</v>
      </c>
      <c r="E981" s="1" t="s">
        <v>16</v>
      </c>
      <c r="F981" s="1" t="s">
        <v>19</v>
      </c>
      <c r="G981" s="1">
        <v>92012</v>
      </c>
      <c r="H981" s="1">
        <v>7560910</v>
      </c>
      <c r="I981" s="1">
        <v>82.172902777777836</v>
      </c>
      <c r="J981" s="1">
        <v>0</v>
      </c>
      <c r="K981" s="1">
        <v>94</v>
      </c>
      <c r="L981" s="1">
        <v>92</v>
      </c>
      <c r="M981" s="1"/>
      <c r="N981" s="1">
        <v>0</v>
      </c>
    </row>
    <row r="982" spans="1:14" x14ac:dyDescent="0.35">
      <c r="A982" s="1" t="s">
        <v>53</v>
      </c>
      <c r="B982" s="1">
        <v>202601</v>
      </c>
      <c r="C982" s="1" t="str">
        <f>MID(analisis_productividad__4[[#This Row],[Periodo]],1,4)</f>
        <v>2026</v>
      </c>
      <c r="D982" s="1" t="str">
        <f>MID(analisis_productividad__4[[#This Row],[Periodo]],5,2)</f>
        <v>01</v>
      </c>
      <c r="E982" s="1" t="s">
        <v>11</v>
      </c>
      <c r="F982" s="1" t="s">
        <v>12</v>
      </c>
      <c r="G982" s="1">
        <v>92005</v>
      </c>
      <c r="H982" s="1">
        <v>6594402</v>
      </c>
      <c r="I982" s="1">
        <v>71.674401881720428</v>
      </c>
      <c r="J982" s="1">
        <v>92127.210807114214</v>
      </c>
      <c r="K982" s="1">
        <v>81</v>
      </c>
      <c r="L982" s="1">
        <v>77</v>
      </c>
      <c r="M982" s="1">
        <v>69.978560745726568</v>
      </c>
      <c r="N982" s="1">
        <v>6446930</v>
      </c>
    </row>
    <row r="983" spans="1:14" x14ac:dyDescent="0.35">
      <c r="A983" s="1" t="s">
        <v>74</v>
      </c>
      <c r="B983" s="1">
        <v>202605</v>
      </c>
      <c r="C983" s="1" t="str">
        <f>MID(analisis_productividad__4[[#This Row],[Periodo]],1,4)</f>
        <v>2026</v>
      </c>
      <c r="D983" s="1" t="str">
        <f>MID(analisis_productividad__4[[#This Row],[Periodo]],5,2)</f>
        <v>05</v>
      </c>
      <c r="E983" s="1" t="s">
        <v>16</v>
      </c>
      <c r="F983" s="1" t="s">
        <v>19</v>
      </c>
      <c r="G983" s="1">
        <v>91947</v>
      </c>
      <c r="H983" s="1">
        <v>4230278</v>
      </c>
      <c r="I983" s="1">
        <v>46.00787634408681</v>
      </c>
      <c r="J983" s="1">
        <v>89956.691715924084</v>
      </c>
      <c r="K983" s="1">
        <v>50.5</v>
      </c>
      <c r="L983" s="1">
        <v>51.5</v>
      </c>
      <c r="M983" s="1">
        <v>44.728769766304502</v>
      </c>
      <c r="N983" s="1">
        <v>4023652</v>
      </c>
    </row>
    <row r="984" spans="1:14" x14ac:dyDescent="0.35">
      <c r="A984" s="1" t="s">
        <v>27</v>
      </c>
      <c r="B984" s="1">
        <v>202410</v>
      </c>
      <c r="C984" s="1" t="str">
        <f>MID(analisis_productividad__4[[#This Row],[Periodo]],1,4)</f>
        <v>2024</v>
      </c>
      <c r="D984" s="1" t="str">
        <f>MID(analisis_productividad__4[[#This Row],[Periodo]],5,2)</f>
        <v>10</v>
      </c>
      <c r="E984" s="1" t="s">
        <v>11</v>
      </c>
      <c r="F984" s="1" t="s">
        <v>14</v>
      </c>
      <c r="G984" s="1">
        <v>91912</v>
      </c>
      <c r="H984" s="1">
        <v>7064895</v>
      </c>
      <c r="I984" s="1">
        <v>76.865598118279578</v>
      </c>
      <c r="J984" s="1">
        <v>0</v>
      </c>
      <c r="K984" s="1">
        <v>88</v>
      </c>
      <c r="L984" s="1">
        <v>84</v>
      </c>
      <c r="M984" s="1"/>
      <c r="N984" s="1">
        <v>0</v>
      </c>
    </row>
    <row r="985" spans="1:14" x14ac:dyDescent="0.35">
      <c r="A985" s="1" t="s">
        <v>87</v>
      </c>
      <c r="B985" s="1">
        <v>202401</v>
      </c>
      <c r="C985" s="1" t="str">
        <f>MID(analisis_productividad__4[[#This Row],[Periodo]],1,4)</f>
        <v>2024</v>
      </c>
      <c r="D985" s="1" t="str">
        <f>MID(analisis_productividad__4[[#This Row],[Periodo]],5,2)</f>
        <v>01</v>
      </c>
      <c r="E985" s="1" t="s">
        <v>9</v>
      </c>
      <c r="F985" s="1" t="s">
        <v>9</v>
      </c>
      <c r="G985" s="1">
        <v>91894</v>
      </c>
      <c r="H985" s="1">
        <v>1042773</v>
      </c>
      <c r="I985" s="1">
        <v>11.347526881720432</v>
      </c>
      <c r="J985" s="1">
        <v>0</v>
      </c>
      <c r="K985" s="1">
        <v>13.5</v>
      </c>
      <c r="L985" s="1">
        <v>12</v>
      </c>
      <c r="M985" s="1"/>
      <c r="N985" s="1">
        <v>0</v>
      </c>
    </row>
    <row r="986" spans="1:14" x14ac:dyDescent="0.35">
      <c r="A986" s="1" t="s">
        <v>51</v>
      </c>
      <c r="B986" s="1">
        <v>202507</v>
      </c>
      <c r="C986" s="1" t="str">
        <f>MID(analisis_productividad__4[[#This Row],[Periodo]],1,4)</f>
        <v>2025</v>
      </c>
      <c r="D986" s="1" t="str">
        <f>MID(analisis_productividad__4[[#This Row],[Periodo]],5,2)</f>
        <v>07</v>
      </c>
      <c r="E986" s="1" t="s">
        <v>11</v>
      </c>
      <c r="F986" s="1" t="s">
        <v>52</v>
      </c>
      <c r="G986" s="1">
        <v>91858</v>
      </c>
      <c r="H986" s="1">
        <v>8926181</v>
      </c>
      <c r="I986" s="1">
        <v>97.173877688172041</v>
      </c>
      <c r="J986" s="1">
        <v>91167.039090072081</v>
      </c>
      <c r="K986" s="1">
        <v>117.5</v>
      </c>
      <c r="L986" s="1">
        <v>99</v>
      </c>
      <c r="M986" s="1">
        <v>97.91017629936438</v>
      </c>
      <c r="N986" s="1">
        <v>9877281</v>
      </c>
    </row>
    <row r="987" spans="1:14" x14ac:dyDescent="0.35">
      <c r="A987" s="1" t="s">
        <v>66</v>
      </c>
      <c r="B987" s="1">
        <v>202403</v>
      </c>
      <c r="C987" s="1" t="str">
        <f>MID(analisis_productividad__4[[#This Row],[Periodo]],1,4)</f>
        <v>2024</v>
      </c>
      <c r="D987" s="1" t="str">
        <f>MID(analisis_productividad__4[[#This Row],[Periodo]],5,2)</f>
        <v>03</v>
      </c>
      <c r="E987" s="1" t="s">
        <v>11</v>
      </c>
      <c r="F987" s="1" t="s">
        <v>12</v>
      </c>
      <c r="G987" s="1">
        <v>91856</v>
      </c>
      <c r="H987" s="1">
        <v>7581612</v>
      </c>
      <c r="I987" s="1">
        <v>82.537620967741987</v>
      </c>
      <c r="J987" s="1">
        <v>0</v>
      </c>
      <c r="K987" s="1">
        <v>80</v>
      </c>
      <c r="L987" s="1">
        <v>80.5</v>
      </c>
      <c r="M987" s="1"/>
      <c r="N987" s="1">
        <v>0</v>
      </c>
    </row>
    <row r="988" spans="1:14" x14ac:dyDescent="0.35">
      <c r="A988" s="1" t="s">
        <v>55</v>
      </c>
      <c r="B988" s="1">
        <v>202405</v>
      </c>
      <c r="C988" s="1" t="str">
        <f>MID(analisis_productividad__4[[#This Row],[Periodo]],1,4)</f>
        <v>2024</v>
      </c>
      <c r="D988" s="1" t="str">
        <f>MID(analisis_productividad__4[[#This Row],[Periodo]],5,2)</f>
        <v>05</v>
      </c>
      <c r="E988" s="1" t="s">
        <v>16</v>
      </c>
      <c r="F988" s="1" t="s">
        <v>21</v>
      </c>
      <c r="G988" s="1">
        <v>91845</v>
      </c>
      <c r="H988" s="1">
        <v>4856416</v>
      </c>
      <c r="I988" s="1">
        <v>52.876391129032228</v>
      </c>
      <c r="J988" s="1">
        <v>0</v>
      </c>
      <c r="K988" s="1">
        <v>55</v>
      </c>
      <c r="L988" s="1">
        <v>50.5</v>
      </c>
      <c r="M988" s="1"/>
      <c r="N988" s="1">
        <v>0</v>
      </c>
    </row>
    <row r="989" spans="1:14" x14ac:dyDescent="0.35">
      <c r="A989" s="1" t="s">
        <v>88</v>
      </c>
      <c r="B989" s="1">
        <v>202512</v>
      </c>
      <c r="C989" s="1" t="str">
        <f>MID(analisis_productividad__4[[#This Row],[Periodo]],1,4)</f>
        <v>2025</v>
      </c>
      <c r="D989" s="1" t="str">
        <f>MID(analisis_productividad__4[[#This Row],[Periodo]],5,2)</f>
        <v>12</v>
      </c>
      <c r="E989" s="1" t="s">
        <v>34</v>
      </c>
      <c r="F989" s="1" t="s">
        <v>35</v>
      </c>
      <c r="G989" s="1">
        <v>91840</v>
      </c>
      <c r="H989" s="1">
        <v>1359341</v>
      </c>
      <c r="I989" s="1">
        <v>14.801189516129019</v>
      </c>
      <c r="J989" s="1">
        <v>108461.12099482983</v>
      </c>
      <c r="K989" s="1">
        <v>15.5</v>
      </c>
      <c r="L989" s="1">
        <v>14.5</v>
      </c>
      <c r="M989" s="1">
        <v>12.5329787073176</v>
      </c>
      <c r="N989" s="1">
        <v>1515718</v>
      </c>
    </row>
    <row r="990" spans="1:14" x14ac:dyDescent="0.35">
      <c r="A990" s="1" t="s">
        <v>57</v>
      </c>
      <c r="B990" s="1">
        <v>202511</v>
      </c>
      <c r="C990" s="1" t="str">
        <f>MID(analisis_productividad__4[[#This Row],[Periodo]],1,4)</f>
        <v>2025</v>
      </c>
      <c r="D990" s="1" t="str">
        <f>MID(analisis_productividad__4[[#This Row],[Periodo]],5,2)</f>
        <v>11</v>
      </c>
      <c r="E990" s="1" t="s">
        <v>16</v>
      </c>
      <c r="F990" s="1" t="s">
        <v>19</v>
      </c>
      <c r="G990" s="1">
        <v>91839</v>
      </c>
      <c r="H990" s="1">
        <v>5978568</v>
      </c>
      <c r="I990" s="1">
        <v>65.098590277777816</v>
      </c>
      <c r="J990" s="1">
        <v>97139.029521555422</v>
      </c>
      <c r="K990" s="1">
        <v>71</v>
      </c>
      <c r="L990" s="1">
        <v>74.5</v>
      </c>
      <c r="M990" s="1">
        <v>61.546512142921294</v>
      </c>
      <c r="N990" s="1">
        <v>5835085</v>
      </c>
    </row>
    <row r="991" spans="1:14" x14ac:dyDescent="0.35">
      <c r="A991" s="1" t="s">
        <v>76</v>
      </c>
      <c r="B991" s="1">
        <v>202504</v>
      </c>
      <c r="C991" s="1" t="str">
        <f>MID(analisis_productividad__4[[#This Row],[Periodo]],1,4)</f>
        <v>2025</v>
      </c>
      <c r="D991" s="1" t="str">
        <f>MID(analisis_productividad__4[[#This Row],[Periodo]],5,2)</f>
        <v>04</v>
      </c>
      <c r="E991" s="1" t="s">
        <v>11</v>
      </c>
      <c r="F991" s="1" t="s">
        <v>14</v>
      </c>
      <c r="G991" s="1">
        <v>91832</v>
      </c>
      <c r="H991" s="1">
        <v>6086905</v>
      </c>
      <c r="I991" s="1">
        <v>66.283097222222224</v>
      </c>
      <c r="J991" s="1">
        <v>79398.739307862939</v>
      </c>
      <c r="K991" s="1">
        <v>80</v>
      </c>
      <c r="L991" s="1">
        <v>78</v>
      </c>
      <c r="M991" s="1">
        <v>76.662495186459552</v>
      </c>
      <c r="N991" s="1">
        <v>6476508</v>
      </c>
    </row>
    <row r="992" spans="1:14" x14ac:dyDescent="0.35">
      <c r="A992" s="1" t="s">
        <v>61</v>
      </c>
      <c r="B992" s="1">
        <v>202410</v>
      </c>
      <c r="C992" s="1" t="str">
        <f>MID(analisis_productividad__4[[#This Row],[Periodo]],1,4)</f>
        <v>2024</v>
      </c>
      <c r="D992" s="1" t="str">
        <f>MID(analisis_productividad__4[[#This Row],[Periodo]],5,2)</f>
        <v>10</v>
      </c>
      <c r="E992" s="1" t="s">
        <v>11</v>
      </c>
      <c r="F992" s="1" t="s">
        <v>52</v>
      </c>
      <c r="G992" s="1">
        <v>91826</v>
      </c>
      <c r="H992" s="1">
        <v>8156575</v>
      </c>
      <c r="I992" s="1">
        <v>88.826048387096833</v>
      </c>
      <c r="J992" s="1">
        <v>0</v>
      </c>
      <c r="K992" s="1">
        <v>104.5</v>
      </c>
      <c r="L992" s="1">
        <v>99</v>
      </c>
      <c r="M992" s="1"/>
      <c r="N992" s="1">
        <v>0</v>
      </c>
    </row>
    <row r="993" spans="1:14" x14ac:dyDescent="0.35">
      <c r="A993" s="1" t="s">
        <v>20</v>
      </c>
      <c r="B993" s="1">
        <v>202401</v>
      </c>
      <c r="C993" s="1" t="str">
        <f>MID(analisis_productividad__4[[#This Row],[Periodo]],1,4)</f>
        <v>2024</v>
      </c>
      <c r="D993" s="1" t="str">
        <f>MID(analisis_productividad__4[[#This Row],[Periodo]],5,2)</f>
        <v>01</v>
      </c>
      <c r="E993" s="1" t="s">
        <v>16</v>
      </c>
      <c r="F993" s="1" t="s">
        <v>21</v>
      </c>
      <c r="G993" s="1">
        <v>91788</v>
      </c>
      <c r="H993" s="1">
        <v>7993698</v>
      </c>
      <c r="I993" s="1">
        <v>87.089032258064492</v>
      </c>
      <c r="J993" s="1">
        <v>0</v>
      </c>
      <c r="K993" s="1">
        <v>96.5</v>
      </c>
      <c r="L993" s="1">
        <v>94</v>
      </c>
      <c r="M993" s="1"/>
      <c r="N993" s="1">
        <v>0</v>
      </c>
    </row>
    <row r="994" spans="1:14" x14ac:dyDescent="0.35">
      <c r="A994" s="1" t="s">
        <v>84</v>
      </c>
      <c r="B994" s="1">
        <v>202503</v>
      </c>
      <c r="C994" s="1" t="str">
        <f>MID(analisis_productividad__4[[#This Row],[Periodo]],1,4)</f>
        <v>2025</v>
      </c>
      <c r="D994" s="1" t="str">
        <f>MID(analisis_productividad__4[[#This Row],[Periodo]],5,2)</f>
        <v>03</v>
      </c>
      <c r="E994" s="1" t="s">
        <v>11</v>
      </c>
      <c r="F994" s="1" t="s">
        <v>52</v>
      </c>
      <c r="G994" s="1">
        <v>91781</v>
      </c>
      <c r="H994" s="1">
        <v>10084511</v>
      </c>
      <c r="I994" s="1">
        <v>109.87614919354841</v>
      </c>
      <c r="J994" s="1">
        <v>86666.236001250974</v>
      </c>
      <c r="K994" s="1">
        <v>123</v>
      </c>
      <c r="L994" s="1">
        <v>115.5</v>
      </c>
      <c r="M994" s="1">
        <v>116.36031718112733</v>
      </c>
      <c r="N994" s="1">
        <v>10505001</v>
      </c>
    </row>
    <row r="995" spans="1:14" x14ac:dyDescent="0.35">
      <c r="A995" s="1" t="s">
        <v>28</v>
      </c>
      <c r="B995" s="1">
        <v>202509</v>
      </c>
      <c r="C995" s="1" t="str">
        <f>MID(analisis_productividad__4[[#This Row],[Periodo]],1,4)</f>
        <v>2025</v>
      </c>
      <c r="D995" s="1" t="str">
        <f>MID(analisis_productividad__4[[#This Row],[Periodo]],5,2)</f>
        <v>09</v>
      </c>
      <c r="E995" s="1" t="s">
        <v>16</v>
      </c>
      <c r="F995" s="1" t="s">
        <v>17</v>
      </c>
      <c r="G995" s="1">
        <v>91780</v>
      </c>
      <c r="H995" s="1">
        <v>5294488</v>
      </c>
      <c r="I995" s="1">
        <v>57.686513888888946</v>
      </c>
      <c r="J995" s="1">
        <v>93958.359006658226</v>
      </c>
      <c r="K995" s="1">
        <v>64</v>
      </c>
      <c r="L995" s="1">
        <v>67</v>
      </c>
      <c r="M995" s="1">
        <v>56.349300753803234</v>
      </c>
      <c r="N995" s="1">
        <v>5033648</v>
      </c>
    </row>
    <row r="996" spans="1:14" x14ac:dyDescent="0.35">
      <c r="A996" s="1" t="s">
        <v>56</v>
      </c>
      <c r="B996" s="1">
        <v>202510</v>
      </c>
      <c r="C996" s="1" t="str">
        <f>MID(analisis_productividad__4[[#This Row],[Periodo]],1,4)</f>
        <v>2025</v>
      </c>
      <c r="D996" s="1" t="str">
        <f>MID(analisis_productividad__4[[#This Row],[Periodo]],5,2)</f>
        <v>10</v>
      </c>
      <c r="E996" s="1" t="s">
        <v>16</v>
      </c>
      <c r="F996" s="1" t="s">
        <v>21</v>
      </c>
      <c r="G996" s="1">
        <v>91693</v>
      </c>
      <c r="H996" s="1">
        <v>5252949</v>
      </c>
      <c r="I996" s="1">
        <v>57.288555107526868</v>
      </c>
      <c r="J996" s="1">
        <v>91233.621802364243</v>
      </c>
      <c r="K996" s="1">
        <v>72.5</v>
      </c>
      <c r="L996" s="1">
        <v>68.5</v>
      </c>
      <c r="M996" s="1">
        <v>57.576901982245715</v>
      </c>
      <c r="N996" s="1">
        <v>5479986</v>
      </c>
    </row>
    <row r="997" spans="1:14" x14ac:dyDescent="0.35">
      <c r="A997" s="1" t="s">
        <v>53</v>
      </c>
      <c r="B997" s="1">
        <v>202602</v>
      </c>
      <c r="C997" s="1" t="str">
        <f>MID(analisis_productividad__4[[#This Row],[Periodo]],1,4)</f>
        <v>2026</v>
      </c>
      <c r="D997" s="1" t="str">
        <f>MID(analisis_productividad__4[[#This Row],[Periodo]],5,2)</f>
        <v>02</v>
      </c>
      <c r="E997" s="1" t="s">
        <v>11</v>
      </c>
      <c r="F997" s="1" t="s">
        <v>12</v>
      </c>
      <c r="G997" s="1">
        <v>91683</v>
      </c>
      <c r="H997" s="1">
        <v>6759673</v>
      </c>
      <c r="I997" s="1">
        <v>73.728489583333328</v>
      </c>
      <c r="J997" s="1">
        <v>88476.221190046359</v>
      </c>
      <c r="K997" s="1">
        <v>81</v>
      </c>
      <c r="L997" s="1">
        <v>77</v>
      </c>
      <c r="M997" s="1">
        <v>69.978560745726568</v>
      </c>
      <c r="N997" s="1">
        <v>6191439</v>
      </c>
    </row>
    <row r="998" spans="1:14" x14ac:dyDescent="0.35">
      <c r="A998" s="1" t="s">
        <v>24</v>
      </c>
      <c r="B998" s="1">
        <v>202501</v>
      </c>
      <c r="C998" s="1" t="str">
        <f>MID(analisis_productividad__4[[#This Row],[Periodo]],1,4)</f>
        <v>2025</v>
      </c>
      <c r="D998" s="1" t="str">
        <f>MID(analisis_productividad__4[[#This Row],[Periodo]],5,2)</f>
        <v>01</v>
      </c>
      <c r="E998" s="1" t="s">
        <v>16</v>
      </c>
      <c r="F998" s="1" t="s">
        <v>21</v>
      </c>
      <c r="G998" s="1">
        <v>91678</v>
      </c>
      <c r="H998" s="1">
        <v>9224309</v>
      </c>
      <c r="I998" s="1">
        <v>100.61629704301075</v>
      </c>
      <c r="J998" s="1">
        <v>86538.59523685748</v>
      </c>
      <c r="K998" s="1">
        <v>125</v>
      </c>
      <c r="L998" s="1">
        <v>118.5</v>
      </c>
      <c r="M998" s="1">
        <v>106.59184754216228</v>
      </c>
      <c r="N998" s="1">
        <v>8998857</v>
      </c>
    </row>
    <row r="999" spans="1:14" x14ac:dyDescent="0.35">
      <c r="A999" s="1" t="s">
        <v>46</v>
      </c>
      <c r="B999" s="1">
        <v>202506</v>
      </c>
      <c r="C999" s="1" t="str">
        <f>MID(analisis_productividad__4[[#This Row],[Periodo]],1,4)</f>
        <v>2025</v>
      </c>
      <c r="D999" s="1" t="str">
        <f>MID(analisis_productividad__4[[#This Row],[Periodo]],5,2)</f>
        <v>06</v>
      </c>
      <c r="E999" s="1" t="s">
        <v>11</v>
      </c>
      <c r="F999" s="1" t="s">
        <v>14</v>
      </c>
      <c r="G999" s="1">
        <v>91678</v>
      </c>
      <c r="H999" s="1">
        <v>6190576</v>
      </c>
      <c r="I999" s="1">
        <v>67.525256944444436</v>
      </c>
      <c r="J999" s="1">
        <v>107498.49460835051</v>
      </c>
      <c r="K999" s="1">
        <v>77</v>
      </c>
      <c r="L999" s="1">
        <v>79</v>
      </c>
      <c r="M999" s="1">
        <v>57.58755592396097</v>
      </c>
      <c r="N999" s="1">
        <v>6962900</v>
      </c>
    </row>
    <row r="1000" spans="1:14" x14ac:dyDescent="0.35">
      <c r="A1000" s="1" t="s">
        <v>28</v>
      </c>
      <c r="B1000" s="1">
        <v>202501</v>
      </c>
      <c r="C1000" s="1" t="str">
        <f>MID(analisis_productividad__4[[#This Row],[Periodo]],1,4)</f>
        <v>2025</v>
      </c>
      <c r="D1000" s="1" t="str">
        <f>MID(analisis_productividad__4[[#This Row],[Periodo]],5,2)</f>
        <v>01</v>
      </c>
      <c r="E1000" s="1" t="s">
        <v>16</v>
      </c>
      <c r="F1000" s="1" t="s">
        <v>17</v>
      </c>
      <c r="G1000" s="1">
        <v>91629</v>
      </c>
      <c r="H1000" s="1">
        <v>5200158</v>
      </c>
      <c r="I1000" s="1">
        <v>56.752170698924722</v>
      </c>
      <c r="J1000" s="1">
        <v>107955.7586198568</v>
      </c>
      <c r="K1000" s="1">
        <v>64</v>
      </c>
      <c r="L1000" s="1">
        <v>67</v>
      </c>
      <c r="M1000" s="1">
        <v>48.169344521131563</v>
      </c>
      <c r="N1000" s="1">
        <v>5233224</v>
      </c>
    </row>
    <row r="1001" spans="1:14" x14ac:dyDescent="0.35">
      <c r="A1001" s="1" t="s">
        <v>54</v>
      </c>
      <c r="B1001" s="1">
        <v>202403</v>
      </c>
      <c r="C1001" s="1" t="str">
        <f>MID(analisis_productividad__4[[#This Row],[Periodo]],1,4)</f>
        <v>2024</v>
      </c>
      <c r="D1001" s="1" t="str">
        <f>MID(analisis_productividad__4[[#This Row],[Periodo]],5,2)</f>
        <v>03</v>
      </c>
      <c r="E1001" s="1" t="s">
        <v>11</v>
      </c>
      <c r="F1001" s="1" t="s">
        <v>52</v>
      </c>
      <c r="G1001" s="1">
        <v>91621</v>
      </c>
      <c r="H1001" s="1">
        <v>10289852</v>
      </c>
      <c r="I1001" s="1">
        <v>112.30864919354839</v>
      </c>
      <c r="J1001" s="1">
        <v>0</v>
      </c>
      <c r="K1001" s="1">
        <v>106</v>
      </c>
      <c r="L1001" s="1">
        <v>102.5</v>
      </c>
      <c r="M1001" s="1"/>
      <c r="N1001" s="1">
        <v>0</v>
      </c>
    </row>
    <row r="1002" spans="1:14" x14ac:dyDescent="0.35">
      <c r="A1002" s="1" t="s">
        <v>38</v>
      </c>
      <c r="B1002" s="1">
        <v>202405</v>
      </c>
      <c r="C1002" s="1" t="str">
        <f>MID(analisis_productividad__4[[#This Row],[Periodo]],1,4)</f>
        <v>2024</v>
      </c>
      <c r="D1002" s="1" t="str">
        <f>MID(analisis_productividad__4[[#This Row],[Periodo]],5,2)</f>
        <v>05</v>
      </c>
      <c r="E1002" s="1" t="s">
        <v>34</v>
      </c>
      <c r="F1002" s="1" t="s">
        <v>35</v>
      </c>
      <c r="G1002" s="1">
        <v>91598</v>
      </c>
      <c r="H1002" s="1">
        <v>11253397</v>
      </c>
      <c r="I1002" s="1">
        <v>122.8567741935483</v>
      </c>
      <c r="J1002" s="1">
        <v>0</v>
      </c>
      <c r="K1002" s="1">
        <v>140.5</v>
      </c>
      <c r="L1002" s="1">
        <v>125.5</v>
      </c>
      <c r="M1002" s="1"/>
      <c r="N1002" s="1">
        <v>0</v>
      </c>
    </row>
    <row r="1003" spans="1:14" x14ac:dyDescent="0.35">
      <c r="A1003" s="1" t="s">
        <v>70</v>
      </c>
      <c r="B1003" s="1">
        <v>202604</v>
      </c>
      <c r="C1003" s="1" t="str">
        <f>MID(analisis_productividad__4[[#This Row],[Periodo]],1,4)</f>
        <v>2026</v>
      </c>
      <c r="D1003" s="1" t="str">
        <f>MID(analisis_productividad__4[[#This Row],[Periodo]],5,2)</f>
        <v>04</v>
      </c>
      <c r="E1003" s="1" t="s">
        <v>11</v>
      </c>
      <c r="F1003" s="1" t="s">
        <v>14</v>
      </c>
      <c r="G1003" s="1">
        <v>91569</v>
      </c>
      <c r="H1003" s="1">
        <v>5337820</v>
      </c>
      <c r="I1003" s="1">
        <v>58.292645833334063</v>
      </c>
      <c r="J1003" s="1">
        <v>88003.76131811869</v>
      </c>
      <c r="K1003" s="1">
        <v>65</v>
      </c>
      <c r="L1003" s="1">
        <v>67.5</v>
      </c>
      <c r="M1003" s="1">
        <v>56.772923994003762</v>
      </c>
      <c r="N1003" s="1">
        <v>4996231</v>
      </c>
    </row>
    <row r="1004" spans="1:14" x14ac:dyDescent="0.35">
      <c r="A1004" s="1" t="s">
        <v>85</v>
      </c>
      <c r="B1004" s="1">
        <v>202603</v>
      </c>
      <c r="C1004" s="1" t="str">
        <f>MID(analisis_productividad__4[[#This Row],[Periodo]],1,4)</f>
        <v>2026</v>
      </c>
      <c r="D1004" s="1" t="str">
        <f>MID(analisis_productividad__4[[#This Row],[Periodo]],5,2)</f>
        <v>03</v>
      </c>
      <c r="E1004" s="1" t="s">
        <v>11</v>
      </c>
      <c r="F1004" s="1" t="s">
        <v>14</v>
      </c>
      <c r="G1004" s="1">
        <v>91558</v>
      </c>
      <c r="H1004" s="1">
        <v>4863032</v>
      </c>
      <c r="I1004" s="1">
        <v>53.114287634408591</v>
      </c>
      <c r="J1004" s="1">
        <v>89989.354748048732</v>
      </c>
      <c r="K1004" s="1">
        <v>60.5</v>
      </c>
      <c r="L1004" s="1">
        <v>57.5</v>
      </c>
      <c r="M1004" s="1">
        <v>51.161312105083525</v>
      </c>
      <c r="N1004" s="1">
        <v>4603973</v>
      </c>
    </row>
    <row r="1005" spans="1:14" x14ac:dyDescent="0.35">
      <c r="A1005" s="1" t="s">
        <v>43</v>
      </c>
      <c r="B1005" s="1">
        <v>202504</v>
      </c>
      <c r="C1005" s="1" t="str">
        <f>MID(analisis_productividad__4[[#This Row],[Periodo]],1,4)</f>
        <v>2025</v>
      </c>
      <c r="D1005" s="1" t="str">
        <f>MID(analisis_productividad__4[[#This Row],[Periodo]],5,2)</f>
        <v>04</v>
      </c>
      <c r="E1005" s="1" t="s">
        <v>11</v>
      </c>
      <c r="F1005" s="1" t="s">
        <v>12</v>
      </c>
      <c r="G1005" s="1">
        <v>91553</v>
      </c>
      <c r="H1005" s="1">
        <v>6729230</v>
      </c>
      <c r="I1005" s="1">
        <v>73.500923611111119</v>
      </c>
      <c r="J1005" s="1">
        <v>86434.82946919091</v>
      </c>
      <c r="K1005" s="1">
        <v>84.5</v>
      </c>
      <c r="L1005" s="1">
        <v>86.5</v>
      </c>
      <c r="M1005" s="1">
        <v>77.853220181322726</v>
      </c>
      <c r="N1005" s="1">
        <v>6867241</v>
      </c>
    </row>
    <row r="1006" spans="1:14" x14ac:dyDescent="0.35">
      <c r="A1006" s="1" t="s">
        <v>60</v>
      </c>
      <c r="B1006" s="1">
        <v>202602</v>
      </c>
      <c r="C1006" s="1" t="str">
        <f>MID(analisis_productividad__4[[#This Row],[Periodo]],1,4)</f>
        <v>2026</v>
      </c>
      <c r="D1006" s="1" t="str">
        <f>MID(analisis_productividad__4[[#This Row],[Periodo]],5,2)</f>
        <v>02</v>
      </c>
      <c r="E1006" s="1" t="s">
        <v>11</v>
      </c>
      <c r="F1006" s="1" t="s">
        <v>14</v>
      </c>
      <c r="G1006" s="1">
        <v>91532</v>
      </c>
      <c r="H1006" s="1">
        <v>5628881</v>
      </c>
      <c r="I1006" s="1">
        <v>61.496302083333347</v>
      </c>
      <c r="J1006" s="1">
        <v>93227.747818171076</v>
      </c>
      <c r="K1006" s="1">
        <v>75.5</v>
      </c>
      <c r="L1006" s="1">
        <v>74</v>
      </c>
      <c r="M1006" s="1">
        <v>63.845934941054651</v>
      </c>
      <c r="N1006" s="1">
        <v>5952213</v>
      </c>
    </row>
    <row r="1007" spans="1:14" x14ac:dyDescent="0.35">
      <c r="A1007" s="1" t="s">
        <v>56</v>
      </c>
      <c r="B1007" s="1">
        <v>202411</v>
      </c>
      <c r="C1007" s="1" t="str">
        <f>MID(analisis_productividad__4[[#This Row],[Periodo]],1,4)</f>
        <v>2024</v>
      </c>
      <c r="D1007" s="1" t="str">
        <f>MID(analisis_productividad__4[[#This Row],[Periodo]],5,2)</f>
        <v>11</v>
      </c>
      <c r="E1007" s="1" t="s">
        <v>16</v>
      </c>
      <c r="F1007" s="1" t="s">
        <v>21</v>
      </c>
      <c r="G1007" s="1">
        <v>91484</v>
      </c>
      <c r="H1007" s="1">
        <v>6251821</v>
      </c>
      <c r="I1007" s="1">
        <v>68.338180555555624</v>
      </c>
      <c r="J1007" s="1">
        <v>0</v>
      </c>
      <c r="K1007" s="1">
        <v>72.5</v>
      </c>
      <c r="L1007" s="1">
        <v>68.5</v>
      </c>
      <c r="M1007" s="1"/>
      <c r="N1007" s="1">
        <v>0</v>
      </c>
    </row>
    <row r="1008" spans="1:14" x14ac:dyDescent="0.35">
      <c r="A1008" s="1" t="s">
        <v>60</v>
      </c>
      <c r="B1008" s="1">
        <v>202401</v>
      </c>
      <c r="C1008" s="1" t="str">
        <f>MID(analisis_productividad__4[[#This Row],[Periodo]],1,4)</f>
        <v>2024</v>
      </c>
      <c r="D1008" s="1" t="str">
        <f>MID(analisis_productividad__4[[#This Row],[Periodo]],5,2)</f>
        <v>01</v>
      </c>
      <c r="E1008" s="1" t="s">
        <v>11</v>
      </c>
      <c r="F1008" s="1" t="s">
        <v>14</v>
      </c>
      <c r="G1008" s="1">
        <v>91470</v>
      </c>
      <c r="H1008" s="1">
        <v>6309839</v>
      </c>
      <c r="I1008" s="1">
        <v>68.982694892473091</v>
      </c>
      <c r="J1008" s="1">
        <v>0</v>
      </c>
      <c r="K1008" s="1">
        <v>75.5</v>
      </c>
      <c r="L1008" s="1">
        <v>74</v>
      </c>
      <c r="M1008" s="1"/>
      <c r="N1008" s="1">
        <v>0</v>
      </c>
    </row>
    <row r="1009" spans="1:14" x14ac:dyDescent="0.35">
      <c r="A1009" s="1" t="s">
        <v>65</v>
      </c>
      <c r="B1009" s="1">
        <v>202407</v>
      </c>
      <c r="C1009" s="1" t="str">
        <f>MID(analisis_productividad__4[[#This Row],[Periodo]],1,4)</f>
        <v>2024</v>
      </c>
      <c r="D1009" s="1" t="str">
        <f>MID(analisis_productividad__4[[#This Row],[Periodo]],5,2)</f>
        <v>07</v>
      </c>
      <c r="E1009" s="1" t="s">
        <v>16</v>
      </c>
      <c r="F1009" s="1" t="s">
        <v>19</v>
      </c>
      <c r="G1009" s="1">
        <v>91441</v>
      </c>
      <c r="H1009" s="1">
        <v>5616648</v>
      </c>
      <c r="I1009" s="1">
        <v>61.423588709677432</v>
      </c>
      <c r="J1009" s="1">
        <v>0</v>
      </c>
      <c r="K1009" s="1">
        <v>68</v>
      </c>
      <c r="L1009" s="1">
        <v>68.5</v>
      </c>
      <c r="M1009" s="1"/>
      <c r="N1009" s="1">
        <v>0</v>
      </c>
    </row>
    <row r="1010" spans="1:14" x14ac:dyDescent="0.35">
      <c r="A1010" s="1" t="s">
        <v>27</v>
      </c>
      <c r="B1010" s="1">
        <v>202402</v>
      </c>
      <c r="C1010" s="1" t="str">
        <f>MID(analisis_productividad__4[[#This Row],[Periodo]],1,4)</f>
        <v>2024</v>
      </c>
      <c r="D1010" s="1" t="str">
        <f>MID(analisis_productividad__4[[#This Row],[Periodo]],5,2)</f>
        <v>02</v>
      </c>
      <c r="E1010" s="1" t="s">
        <v>11</v>
      </c>
      <c r="F1010" s="1" t="s">
        <v>14</v>
      </c>
      <c r="G1010" s="1">
        <v>91441</v>
      </c>
      <c r="H1010" s="1">
        <v>7861297</v>
      </c>
      <c r="I1010" s="1">
        <v>85.971616379310376</v>
      </c>
      <c r="J1010" s="1">
        <v>0</v>
      </c>
      <c r="K1010" s="1">
        <v>88</v>
      </c>
      <c r="L1010" s="1">
        <v>84</v>
      </c>
      <c r="M1010" s="1"/>
      <c r="N1010" s="1">
        <v>0</v>
      </c>
    </row>
    <row r="1011" spans="1:14" x14ac:dyDescent="0.35">
      <c r="A1011" s="1" t="s">
        <v>46</v>
      </c>
      <c r="B1011" s="1">
        <v>202410</v>
      </c>
      <c r="C1011" s="1" t="str">
        <f>MID(analisis_productividad__4[[#This Row],[Periodo]],1,4)</f>
        <v>2024</v>
      </c>
      <c r="D1011" s="1" t="str">
        <f>MID(analisis_productividad__4[[#This Row],[Periodo]],5,2)</f>
        <v>10</v>
      </c>
      <c r="E1011" s="1" t="s">
        <v>11</v>
      </c>
      <c r="F1011" s="1" t="s">
        <v>14</v>
      </c>
      <c r="G1011" s="1">
        <v>91425</v>
      </c>
      <c r="H1011" s="1">
        <v>5748204</v>
      </c>
      <c r="I1011" s="1">
        <v>62.873689516129048</v>
      </c>
      <c r="J1011" s="1">
        <v>0</v>
      </c>
      <c r="K1011" s="1">
        <v>77</v>
      </c>
      <c r="L1011" s="1">
        <v>79</v>
      </c>
      <c r="M1011" s="1"/>
      <c r="N1011" s="1">
        <v>0</v>
      </c>
    </row>
    <row r="1012" spans="1:14" x14ac:dyDescent="0.35">
      <c r="A1012" s="1" t="s">
        <v>50</v>
      </c>
      <c r="B1012" s="1">
        <v>202406</v>
      </c>
      <c r="C1012" s="1" t="str">
        <f>MID(analisis_productividad__4[[#This Row],[Periodo]],1,4)</f>
        <v>2024</v>
      </c>
      <c r="D1012" s="1" t="str">
        <f>MID(analisis_productividad__4[[#This Row],[Periodo]],5,2)</f>
        <v>06</v>
      </c>
      <c r="E1012" s="1" t="s">
        <v>34</v>
      </c>
      <c r="F1012" s="1" t="s">
        <v>35</v>
      </c>
      <c r="G1012" s="1">
        <v>91422</v>
      </c>
      <c r="H1012" s="1">
        <v>5904310</v>
      </c>
      <c r="I1012" s="1">
        <v>64.58282638888889</v>
      </c>
      <c r="J1012" s="1">
        <v>0</v>
      </c>
      <c r="K1012" s="1">
        <v>79.5</v>
      </c>
      <c r="L1012" s="1">
        <v>72.5</v>
      </c>
      <c r="M1012" s="1"/>
      <c r="N1012" s="1">
        <v>0</v>
      </c>
    </row>
    <row r="1013" spans="1:14" x14ac:dyDescent="0.35">
      <c r="A1013" s="1" t="s">
        <v>50</v>
      </c>
      <c r="B1013" s="1">
        <v>202501</v>
      </c>
      <c r="C1013" s="1" t="str">
        <f>MID(analisis_productividad__4[[#This Row],[Periodo]],1,4)</f>
        <v>2025</v>
      </c>
      <c r="D1013" s="1" t="str">
        <f>MID(analisis_productividad__4[[#This Row],[Periodo]],5,2)</f>
        <v>01</v>
      </c>
      <c r="E1013" s="1" t="s">
        <v>34</v>
      </c>
      <c r="F1013" s="1" t="s">
        <v>35</v>
      </c>
      <c r="G1013" s="1">
        <v>91415</v>
      </c>
      <c r="H1013" s="1">
        <v>5487015</v>
      </c>
      <c r="I1013" s="1">
        <v>60.023212365591348</v>
      </c>
      <c r="J1013" s="1">
        <v>91110.615209695912</v>
      </c>
      <c r="K1013" s="1">
        <v>79.5</v>
      </c>
      <c r="L1013" s="1">
        <v>72.5</v>
      </c>
      <c r="M1013" s="1">
        <v>60.223666335380798</v>
      </c>
      <c r="N1013" s="1">
        <v>5705960</v>
      </c>
    </row>
    <row r="1014" spans="1:14" x14ac:dyDescent="0.35">
      <c r="A1014" s="1" t="s">
        <v>47</v>
      </c>
      <c r="B1014" s="1">
        <v>202511</v>
      </c>
      <c r="C1014" s="1" t="str">
        <f>MID(analisis_productividad__4[[#This Row],[Periodo]],1,4)</f>
        <v>2025</v>
      </c>
      <c r="D1014" s="1" t="str">
        <f>MID(analisis_productividad__4[[#This Row],[Periodo]],5,2)</f>
        <v>11</v>
      </c>
      <c r="E1014" s="1" t="s">
        <v>11</v>
      </c>
      <c r="F1014" s="1" t="s">
        <v>14</v>
      </c>
      <c r="G1014" s="1">
        <v>91376</v>
      </c>
      <c r="H1014" s="1">
        <v>4447292</v>
      </c>
      <c r="I1014" s="1">
        <v>48.670124999999999</v>
      </c>
      <c r="J1014" s="1">
        <v>82108.304326916346</v>
      </c>
      <c r="K1014" s="1">
        <v>61.5</v>
      </c>
      <c r="L1014" s="1">
        <v>48.5</v>
      </c>
      <c r="M1014" s="1">
        <v>54.163733454937649</v>
      </c>
      <c r="N1014" s="1">
        <v>4649319</v>
      </c>
    </row>
    <row r="1015" spans="1:14" x14ac:dyDescent="0.35">
      <c r="A1015" s="1" t="s">
        <v>59</v>
      </c>
      <c r="B1015" s="1">
        <v>202508</v>
      </c>
      <c r="C1015" s="1" t="str">
        <f>MID(analisis_productividad__4[[#This Row],[Periodo]],1,4)</f>
        <v>2025</v>
      </c>
      <c r="D1015" s="1" t="str">
        <f>MID(analisis_productividad__4[[#This Row],[Periodo]],5,2)</f>
        <v>08</v>
      </c>
      <c r="E1015" s="1" t="s">
        <v>11</v>
      </c>
      <c r="F1015" s="1" t="s">
        <v>12</v>
      </c>
      <c r="G1015" s="1">
        <v>91373</v>
      </c>
      <c r="H1015" s="1">
        <v>7583978</v>
      </c>
      <c r="I1015" s="1">
        <v>83.000241935483913</v>
      </c>
      <c r="J1015" s="1">
        <v>95874.710320192273</v>
      </c>
      <c r="K1015" s="1">
        <v>94.5</v>
      </c>
      <c r="L1015" s="1">
        <v>97</v>
      </c>
      <c r="M1015" s="1">
        <v>79.103009173866909</v>
      </c>
      <c r="N1015" s="1">
        <v>7823391</v>
      </c>
    </row>
    <row r="1016" spans="1:14" x14ac:dyDescent="0.35">
      <c r="A1016" s="1" t="s">
        <v>92</v>
      </c>
      <c r="B1016" s="1">
        <v>202512</v>
      </c>
      <c r="C1016" s="1" t="str">
        <f>MID(analisis_productividad__4[[#This Row],[Periodo]],1,4)</f>
        <v>2025</v>
      </c>
      <c r="D1016" s="1" t="str">
        <f>MID(analisis_productividad__4[[#This Row],[Periodo]],5,2)</f>
        <v>12</v>
      </c>
      <c r="E1016" s="1" t="s">
        <v>11</v>
      </c>
      <c r="F1016" s="1" t="s">
        <v>14</v>
      </c>
      <c r="G1016" s="1">
        <v>91342</v>
      </c>
      <c r="H1016" s="1">
        <v>5154659</v>
      </c>
      <c r="I1016" s="1">
        <v>56.432654569892435</v>
      </c>
      <c r="J1016" s="1">
        <v>92435.929116333849</v>
      </c>
      <c r="K1016" s="1">
        <v>63</v>
      </c>
      <c r="L1016" s="1">
        <v>59</v>
      </c>
      <c r="M1016" s="1">
        <v>55.764664122244973</v>
      </c>
      <c r="N1016" s="1">
        <v>6011013</v>
      </c>
    </row>
    <row r="1017" spans="1:14" x14ac:dyDescent="0.35">
      <c r="A1017" s="1" t="s">
        <v>32</v>
      </c>
      <c r="B1017" s="1">
        <v>202510</v>
      </c>
      <c r="C1017" s="1" t="str">
        <f>MID(analisis_productividad__4[[#This Row],[Periodo]],1,4)</f>
        <v>2025</v>
      </c>
      <c r="D1017" s="1" t="str">
        <f>MID(analisis_productividad__4[[#This Row],[Periodo]],5,2)</f>
        <v>10</v>
      </c>
      <c r="E1017" s="1" t="s">
        <v>11</v>
      </c>
      <c r="F1017" s="1" t="s">
        <v>12</v>
      </c>
      <c r="G1017" s="1">
        <v>91335</v>
      </c>
      <c r="H1017" s="1">
        <v>4960512</v>
      </c>
      <c r="I1017" s="1">
        <v>54.311391129032259</v>
      </c>
      <c r="J1017" s="1">
        <v>89444.530377785326</v>
      </c>
      <c r="K1017" s="1">
        <v>65.5</v>
      </c>
      <c r="L1017" s="1">
        <v>66</v>
      </c>
      <c r="M1017" s="1">
        <v>55.459085078186149</v>
      </c>
      <c r="N1017" s="1">
        <v>6347250</v>
      </c>
    </row>
    <row r="1018" spans="1:14" x14ac:dyDescent="0.35">
      <c r="A1018" s="1" t="s">
        <v>41</v>
      </c>
      <c r="B1018" s="1">
        <v>202407</v>
      </c>
      <c r="C1018" s="1" t="str">
        <f>MID(analisis_productividad__4[[#This Row],[Periodo]],1,4)</f>
        <v>2024</v>
      </c>
      <c r="D1018" s="1" t="str">
        <f>MID(analisis_productividad__4[[#This Row],[Periodo]],5,2)</f>
        <v>07</v>
      </c>
      <c r="E1018" s="1" t="s">
        <v>16</v>
      </c>
      <c r="F1018" s="1" t="s">
        <v>19</v>
      </c>
      <c r="G1018" s="1">
        <v>91333</v>
      </c>
      <c r="H1018" s="1">
        <v>4998750</v>
      </c>
      <c r="I1018" s="1">
        <v>54.731014784946218</v>
      </c>
      <c r="J1018" s="1">
        <v>0</v>
      </c>
      <c r="K1018" s="1">
        <v>57.5</v>
      </c>
      <c r="L1018" s="1">
        <v>56.5</v>
      </c>
      <c r="M1018" s="1"/>
      <c r="N1018" s="1">
        <v>0</v>
      </c>
    </row>
    <row r="1019" spans="1:14" x14ac:dyDescent="0.35">
      <c r="A1019" s="1" t="s">
        <v>67</v>
      </c>
      <c r="B1019" s="1">
        <v>202606</v>
      </c>
      <c r="C1019" s="1" t="str">
        <f>MID(analisis_productividad__4[[#This Row],[Periodo]],1,4)</f>
        <v>2026</v>
      </c>
      <c r="D1019" s="1" t="str">
        <f>MID(analisis_productividad__4[[#This Row],[Periodo]],5,2)</f>
        <v>06</v>
      </c>
      <c r="E1019" s="1" t="s">
        <v>16</v>
      </c>
      <c r="F1019" s="1" t="s">
        <v>19</v>
      </c>
      <c r="G1019" s="1">
        <v>91333</v>
      </c>
      <c r="H1019" s="1">
        <v>6622233</v>
      </c>
      <c r="I1019" s="1">
        <v>72.506826388891</v>
      </c>
      <c r="J1019" s="1">
        <v>92238.866281415598</v>
      </c>
      <c r="K1019" s="1">
        <v>79.5</v>
      </c>
      <c r="L1019" s="1">
        <v>81.5</v>
      </c>
      <c r="M1019" s="1">
        <v>68.773296674593993</v>
      </c>
      <c r="N1019" s="1">
        <v>6343571</v>
      </c>
    </row>
    <row r="1020" spans="1:14" x14ac:dyDescent="0.35">
      <c r="A1020" s="1" t="s">
        <v>59</v>
      </c>
      <c r="B1020" s="1">
        <v>202408</v>
      </c>
      <c r="C1020" s="1" t="str">
        <f>MID(analisis_productividad__4[[#This Row],[Periodo]],1,4)</f>
        <v>2024</v>
      </c>
      <c r="D1020" s="1" t="str">
        <f>MID(analisis_productividad__4[[#This Row],[Periodo]],5,2)</f>
        <v>08</v>
      </c>
      <c r="E1020" s="1" t="s">
        <v>11</v>
      </c>
      <c r="F1020" s="1" t="s">
        <v>12</v>
      </c>
      <c r="G1020" s="1">
        <v>91309</v>
      </c>
      <c r="H1020" s="1">
        <v>7668297</v>
      </c>
      <c r="I1020" s="1">
        <v>83.981606182795659</v>
      </c>
      <c r="J1020" s="1">
        <v>0</v>
      </c>
      <c r="K1020" s="1">
        <v>94.5</v>
      </c>
      <c r="L1020" s="1">
        <v>97</v>
      </c>
      <c r="M1020" s="1"/>
      <c r="N1020" s="1">
        <v>0</v>
      </c>
    </row>
    <row r="1021" spans="1:14" x14ac:dyDescent="0.35">
      <c r="A1021" s="1" t="s">
        <v>57</v>
      </c>
      <c r="B1021" s="1">
        <v>202408</v>
      </c>
      <c r="C1021" s="1" t="str">
        <f>MID(analisis_productividad__4[[#This Row],[Periodo]],1,4)</f>
        <v>2024</v>
      </c>
      <c r="D1021" s="1" t="str">
        <f>MID(analisis_productividad__4[[#This Row],[Periodo]],5,2)</f>
        <v>08</v>
      </c>
      <c r="E1021" s="1" t="s">
        <v>16</v>
      </c>
      <c r="F1021" s="1" t="s">
        <v>19</v>
      </c>
      <c r="G1021" s="1">
        <v>91274</v>
      </c>
      <c r="H1021" s="1">
        <v>6018270</v>
      </c>
      <c r="I1021" s="1">
        <v>65.936095430107514</v>
      </c>
      <c r="J1021" s="1">
        <v>0</v>
      </c>
      <c r="K1021" s="1">
        <v>71</v>
      </c>
      <c r="L1021" s="1">
        <v>74.5</v>
      </c>
      <c r="M1021" s="1"/>
      <c r="N1021" s="1">
        <v>0</v>
      </c>
    </row>
    <row r="1022" spans="1:14" x14ac:dyDescent="0.35">
      <c r="A1022" s="1" t="s">
        <v>45</v>
      </c>
      <c r="B1022" s="1">
        <v>202502</v>
      </c>
      <c r="C1022" s="1" t="str">
        <f>MID(analisis_productividad__4[[#This Row],[Periodo]],1,4)</f>
        <v>2025</v>
      </c>
      <c r="D1022" s="1" t="str">
        <f>MID(analisis_productividad__4[[#This Row],[Periodo]],5,2)</f>
        <v>02</v>
      </c>
      <c r="E1022" s="1" t="s">
        <v>34</v>
      </c>
      <c r="F1022" s="1" t="s">
        <v>35</v>
      </c>
      <c r="G1022" s="1">
        <v>91273</v>
      </c>
      <c r="H1022" s="1">
        <v>2376295</v>
      </c>
      <c r="I1022" s="1">
        <v>26.034895833333337</v>
      </c>
      <c r="J1022" s="1">
        <v>96621.613772900906</v>
      </c>
      <c r="K1022" s="1">
        <v>22.5</v>
      </c>
      <c r="L1022" s="1">
        <v>21</v>
      </c>
      <c r="M1022" s="1">
        <v>24.59382499639506</v>
      </c>
      <c r="N1022" s="1">
        <v>2282621</v>
      </c>
    </row>
    <row r="1023" spans="1:14" x14ac:dyDescent="0.35">
      <c r="A1023" s="1" t="s">
        <v>44</v>
      </c>
      <c r="B1023" s="1">
        <v>202501</v>
      </c>
      <c r="C1023" s="1" t="str">
        <f>MID(analisis_productividad__4[[#This Row],[Periodo]],1,4)</f>
        <v>2025</v>
      </c>
      <c r="D1023" s="1" t="str">
        <f>MID(analisis_productividad__4[[#This Row],[Periodo]],5,2)</f>
        <v>01</v>
      </c>
      <c r="E1023" s="1" t="s">
        <v>11</v>
      </c>
      <c r="F1023" s="1" t="s">
        <v>12</v>
      </c>
      <c r="G1023" s="1">
        <v>91253</v>
      </c>
      <c r="H1023" s="1">
        <v>6142072</v>
      </c>
      <c r="I1023" s="1">
        <v>67.307916666666628</v>
      </c>
      <c r="J1023" s="1">
        <v>104086.57277945445</v>
      </c>
      <c r="K1023" s="1">
        <v>78</v>
      </c>
      <c r="L1023" s="1">
        <v>74.5</v>
      </c>
      <c r="M1023" s="1">
        <v>59.009263116139181</v>
      </c>
      <c r="N1023" s="1">
        <v>6220755</v>
      </c>
    </row>
    <row r="1024" spans="1:14" x14ac:dyDescent="0.35">
      <c r="A1024" s="1" t="s">
        <v>56</v>
      </c>
      <c r="B1024" s="1">
        <v>202409</v>
      </c>
      <c r="C1024" s="1" t="str">
        <f>MID(analisis_productividad__4[[#This Row],[Periodo]],1,4)</f>
        <v>2024</v>
      </c>
      <c r="D1024" s="1" t="str">
        <f>MID(analisis_productividad__4[[#This Row],[Periodo]],5,2)</f>
        <v>09</v>
      </c>
      <c r="E1024" s="1" t="s">
        <v>16</v>
      </c>
      <c r="F1024" s="1" t="s">
        <v>21</v>
      </c>
      <c r="G1024" s="1">
        <v>91209</v>
      </c>
      <c r="H1024" s="1">
        <v>5638389</v>
      </c>
      <c r="I1024" s="1">
        <v>61.818361111111088</v>
      </c>
      <c r="J1024" s="1">
        <v>0</v>
      </c>
      <c r="K1024" s="1">
        <v>72.5</v>
      </c>
      <c r="L1024" s="1">
        <v>68.5</v>
      </c>
      <c r="M1024" s="1"/>
      <c r="N1024" s="1">
        <v>0</v>
      </c>
    </row>
    <row r="1025" spans="1:14" x14ac:dyDescent="0.35">
      <c r="A1025" s="1" t="s">
        <v>55</v>
      </c>
      <c r="B1025" s="1">
        <v>202411</v>
      </c>
      <c r="C1025" s="1" t="str">
        <f>MID(analisis_productividad__4[[#This Row],[Periodo]],1,4)</f>
        <v>2024</v>
      </c>
      <c r="D1025" s="1" t="str">
        <f>MID(analisis_productividad__4[[#This Row],[Periodo]],5,2)</f>
        <v>11</v>
      </c>
      <c r="E1025" s="1" t="s">
        <v>16</v>
      </c>
      <c r="F1025" s="1" t="s">
        <v>21</v>
      </c>
      <c r="G1025" s="1">
        <v>91209</v>
      </c>
      <c r="H1025" s="1">
        <v>4549494</v>
      </c>
      <c r="I1025" s="1">
        <v>49.879958333333327</v>
      </c>
      <c r="J1025" s="1">
        <v>0</v>
      </c>
      <c r="K1025" s="1">
        <v>55</v>
      </c>
      <c r="L1025" s="1">
        <v>50.5</v>
      </c>
      <c r="M1025" s="1"/>
      <c r="N1025" s="1">
        <v>0</v>
      </c>
    </row>
    <row r="1026" spans="1:14" x14ac:dyDescent="0.35">
      <c r="A1026" s="1" t="s">
        <v>38</v>
      </c>
      <c r="B1026" s="1">
        <v>202507</v>
      </c>
      <c r="C1026" s="1" t="str">
        <f>MID(analisis_productividad__4[[#This Row],[Periodo]],1,4)</f>
        <v>2025</v>
      </c>
      <c r="D1026" s="1" t="str">
        <f>MID(analisis_productividad__4[[#This Row],[Periodo]],5,2)</f>
        <v>07</v>
      </c>
      <c r="E1026" s="1" t="s">
        <v>34</v>
      </c>
      <c r="F1026" s="1" t="s">
        <v>35</v>
      </c>
      <c r="G1026" s="1">
        <v>91197</v>
      </c>
      <c r="H1026" s="1">
        <v>10978506</v>
      </c>
      <c r="I1026" s="1">
        <v>120.38193548387089</v>
      </c>
      <c r="J1026" s="1">
        <v>94798.108544064933</v>
      </c>
      <c r="K1026" s="1">
        <v>140.5</v>
      </c>
      <c r="L1026" s="1">
        <v>125.5</v>
      </c>
      <c r="M1026" s="1">
        <v>115.80933162708483</v>
      </c>
      <c r="N1026" s="1">
        <v>11750313</v>
      </c>
    </row>
    <row r="1027" spans="1:14" x14ac:dyDescent="0.35">
      <c r="A1027" s="1" t="s">
        <v>25</v>
      </c>
      <c r="B1027" s="1">
        <v>202509</v>
      </c>
      <c r="C1027" s="1" t="str">
        <f>MID(analisis_productividad__4[[#This Row],[Periodo]],1,4)</f>
        <v>2025</v>
      </c>
      <c r="D1027" s="1" t="str">
        <f>MID(analisis_productividad__4[[#This Row],[Periodo]],5,2)</f>
        <v>09</v>
      </c>
      <c r="E1027" s="1" t="s">
        <v>16</v>
      </c>
      <c r="F1027" s="1" t="s">
        <v>19</v>
      </c>
      <c r="G1027" s="1">
        <v>91193</v>
      </c>
      <c r="H1027" s="1">
        <v>7621148</v>
      </c>
      <c r="I1027" s="1">
        <v>83.572076388889002</v>
      </c>
      <c r="J1027" s="1">
        <v>88430.06838310766</v>
      </c>
      <c r="K1027" s="1">
        <v>94</v>
      </c>
      <c r="L1027" s="1">
        <v>92</v>
      </c>
      <c r="M1027" s="1">
        <v>86.182767008419845</v>
      </c>
      <c r="N1027" s="1">
        <v>7166578</v>
      </c>
    </row>
    <row r="1028" spans="1:14" x14ac:dyDescent="0.35">
      <c r="A1028" s="1" t="s">
        <v>27</v>
      </c>
      <c r="B1028" s="1">
        <v>202502</v>
      </c>
      <c r="C1028" s="1" t="str">
        <f>MID(analisis_productividad__4[[#This Row],[Periodo]],1,4)</f>
        <v>2025</v>
      </c>
      <c r="D1028" s="1" t="str">
        <f>MID(analisis_productividad__4[[#This Row],[Periodo]],5,2)</f>
        <v>02</v>
      </c>
      <c r="E1028" s="1" t="s">
        <v>11</v>
      </c>
      <c r="F1028" s="1" t="s">
        <v>14</v>
      </c>
      <c r="G1028" s="1">
        <v>91190</v>
      </c>
      <c r="H1028" s="1">
        <v>7265441</v>
      </c>
      <c r="I1028" s="1">
        <v>79.673749999999984</v>
      </c>
      <c r="J1028" s="1">
        <v>96012.643010937536</v>
      </c>
      <c r="K1028" s="1">
        <v>88</v>
      </c>
      <c r="L1028" s="1">
        <v>84</v>
      </c>
      <c r="M1028" s="1">
        <v>75.671709080775287</v>
      </c>
      <c r="N1028" s="1">
        <v>7753496</v>
      </c>
    </row>
    <row r="1029" spans="1:14" x14ac:dyDescent="0.35">
      <c r="A1029" s="1" t="s">
        <v>65</v>
      </c>
      <c r="B1029" s="1">
        <v>202601</v>
      </c>
      <c r="C1029" s="1" t="str">
        <f>MID(analisis_productividad__4[[#This Row],[Periodo]],1,4)</f>
        <v>2026</v>
      </c>
      <c r="D1029" s="1" t="str">
        <f>MID(analisis_productividad__4[[#This Row],[Periodo]],5,2)</f>
        <v>01</v>
      </c>
      <c r="E1029" s="1" t="s">
        <v>16</v>
      </c>
      <c r="F1029" s="1" t="s">
        <v>19</v>
      </c>
      <c r="G1029" s="1">
        <v>91183</v>
      </c>
      <c r="H1029" s="1">
        <v>5718851</v>
      </c>
      <c r="I1029" s="1">
        <v>62.718353494623678</v>
      </c>
      <c r="J1029" s="1">
        <v>89137.037590658394</v>
      </c>
      <c r="K1029" s="1">
        <v>68</v>
      </c>
      <c r="L1029" s="1">
        <v>68.5</v>
      </c>
      <c r="M1029" s="1">
        <v>60.397061823201135</v>
      </c>
      <c r="N1029" s="1">
        <v>5383615</v>
      </c>
    </row>
    <row r="1030" spans="1:14" x14ac:dyDescent="0.35">
      <c r="A1030" s="1" t="s">
        <v>50</v>
      </c>
      <c r="B1030" s="1">
        <v>202411</v>
      </c>
      <c r="C1030" s="1" t="str">
        <f>MID(analisis_productividad__4[[#This Row],[Periodo]],1,4)</f>
        <v>2024</v>
      </c>
      <c r="D1030" s="1" t="str">
        <f>MID(analisis_productividad__4[[#This Row],[Periodo]],5,2)</f>
        <v>11</v>
      </c>
      <c r="E1030" s="1" t="s">
        <v>34</v>
      </c>
      <c r="F1030" s="1" t="s">
        <v>35</v>
      </c>
      <c r="G1030" s="1">
        <v>91175</v>
      </c>
      <c r="H1030" s="1">
        <v>5543581</v>
      </c>
      <c r="I1030" s="1">
        <v>60.801270833333376</v>
      </c>
      <c r="J1030" s="1">
        <v>0</v>
      </c>
      <c r="K1030" s="1">
        <v>79.5</v>
      </c>
      <c r="L1030" s="1">
        <v>72.5</v>
      </c>
      <c r="M1030" s="1"/>
      <c r="N1030" s="1">
        <v>0</v>
      </c>
    </row>
    <row r="1031" spans="1:14" x14ac:dyDescent="0.35">
      <c r="A1031" s="1" t="s">
        <v>57</v>
      </c>
      <c r="B1031" s="1">
        <v>202604</v>
      </c>
      <c r="C1031" s="1" t="str">
        <f>MID(analisis_productividad__4[[#This Row],[Periodo]],1,4)</f>
        <v>2026</v>
      </c>
      <c r="D1031" s="1" t="str">
        <f>MID(analisis_productividad__4[[#This Row],[Periodo]],5,2)</f>
        <v>04</v>
      </c>
      <c r="E1031" s="1" t="s">
        <v>16</v>
      </c>
      <c r="F1031" s="1" t="s">
        <v>19</v>
      </c>
      <c r="G1031" s="1">
        <v>91170</v>
      </c>
      <c r="H1031" s="1">
        <v>6091625</v>
      </c>
      <c r="I1031" s="1">
        <v>66.81577777777953</v>
      </c>
      <c r="J1031" s="1">
        <v>92753.857184476656</v>
      </c>
      <c r="K1031" s="1">
        <v>71</v>
      </c>
      <c r="L1031" s="1">
        <v>74.5</v>
      </c>
      <c r="M1031" s="1">
        <v>62.681117153293116</v>
      </c>
      <c r="N1031" s="1">
        <v>5813915</v>
      </c>
    </row>
    <row r="1032" spans="1:14" x14ac:dyDescent="0.35">
      <c r="A1032" s="1" t="s">
        <v>49</v>
      </c>
      <c r="B1032" s="1">
        <v>202507</v>
      </c>
      <c r="C1032" s="1" t="str">
        <f>MID(analisis_productividad__4[[#This Row],[Periodo]],1,4)</f>
        <v>2025</v>
      </c>
      <c r="D1032" s="1" t="str">
        <f>MID(analisis_productividad__4[[#This Row],[Periodo]],5,2)</f>
        <v>07</v>
      </c>
      <c r="E1032" s="1" t="s">
        <v>16</v>
      </c>
      <c r="F1032" s="1" t="s">
        <v>21</v>
      </c>
      <c r="G1032" s="1">
        <v>91153</v>
      </c>
      <c r="H1032" s="1">
        <v>5702562</v>
      </c>
      <c r="I1032" s="1">
        <v>62.560618279569887</v>
      </c>
      <c r="J1032" s="1">
        <v>109432.99646219518</v>
      </c>
      <c r="K1032" s="1">
        <v>75.5</v>
      </c>
      <c r="L1032" s="1">
        <v>68</v>
      </c>
      <c r="M1032" s="1">
        <v>52.11008219052114</v>
      </c>
      <c r="N1032" s="1">
        <v>6419727</v>
      </c>
    </row>
    <row r="1033" spans="1:14" x14ac:dyDescent="0.35">
      <c r="A1033" s="1" t="s">
        <v>87</v>
      </c>
      <c r="B1033" s="1">
        <v>202511</v>
      </c>
      <c r="C1033" s="1" t="str">
        <f>MID(analisis_productividad__4[[#This Row],[Periodo]],1,4)</f>
        <v>2025</v>
      </c>
      <c r="D1033" s="1" t="str">
        <f>MID(analisis_productividad__4[[#This Row],[Periodo]],5,2)</f>
        <v>11</v>
      </c>
      <c r="E1033" s="1" t="s">
        <v>9</v>
      </c>
      <c r="F1033" s="1" t="s">
        <v>9</v>
      </c>
      <c r="G1033" s="1">
        <v>91151</v>
      </c>
      <c r="H1033" s="1">
        <v>902221</v>
      </c>
      <c r="I1033" s="1">
        <v>9.8980486111111112</v>
      </c>
      <c r="J1033" s="1">
        <v>90084.606294465208</v>
      </c>
      <c r="K1033" s="1">
        <v>13.5</v>
      </c>
      <c r="L1033" s="1">
        <v>12</v>
      </c>
      <c r="M1033" s="1">
        <v>10.015267059622287</v>
      </c>
      <c r="N1033" s="1">
        <v>1070492</v>
      </c>
    </row>
    <row r="1034" spans="1:14" x14ac:dyDescent="0.35">
      <c r="A1034" s="1" t="s">
        <v>75</v>
      </c>
      <c r="B1034" s="1">
        <v>202403</v>
      </c>
      <c r="C1034" s="1" t="str">
        <f>MID(analisis_productividad__4[[#This Row],[Periodo]],1,4)</f>
        <v>2024</v>
      </c>
      <c r="D1034" s="1" t="str">
        <f>MID(analisis_productividad__4[[#This Row],[Periodo]],5,2)</f>
        <v>03</v>
      </c>
      <c r="E1034" s="1" t="s">
        <v>11</v>
      </c>
      <c r="F1034" s="1" t="s">
        <v>52</v>
      </c>
      <c r="G1034" s="1">
        <v>91117</v>
      </c>
      <c r="H1034" s="1">
        <v>10511279</v>
      </c>
      <c r="I1034" s="1">
        <v>115.35962365591405</v>
      </c>
      <c r="J1034" s="1">
        <v>0</v>
      </c>
      <c r="K1034" s="1">
        <v>118</v>
      </c>
      <c r="L1034" s="1">
        <v>106</v>
      </c>
      <c r="M1034" s="1"/>
      <c r="N1034" s="1">
        <v>0</v>
      </c>
    </row>
    <row r="1035" spans="1:14" x14ac:dyDescent="0.35">
      <c r="A1035" s="1" t="s">
        <v>131</v>
      </c>
      <c r="B1035" s="1">
        <v>202410</v>
      </c>
      <c r="C1035" s="1" t="str">
        <f>MID(analisis_productividad__4[[#This Row],[Periodo]],1,4)</f>
        <v>2024</v>
      </c>
      <c r="D1035" s="1" t="str">
        <f>MID(analisis_productividad__4[[#This Row],[Periodo]],5,2)</f>
        <v>10</v>
      </c>
      <c r="E1035" s="1" t="s">
        <v>16</v>
      </c>
      <c r="F1035" s="1" t="s">
        <v>21</v>
      </c>
      <c r="G1035" s="1">
        <v>91073</v>
      </c>
      <c r="H1035" s="1">
        <v>10781401</v>
      </c>
      <c r="I1035" s="1">
        <v>118.38147849462364</v>
      </c>
      <c r="J1035" s="1">
        <v>0</v>
      </c>
      <c r="K1035" s="1">
        <v>99</v>
      </c>
      <c r="L1035" s="1">
        <v>32.5</v>
      </c>
      <c r="M1035" s="1"/>
      <c r="N1035" s="1">
        <v>0</v>
      </c>
    </row>
    <row r="1036" spans="1:14" x14ac:dyDescent="0.35">
      <c r="A1036" s="1" t="s">
        <v>64</v>
      </c>
      <c r="B1036" s="1">
        <v>202605</v>
      </c>
      <c r="C1036" s="1" t="str">
        <f>MID(analisis_productividad__4[[#This Row],[Periodo]],1,4)</f>
        <v>2026</v>
      </c>
      <c r="D1036" s="1" t="str">
        <f>MID(analisis_productividad__4[[#This Row],[Periodo]],5,2)</f>
        <v>05</v>
      </c>
      <c r="E1036" s="1" t="s">
        <v>16</v>
      </c>
      <c r="F1036" s="1" t="s">
        <v>21</v>
      </c>
      <c r="G1036" s="1">
        <v>91046</v>
      </c>
      <c r="H1036" s="1">
        <v>9929231</v>
      </c>
      <c r="I1036" s="1">
        <v>109.05680107526388</v>
      </c>
      <c r="J1036" s="1">
        <v>90889.521866791096</v>
      </c>
      <c r="K1036" s="1">
        <v>88.5</v>
      </c>
      <c r="L1036" s="1">
        <v>92.5</v>
      </c>
      <c r="M1036" s="1">
        <v>102.97612103755296</v>
      </c>
      <c r="N1036" s="1">
        <v>9359450</v>
      </c>
    </row>
    <row r="1037" spans="1:14" x14ac:dyDescent="0.35">
      <c r="A1037" s="1" t="s">
        <v>71</v>
      </c>
      <c r="B1037" s="1">
        <v>202603</v>
      </c>
      <c r="C1037" s="1" t="str">
        <f>MID(analisis_productividad__4[[#This Row],[Periodo]],1,4)</f>
        <v>2026</v>
      </c>
      <c r="D1037" s="1" t="str">
        <f>MID(analisis_productividad__4[[#This Row],[Periodo]],5,2)</f>
        <v>03</v>
      </c>
      <c r="E1037" s="1" t="s">
        <v>16</v>
      </c>
      <c r="F1037" s="1" t="s">
        <v>19</v>
      </c>
      <c r="G1037" s="1">
        <v>91028</v>
      </c>
      <c r="H1037" s="1">
        <v>3280732</v>
      </c>
      <c r="I1037" s="1">
        <v>36.041061827956995</v>
      </c>
      <c r="J1037" s="1">
        <v>70401.060935859074</v>
      </c>
      <c r="K1037" s="1">
        <v>41.5</v>
      </c>
      <c r="L1037" s="1">
        <v>35.5</v>
      </c>
      <c r="M1037" s="1">
        <v>37.124878906032741</v>
      </c>
      <c r="N1037" s="1">
        <v>2613631</v>
      </c>
    </row>
    <row r="1038" spans="1:14" x14ac:dyDescent="0.35">
      <c r="A1038" s="1" t="s">
        <v>79</v>
      </c>
      <c r="B1038" s="1">
        <v>202601</v>
      </c>
      <c r="C1038" s="1" t="str">
        <f>MID(analisis_productividad__4[[#This Row],[Periodo]],1,4)</f>
        <v>2026</v>
      </c>
      <c r="D1038" s="1" t="str">
        <f>MID(analisis_productividad__4[[#This Row],[Periodo]],5,2)</f>
        <v>01</v>
      </c>
      <c r="E1038" s="1" t="s">
        <v>11</v>
      </c>
      <c r="F1038" s="1" t="s">
        <v>12</v>
      </c>
      <c r="G1038" s="1">
        <v>91017</v>
      </c>
      <c r="H1038" s="1">
        <v>5263425</v>
      </c>
      <c r="I1038" s="1">
        <v>57.829032258064515</v>
      </c>
      <c r="J1038" s="1">
        <v>94293.154567289894</v>
      </c>
      <c r="K1038" s="1">
        <v>64.5</v>
      </c>
      <c r="L1038" s="1">
        <v>64</v>
      </c>
      <c r="M1038" s="1">
        <v>54.966698955874868</v>
      </c>
      <c r="N1038" s="1">
        <v>5182983</v>
      </c>
    </row>
    <row r="1039" spans="1:14" x14ac:dyDescent="0.35">
      <c r="A1039" s="1" t="s">
        <v>46</v>
      </c>
      <c r="B1039" s="1">
        <v>202411</v>
      </c>
      <c r="C1039" s="1" t="str">
        <f>MID(analisis_productividad__4[[#This Row],[Periodo]],1,4)</f>
        <v>2024</v>
      </c>
      <c r="D1039" s="1" t="str">
        <f>MID(analisis_productividad__4[[#This Row],[Periodo]],5,2)</f>
        <v>11</v>
      </c>
      <c r="E1039" s="1" t="s">
        <v>11</v>
      </c>
      <c r="F1039" s="1" t="s">
        <v>14</v>
      </c>
      <c r="G1039" s="1">
        <v>91010</v>
      </c>
      <c r="H1039" s="1">
        <v>6162852</v>
      </c>
      <c r="I1039" s="1">
        <v>67.716055555555599</v>
      </c>
      <c r="J1039" s="1">
        <v>0</v>
      </c>
      <c r="K1039" s="1">
        <v>77</v>
      </c>
      <c r="L1039" s="1">
        <v>79</v>
      </c>
      <c r="M1039" s="1"/>
      <c r="N1039" s="1">
        <v>0</v>
      </c>
    </row>
    <row r="1040" spans="1:14" x14ac:dyDescent="0.35">
      <c r="A1040" s="1" t="s">
        <v>39</v>
      </c>
      <c r="B1040" s="1">
        <v>202501</v>
      </c>
      <c r="C1040" s="1" t="str">
        <f>MID(analisis_productividad__4[[#This Row],[Periodo]],1,4)</f>
        <v>2025</v>
      </c>
      <c r="D1040" s="1" t="str">
        <f>MID(analisis_productividad__4[[#This Row],[Periodo]],5,2)</f>
        <v>01</v>
      </c>
      <c r="E1040" s="1" t="s">
        <v>16</v>
      </c>
      <c r="F1040" s="1" t="s">
        <v>17</v>
      </c>
      <c r="G1040" s="1">
        <v>90992</v>
      </c>
      <c r="H1040" s="1">
        <v>7927205</v>
      </c>
      <c r="I1040" s="1">
        <v>87.119704301075174</v>
      </c>
      <c r="J1040" s="1">
        <v>99812.90047899817</v>
      </c>
      <c r="K1040" s="1">
        <v>93.5</v>
      </c>
      <c r="L1040" s="1">
        <v>94</v>
      </c>
      <c r="M1040" s="1">
        <v>79.420646749645158</v>
      </c>
      <c r="N1040" s="1">
        <v>7762310</v>
      </c>
    </row>
    <row r="1041" spans="1:14" x14ac:dyDescent="0.35">
      <c r="A1041" s="1" t="s">
        <v>55</v>
      </c>
      <c r="B1041" s="1">
        <v>202507</v>
      </c>
      <c r="C1041" s="1" t="str">
        <f>MID(analisis_productividad__4[[#This Row],[Periodo]],1,4)</f>
        <v>2025</v>
      </c>
      <c r="D1041" s="1" t="str">
        <f>MID(analisis_productividad__4[[#This Row],[Periodo]],5,2)</f>
        <v>07</v>
      </c>
      <c r="E1041" s="1" t="s">
        <v>16</v>
      </c>
      <c r="F1041" s="1" t="s">
        <v>21</v>
      </c>
      <c r="G1041" s="1">
        <v>90989</v>
      </c>
      <c r="H1041" s="1">
        <v>4696274</v>
      </c>
      <c r="I1041" s="1">
        <v>51.613568548387086</v>
      </c>
      <c r="J1041" s="1">
        <v>100482.44878679224</v>
      </c>
      <c r="K1041" s="1">
        <v>55</v>
      </c>
      <c r="L1041" s="1">
        <v>50.5</v>
      </c>
      <c r="M1041" s="1">
        <v>46.73725816500297</v>
      </c>
      <c r="N1041" s="1">
        <v>5244692</v>
      </c>
    </row>
    <row r="1042" spans="1:14" x14ac:dyDescent="0.35">
      <c r="A1042" s="1" t="s">
        <v>79</v>
      </c>
      <c r="B1042" s="1">
        <v>202511</v>
      </c>
      <c r="C1042" s="1" t="str">
        <f>MID(analisis_productividad__4[[#This Row],[Periodo]],1,4)</f>
        <v>2025</v>
      </c>
      <c r="D1042" s="1" t="str">
        <f>MID(analisis_productividad__4[[#This Row],[Periodo]],5,2)</f>
        <v>11</v>
      </c>
      <c r="E1042" s="1" t="s">
        <v>11</v>
      </c>
      <c r="F1042" s="1" t="s">
        <v>12</v>
      </c>
      <c r="G1042" s="1">
        <v>90979</v>
      </c>
      <c r="H1042" s="1">
        <v>5389428</v>
      </c>
      <c r="I1042" s="1">
        <v>59.237840277777785</v>
      </c>
      <c r="J1042" s="1">
        <v>86248.34444143837</v>
      </c>
      <c r="K1042" s="1">
        <v>64.5</v>
      </c>
      <c r="L1042" s="1">
        <v>64</v>
      </c>
      <c r="M1042" s="1">
        <v>62.48731653810885</v>
      </c>
      <c r="N1042" s="1">
        <v>5415909</v>
      </c>
    </row>
    <row r="1043" spans="1:14" x14ac:dyDescent="0.35">
      <c r="A1043" s="1" t="s">
        <v>90</v>
      </c>
      <c r="B1043" s="1">
        <v>202412</v>
      </c>
      <c r="C1043" s="1" t="str">
        <f>MID(analisis_productividad__4[[#This Row],[Periodo]],1,4)</f>
        <v>2024</v>
      </c>
      <c r="D1043" s="1" t="str">
        <f>MID(analisis_productividad__4[[#This Row],[Periodo]],5,2)</f>
        <v>12</v>
      </c>
      <c r="E1043" s="1" t="s">
        <v>11</v>
      </c>
      <c r="F1043" s="1" t="s">
        <v>14</v>
      </c>
      <c r="G1043" s="1">
        <v>90956</v>
      </c>
      <c r="H1043" s="1">
        <v>7909612</v>
      </c>
      <c r="I1043" s="1">
        <v>86.961122311828007</v>
      </c>
      <c r="J1043" s="1">
        <v>0</v>
      </c>
      <c r="K1043" s="1">
        <v>84.5</v>
      </c>
      <c r="L1043" s="1">
        <v>78.5</v>
      </c>
      <c r="M1043" s="1"/>
      <c r="N1043" s="1">
        <v>0</v>
      </c>
    </row>
    <row r="1044" spans="1:14" x14ac:dyDescent="0.35">
      <c r="A1044" s="1" t="s">
        <v>38</v>
      </c>
      <c r="B1044" s="1">
        <v>202402</v>
      </c>
      <c r="C1044" s="1" t="str">
        <f>MID(analisis_productividad__4[[#This Row],[Periodo]],1,4)</f>
        <v>2024</v>
      </c>
      <c r="D1044" s="1" t="str">
        <f>MID(analisis_productividad__4[[#This Row],[Periodo]],5,2)</f>
        <v>02</v>
      </c>
      <c r="E1044" s="1" t="s">
        <v>34</v>
      </c>
      <c r="F1044" s="1" t="s">
        <v>35</v>
      </c>
      <c r="G1044" s="1">
        <v>90930</v>
      </c>
      <c r="H1044" s="1">
        <v>10670203</v>
      </c>
      <c r="I1044" s="1">
        <v>117.34479166666664</v>
      </c>
      <c r="J1044" s="1">
        <v>0</v>
      </c>
      <c r="K1044" s="1">
        <v>140.5</v>
      </c>
      <c r="L1044" s="1">
        <v>125.5</v>
      </c>
      <c r="M1044" s="1"/>
      <c r="N1044" s="1">
        <v>0</v>
      </c>
    </row>
    <row r="1045" spans="1:14" x14ac:dyDescent="0.35">
      <c r="A1045" s="1" t="s">
        <v>86</v>
      </c>
      <c r="B1045" s="1">
        <v>202503</v>
      </c>
      <c r="C1045" s="1" t="str">
        <f>MID(analisis_productividad__4[[#This Row],[Periodo]],1,4)</f>
        <v>2025</v>
      </c>
      <c r="D1045" s="1" t="str">
        <f>MID(analisis_productividad__4[[#This Row],[Periodo]],5,2)</f>
        <v>03</v>
      </c>
      <c r="E1045" s="1" t="s">
        <v>11</v>
      </c>
      <c r="F1045" s="1" t="s">
        <v>14</v>
      </c>
      <c r="G1045" s="1">
        <v>90921</v>
      </c>
      <c r="H1045" s="1">
        <v>5889750</v>
      </c>
      <c r="I1045" s="1">
        <v>64.77893145161292</v>
      </c>
      <c r="J1045" s="1">
        <v>104304.81918848326</v>
      </c>
      <c r="K1045" s="1">
        <v>69.5</v>
      </c>
      <c r="L1045" s="1">
        <v>59</v>
      </c>
      <c r="M1045" s="1">
        <v>56.466710319079034</v>
      </c>
      <c r="N1045" s="1">
        <v>6648608</v>
      </c>
    </row>
    <row r="1046" spans="1:14" x14ac:dyDescent="0.35">
      <c r="A1046" s="1" t="s">
        <v>32</v>
      </c>
      <c r="B1046" s="1">
        <v>202501</v>
      </c>
      <c r="C1046" s="1" t="str">
        <f>MID(analisis_productividad__4[[#This Row],[Periodo]],1,4)</f>
        <v>2025</v>
      </c>
      <c r="D1046" s="1" t="str">
        <f>MID(analisis_productividad__4[[#This Row],[Periodo]],5,2)</f>
        <v>01</v>
      </c>
      <c r="E1046" s="1" t="s">
        <v>11</v>
      </c>
      <c r="F1046" s="1" t="s">
        <v>12</v>
      </c>
      <c r="G1046" s="1">
        <v>90900</v>
      </c>
      <c r="H1046" s="1">
        <v>5074248</v>
      </c>
      <c r="I1046" s="1">
        <v>55.822083333333339</v>
      </c>
      <c r="J1046" s="1">
        <v>91381.584746206907</v>
      </c>
      <c r="K1046" s="1">
        <v>65.5</v>
      </c>
      <c r="L1046" s="1">
        <v>66</v>
      </c>
      <c r="M1046" s="1">
        <v>55.528125432412381</v>
      </c>
      <c r="N1046" s="1">
        <v>5458384</v>
      </c>
    </row>
    <row r="1047" spans="1:14" x14ac:dyDescent="0.35">
      <c r="A1047" s="1" t="s">
        <v>38</v>
      </c>
      <c r="B1047" s="1">
        <v>202404</v>
      </c>
      <c r="C1047" s="1" t="str">
        <f>MID(analisis_productividad__4[[#This Row],[Periodo]],1,4)</f>
        <v>2024</v>
      </c>
      <c r="D1047" s="1" t="str">
        <f>MID(analisis_productividad__4[[#This Row],[Periodo]],5,2)</f>
        <v>04</v>
      </c>
      <c r="E1047" s="1" t="s">
        <v>34</v>
      </c>
      <c r="F1047" s="1" t="s">
        <v>35</v>
      </c>
      <c r="G1047" s="1">
        <v>90899</v>
      </c>
      <c r="H1047" s="1">
        <v>11420406</v>
      </c>
      <c r="I1047" s="1">
        <v>125.63804166666665</v>
      </c>
      <c r="J1047" s="1">
        <v>0</v>
      </c>
      <c r="K1047" s="1">
        <v>140.5</v>
      </c>
      <c r="L1047" s="1">
        <v>125.5</v>
      </c>
      <c r="M1047" s="1"/>
      <c r="N1047" s="1">
        <v>0</v>
      </c>
    </row>
    <row r="1048" spans="1:14" x14ac:dyDescent="0.35">
      <c r="A1048" s="1" t="s">
        <v>49</v>
      </c>
      <c r="B1048" s="1">
        <v>202505</v>
      </c>
      <c r="C1048" s="1" t="str">
        <f>MID(analisis_productividad__4[[#This Row],[Periodo]],1,4)</f>
        <v>2025</v>
      </c>
      <c r="D1048" s="1" t="str">
        <f>MID(analisis_productividad__4[[#This Row],[Periodo]],5,2)</f>
        <v>05</v>
      </c>
      <c r="E1048" s="1" t="s">
        <v>16</v>
      </c>
      <c r="F1048" s="1" t="s">
        <v>21</v>
      </c>
      <c r="G1048" s="1">
        <v>90873</v>
      </c>
      <c r="H1048" s="1">
        <v>5740738</v>
      </c>
      <c r="I1048" s="1">
        <v>63.173212365591411</v>
      </c>
      <c r="J1048" s="1">
        <v>89465.313994959215</v>
      </c>
      <c r="K1048" s="1">
        <v>75.5</v>
      </c>
      <c r="L1048" s="1">
        <v>68</v>
      </c>
      <c r="M1048" s="1">
        <v>64.167188529886033</v>
      </c>
      <c r="N1048" s="1">
        <v>5857423</v>
      </c>
    </row>
    <row r="1049" spans="1:14" x14ac:dyDescent="0.35">
      <c r="A1049" s="1" t="s">
        <v>67</v>
      </c>
      <c r="B1049" s="1">
        <v>202507</v>
      </c>
      <c r="C1049" s="1" t="str">
        <f>MID(analisis_productividad__4[[#This Row],[Periodo]],1,4)</f>
        <v>2025</v>
      </c>
      <c r="D1049" s="1" t="str">
        <f>MID(analisis_productividad__4[[#This Row],[Periodo]],5,2)</f>
        <v>07</v>
      </c>
      <c r="E1049" s="1" t="s">
        <v>16</v>
      </c>
      <c r="F1049" s="1" t="s">
        <v>19</v>
      </c>
      <c r="G1049" s="1">
        <v>90858</v>
      </c>
      <c r="H1049" s="1">
        <v>6528854</v>
      </c>
      <c r="I1049" s="1">
        <v>71.858104838709693</v>
      </c>
      <c r="J1049" s="1">
        <v>88826.481470094019</v>
      </c>
      <c r="K1049" s="1">
        <v>79.5</v>
      </c>
      <c r="L1049" s="1">
        <v>81.5</v>
      </c>
      <c r="M1049" s="1">
        <v>73.501207995029361</v>
      </c>
      <c r="N1049" s="1">
        <v>6772599</v>
      </c>
    </row>
    <row r="1050" spans="1:14" x14ac:dyDescent="0.35">
      <c r="A1050" s="1" t="s">
        <v>67</v>
      </c>
      <c r="B1050" s="1">
        <v>202403</v>
      </c>
      <c r="C1050" s="1" t="str">
        <f>MID(analisis_productividad__4[[#This Row],[Periodo]],1,4)</f>
        <v>2024</v>
      </c>
      <c r="D1050" s="1" t="str">
        <f>MID(analisis_productividad__4[[#This Row],[Periodo]],5,2)</f>
        <v>03</v>
      </c>
      <c r="E1050" s="1" t="s">
        <v>16</v>
      </c>
      <c r="F1050" s="1" t="s">
        <v>19</v>
      </c>
      <c r="G1050" s="1">
        <v>90828</v>
      </c>
      <c r="H1050" s="1">
        <v>6611669</v>
      </c>
      <c r="I1050" s="1">
        <v>72.793508064516104</v>
      </c>
      <c r="J1050" s="1">
        <v>0</v>
      </c>
      <c r="K1050" s="1">
        <v>79.5</v>
      </c>
      <c r="L1050" s="1">
        <v>81.5</v>
      </c>
      <c r="M1050" s="1"/>
      <c r="N1050" s="1">
        <v>0</v>
      </c>
    </row>
    <row r="1051" spans="1:14" x14ac:dyDescent="0.35">
      <c r="A1051" s="1" t="s">
        <v>39</v>
      </c>
      <c r="B1051" s="1">
        <v>202405</v>
      </c>
      <c r="C1051" s="1" t="str">
        <f>MID(analisis_productividad__4[[#This Row],[Periodo]],1,4)</f>
        <v>2024</v>
      </c>
      <c r="D1051" s="1" t="str">
        <f>MID(analisis_productividad__4[[#This Row],[Periodo]],5,2)</f>
        <v>05</v>
      </c>
      <c r="E1051" s="1" t="s">
        <v>16</v>
      </c>
      <c r="F1051" s="1" t="s">
        <v>17</v>
      </c>
      <c r="G1051" s="1">
        <v>90825</v>
      </c>
      <c r="H1051" s="1">
        <v>7822432</v>
      </c>
      <c r="I1051" s="1">
        <v>86.12610887096767</v>
      </c>
      <c r="J1051" s="1">
        <v>0</v>
      </c>
      <c r="K1051" s="1">
        <v>93.5</v>
      </c>
      <c r="L1051" s="1">
        <v>94</v>
      </c>
      <c r="M1051" s="1"/>
      <c r="N1051" s="1">
        <v>0</v>
      </c>
    </row>
    <row r="1052" spans="1:14" x14ac:dyDescent="0.35">
      <c r="A1052" s="1" t="s">
        <v>69</v>
      </c>
      <c r="B1052" s="1">
        <v>202508</v>
      </c>
      <c r="C1052" s="1" t="str">
        <f>MID(analisis_productividad__4[[#This Row],[Periodo]],1,4)</f>
        <v>2025</v>
      </c>
      <c r="D1052" s="1" t="str">
        <f>MID(analisis_productividad__4[[#This Row],[Periodo]],5,2)</f>
        <v>08</v>
      </c>
      <c r="E1052" s="1" t="s">
        <v>11</v>
      </c>
      <c r="F1052" s="1" t="s">
        <v>52</v>
      </c>
      <c r="G1052" s="1">
        <v>90823</v>
      </c>
      <c r="H1052" s="1">
        <v>4790414</v>
      </c>
      <c r="I1052" s="1">
        <v>52.744294354838708</v>
      </c>
      <c r="J1052" s="1">
        <v>90572.641233716335</v>
      </c>
      <c r="K1052" s="1">
        <v>68</v>
      </c>
      <c r="L1052" s="1">
        <v>60.5</v>
      </c>
      <c r="M1052" s="1">
        <v>52.890297387250456</v>
      </c>
      <c r="N1052" s="1">
        <v>5097421</v>
      </c>
    </row>
    <row r="1053" spans="1:14" x14ac:dyDescent="0.35">
      <c r="A1053" s="1" t="s">
        <v>67</v>
      </c>
      <c r="B1053" s="1">
        <v>202601</v>
      </c>
      <c r="C1053" s="1" t="str">
        <f>MID(analisis_productividad__4[[#This Row],[Periodo]],1,4)</f>
        <v>2026</v>
      </c>
      <c r="D1053" s="1" t="str">
        <f>MID(analisis_productividad__4[[#This Row],[Periodo]],5,2)</f>
        <v>01</v>
      </c>
      <c r="E1053" s="1" t="s">
        <v>16</v>
      </c>
      <c r="F1053" s="1" t="s">
        <v>19</v>
      </c>
      <c r="G1053" s="1">
        <v>90802</v>
      </c>
      <c r="H1053" s="1">
        <v>6226452</v>
      </c>
      <c r="I1053" s="1">
        <v>68.57200940860217</v>
      </c>
      <c r="J1053" s="1">
        <v>98922.465408194199</v>
      </c>
      <c r="K1053" s="1">
        <v>79.5</v>
      </c>
      <c r="L1053" s="1">
        <v>81.5</v>
      </c>
      <c r="M1053" s="1">
        <v>68.773296674593993</v>
      </c>
      <c r="N1053" s="1">
        <v>6803224</v>
      </c>
    </row>
    <row r="1054" spans="1:14" x14ac:dyDescent="0.35">
      <c r="A1054" s="1" t="s">
        <v>47</v>
      </c>
      <c r="B1054" s="1">
        <v>202508</v>
      </c>
      <c r="C1054" s="1" t="str">
        <f>MID(analisis_productividad__4[[#This Row],[Periodo]],1,4)</f>
        <v>2025</v>
      </c>
      <c r="D1054" s="1" t="str">
        <f>MID(analisis_productividad__4[[#This Row],[Periodo]],5,2)</f>
        <v>08</v>
      </c>
      <c r="E1054" s="1" t="s">
        <v>11</v>
      </c>
      <c r="F1054" s="1" t="s">
        <v>14</v>
      </c>
      <c r="G1054" s="1">
        <v>90770</v>
      </c>
      <c r="H1054" s="1">
        <v>4398411</v>
      </c>
      <c r="I1054" s="1">
        <v>48.456700268817215</v>
      </c>
      <c r="J1054" s="1">
        <v>86839.599080305357</v>
      </c>
      <c r="K1054" s="1">
        <v>61.5</v>
      </c>
      <c r="L1054" s="1">
        <v>48.5</v>
      </c>
      <c r="M1054" s="1">
        <v>50.649825616220859</v>
      </c>
      <c r="N1054" s="1">
        <v>4798846</v>
      </c>
    </row>
    <row r="1055" spans="1:14" x14ac:dyDescent="0.35">
      <c r="A1055" s="1" t="s">
        <v>49</v>
      </c>
      <c r="B1055" s="1">
        <v>202403</v>
      </c>
      <c r="C1055" s="1" t="str">
        <f>MID(analisis_productividad__4[[#This Row],[Periodo]],1,4)</f>
        <v>2024</v>
      </c>
      <c r="D1055" s="1" t="str">
        <f>MID(analisis_productividad__4[[#This Row],[Periodo]],5,2)</f>
        <v>03</v>
      </c>
      <c r="E1055" s="1" t="s">
        <v>16</v>
      </c>
      <c r="F1055" s="1" t="s">
        <v>21</v>
      </c>
      <c r="G1055" s="1">
        <v>90768</v>
      </c>
      <c r="H1055" s="1">
        <v>6705127</v>
      </c>
      <c r="I1055" s="1">
        <v>73.870698924731215</v>
      </c>
      <c r="J1055" s="1">
        <v>0</v>
      </c>
      <c r="K1055" s="1">
        <v>75.5</v>
      </c>
      <c r="L1055" s="1">
        <v>68</v>
      </c>
      <c r="M1055" s="1"/>
      <c r="N1055" s="1">
        <v>0</v>
      </c>
    </row>
    <row r="1056" spans="1:14" x14ac:dyDescent="0.35">
      <c r="A1056" s="1" t="s">
        <v>39</v>
      </c>
      <c r="B1056" s="1">
        <v>202402</v>
      </c>
      <c r="C1056" s="1" t="str">
        <f>MID(analisis_productividad__4[[#This Row],[Periodo]],1,4)</f>
        <v>2024</v>
      </c>
      <c r="D1056" s="1" t="str">
        <f>MID(analisis_productividad__4[[#This Row],[Periodo]],5,2)</f>
        <v>02</v>
      </c>
      <c r="E1056" s="1" t="s">
        <v>16</v>
      </c>
      <c r="F1056" s="1" t="s">
        <v>17</v>
      </c>
      <c r="G1056" s="1">
        <v>90762</v>
      </c>
      <c r="H1056" s="1">
        <v>7353139</v>
      </c>
      <c r="I1056" s="1">
        <v>81.015344827586205</v>
      </c>
      <c r="J1056" s="1">
        <v>0</v>
      </c>
      <c r="K1056" s="1">
        <v>93.5</v>
      </c>
      <c r="L1056" s="1">
        <v>94</v>
      </c>
      <c r="M1056" s="1"/>
      <c r="N1056" s="1">
        <v>0</v>
      </c>
    </row>
    <row r="1057" spans="1:14" x14ac:dyDescent="0.35">
      <c r="A1057" s="1" t="s">
        <v>86</v>
      </c>
      <c r="B1057" s="1">
        <v>202603</v>
      </c>
      <c r="C1057" s="1" t="str">
        <f>MID(analisis_productividad__4[[#This Row],[Periodo]],1,4)</f>
        <v>2026</v>
      </c>
      <c r="D1057" s="1" t="str">
        <f>MID(analisis_productividad__4[[#This Row],[Periodo]],5,2)</f>
        <v>03</v>
      </c>
      <c r="E1057" s="1" t="s">
        <v>11</v>
      </c>
      <c r="F1057" s="1" t="s">
        <v>14</v>
      </c>
      <c r="G1057" s="1">
        <v>90735</v>
      </c>
      <c r="H1057" s="1">
        <v>5387484</v>
      </c>
      <c r="I1057" s="1">
        <v>59.375712365591404</v>
      </c>
      <c r="J1057" s="1">
        <v>99780.262864671109</v>
      </c>
      <c r="K1057" s="1">
        <v>69.5</v>
      </c>
      <c r="L1057" s="1">
        <v>59</v>
      </c>
      <c r="M1057" s="1">
        <v>57.926444284268129</v>
      </c>
      <c r="N1057" s="1">
        <v>5779916</v>
      </c>
    </row>
    <row r="1058" spans="1:14" x14ac:dyDescent="0.35">
      <c r="A1058" s="1" t="s">
        <v>61</v>
      </c>
      <c r="B1058" s="1">
        <v>202401</v>
      </c>
      <c r="C1058" s="1" t="str">
        <f>MID(analisis_productividad__4[[#This Row],[Periodo]],1,4)</f>
        <v>2024</v>
      </c>
      <c r="D1058" s="1" t="str">
        <f>MID(analisis_productividad__4[[#This Row],[Periodo]],5,2)</f>
        <v>01</v>
      </c>
      <c r="E1058" s="1" t="s">
        <v>11</v>
      </c>
      <c r="F1058" s="1" t="s">
        <v>52</v>
      </c>
      <c r="G1058" s="1">
        <v>90713</v>
      </c>
      <c r="H1058" s="1">
        <v>8616852</v>
      </c>
      <c r="I1058" s="1">
        <v>94.990376344085988</v>
      </c>
      <c r="J1058" s="1">
        <v>0</v>
      </c>
      <c r="K1058" s="1">
        <v>104.5</v>
      </c>
      <c r="L1058" s="1">
        <v>99</v>
      </c>
      <c r="M1058" s="1"/>
      <c r="N1058" s="1">
        <v>0</v>
      </c>
    </row>
    <row r="1059" spans="1:14" x14ac:dyDescent="0.35">
      <c r="A1059" s="1" t="s">
        <v>32</v>
      </c>
      <c r="B1059" s="1">
        <v>202504</v>
      </c>
      <c r="C1059" s="1" t="str">
        <f>MID(analisis_productividad__4[[#This Row],[Periodo]],1,4)</f>
        <v>2025</v>
      </c>
      <c r="D1059" s="1" t="str">
        <f>MID(analisis_productividad__4[[#This Row],[Periodo]],5,2)</f>
        <v>04</v>
      </c>
      <c r="E1059" s="1" t="s">
        <v>11</v>
      </c>
      <c r="F1059" s="1" t="s">
        <v>12</v>
      </c>
      <c r="G1059" s="1">
        <v>90688</v>
      </c>
      <c r="H1059" s="1">
        <v>5193865</v>
      </c>
      <c r="I1059" s="1">
        <v>57.271763888888877</v>
      </c>
      <c r="J1059" s="1">
        <v>81205.062719238456</v>
      </c>
      <c r="K1059" s="1">
        <v>65.5</v>
      </c>
      <c r="L1059" s="1">
        <v>66</v>
      </c>
      <c r="M1059" s="1">
        <v>63.959872649288783</v>
      </c>
      <c r="N1059" s="1">
        <v>5540049</v>
      </c>
    </row>
    <row r="1060" spans="1:14" x14ac:dyDescent="0.35">
      <c r="A1060" s="1" t="s">
        <v>49</v>
      </c>
      <c r="B1060" s="1">
        <v>202504</v>
      </c>
      <c r="C1060" s="1" t="str">
        <f>MID(analisis_productividad__4[[#This Row],[Periodo]],1,4)</f>
        <v>2025</v>
      </c>
      <c r="D1060" s="1" t="str">
        <f>MID(analisis_productividad__4[[#This Row],[Periodo]],5,2)</f>
        <v>04</v>
      </c>
      <c r="E1060" s="1" t="s">
        <v>16</v>
      </c>
      <c r="F1060" s="1" t="s">
        <v>21</v>
      </c>
      <c r="G1060" s="1">
        <v>90685</v>
      </c>
      <c r="H1060" s="1">
        <v>5761791</v>
      </c>
      <c r="I1060" s="1">
        <v>63.536083333333345</v>
      </c>
      <c r="J1060" s="1">
        <v>82054.323803662366</v>
      </c>
      <c r="K1060" s="1">
        <v>75.5</v>
      </c>
      <c r="L1060" s="1">
        <v>68</v>
      </c>
      <c r="M1060" s="1">
        <v>70.219220303206384</v>
      </c>
      <c r="N1060" s="1">
        <v>5905438</v>
      </c>
    </row>
    <row r="1061" spans="1:14" x14ac:dyDescent="0.35">
      <c r="A1061" s="1" t="s">
        <v>53</v>
      </c>
      <c r="B1061" s="1">
        <v>202411</v>
      </c>
      <c r="C1061" s="1" t="str">
        <f>MID(analisis_productividad__4[[#This Row],[Periodo]],1,4)</f>
        <v>2024</v>
      </c>
      <c r="D1061" s="1" t="str">
        <f>MID(analisis_productividad__4[[#This Row],[Periodo]],5,2)</f>
        <v>11</v>
      </c>
      <c r="E1061" s="1" t="s">
        <v>11</v>
      </c>
      <c r="F1061" s="1" t="s">
        <v>12</v>
      </c>
      <c r="G1061" s="1">
        <v>90678</v>
      </c>
      <c r="H1061" s="1">
        <v>6308138</v>
      </c>
      <c r="I1061" s="1">
        <v>69.566291666666686</v>
      </c>
      <c r="J1061" s="1">
        <v>0</v>
      </c>
      <c r="K1061" s="1">
        <v>81</v>
      </c>
      <c r="L1061" s="1">
        <v>77</v>
      </c>
      <c r="M1061" s="1"/>
      <c r="N1061" s="1">
        <v>0</v>
      </c>
    </row>
    <row r="1062" spans="1:14" x14ac:dyDescent="0.35">
      <c r="A1062" s="1" t="s">
        <v>109</v>
      </c>
      <c r="B1062" s="1">
        <v>202512</v>
      </c>
      <c r="C1062" s="1" t="str">
        <f>MID(analisis_productividad__4[[#This Row],[Periodo]],1,4)</f>
        <v>2025</v>
      </c>
      <c r="D1062" s="1" t="str">
        <f>MID(analisis_productividad__4[[#This Row],[Periodo]],5,2)</f>
        <v>12</v>
      </c>
      <c r="E1062" s="1" t="s">
        <v>9</v>
      </c>
      <c r="F1062" s="1" t="s">
        <v>9</v>
      </c>
      <c r="G1062" s="1">
        <v>90640</v>
      </c>
      <c r="H1062" s="1">
        <v>765041</v>
      </c>
      <c r="I1062" s="1">
        <v>8.4404569892473038</v>
      </c>
      <c r="J1062" s="1">
        <v>80544.47115796787</v>
      </c>
      <c r="K1062" s="1">
        <v>10</v>
      </c>
      <c r="L1062" s="1">
        <v>9</v>
      </c>
      <c r="M1062" s="1">
        <v>9.4983648039548694</v>
      </c>
      <c r="N1062" s="1">
        <v>884020</v>
      </c>
    </row>
    <row r="1063" spans="1:14" x14ac:dyDescent="0.35">
      <c r="A1063" s="1" t="s">
        <v>54</v>
      </c>
      <c r="B1063" s="1">
        <v>202601</v>
      </c>
      <c r="C1063" s="1" t="str">
        <f>MID(analisis_productividad__4[[#This Row],[Periodo]],1,4)</f>
        <v>2026</v>
      </c>
      <c r="D1063" s="1" t="str">
        <f>MID(analisis_productividad__4[[#This Row],[Periodo]],5,2)</f>
        <v>01</v>
      </c>
      <c r="E1063" s="1" t="s">
        <v>11</v>
      </c>
      <c r="F1063" s="1" t="s">
        <v>52</v>
      </c>
      <c r="G1063" s="1">
        <v>90621</v>
      </c>
      <c r="H1063" s="1">
        <v>8816959</v>
      </c>
      <c r="I1063" s="1">
        <v>97.294401881720404</v>
      </c>
      <c r="J1063" s="1">
        <v>107714.56035029294</v>
      </c>
      <c r="K1063" s="1">
        <v>106</v>
      </c>
      <c r="L1063" s="1">
        <v>102.5</v>
      </c>
      <c r="M1063" s="1">
        <v>90.060822135394957</v>
      </c>
      <c r="N1063" s="1">
        <v>9700862</v>
      </c>
    </row>
    <row r="1064" spans="1:14" x14ac:dyDescent="0.35">
      <c r="A1064" s="1" t="s">
        <v>68</v>
      </c>
      <c r="B1064" s="1">
        <v>202504</v>
      </c>
      <c r="C1064" s="1" t="str">
        <f>MID(analisis_productividad__4[[#This Row],[Periodo]],1,4)</f>
        <v>2025</v>
      </c>
      <c r="D1064" s="1" t="str">
        <f>MID(analisis_productividad__4[[#This Row],[Periodo]],5,2)</f>
        <v>04</v>
      </c>
      <c r="E1064" s="1" t="s">
        <v>11</v>
      </c>
      <c r="F1064" s="1" t="s">
        <v>52</v>
      </c>
      <c r="G1064" s="1">
        <v>90596</v>
      </c>
      <c r="H1064" s="1">
        <v>7750847</v>
      </c>
      <c r="I1064" s="1">
        <v>85.554388888888894</v>
      </c>
      <c r="J1064" s="1">
        <v>92254.767196952744</v>
      </c>
      <c r="K1064" s="1">
        <v>103</v>
      </c>
      <c r="L1064" s="1">
        <v>91</v>
      </c>
      <c r="M1064" s="1">
        <v>84.015683042729691</v>
      </c>
      <c r="N1064" s="1">
        <v>8459158</v>
      </c>
    </row>
    <row r="1065" spans="1:14" x14ac:dyDescent="0.35">
      <c r="A1065" s="1" t="s">
        <v>72</v>
      </c>
      <c r="B1065" s="1">
        <v>202509</v>
      </c>
      <c r="C1065" s="1" t="str">
        <f>MID(analisis_productividad__4[[#This Row],[Periodo]],1,4)</f>
        <v>2025</v>
      </c>
      <c r="D1065" s="1" t="str">
        <f>MID(analisis_productividad__4[[#This Row],[Periodo]],5,2)</f>
        <v>09</v>
      </c>
      <c r="E1065" s="1" t="s">
        <v>11</v>
      </c>
      <c r="F1065" s="1" t="s">
        <v>14</v>
      </c>
      <c r="G1065" s="1">
        <v>90587</v>
      </c>
      <c r="H1065" s="1">
        <v>4355275</v>
      </c>
      <c r="I1065" s="1">
        <v>48.078479166666668</v>
      </c>
      <c r="J1065" s="1">
        <v>82909.125166953352</v>
      </c>
      <c r="K1065" s="1">
        <v>66</v>
      </c>
      <c r="L1065" s="1">
        <v>64.5</v>
      </c>
      <c r="M1065" s="1">
        <v>52.530706375562673</v>
      </c>
      <c r="N1065" s="1">
        <v>5269188</v>
      </c>
    </row>
    <row r="1066" spans="1:14" x14ac:dyDescent="0.35">
      <c r="A1066" s="1" t="s">
        <v>120</v>
      </c>
      <c r="B1066" s="1">
        <v>202512</v>
      </c>
      <c r="C1066" s="1" t="str">
        <f>MID(analisis_productividad__4[[#This Row],[Periodo]],1,4)</f>
        <v>2025</v>
      </c>
      <c r="D1066" s="1" t="str">
        <f>MID(analisis_productividad__4[[#This Row],[Periodo]],5,2)</f>
        <v>12</v>
      </c>
      <c r="E1066" s="1" t="s">
        <v>9</v>
      </c>
      <c r="F1066" s="1" t="s">
        <v>9</v>
      </c>
      <c r="G1066" s="1">
        <v>90561</v>
      </c>
      <c r="H1066" s="1">
        <v>926054</v>
      </c>
      <c r="I1066" s="1">
        <v>10.22573924731182</v>
      </c>
      <c r="J1066" s="1">
        <v>86079.5674711803</v>
      </c>
      <c r="K1066" s="1">
        <v>11.5</v>
      </c>
      <c r="L1066" s="1">
        <v>12</v>
      </c>
      <c r="M1066" s="1">
        <v>10.758110864230879</v>
      </c>
      <c r="N1066" s="1">
        <v>1147737</v>
      </c>
    </row>
    <row r="1067" spans="1:14" x14ac:dyDescent="0.35">
      <c r="A1067" s="1" t="s">
        <v>50</v>
      </c>
      <c r="B1067" s="1">
        <v>202405</v>
      </c>
      <c r="C1067" s="1" t="str">
        <f>MID(analisis_productividad__4[[#This Row],[Periodo]],1,4)</f>
        <v>2024</v>
      </c>
      <c r="D1067" s="1" t="str">
        <f>MID(analisis_productividad__4[[#This Row],[Periodo]],5,2)</f>
        <v>05</v>
      </c>
      <c r="E1067" s="1" t="s">
        <v>34</v>
      </c>
      <c r="F1067" s="1" t="s">
        <v>35</v>
      </c>
      <c r="G1067" s="1">
        <v>90525</v>
      </c>
      <c r="H1067" s="1">
        <v>5925176</v>
      </c>
      <c r="I1067" s="1">
        <v>65.453198924731154</v>
      </c>
      <c r="J1067" s="1">
        <v>0</v>
      </c>
      <c r="K1067" s="1">
        <v>79.5</v>
      </c>
      <c r="L1067" s="1">
        <v>72.5</v>
      </c>
      <c r="M1067" s="1"/>
      <c r="N1067" s="1">
        <v>0</v>
      </c>
    </row>
    <row r="1068" spans="1:14" x14ac:dyDescent="0.35">
      <c r="A1068" s="1" t="s">
        <v>40</v>
      </c>
      <c r="B1068" s="1">
        <v>202404</v>
      </c>
      <c r="C1068" s="1" t="str">
        <f>MID(analisis_productividad__4[[#This Row],[Periodo]],1,4)</f>
        <v>2024</v>
      </c>
      <c r="D1068" s="1" t="str">
        <f>MID(analisis_productividad__4[[#This Row],[Periodo]],5,2)</f>
        <v>04</v>
      </c>
      <c r="E1068" s="1" t="s">
        <v>11</v>
      </c>
      <c r="F1068" s="1" t="s">
        <v>14</v>
      </c>
      <c r="G1068" s="1">
        <v>90489</v>
      </c>
      <c r="H1068" s="1">
        <v>6398985</v>
      </c>
      <c r="I1068" s="1">
        <v>70.715701388888931</v>
      </c>
      <c r="J1068" s="1">
        <v>0</v>
      </c>
      <c r="K1068" s="1">
        <v>76.5</v>
      </c>
      <c r="L1068" s="1">
        <v>75.5</v>
      </c>
      <c r="M1068" s="1"/>
      <c r="N1068" s="1">
        <v>0</v>
      </c>
    </row>
    <row r="1069" spans="1:14" x14ac:dyDescent="0.35">
      <c r="A1069" s="1" t="s">
        <v>20</v>
      </c>
      <c r="B1069" s="1">
        <v>202502</v>
      </c>
      <c r="C1069" s="1" t="str">
        <f>MID(analisis_productividad__4[[#This Row],[Periodo]],1,4)</f>
        <v>2025</v>
      </c>
      <c r="D1069" s="1" t="str">
        <f>MID(analisis_productividad__4[[#This Row],[Periodo]],5,2)</f>
        <v>02</v>
      </c>
      <c r="E1069" s="1" t="s">
        <v>16</v>
      </c>
      <c r="F1069" s="1" t="s">
        <v>21</v>
      </c>
      <c r="G1069" s="1">
        <v>90420</v>
      </c>
      <c r="H1069" s="1">
        <v>8383686</v>
      </c>
      <c r="I1069" s="1">
        <v>92.719635416666662</v>
      </c>
      <c r="J1069" s="1">
        <v>100093.74612634798</v>
      </c>
      <c r="K1069" s="1">
        <v>96.5</v>
      </c>
      <c r="L1069" s="1">
        <v>94</v>
      </c>
      <c r="M1069" s="1">
        <v>83.758337303284719</v>
      </c>
      <c r="N1069" s="1">
        <v>8684620</v>
      </c>
    </row>
    <row r="1070" spans="1:14" x14ac:dyDescent="0.35">
      <c r="A1070" s="1" t="s">
        <v>50</v>
      </c>
      <c r="B1070" s="1">
        <v>202410</v>
      </c>
      <c r="C1070" s="1" t="str">
        <f>MID(analisis_productividad__4[[#This Row],[Periodo]],1,4)</f>
        <v>2024</v>
      </c>
      <c r="D1070" s="1" t="str">
        <f>MID(analisis_productividad__4[[#This Row],[Periodo]],5,2)</f>
        <v>10</v>
      </c>
      <c r="E1070" s="1" t="s">
        <v>34</v>
      </c>
      <c r="F1070" s="1" t="s">
        <v>35</v>
      </c>
      <c r="G1070" s="1">
        <v>90409</v>
      </c>
      <c r="H1070" s="1">
        <v>5422998</v>
      </c>
      <c r="I1070" s="1">
        <v>59.982708333333328</v>
      </c>
      <c r="J1070" s="1">
        <v>0</v>
      </c>
      <c r="K1070" s="1">
        <v>79.5</v>
      </c>
      <c r="L1070" s="1">
        <v>72.5</v>
      </c>
      <c r="M1070" s="1"/>
      <c r="N1070" s="1">
        <v>0</v>
      </c>
    </row>
    <row r="1071" spans="1:14" x14ac:dyDescent="0.35">
      <c r="A1071" s="1" t="s">
        <v>48</v>
      </c>
      <c r="B1071" s="1">
        <v>202412</v>
      </c>
      <c r="C1071" s="1" t="str">
        <f>MID(analisis_productividad__4[[#This Row],[Periodo]],1,4)</f>
        <v>2024</v>
      </c>
      <c r="D1071" s="1" t="str">
        <f>MID(analisis_productividad__4[[#This Row],[Periodo]],5,2)</f>
        <v>12</v>
      </c>
      <c r="E1071" s="1" t="s">
        <v>16</v>
      </c>
      <c r="F1071" s="1" t="s">
        <v>21</v>
      </c>
      <c r="G1071" s="1">
        <v>90408</v>
      </c>
      <c r="H1071" s="1">
        <v>5285748</v>
      </c>
      <c r="I1071" s="1">
        <v>58.465430107526892</v>
      </c>
      <c r="J1071" s="1">
        <v>0</v>
      </c>
      <c r="K1071" s="1">
        <v>56</v>
      </c>
      <c r="L1071" s="1">
        <v>60</v>
      </c>
      <c r="M1071" s="1"/>
      <c r="N1071" s="1">
        <v>0</v>
      </c>
    </row>
    <row r="1072" spans="1:14" x14ac:dyDescent="0.35">
      <c r="A1072" s="1" t="s">
        <v>65</v>
      </c>
      <c r="B1072" s="1">
        <v>202508</v>
      </c>
      <c r="C1072" s="1" t="str">
        <f>MID(analisis_productividad__4[[#This Row],[Periodo]],1,4)</f>
        <v>2025</v>
      </c>
      <c r="D1072" s="1" t="str">
        <f>MID(analisis_productividad__4[[#This Row],[Periodo]],5,2)</f>
        <v>08</v>
      </c>
      <c r="E1072" s="1" t="s">
        <v>16</v>
      </c>
      <c r="F1072" s="1" t="s">
        <v>19</v>
      </c>
      <c r="G1072" s="1">
        <v>90382</v>
      </c>
      <c r="H1072" s="1">
        <v>5526164</v>
      </c>
      <c r="I1072" s="1">
        <v>61.142600806451611</v>
      </c>
      <c r="J1072" s="1">
        <v>91356.373018865343</v>
      </c>
      <c r="K1072" s="1">
        <v>68</v>
      </c>
      <c r="L1072" s="1">
        <v>68.5</v>
      </c>
      <c r="M1072" s="1">
        <v>60.490184509172998</v>
      </c>
      <c r="N1072" s="1">
        <v>5364972</v>
      </c>
    </row>
    <row r="1073" spans="1:14" x14ac:dyDescent="0.35">
      <c r="A1073" s="1" t="s">
        <v>84</v>
      </c>
      <c r="B1073" s="1">
        <v>202508</v>
      </c>
      <c r="C1073" s="1" t="str">
        <f>MID(analisis_productividad__4[[#This Row],[Periodo]],1,4)</f>
        <v>2025</v>
      </c>
      <c r="D1073" s="1" t="str">
        <f>MID(analisis_productividad__4[[#This Row],[Periodo]],5,2)</f>
        <v>08</v>
      </c>
      <c r="E1073" s="1" t="s">
        <v>11</v>
      </c>
      <c r="F1073" s="1" t="s">
        <v>52</v>
      </c>
      <c r="G1073" s="1">
        <v>90380</v>
      </c>
      <c r="H1073" s="1">
        <v>8625038</v>
      </c>
      <c r="I1073" s="1">
        <v>95.430793010752708</v>
      </c>
      <c r="J1073" s="1">
        <v>96890.448795507575</v>
      </c>
      <c r="K1073" s="1">
        <v>123</v>
      </c>
      <c r="L1073" s="1">
        <v>115.5</v>
      </c>
      <c r="M1073" s="1">
        <v>89.01844957085089</v>
      </c>
      <c r="N1073" s="1">
        <v>9415952</v>
      </c>
    </row>
    <row r="1074" spans="1:14" x14ac:dyDescent="0.35">
      <c r="A1074" s="1" t="s">
        <v>53</v>
      </c>
      <c r="B1074" s="1">
        <v>202405</v>
      </c>
      <c r="C1074" s="1" t="str">
        <f>MID(analisis_productividad__4[[#This Row],[Periodo]],1,4)</f>
        <v>2024</v>
      </c>
      <c r="D1074" s="1" t="str">
        <f>MID(analisis_productividad__4[[#This Row],[Periodo]],5,2)</f>
        <v>05</v>
      </c>
      <c r="E1074" s="1" t="s">
        <v>11</v>
      </c>
      <c r="F1074" s="1" t="s">
        <v>12</v>
      </c>
      <c r="G1074" s="1">
        <v>90378</v>
      </c>
      <c r="H1074" s="1">
        <v>6529164</v>
      </c>
      <c r="I1074" s="1">
        <v>72.242446236559132</v>
      </c>
      <c r="J1074" s="1">
        <v>0</v>
      </c>
      <c r="K1074" s="1">
        <v>81</v>
      </c>
      <c r="L1074" s="1">
        <v>77</v>
      </c>
      <c r="M1074" s="1"/>
      <c r="N1074" s="1">
        <v>0</v>
      </c>
    </row>
    <row r="1075" spans="1:14" x14ac:dyDescent="0.35">
      <c r="A1075" s="1" t="s">
        <v>68</v>
      </c>
      <c r="B1075" s="1">
        <v>202407</v>
      </c>
      <c r="C1075" s="1" t="str">
        <f>MID(analisis_productividad__4[[#This Row],[Periodo]],1,4)</f>
        <v>2024</v>
      </c>
      <c r="D1075" s="1" t="str">
        <f>MID(analisis_productividad__4[[#This Row],[Periodo]],5,2)</f>
        <v>07</v>
      </c>
      <c r="E1075" s="1" t="s">
        <v>11</v>
      </c>
      <c r="F1075" s="1" t="s">
        <v>52</v>
      </c>
      <c r="G1075" s="1">
        <v>90337</v>
      </c>
      <c r="H1075" s="1">
        <v>8049825</v>
      </c>
      <c r="I1075" s="1">
        <v>89.10868279569894</v>
      </c>
      <c r="J1075" s="1">
        <v>0</v>
      </c>
      <c r="K1075" s="1">
        <v>103</v>
      </c>
      <c r="L1075" s="1">
        <v>91</v>
      </c>
      <c r="M1075" s="1"/>
      <c r="N1075" s="1">
        <v>0</v>
      </c>
    </row>
    <row r="1076" spans="1:14" x14ac:dyDescent="0.35">
      <c r="A1076" s="1" t="s">
        <v>49</v>
      </c>
      <c r="B1076" s="1">
        <v>202605</v>
      </c>
      <c r="C1076" s="1" t="str">
        <f>MID(analisis_productividad__4[[#This Row],[Periodo]],1,4)</f>
        <v>2026</v>
      </c>
      <c r="D1076" s="1" t="str">
        <f>MID(analisis_productividad__4[[#This Row],[Periodo]],5,2)</f>
        <v>05</v>
      </c>
      <c r="E1076" s="1" t="s">
        <v>16</v>
      </c>
      <c r="F1076" s="1" t="s">
        <v>21</v>
      </c>
      <c r="G1076" s="1">
        <v>90325</v>
      </c>
      <c r="H1076" s="1">
        <v>5573921</v>
      </c>
      <c r="I1076" s="1">
        <v>61.70946908602194</v>
      </c>
      <c r="J1076" s="1">
        <v>88914.581187183518</v>
      </c>
      <c r="K1076" s="1">
        <v>75.5</v>
      </c>
      <c r="L1076" s="1">
        <v>68</v>
      </c>
      <c r="M1076" s="1">
        <v>66.56902434528007</v>
      </c>
      <c r="N1076" s="1">
        <v>5918957</v>
      </c>
    </row>
    <row r="1077" spans="1:14" x14ac:dyDescent="0.35">
      <c r="A1077" s="1" t="s">
        <v>41</v>
      </c>
      <c r="B1077" s="1">
        <v>202408</v>
      </c>
      <c r="C1077" s="1" t="str">
        <f>MID(analisis_productividad__4[[#This Row],[Periodo]],1,4)</f>
        <v>2024</v>
      </c>
      <c r="D1077" s="1" t="str">
        <f>MID(analisis_productividad__4[[#This Row],[Periodo]],5,2)</f>
        <v>08</v>
      </c>
      <c r="E1077" s="1" t="s">
        <v>16</v>
      </c>
      <c r="F1077" s="1" t="s">
        <v>19</v>
      </c>
      <c r="G1077" s="1">
        <v>90319</v>
      </c>
      <c r="H1077" s="1">
        <v>4597157</v>
      </c>
      <c r="I1077" s="1">
        <v>50.899126344086007</v>
      </c>
      <c r="J1077" s="1">
        <v>0</v>
      </c>
      <c r="K1077" s="1">
        <v>57.5</v>
      </c>
      <c r="L1077" s="1">
        <v>56.5</v>
      </c>
      <c r="M1077" s="1"/>
      <c r="N1077" s="1">
        <v>0</v>
      </c>
    </row>
    <row r="1078" spans="1:14" x14ac:dyDescent="0.35">
      <c r="A1078" s="1" t="s">
        <v>46</v>
      </c>
      <c r="B1078" s="1">
        <v>202402</v>
      </c>
      <c r="C1078" s="1" t="str">
        <f>MID(analisis_productividad__4[[#This Row],[Periodo]],1,4)</f>
        <v>2024</v>
      </c>
      <c r="D1078" s="1" t="str">
        <f>MID(analisis_productividad__4[[#This Row],[Periodo]],5,2)</f>
        <v>02</v>
      </c>
      <c r="E1078" s="1" t="s">
        <v>11</v>
      </c>
      <c r="F1078" s="1" t="s">
        <v>14</v>
      </c>
      <c r="G1078" s="1">
        <v>90285</v>
      </c>
      <c r="H1078" s="1">
        <v>5771877</v>
      </c>
      <c r="I1078" s="1">
        <v>63.929762931034482</v>
      </c>
      <c r="J1078" s="1">
        <v>0</v>
      </c>
      <c r="K1078" s="1">
        <v>77</v>
      </c>
      <c r="L1078" s="1">
        <v>79</v>
      </c>
      <c r="M1078" s="1"/>
      <c r="N1078" s="1">
        <v>0</v>
      </c>
    </row>
    <row r="1079" spans="1:14" x14ac:dyDescent="0.35">
      <c r="A1079" s="1" t="s">
        <v>38</v>
      </c>
      <c r="B1079" s="1">
        <v>202407</v>
      </c>
      <c r="C1079" s="1" t="str">
        <f>MID(analisis_productividad__4[[#This Row],[Periodo]],1,4)</f>
        <v>2024</v>
      </c>
      <c r="D1079" s="1" t="str">
        <f>MID(analisis_productividad__4[[#This Row],[Periodo]],5,2)</f>
        <v>07</v>
      </c>
      <c r="E1079" s="1" t="s">
        <v>34</v>
      </c>
      <c r="F1079" s="1" t="s">
        <v>35</v>
      </c>
      <c r="G1079" s="1">
        <v>90284</v>
      </c>
      <c r="H1079" s="1">
        <v>11106235</v>
      </c>
      <c r="I1079" s="1">
        <v>123.01455645161276</v>
      </c>
      <c r="J1079" s="1">
        <v>0</v>
      </c>
      <c r="K1079" s="1">
        <v>140.5</v>
      </c>
      <c r="L1079" s="1">
        <v>125.5</v>
      </c>
      <c r="M1079" s="1"/>
      <c r="N1079" s="1">
        <v>0</v>
      </c>
    </row>
    <row r="1080" spans="1:14" x14ac:dyDescent="0.35">
      <c r="A1080" s="1" t="s">
        <v>72</v>
      </c>
      <c r="B1080" s="1">
        <v>202604</v>
      </c>
      <c r="C1080" s="1" t="str">
        <f>MID(analisis_productividad__4[[#This Row],[Periodo]],1,4)</f>
        <v>2026</v>
      </c>
      <c r="D1080" s="1" t="str">
        <f>MID(analisis_productividad__4[[#This Row],[Periodo]],5,2)</f>
        <v>04</v>
      </c>
      <c r="E1080" s="1" t="s">
        <v>11</v>
      </c>
      <c r="F1080" s="1" t="s">
        <v>14</v>
      </c>
      <c r="G1080" s="1">
        <v>90275</v>
      </c>
      <c r="H1080" s="1">
        <v>4908748</v>
      </c>
      <c r="I1080" s="1">
        <v>54.375756944444881</v>
      </c>
      <c r="J1080" s="1">
        <v>86831.32274498776</v>
      </c>
      <c r="K1080" s="1">
        <v>66</v>
      </c>
      <c r="L1080" s="1">
        <v>64.5</v>
      </c>
      <c r="M1080" s="1">
        <v>56.772923994003754</v>
      </c>
      <c r="N1080" s="1">
        <v>4929668</v>
      </c>
    </row>
    <row r="1081" spans="1:14" x14ac:dyDescent="0.35">
      <c r="A1081" s="1" t="s">
        <v>37</v>
      </c>
      <c r="B1081" s="1">
        <v>202404</v>
      </c>
      <c r="C1081" s="1" t="str">
        <f>MID(analisis_productividad__4[[#This Row],[Periodo]],1,4)</f>
        <v>2024</v>
      </c>
      <c r="D1081" s="1" t="str">
        <f>MID(analisis_productividad__4[[#This Row],[Periodo]],5,2)</f>
        <v>04</v>
      </c>
      <c r="E1081" s="1" t="s">
        <v>16</v>
      </c>
      <c r="F1081" s="1" t="s">
        <v>17</v>
      </c>
      <c r="G1081" s="1">
        <v>90273</v>
      </c>
      <c r="H1081" s="1">
        <v>9417222</v>
      </c>
      <c r="I1081" s="1">
        <v>104.31973611111108</v>
      </c>
      <c r="J1081" s="1">
        <v>0</v>
      </c>
      <c r="K1081" s="1">
        <v>107.5</v>
      </c>
      <c r="L1081" s="1">
        <v>102.5</v>
      </c>
      <c r="M1081" s="1"/>
      <c r="N1081" s="1">
        <v>0</v>
      </c>
    </row>
    <row r="1082" spans="1:14" x14ac:dyDescent="0.35">
      <c r="A1082" s="1" t="s">
        <v>61</v>
      </c>
      <c r="B1082" s="1">
        <v>202509</v>
      </c>
      <c r="C1082" s="1" t="str">
        <f>MID(analisis_productividad__4[[#This Row],[Periodo]],1,4)</f>
        <v>2025</v>
      </c>
      <c r="D1082" s="1" t="str">
        <f>MID(analisis_productividad__4[[#This Row],[Periodo]],5,2)</f>
        <v>09</v>
      </c>
      <c r="E1082" s="1" t="s">
        <v>11</v>
      </c>
      <c r="F1082" s="1" t="s">
        <v>52</v>
      </c>
      <c r="G1082" s="1">
        <v>90241</v>
      </c>
      <c r="H1082" s="1">
        <v>8158286</v>
      </c>
      <c r="I1082" s="1">
        <v>90.40572916666666</v>
      </c>
      <c r="J1082" s="1">
        <v>94262.109240230464</v>
      </c>
      <c r="K1082" s="1">
        <v>104.5</v>
      </c>
      <c r="L1082" s="1">
        <v>99</v>
      </c>
      <c r="M1082" s="1">
        <v>86.548944382395561</v>
      </c>
      <c r="N1082" s="1">
        <v>8792977</v>
      </c>
    </row>
    <row r="1083" spans="1:14" x14ac:dyDescent="0.35">
      <c r="A1083" s="1" t="s">
        <v>41</v>
      </c>
      <c r="B1083" s="1">
        <v>202502</v>
      </c>
      <c r="C1083" s="1" t="str">
        <f>MID(analisis_productividad__4[[#This Row],[Periodo]],1,4)</f>
        <v>2025</v>
      </c>
      <c r="D1083" s="1" t="str">
        <f>MID(analisis_productividad__4[[#This Row],[Periodo]],5,2)</f>
        <v>02</v>
      </c>
      <c r="E1083" s="1" t="s">
        <v>16</v>
      </c>
      <c r="F1083" s="1" t="s">
        <v>19</v>
      </c>
      <c r="G1083" s="1">
        <v>90235</v>
      </c>
      <c r="H1083" s="1">
        <v>4919073</v>
      </c>
      <c r="I1083" s="1">
        <v>54.513906249999991</v>
      </c>
      <c r="J1083" s="1">
        <v>89937.754323040921</v>
      </c>
      <c r="K1083" s="1">
        <v>57.5</v>
      </c>
      <c r="L1083" s="1">
        <v>56.5</v>
      </c>
      <c r="M1083" s="1">
        <v>54.694190410086712</v>
      </c>
      <c r="N1083" s="1">
        <v>4553872</v>
      </c>
    </row>
    <row r="1084" spans="1:14" x14ac:dyDescent="0.35">
      <c r="A1084" s="1" t="s">
        <v>79</v>
      </c>
      <c r="B1084" s="1">
        <v>202602</v>
      </c>
      <c r="C1084" s="1" t="str">
        <f>MID(analisis_productividad__4[[#This Row],[Periodo]],1,4)</f>
        <v>2026</v>
      </c>
      <c r="D1084" s="1" t="str">
        <f>MID(analisis_productividad__4[[#This Row],[Periodo]],5,2)</f>
        <v>02</v>
      </c>
      <c r="E1084" s="1" t="s">
        <v>11</v>
      </c>
      <c r="F1084" s="1" t="s">
        <v>12</v>
      </c>
      <c r="G1084" s="1">
        <v>90226</v>
      </c>
      <c r="H1084" s="1">
        <v>5208573</v>
      </c>
      <c r="I1084" s="1">
        <v>57.728281250000009</v>
      </c>
      <c r="J1084" s="1">
        <v>91811.160816682459</v>
      </c>
      <c r="K1084" s="1">
        <v>64.5</v>
      </c>
      <c r="L1084" s="1">
        <v>64</v>
      </c>
      <c r="M1084" s="1">
        <v>54.966698955874868</v>
      </c>
      <c r="N1084" s="1">
        <v>5046556</v>
      </c>
    </row>
    <row r="1085" spans="1:14" x14ac:dyDescent="0.35">
      <c r="A1085" s="1" t="s">
        <v>57</v>
      </c>
      <c r="B1085" s="1">
        <v>202605</v>
      </c>
      <c r="C1085" s="1" t="str">
        <f>MID(analisis_productividad__4[[#This Row],[Periodo]],1,4)</f>
        <v>2026</v>
      </c>
      <c r="D1085" s="1" t="str">
        <f>MID(analisis_productividad__4[[#This Row],[Periodo]],5,2)</f>
        <v>05</v>
      </c>
      <c r="E1085" s="1" t="s">
        <v>16</v>
      </c>
      <c r="F1085" s="1" t="s">
        <v>19</v>
      </c>
      <c r="G1085" s="1">
        <v>90223</v>
      </c>
      <c r="H1085" s="1">
        <v>5973842</v>
      </c>
      <c r="I1085" s="1">
        <v>66.212049731183086</v>
      </c>
      <c r="J1085" s="1">
        <v>95487.159889994873</v>
      </c>
      <c r="K1085" s="1">
        <v>71</v>
      </c>
      <c r="L1085" s="1">
        <v>74.5</v>
      </c>
      <c r="M1085" s="1">
        <v>62.681117153293116</v>
      </c>
      <c r="N1085" s="1">
        <v>5985242</v>
      </c>
    </row>
    <row r="1086" spans="1:14" x14ac:dyDescent="0.35">
      <c r="A1086" s="1" t="s">
        <v>32</v>
      </c>
      <c r="B1086" s="1">
        <v>202502</v>
      </c>
      <c r="C1086" s="1" t="str">
        <f>MID(analisis_productividad__4[[#This Row],[Periodo]],1,4)</f>
        <v>2025</v>
      </c>
      <c r="D1086" s="1" t="str">
        <f>MID(analisis_productividad__4[[#This Row],[Periodo]],5,2)</f>
        <v>02</v>
      </c>
      <c r="E1086" s="1" t="s">
        <v>11</v>
      </c>
      <c r="F1086" s="1" t="s">
        <v>12</v>
      </c>
      <c r="G1086" s="1">
        <v>90197</v>
      </c>
      <c r="H1086" s="1">
        <v>5420739</v>
      </c>
      <c r="I1086" s="1">
        <v>60.098593749999992</v>
      </c>
      <c r="J1086" s="1">
        <v>91687.954506974638</v>
      </c>
      <c r="K1086" s="1">
        <v>65.5</v>
      </c>
      <c r="L1086" s="1">
        <v>66</v>
      </c>
      <c r="M1086" s="1">
        <v>59.121603695364882</v>
      </c>
      <c r="N1086" s="1">
        <v>5510414</v>
      </c>
    </row>
    <row r="1087" spans="1:14" x14ac:dyDescent="0.35">
      <c r="A1087" s="1" t="s">
        <v>76</v>
      </c>
      <c r="B1087" s="1">
        <v>202505</v>
      </c>
      <c r="C1087" s="1" t="str">
        <f>MID(analisis_productividad__4[[#This Row],[Periodo]],1,4)</f>
        <v>2025</v>
      </c>
      <c r="D1087" s="1" t="str">
        <f>MID(analisis_productividad__4[[#This Row],[Periodo]],5,2)</f>
        <v>05</v>
      </c>
      <c r="E1087" s="1" t="s">
        <v>11</v>
      </c>
      <c r="F1087" s="1" t="s">
        <v>14</v>
      </c>
      <c r="G1087" s="1">
        <v>90185</v>
      </c>
      <c r="H1087" s="1">
        <v>6472697</v>
      </c>
      <c r="I1087" s="1">
        <v>71.771263440860196</v>
      </c>
      <c r="J1087" s="1">
        <v>84062.427903354095</v>
      </c>
      <c r="K1087" s="1">
        <v>80</v>
      </c>
      <c r="L1087" s="1">
        <v>78</v>
      </c>
      <c r="M1087" s="1">
        <v>76.998691108964977</v>
      </c>
      <c r="N1087" s="1">
        <v>6593349</v>
      </c>
    </row>
    <row r="1088" spans="1:14" x14ac:dyDescent="0.35">
      <c r="A1088" s="1" t="s">
        <v>43</v>
      </c>
      <c r="B1088" s="1">
        <v>202408</v>
      </c>
      <c r="C1088" s="1" t="str">
        <f>MID(analisis_productividad__4[[#This Row],[Periodo]],1,4)</f>
        <v>2024</v>
      </c>
      <c r="D1088" s="1" t="str">
        <f>MID(analisis_productividad__4[[#This Row],[Periodo]],5,2)</f>
        <v>08</v>
      </c>
      <c r="E1088" s="1" t="s">
        <v>11</v>
      </c>
      <c r="F1088" s="1" t="s">
        <v>12</v>
      </c>
      <c r="G1088" s="1">
        <v>90176</v>
      </c>
      <c r="H1088" s="1">
        <v>7029024</v>
      </c>
      <c r="I1088" s="1">
        <v>77.948151881720463</v>
      </c>
      <c r="J1088" s="1">
        <v>0</v>
      </c>
      <c r="K1088" s="1">
        <v>84.5</v>
      </c>
      <c r="L1088" s="1">
        <v>86.5</v>
      </c>
      <c r="M1088" s="1"/>
      <c r="N1088" s="1">
        <v>0</v>
      </c>
    </row>
    <row r="1089" spans="1:14" x14ac:dyDescent="0.35">
      <c r="A1089" s="1" t="s">
        <v>59</v>
      </c>
      <c r="B1089" s="1">
        <v>202507</v>
      </c>
      <c r="C1089" s="1" t="str">
        <f>MID(analisis_productividad__4[[#This Row],[Periodo]],1,4)</f>
        <v>2025</v>
      </c>
      <c r="D1089" s="1" t="str">
        <f>MID(analisis_productividad__4[[#This Row],[Periodo]],5,2)</f>
        <v>07</v>
      </c>
      <c r="E1089" s="1" t="s">
        <v>11</v>
      </c>
      <c r="F1089" s="1" t="s">
        <v>12</v>
      </c>
      <c r="G1089" s="1">
        <v>90144</v>
      </c>
      <c r="H1089" s="1">
        <v>7964007</v>
      </c>
      <c r="I1089" s="1">
        <v>88.347150537634434</v>
      </c>
      <c r="J1089" s="1">
        <v>100415.82730695815</v>
      </c>
      <c r="K1089" s="1">
        <v>94.5</v>
      </c>
      <c r="L1089" s="1">
        <v>97</v>
      </c>
      <c r="M1089" s="1">
        <v>79.310281093985921</v>
      </c>
      <c r="N1089" s="1">
        <v>8986765</v>
      </c>
    </row>
    <row r="1090" spans="1:14" x14ac:dyDescent="0.35">
      <c r="A1090" s="1" t="s">
        <v>62</v>
      </c>
      <c r="B1090" s="1">
        <v>202403</v>
      </c>
      <c r="C1090" s="1" t="str">
        <f>MID(analisis_productividad__4[[#This Row],[Periodo]],1,4)</f>
        <v>2024</v>
      </c>
      <c r="D1090" s="1" t="str">
        <f>MID(analisis_productividad__4[[#This Row],[Periodo]],5,2)</f>
        <v>03</v>
      </c>
      <c r="E1090" s="1" t="s">
        <v>16</v>
      </c>
      <c r="F1090" s="1" t="s">
        <v>17</v>
      </c>
      <c r="G1090" s="1">
        <v>90095</v>
      </c>
      <c r="H1090" s="1">
        <v>3063242</v>
      </c>
      <c r="I1090" s="1">
        <v>34.000147849462358</v>
      </c>
      <c r="J1090" s="1">
        <v>0</v>
      </c>
      <c r="K1090" s="1">
        <v>32.5</v>
      </c>
      <c r="L1090" s="1">
        <v>32</v>
      </c>
      <c r="M1090" s="1"/>
      <c r="N1090" s="1">
        <v>0</v>
      </c>
    </row>
    <row r="1091" spans="1:14" x14ac:dyDescent="0.35">
      <c r="A1091" s="1" t="s">
        <v>77</v>
      </c>
      <c r="B1091" s="1">
        <v>202606</v>
      </c>
      <c r="C1091" s="1" t="str">
        <f>MID(analisis_productividad__4[[#This Row],[Periodo]],1,4)</f>
        <v>2026</v>
      </c>
      <c r="D1091" s="1" t="str">
        <f>MID(analisis_productividad__4[[#This Row],[Periodo]],5,2)</f>
        <v>06</v>
      </c>
      <c r="E1091" s="1" t="s">
        <v>16</v>
      </c>
      <c r="F1091" s="1" t="s">
        <v>21</v>
      </c>
      <c r="G1091" s="1">
        <v>90082</v>
      </c>
      <c r="H1091" s="1">
        <v>4853515</v>
      </c>
      <c r="I1091" s="1">
        <v>53.878999999999991</v>
      </c>
      <c r="J1091" s="1">
        <v>82247.775271087026</v>
      </c>
      <c r="K1091" s="1">
        <v>60.5</v>
      </c>
      <c r="L1091" s="1">
        <v>60.5</v>
      </c>
      <c r="M1091" s="1">
        <v>53.343390369396616</v>
      </c>
      <c r="N1091" s="1">
        <v>4387375</v>
      </c>
    </row>
    <row r="1092" spans="1:14" x14ac:dyDescent="0.35">
      <c r="A1092" s="1" t="s">
        <v>72</v>
      </c>
      <c r="B1092" s="1">
        <v>202508</v>
      </c>
      <c r="C1092" s="1" t="str">
        <f>MID(analisis_productividad__4[[#This Row],[Periodo]],1,4)</f>
        <v>2025</v>
      </c>
      <c r="D1092" s="1" t="str">
        <f>MID(analisis_productividad__4[[#This Row],[Periodo]],5,2)</f>
        <v>08</v>
      </c>
      <c r="E1092" s="1" t="s">
        <v>11</v>
      </c>
      <c r="F1092" s="1" t="s">
        <v>14</v>
      </c>
      <c r="G1092" s="1">
        <v>90078</v>
      </c>
      <c r="H1092" s="1">
        <v>4671109</v>
      </c>
      <c r="I1092" s="1">
        <v>51.856545698924727</v>
      </c>
      <c r="J1092" s="1">
        <v>85144.686138207675</v>
      </c>
      <c r="K1092" s="1">
        <v>66</v>
      </c>
      <c r="L1092" s="1">
        <v>64.5</v>
      </c>
      <c r="M1092" s="1">
        <v>54.860845718754646</v>
      </c>
      <c r="N1092" s="1">
        <v>5312082</v>
      </c>
    </row>
    <row r="1093" spans="1:14" x14ac:dyDescent="0.35">
      <c r="A1093" s="1" t="s">
        <v>24</v>
      </c>
      <c r="B1093" s="1">
        <v>202510</v>
      </c>
      <c r="C1093" s="1" t="str">
        <f>MID(analisis_productividad__4[[#This Row],[Periodo]],1,4)</f>
        <v>2025</v>
      </c>
      <c r="D1093" s="1" t="str">
        <f>MID(analisis_productividad__4[[#This Row],[Periodo]],5,2)</f>
        <v>10</v>
      </c>
      <c r="E1093" s="1" t="s">
        <v>16</v>
      </c>
      <c r="F1093" s="1" t="s">
        <v>21</v>
      </c>
      <c r="G1093" s="1">
        <v>90058</v>
      </c>
      <c r="H1093" s="1">
        <v>8949986</v>
      </c>
      <c r="I1093" s="1">
        <v>99.379959677419393</v>
      </c>
      <c r="J1093" s="1">
        <v>91498.478985008071</v>
      </c>
      <c r="K1093" s="1">
        <v>125</v>
      </c>
      <c r="L1093" s="1">
        <v>118.5</v>
      </c>
      <c r="M1093" s="1">
        <v>97.815683487661516</v>
      </c>
      <c r="N1093" s="1">
        <v>9670322</v>
      </c>
    </row>
    <row r="1094" spans="1:14" x14ac:dyDescent="0.35">
      <c r="A1094" s="1" t="s">
        <v>53</v>
      </c>
      <c r="B1094" s="1">
        <v>202506</v>
      </c>
      <c r="C1094" s="1" t="str">
        <f>MID(analisis_productividad__4[[#This Row],[Periodo]],1,4)</f>
        <v>2025</v>
      </c>
      <c r="D1094" s="1" t="str">
        <f>MID(analisis_productividad__4[[#This Row],[Periodo]],5,2)</f>
        <v>06</v>
      </c>
      <c r="E1094" s="1" t="s">
        <v>11</v>
      </c>
      <c r="F1094" s="1" t="s">
        <v>12</v>
      </c>
      <c r="G1094" s="1">
        <v>89997</v>
      </c>
      <c r="H1094" s="1">
        <v>6103751</v>
      </c>
      <c r="I1094" s="1">
        <v>67.821784722222191</v>
      </c>
      <c r="J1094" s="1">
        <v>104907.64852803954</v>
      </c>
      <c r="K1094" s="1">
        <v>81</v>
      </c>
      <c r="L1094" s="1">
        <v>77</v>
      </c>
      <c r="M1094" s="1">
        <v>58.182137867370081</v>
      </c>
      <c r="N1094" s="1">
        <v>7067718</v>
      </c>
    </row>
    <row r="1095" spans="1:14" x14ac:dyDescent="0.35">
      <c r="A1095" s="1" t="s">
        <v>76</v>
      </c>
      <c r="B1095" s="1">
        <v>202508</v>
      </c>
      <c r="C1095" s="1" t="str">
        <f>MID(analisis_productividad__4[[#This Row],[Periodo]],1,4)</f>
        <v>2025</v>
      </c>
      <c r="D1095" s="1" t="str">
        <f>MID(analisis_productividad__4[[#This Row],[Periodo]],5,2)</f>
        <v>08</v>
      </c>
      <c r="E1095" s="1" t="s">
        <v>11</v>
      </c>
      <c r="F1095" s="1" t="s">
        <v>14</v>
      </c>
      <c r="G1095" s="1">
        <v>89994</v>
      </c>
      <c r="H1095" s="1">
        <v>6212410</v>
      </c>
      <c r="I1095" s="1">
        <v>69.031196236559154</v>
      </c>
      <c r="J1095" s="1">
        <v>90326.073414591679</v>
      </c>
      <c r="K1095" s="1">
        <v>80</v>
      </c>
      <c r="L1095" s="1">
        <v>78</v>
      </c>
      <c r="M1095" s="1">
        <v>68.777596823957794</v>
      </c>
      <c r="N1095" s="1">
        <v>6627923</v>
      </c>
    </row>
    <row r="1096" spans="1:14" x14ac:dyDescent="0.35">
      <c r="A1096" s="1" t="s">
        <v>56</v>
      </c>
      <c r="B1096" s="1">
        <v>202406</v>
      </c>
      <c r="C1096" s="1" t="str">
        <f>MID(analisis_productividad__4[[#This Row],[Periodo]],1,4)</f>
        <v>2024</v>
      </c>
      <c r="D1096" s="1" t="str">
        <f>MID(analisis_productividad__4[[#This Row],[Periodo]],5,2)</f>
        <v>06</v>
      </c>
      <c r="E1096" s="1" t="s">
        <v>16</v>
      </c>
      <c r="F1096" s="1" t="s">
        <v>21</v>
      </c>
      <c r="G1096" s="1">
        <v>89966</v>
      </c>
      <c r="H1096" s="1">
        <v>5455126</v>
      </c>
      <c r="I1096" s="1">
        <v>60.635555555555563</v>
      </c>
      <c r="J1096" s="1">
        <v>0</v>
      </c>
      <c r="K1096" s="1">
        <v>72.5</v>
      </c>
      <c r="L1096" s="1">
        <v>68.5</v>
      </c>
      <c r="M1096" s="1"/>
      <c r="N1096" s="1">
        <v>0</v>
      </c>
    </row>
    <row r="1097" spans="1:14" x14ac:dyDescent="0.35">
      <c r="A1097" s="1" t="s">
        <v>75</v>
      </c>
      <c r="B1097" s="1">
        <v>202505</v>
      </c>
      <c r="C1097" s="1" t="str">
        <f>MID(analisis_productividad__4[[#This Row],[Periodo]],1,4)</f>
        <v>2025</v>
      </c>
      <c r="D1097" s="1" t="str">
        <f>MID(analisis_productividad__4[[#This Row],[Periodo]],5,2)</f>
        <v>05</v>
      </c>
      <c r="E1097" s="1" t="s">
        <v>11</v>
      </c>
      <c r="F1097" s="1" t="s">
        <v>52</v>
      </c>
      <c r="G1097" s="1">
        <v>89956</v>
      </c>
      <c r="H1097" s="1">
        <v>9364853</v>
      </c>
      <c r="I1097" s="1">
        <v>104.10486559139784</v>
      </c>
      <c r="J1097" s="1">
        <v>88925.776042350364</v>
      </c>
      <c r="K1097" s="1">
        <v>118</v>
      </c>
      <c r="L1097" s="1">
        <v>106</v>
      </c>
      <c r="M1097" s="1">
        <v>105.31089091131518</v>
      </c>
      <c r="N1097" s="1">
        <v>10093724</v>
      </c>
    </row>
    <row r="1098" spans="1:14" x14ac:dyDescent="0.35">
      <c r="A1098" s="1" t="s">
        <v>57</v>
      </c>
      <c r="B1098" s="1">
        <v>202602</v>
      </c>
      <c r="C1098" s="1" t="str">
        <f>MID(analisis_productividad__4[[#This Row],[Periodo]],1,4)</f>
        <v>2026</v>
      </c>
      <c r="D1098" s="1" t="str">
        <f>MID(analisis_productividad__4[[#This Row],[Periodo]],5,2)</f>
        <v>02</v>
      </c>
      <c r="E1098" s="1" t="s">
        <v>16</v>
      </c>
      <c r="F1098" s="1" t="s">
        <v>19</v>
      </c>
      <c r="G1098" s="1">
        <v>89945</v>
      </c>
      <c r="H1098" s="1">
        <v>5940355</v>
      </c>
      <c r="I1098" s="1">
        <v>66.044062499999995</v>
      </c>
      <c r="J1098" s="1">
        <v>90512.940707884787</v>
      </c>
      <c r="K1098" s="1">
        <v>71</v>
      </c>
      <c r="L1098" s="1">
        <v>74.5</v>
      </c>
      <c r="M1098" s="1">
        <v>62.681117153293116</v>
      </c>
      <c r="N1098" s="1">
        <v>5673452</v>
      </c>
    </row>
    <row r="1099" spans="1:14" x14ac:dyDescent="0.35">
      <c r="A1099" s="1" t="s">
        <v>65</v>
      </c>
      <c r="B1099" s="1">
        <v>202403</v>
      </c>
      <c r="C1099" s="1" t="str">
        <f>MID(analisis_productividad__4[[#This Row],[Periodo]],1,4)</f>
        <v>2024</v>
      </c>
      <c r="D1099" s="1" t="str">
        <f>MID(analisis_productividad__4[[#This Row],[Periodo]],5,2)</f>
        <v>03</v>
      </c>
      <c r="E1099" s="1" t="s">
        <v>16</v>
      </c>
      <c r="F1099" s="1" t="s">
        <v>19</v>
      </c>
      <c r="G1099" s="1">
        <v>89935</v>
      </c>
      <c r="H1099" s="1">
        <v>5510723</v>
      </c>
      <c r="I1099" s="1">
        <v>61.274180107526895</v>
      </c>
      <c r="J1099" s="1">
        <v>0</v>
      </c>
      <c r="K1099" s="1">
        <v>68</v>
      </c>
      <c r="L1099" s="1">
        <v>68.5</v>
      </c>
      <c r="M1099" s="1"/>
      <c r="N1099" s="1">
        <v>0</v>
      </c>
    </row>
    <row r="1100" spans="1:14" x14ac:dyDescent="0.35">
      <c r="A1100" s="1" t="s">
        <v>42</v>
      </c>
      <c r="B1100" s="1">
        <v>202510</v>
      </c>
      <c r="C1100" s="1" t="str">
        <f>MID(analisis_productividad__4[[#This Row],[Periodo]],1,4)</f>
        <v>2025</v>
      </c>
      <c r="D1100" s="1" t="str">
        <f>MID(analisis_productividad__4[[#This Row],[Periodo]],5,2)</f>
        <v>10</v>
      </c>
      <c r="E1100" s="1" t="s">
        <v>16</v>
      </c>
      <c r="F1100" s="1" t="s">
        <v>19</v>
      </c>
      <c r="G1100" s="1">
        <v>89932</v>
      </c>
      <c r="H1100" s="1">
        <v>4814160</v>
      </c>
      <c r="I1100" s="1">
        <v>53.530994623655907</v>
      </c>
      <c r="J1100" s="1">
        <v>80384.646324073532</v>
      </c>
      <c r="K1100" s="1">
        <v>62</v>
      </c>
      <c r="L1100" s="1">
        <v>58</v>
      </c>
      <c r="M1100" s="1">
        <v>59.889046604640704</v>
      </c>
      <c r="N1100" s="1">
        <v>4875096</v>
      </c>
    </row>
    <row r="1101" spans="1:14" x14ac:dyDescent="0.35">
      <c r="A1101" s="1" t="s">
        <v>87</v>
      </c>
      <c r="B1101" s="1">
        <v>202510</v>
      </c>
      <c r="C1101" s="1" t="str">
        <f>MID(analisis_productividad__4[[#This Row],[Periodo]],1,4)</f>
        <v>2025</v>
      </c>
      <c r="D1101" s="1" t="str">
        <f>MID(analisis_productividad__4[[#This Row],[Periodo]],5,2)</f>
        <v>10</v>
      </c>
      <c r="E1101" s="1" t="s">
        <v>9</v>
      </c>
      <c r="F1101" s="1" t="s">
        <v>9</v>
      </c>
      <c r="G1101" s="1">
        <v>89932</v>
      </c>
      <c r="H1101" s="1">
        <v>841465</v>
      </c>
      <c r="I1101" s="1">
        <v>9.3567137096774182</v>
      </c>
      <c r="J1101" s="1">
        <v>87529.393666641816</v>
      </c>
      <c r="K1101" s="1">
        <v>13.5</v>
      </c>
      <c r="L1101" s="1">
        <v>12</v>
      </c>
      <c r="M1101" s="1">
        <v>9.6135144407002713</v>
      </c>
      <c r="N1101" s="1">
        <v>1060409</v>
      </c>
    </row>
    <row r="1102" spans="1:14" x14ac:dyDescent="0.35">
      <c r="A1102" s="1" t="s">
        <v>27</v>
      </c>
      <c r="B1102" s="1">
        <v>202409</v>
      </c>
      <c r="C1102" s="1" t="str">
        <f>MID(analisis_productividad__4[[#This Row],[Periodo]],1,4)</f>
        <v>2024</v>
      </c>
      <c r="D1102" s="1" t="str">
        <f>MID(analisis_productividad__4[[#This Row],[Periodo]],5,2)</f>
        <v>09</v>
      </c>
      <c r="E1102" s="1" t="s">
        <v>11</v>
      </c>
      <c r="F1102" s="1" t="s">
        <v>14</v>
      </c>
      <c r="G1102" s="1">
        <v>89931</v>
      </c>
      <c r="H1102" s="1">
        <v>7036910</v>
      </c>
      <c r="I1102" s="1">
        <v>78.247944444444443</v>
      </c>
      <c r="J1102" s="1">
        <v>0</v>
      </c>
      <c r="K1102" s="1">
        <v>88</v>
      </c>
      <c r="L1102" s="1">
        <v>84</v>
      </c>
      <c r="M1102" s="1"/>
      <c r="N1102" s="1">
        <v>0</v>
      </c>
    </row>
    <row r="1103" spans="1:14" x14ac:dyDescent="0.35">
      <c r="A1103" s="1" t="s">
        <v>68</v>
      </c>
      <c r="B1103" s="1">
        <v>202501</v>
      </c>
      <c r="C1103" s="1" t="str">
        <f>MID(analisis_productividad__4[[#This Row],[Periodo]],1,4)</f>
        <v>2025</v>
      </c>
      <c r="D1103" s="1" t="str">
        <f>MID(analisis_productividad__4[[#This Row],[Periodo]],5,2)</f>
        <v>01</v>
      </c>
      <c r="E1103" s="1" t="s">
        <v>11</v>
      </c>
      <c r="F1103" s="1" t="s">
        <v>52</v>
      </c>
      <c r="G1103" s="1">
        <v>89848</v>
      </c>
      <c r="H1103" s="1">
        <v>7827389</v>
      </c>
      <c r="I1103" s="1">
        <v>87.117963709677383</v>
      </c>
      <c r="J1103" s="1">
        <v>101606.1070562688</v>
      </c>
      <c r="K1103" s="1">
        <v>103</v>
      </c>
      <c r="L1103" s="1">
        <v>91</v>
      </c>
      <c r="M1103" s="1">
        <v>77.036602688313266</v>
      </c>
      <c r="N1103" s="1">
        <v>8170173</v>
      </c>
    </row>
    <row r="1104" spans="1:14" x14ac:dyDescent="0.35">
      <c r="A1104" s="1" t="s">
        <v>49</v>
      </c>
      <c r="B1104" s="1">
        <v>202508</v>
      </c>
      <c r="C1104" s="1" t="str">
        <f>MID(analisis_productividad__4[[#This Row],[Periodo]],1,4)</f>
        <v>2025</v>
      </c>
      <c r="D1104" s="1" t="str">
        <f>MID(analisis_productividad__4[[#This Row],[Periodo]],5,2)</f>
        <v>08</v>
      </c>
      <c r="E1104" s="1" t="s">
        <v>16</v>
      </c>
      <c r="F1104" s="1" t="s">
        <v>21</v>
      </c>
      <c r="G1104" s="1">
        <v>89836</v>
      </c>
      <c r="H1104" s="1">
        <v>5224448</v>
      </c>
      <c r="I1104" s="1">
        <v>58.155134408602159</v>
      </c>
      <c r="J1104" s="1">
        <v>99466.197420985569</v>
      </c>
      <c r="K1104" s="1">
        <v>75.5</v>
      </c>
      <c r="L1104" s="1">
        <v>68</v>
      </c>
      <c r="M1104" s="1">
        <v>52.52485754419456</v>
      </c>
      <c r="N1104" s="1">
        <v>5739501</v>
      </c>
    </row>
    <row r="1105" spans="1:14" x14ac:dyDescent="0.35">
      <c r="A1105" s="1" t="s">
        <v>61</v>
      </c>
      <c r="B1105" s="1">
        <v>202409</v>
      </c>
      <c r="C1105" s="1" t="str">
        <f>MID(analisis_productividad__4[[#This Row],[Periodo]],1,4)</f>
        <v>2024</v>
      </c>
      <c r="D1105" s="1" t="str">
        <f>MID(analisis_productividad__4[[#This Row],[Periodo]],5,2)</f>
        <v>09</v>
      </c>
      <c r="E1105" s="1" t="s">
        <v>11</v>
      </c>
      <c r="F1105" s="1" t="s">
        <v>52</v>
      </c>
      <c r="G1105" s="1">
        <v>89773</v>
      </c>
      <c r="H1105" s="1">
        <v>8123613</v>
      </c>
      <c r="I1105" s="1">
        <v>90.49016666666671</v>
      </c>
      <c r="J1105" s="1">
        <v>0</v>
      </c>
      <c r="K1105" s="1">
        <v>104.5</v>
      </c>
      <c r="L1105" s="1">
        <v>99</v>
      </c>
      <c r="M1105" s="1"/>
      <c r="N1105" s="1">
        <v>0</v>
      </c>
    </row>
    <row r="1106" spans="1:14" x14ac:dyDescent="0.35">
      <c r="A1106" s="1" t="s">
        <v>20</v>
      </c>
      <c r="B1106" s="1">
        <v>202410</v>
      </c>
      <c r="C1106" s="1" t="str">
        <f>MID(analisis_productividad__4[[#This Row],[Periodo]],1,4)</f>
        <v>2024</v>
      </c>
      <c r="D1106" s="1" t="str">
        <f>MID(analisis_productividad__4[[#This Row],[Periodo]],5,2)</f>
        <v>10</v>
      </c>
      <c r="E1106" s="1" t="s">
        <v>16</v>
      </c>
      <c r="F1106" s="1" t="s">
        <v>21</v>
      </c>
      <c r="G1106" s="1">
        <v>89734</v>
      </c>
      <c r="H1106" s="1">
        <v>7587773</v>
      </c>
      <c r="I1106" s="1">
        <v>84.55896505376343</v>
      </c>
      <c r="J1106" s="1">
        <v>0</v>
      </c>
      <c r="K1106" s="1">
        <v>96.5</v>
      </c>
      <c r="L1106" s="1">
        <v>94</v>
      </c>
      <c r="M1106" s="1"/>
      <c r="N1106" s="1">
        <v>0</v>
      </c>
    </row>
    <row r="1107" spans="1:14" x14ac:dyDescent="0.35">
      <c r="A1107" s="1" t="s">
        <v>54</v>
      </c>
      <c r="B1107" s="1">
        <v>202408</v>
      </c>
      <c r="C1107" s="1" t="str">
        <f>MID(analisis_productividad__4[[#This Row],[Periodo]],1,4)</f>
        <v>2024</v>
      </c>
      <c r="D1107" s="1" t="str">
        <f>MID(analisis_productividad__4[[#This Row],[Periodo]],5,2)</f>
        <v>08</v>
      </c>
      <c r="E1107" s="1" t="s">
        <v>11</v>
      </c>
      <c r="F1107" s="1" t="s">
        <v>52</v>
      </c>
      <c r="G1107" s="1">
        <v>89719</v>
      </c>
      <c r="H1107" s="1">
        <v>8982564</v>
      </c>
      <c r="I1107" s="1">
        <v>100.11848790322584</v>
      </c>
      <c r="J1107" s="1">
        <v>0</v>
      </c>
      <c r="K1107" s="1">
        <v>106</v>
      </c>
      <c r="L1107" s="1">
        <v>102.5</v>
      </c>
      <c r="M1107" s="1"/>
      <c r="N1107" s="1">
        <v>0</v>
      </c>
    </row>
    <row r="1108" spans="1:14" x14ac:dyDescent="0.35">
      <c r="A1108" s="1" t="s">
        <v>57</v>
      </c>
      <c r="B1108" s="1">
        <v>202405</v>
      </c>
      <c r="C1108" s="1" t="str">
        <f>MID(analisis_productividad__4[[#This Row],[Periodo]],1,4)</f>
        <v>2024</v>
      </c>
      <c r="D1108" s="1" t="str">
        <f>MID(analisis_productividad__4[[#This Row],[Periodo]],5,2)</f>
        <v>05</v>
      </c>
      <c r="E1108" s="1" t="s">
        <v>16</v>
      </c>
      <c r="F1108" s="1" t="s">
        <v>19</v>
      </c>
      <c r="G1108" s="1">
        <v>89715</v>
      </c>
      <c r="H1108" s="1">
        <v>5686445</v>
      </c>
      <c r="I1108" s="1">
        <v>63.383400537634401</v>
      </c>
      <c r="J1108" s="1">
        <v>0</v>
      </c>
      <c r="K1108" s="1">
        <v>71</v>
      </c>
      <c r="L1108" s="1">
        <v>74.5</v>
      </c>
      <c r="M1108" s="1"/>
      <c r="N1108" s="1">
        <v>0</v>
      </c>
    </row>
    <row r="1109" spans="1:14" x14ac:dyDescent="0.35">
      <c r="A1109" s="1" t="s">
        <v>76</v>
      </c>
      <c r="B1109" s="1">
        <v>202502</v>
      </c>
      <c r="C1109" s="1" t="str">
        <f>MID(analisis_productividad__4[[#This Row],[Periodo]],1,4)</f>
        <v>2025</v>
      </c>
      <c r="D1109" s="1" t="str">
        <f>MID(analisis_productividad__4[[#This Row],[Periodo]],5,2)</f>
        <v>02</v>
      </c>
      <c r="E1109" s="1" t="s">
        <v>11</v>
      </c>
      <c r="F1109" s="1" t="s">
        <v>14</v>
      </c>
      <c r="G1109" s="1">
        <v>89715</v>
      </c>
      <c r="H1109" s="1">
        <v>5995508</v>
      </c>
      <c r="I1109" s="1">
        <v>66.828437500000021</v>
      </c>
      <c r="J1109" s="1">
        <v>80575.531252107205</v>
      </c>
      <c r="K1109" s="1">
        <v>80</v>
      </c>
      <c r="L1109" s="1">
        <v>78</v>
      </c>
      <c r="M1109" s="1">
        <v>74.408542603846698</v>
      </c>
      <c r="N1109" s="1">
        <v>6033261</v>
      </c>
    </row>
    <row r="1110" spans="1:14" x14ac:dyDescent="0.35">
      <c r="A1110" s="1" t="s">
        <v>77</v>
      </c>
      <c r="B1110" s="1">
        <v>202604</v>
      </c>
      <c r="C1110" s="1" t="str">
        <f>MID(analisis_productividad__4[[#This Row],[Periodo]],1,4)</f>
        <v>2026</v>
      </c>
      <c r="D1110" s="1" t="str">
        <f>MID(analisis_productividad__4[[#This Row],[Periodo]],5,2)</f>
        <v>04</v>
      </c>
      <c r="E1110" s="1" t="s">
        <v>16</v>
      </c>
      <c r="F1110" s="1" t="s">
        <v>21</v>
      </c>
      <c r="G1110" s="1">
        <v>89713</v>
      </c>
      <c r="H1110" s="1">
        <v>4686481</v>
      </c>
      <c r="I1110" s="1">
        <v>52.238715277778311</v>
      </c>
      <c r="J1110" s="1">
        <v>88316.642593883371</v>
      </c>
      <c r="K1110" s="1">
        <v>60.5</v>
      </c>
      <c r="L1110" s="1">
        <v>60.5</v>
      </c>
      <c r="M1110" s="1">
        <v>53.343390369396616</v>
      </c>
      <c r="N1110" s="1">
        <v>4711109</v>
      </c>
    </row>
    <row r="1111" spans="1:14" x14ac:dyDescent="0.35">
      <c r="A1111" s="1" t="s">
        <v>55</v>
      </c>
      <c r="B1111" s="1">
        <v>202410</v>
      </c>
      <c r="C1111" s="1" t="str">
        <f>MID(analisis_productividad__4[[#This Row],[Periodo]],1,4)</f>
        <v>2024</v>
      </c>
      <c r="D1111" s="1" t="str">
        <f>MID(analisis_productividad__4[[#This Row],[Periodo]],5,2)</f>
        <v>10</v>
      </c>
      <c r="E1111" s="1" t="s">
        <v>16</v>
      </c>
      <c r="F1111" s="1" t="s">
        <v>21</v>
      </c>
      <c r="G1111" s="1">
        <v>89707</v>
      </c>
      <c r="H1111" s="1">
        <v>4453921</v>
      </c>
      <c r="I1111" s="1">
        <v>49.64966397849463</v>
      </c>
      <c r="J1111" s="1">
        <v>0</v>
      </c>
      <c r="K1111" s="1">
        <v>55</v>
      </c>
      <c r="L1111" s="1">
        <v>50.5</v>
      </c>
      <c r="M1111" s="1"/>
      <c r="N1111" s="1">
        <v>0</v>
      </c>
    </row>
    <row r="1112" spans="1:14" x14ac:dyDescent="0.35">
      <c r="A1112" s="1" t="s">
        <v>10</v>
      </c>
      <c r="B1112" s="1">
        <v>202502</v>
      </c>
      <c r="C1112" s="1" t="str">
        <f>MID(analisis_productividad__4[[#This Row],[Periodo]],1,4)</f>
        <v>2025</v>
      </c>
      <c r="D1112" s="1" t="str">
        <f>MID(analisis_productividad__4[[#This Row],[Periodo]],5,2)</f>
        <v>02</v>
      </c>
      <c r="E1112" s="1" t="s">
        <v>11</v>
      </c>
      <c r="F1112" s="1" t="s">
        <v>12</v>
      </c>
      <c r="G1112" s="1">
        <v>89673</v>
      </c>
      <c r="H1112" s="1">
        <v>7783095</v>
      </c>
      <c r="I1112" s="1">
        <v>86.793906249999992</v>
      </c>
      <c r="J1112" s="1">
        <v>83930.022370775347</v>
      </c>
      <c r="K1112" s="1">
        <v>98.5</v>
      </c>
      <c r="L1112" s="1">
        <v>96.5</v>
      </c>
      <c r="M1112" s="1">
        <v>92.733148164989572</v>
      </c>
      <c r="N1112" s="1">
        <v>9579922</v>
      </c>
    </row>
    <row r="1113" spans="1:14" x14ac:dyDescent="0.35">
      <c r="A1113" s="1" t="s">
        <v>87</v>
      </c>
      <c r="B1113" s="1">
        <v>202601</v>
      </c>
      <c r="C1113" s="1" t="str">
        <f>MID(analisis_productividad__4[[#This Row],[Periodo]],1,4)</f>
        <v>2026</v>
      </c>
      <c r="D1113" s="1" t="str">
        <f>MID(analisis_productividad__4[[#This Row],[Periodo]],5,2)</f>
        <v>01</v>
      </c>
      <c r="E1113" s="1" t="s">
        <v>9</v>
      </c>
      <c r="F1113" s="1" t="s">
        <v>9</v>
      </c>
      <c r="G1113" s="1">
        <v>89639</v>
      </c>
      <c r="H1113" s="1">
        <v>909841</v>
      </c>
      <c r="I1113" s="1">
        <v>10.150094086021507</v>
      </c>
      <c r="J1113" s="1">
        <v>90012.555732584849</v>
      </c>
      <c r="K1113" s="1">
        <v>13.5</v>
      </c>
      <c r="L1113" s="1">
        <v>12</v>
      </c>
      <c r="M1113" s="1">
        <v>11.788780293634797</v>
      </c>
      <c r="N1113" s="1">
        <v>1061138</v>
      </c>
    </row>
    <row r="1114" spans="1:14" x14ac:dyDescent="0.35">
      <c r="A1114" s="1" t="s">
        <v>58</v>
      </c>
      <c r="B1114" s="1">
        <v>202403</v>
      </c>
      <c r="C1114" s="1" t="str">
        <f>MID(analisis_productividad__4[[#This Row],[Periodo]],1,4)</f>
        <v>2024</v>
      </c>
      <c r="D1114" s="1" t="str">
        <f>MID(analisis_productividad__4[[#This Row],[Periodo]],5,2)</f>
        <v>03</v>
      </c>
      <c r="E1114" s="1" t="s">
        <v>34</v>
      </c>
      <c r="F1114" s="1" t="s">
        <v>35</v>
      </c>
      <c r="G1114" s="1">
        <v>89634</v>
      </c>
      <c r="H1114" s="1">
        <v>4865753</v>
      </c>
      <c r="I1114" s="1">
        <v>54.28452956989247</v>
      </c>
      <c r="J1114" s="1">
        <v>0</v>
      </c>
      <c r="K1114" s="1">
        <v>53.5</v>
      </c>
      <c r="L1114" s="1">
        <v>52</v>
      </c>
      <c r="M1114" s="1"/>
      <c r="N1114" s="1">
        <v>0</v>
      </c>
    </row>
    <row r="1115" spans="1:14" x14ac:dyDescent="0.35">
      <c r="A1115" s="1" t="s">
        <v>60</v>
      </c>
      <c r="B1115" s="1">
        <v>202407</v>
      </c>
      <c r="C1115" s="1" t="str">
        <f>MID(analisis_productividad__4[[#This Row],[Periodo]],1,4)</f>
        <v>2024</v>
      </c>
      <c r="D1115" s="1" t="str">
        <f>MID(analisis_productividad__4[[#This Row],[Periodo]],5,2)</f>
        <v>07</v>
      </c>
      <c r="E1115" s="1" t="s">
        <v>11</v>
      </c>
      <c r="F1115" s="1" t="s">
        <v>14</v>
      </c>
      <c r="G1115" s="1">
        <v>89617</v>
      </c>
      <c r="H1115" s="1">
        <v>6922140</v>
      </c>
      <c r="I1115" s="1">
        <v>77.241330645161284</v>
      </c>
      <c r="J1115" s="1">
        <v>0</v>
      </c>
      <c r="K1115" s="1">
        <v>75.5</v>
      </c>
      <c r="L1115" s="1">
        <v>74</v>
      </c>
      <c r="M1115" s="1"/>
      <c r="N1115" s="1">
        <v>0</v>
      </c>
    </row>
    <row r="1116" spans="1:14" x14ac:dyDescent="0.35">
      <c r="A1116" s="1" t="s">
        <v>75</v>
      </c>
      <c r="B1116" s="1">
        <v>202411</v>
      </c>
      <c r="C1116" s="1" t="str">
        <f>MID(analisis_productividad__4[[#This Row],[Periodo]],1,4)</f>
        <v>2024</v>
      </c>
      <c r="D1116" s="1" t="str">
        <f>MID(analisis_productividad__4[[#This Row],[Periodo]],5,2)</f>
        <v>11</v>
      </c>
      <c r="E1116" s="1" t="s">
        <v>11</v>
      </c>
      <c r="F1116" s="1" t="s">
        <v>52</v>
      </c>
      <c r="G1116" s="1">
        <v>89615</v>
      </c>
      <c r="H1116" s="1">
        <v>9407264</v>
      </c>
      <c r="I1116" s="1">
        <v>104.97379861111111</v>
      </c>
      <c r="J1116" s="1">
        <v>0</v>
      </c>
      <c r="K1116" s="1">
        <v>118</v>
      </c>
      <c r="L1116" s="1">
        <v>106</v>
      </c>
      <c r="M1116" s="1"/>
      <c r="N1116" s="1">
        <v>0</v>
      </c>
    </row>
    <row r="1117" spans="1:14" x14ac:dyDescent="0.35">
      <c r="A1117" s="1" t="s">
        <v>37</v>
      </c>
      <c r="B1117" s="1">
        <v>202506</v>
      </c>
      <c r="C1117" s="1" t="str">
        <f>MID(analisis_productividad__4[[#This Row],[Periodo]],1,4)</f>
        <v>2025</v>
      </c>
      <c r="D1117" s="1" t="str">
        <f>MID(analisis_productividad__4[[#This Row],[Periodo]],5,2)</f>
        <v>06</v>
      </c>
      <c r="E1117" s="1" t="s">
        <v>16</v>
      </c>
      <c r="F1117" s="1" t="s">
        <v>17</v>
      </c>
      <c r="G1117" s="1">
        <v>89614</v>
      </c>
      <c r="H1117" s="1">
        <v>8961782</v>
      </c>
      <c r="I1117" s="1">
        <v>100.0042361111111</v>
      </c>
      <c r="J1117" s="1">
        <v>101218.43426737978</v>
      </c>
      <c r="K1117" s="1">
        <v>107.5</v>
      </c>
      <c r="L1117" s="1">
        <v>102.5</v>
      </c>
      <c r="M1117" s="1">
        <v>88.539026955568758</v>
      </c>
      <c r="N1117" s="1">
        <v>9985463</v>
      </c>
    </row>
    <row r="1118" spans="1:14" x14ac:dyDescent="0.35">
      <c r="A1118" s="1" t="s">
        <v>68</v>
      </c>
      <c r="B1118" s="1">
        <v>202405</v>
      </c>
      <c r="C1118" s="1" t="str">
        <f>MID(analisis_productividad__4[[#This Row],[Periodo]],1,4)</f>
        <v>2024</v>
      </c>
      <c r="D1118" s="1" t="str">
        <f>MID(analisis_productividad__4[[#This Row],[Periodo]],5,2)</f>
        <v>05</v>
      </c>
      <c r="E1118" s="1" t="s">
        <v>11</v>
      </c>
      <c r="F1118" s="1" t="s">
        <v>52</v>
      </c>
      <c r="G1118" s="1">
        <v>89612</v>
      </c>
      <c r="H1118" s="1">
        <v>7848795</v>
      </c>
      <c r="I1118" s="1">
        <v>87.586700268817154</v>
      </c>
      <c r="J1118" s="1">
        <v>0</v>
      </c>
      <c r="K1118" s="1">
        <v>103</v>
      </c>
      <c r="L1118" s="1">
        <v>91</v>
      </c>
      <c r="M1118" s="1"/>
      <c r="N1118" s="1">
        <v>0</v>
      </c>
    </row>
    <row r="1119" spans="1:14" x14ac:dyDescent="0.35">
      <c r="A1119" s="1" t="s">
        <v>71</v>
      </c>
      <c r="B1119" s="1">
        <v>202511</v>
      </c>
      <c r="C1119" s="1" t="str">
        <f>MID(analisis_productividad__4[[#This Row],[Periodo]],1,4)</f>
        <v>2025</v>
      </c>
      <c r="D1119" s="1" t="str">
        <f>MID(analisis_productividad__4[[#This Row],[Periodo]],5,2)</f>
        <v>11</v>
      </c>
      <c r="E1119" s="1" t="s">
        <v>16</v>
      </c>
      <c r="F1119" s="1" t="s">
        <v>19</v>
      </c>
      <c r="G1119" s="1">
        <v>89602</v>
      </c>
      <c r="H1119" s="1">
        <v>2809285</v>
      </c>
      <c r="I1119" s="1">
        <v>31.352805555555555</v>
      </c>
      <c r="J1119" s="1">
        <v>74617.652906531745</v>
      </c>
      <c r="K1119" s="1">
        <v>41.5</v>
      </c>
      <c r="L1119" s="1">
        <v>35.5</v>
      </c>
      <c r="M1119" s="1">
        <v>37.649069497254132</v>
      </c>
      <c r="N1119" s="1">
        <v>2190596</v>
      </c>
    </row>
    <row r="1120" spans="1:14" x14ac:dyDescent="0.35">
      <c r="A1120" s="1" t="s">
        <v>90</v>
      </c>
      <c r="B1120" s="1">
        <v>202512</v>
      </c>
      <c r="C1120" s="1" t="str">
        <f>MID(analisis_productividad__4[[#This Row],[Periodo]],1,4)</f>
        <v>2025</v>
      </c>
      <c r="D1120" s="1" t="str">
        <f>MID(analisis_productividad__4[[#This Row],[Periodo]],5,2)</f>
        <v>12</v>
      </c>
      <c r="E1120" s="1" t="s">
        <v>11</v>
      </c>
      <c r="F1120" s="1" t="s">
        <v>14</v>
      </c>
      <c r="G1120" s="1">
        <v>89591</v>
      </c>
      <c r="H1120" s="1">
        <v>7378671</v>
      </c>
      <c r="I1120" s="1">
        <v>82.359657258064416</v>
      </c>
      <c r="J1120" s="1">
        <v>95503.514912322891</v>
      </c>
      <c r="K1120" s="1">
        <v>84.5</v>
      </c>
      <c r="L1120" s="1">
        <v>78.5</v>
      </c>
      <c r="M1120" s="1">
        <v>77.260725605481611</v>
      </c>
      <c r="N1120" s="1">
        <v>7937628</v>
      </c>
    </row>
    <row r="1121" spans="1:14" x14ac:dyDescent="0.35">
      <c r="A1121" s="1" t="s">
        <v>40</v>
      </c>
      <c r="B1121" s="1">
        <v>202507</v>
      </c>
      <c r="C1121" s="1" t="str">
        <f>MID(analisis_productividad__4[[#This Row],[Periodo]],1,4)</f>
        <v>2025</v>
      </c>
      <c r="D1121" s="1" t="str">
        <f>MID(analisis_productividad__4[[#This Row],[Periodo]],5,2)</f>
        <v>07</v>
      </c>
      <c r="E1121" s="1" t="s">
        <v>11</v>
      </c>
      <c r="F1121" s="1" t="s">
        <v>14</v>
      </c>
      <c r="G1121" s="1">
        <v>89560</v>
      </c>
      <c r="H1121" s="1">
        <v>6141771</v>
      </c>
      <c r="I1121" s="1">
        <v>68.577466397849477</v>
      </c>
      <c r="J1121" s="1">
        <v>112422.17353278089</v>
      </c>
      <c r="K1121" s="1">
        <v>76.5</v>
      </c>
      <c r="L1121" s="1">
        <v>75.5</v>
      </c>
      <c r="M1121" s="1">
        <v>54.631314775364451</v>
      </c>
      <c r="N1121" s="1">
        <v>7144633</v>
      </c>
    </row>
    <row r="1122" spans="1:14" x14ac:dyDescent="0.35">
      <c r="A1122" s="1" t="s">
        <v>50</v>
      </c>
      <c r="B1122" s="1">
        <v>202506</v>
      </c>
      <c r="C1122" s="1" t="str">
        <f>MID(analisis_productividad__4[[#This Row],[Periodo]],1,4)</f>
        <v>2025</v>
      </c>
      <c r="D1122" s="1" t="str">
        <f>MID(analisis_productividad__4[[#This Row],[Periodo]],5,2)</f>
        <v>06</v>
      </c>
      <c r="E1122" s="1" t="s">
        <v>34</v>
      </c>
      <c r="F1122" s="1" t="s">
        <v>35</v>
      </c>
      <c r="G1122" s="1">
        <v>89553</v>
      </c>
      <c r="H1122" s="1">
        <v>5710411</v>
      </c>
      <c r="I1122" s="1">
        <v>63.765576388888881</v>
      </c>
      <c r="J1122" s="1">
        <v>95993.411439896227</v>
      </c>
      <c r="K1122" s="1">
        <v>79.5</v>
      </c>
      <c r="L1122" s="1">
        <v>72.5</v>
      </c>
      <c r="M1122" s="1">
        <v>59.487526949445119</v>
      </c>
      <c r="N1122" s="1">
        <v>6134700</v>
      </c>
    </row>
    <row r="1123" spans="1:14" x14ac:dyDescent="0.35">
      <c r="A1123" s="1" t="s">
        <v>76</v>
      </c>
      <c r="B1123" s="1">
        <v>202501</v>
      </c>
      <c r="C1123" s="1" t="str">
        <f>MID(analisis_productividad__4[[#This Row],[Periodo]],1,4)</f>
        <v>2025</v>
      </c>
      <c r="D1123" s="1" t="str">
        <f>MID(analisis_productividad__4[[#This Row],[Periodo]],5,2)</f>
        <v>01</v>
      </c>
      <c r="E1123" s="1" t="s">
        <v>11</v>
      </c>
      <c r="F1123" s="1" t="s">
        <v>14</v>
      </c>
      <c r="G1123" s="1">
        <v>89552</v>
      </c>
      <c r="H1123" s="1">
        <v>6151557</v>
      </c>
      <c r="I1123" s="1">
        <v>68.692204301075265</v>
      </c>
      <c r="J1123" s="1">
        <v>88441.033693215635</v>
      </c>
      <c r="K1123" s="1">
        <v>80</v>
      </c>
      <c r="L1123" s="1">
        <v>78</v>
      </c>
      <c r="M1123" s="1">
        <v>69.555463715389493</v>
      </c>
      <c r="N1123" s="1">
        <v>6457196</v>
      </c>
    </row>
    <row r="1124" spans="1:14" x14ac:dyDescent="0.35">
      <c r="A1124" s="1" t="s">
        <v>61</v>
      </c>
      <c r="B1124" s="1">
        <v>202405</v>
      </c>
      <c r="C1124" s="1" t="str">
        <f>MID(analisis_productividad__4[[#This Row],[Periodo]],1,4)</f>
        <v>2024</v>
      </c>
      <c r="D1124" s="1" t="str">
        <f>MID(analisis_productividad__4[[#This Row],[Periodo]],5,2)</f>
        <v>05</v>
      </c>
      <c r="E1124" s="1" t="s">
        <v>11</v>
      </c>
      <c r="F1124" s="1" t="s">
        <v>52</v>
      </c>
      <c r="G1124" s="1">
        <v>89549</v>
      </c>
      <c r="H1124" s="1">
        <v>8771428</v>
      </c>
      <c r="I1124" s="1">
        <v>97.951686827956976</v>
      </c>
      <c r="J1124" s="1">
        <v>0</v>
      </c>
      <c r="K1124" s="1">
        <v>104.5</v>
      </c>
      <c r="L1124" s="1">
        <v>99</v>
      </c>
      <c r="M1124" s="1"/>
      <c r="N1124" s="1">
        <v>0</v>
      </c>
    </row>
    <row r="1125" spans="1:14" x14ac:dyDescent="0.35">
      <c r="A1125" s="1" t="s">
        <v>53</v>
      </c>
      <c r="B1125" s="1">
        <v>202402</v>
      </c>
      <c r="C1125" s="1" t="str">
        <f>MID(analisis_productividad__4[[#This Row],[Periodo]],1,4)</f>
        <v>2024</v>
      </c>
      <c r="D1125" s="1" t="str">
        <f>MID(analisis_productividad__4[[#This Row],[Periodo]],5,2)</f>
        <v>02</v>
      </c>
      <c r="E1125" s="1" t="s">
        <v>11</v>
      </c>
      <c r="F1125" s="1" t="s">
        <v>12</v>
      </c>
      <c r="G1125" s="1">
        <v>89541</v>
      </c>
      <c r="H1125" s="1">
        <v>6490839</v>
      </c>
      <c r="I1125" s="1">
        <v>72.489777298850584</v>
      </c>
      <c r="J1125" s="1">
        <v>0</v>
      </c>
      <c r="K1125" s="1">
        <v>81</v>
      </c>
      <c r="L1125" s="1">
        <v>77</v>
      </c>
      <c r="M1125" s="1"/>
      <c r="N1125" s="1">
        <v>0</v>
      </c>
    </row>
    <row r="1126" spans="1:14" x14ac:dyDescent="0.35">
      <c r="A1126" s="1" t="s">
        <v>78</v>
      </c>
      <c r="B1126" s="1">
        <v>202503</v>
      </c>
      <c r="C1126" s="1" t="str">
        <f>MID(analisis_productividad__4[[#This Row],[Periodo]],1,4)</f>
        <v>2025</v>
      </c>
      <c r="D1126" s="1" t="str">
        <f>MID(analisis_productividad__4[[#This Row],[Periodo]],5,2)</f>
        <v>03</v>
      </c>
      <c r="E1126" s="1" t="s">
        <v>11</v>
      </c>
      <c r="F1126" s="1" t="s">
        <v>14</v>
      </c>
      <c r="G1126" s="1">
        <v>89515</v>
      </c>
      <c r="H1126" s="1">
        <v>6350866</v>
      </c>
      <c r="I1126" s="1">
        <v>70.94768145161288</v>
      </c>
      <c r="J1126" s="1">
        <v>86639.436176340459</v>
      </c>
      <c r="K1126" s="1">
        <v>79.5</v>
      </c>
      <c r="L1126" s="1">
        <v>67</v>
      </c>
      <c r="M1126" s="1">
        <v>73.302254034454322</v>
      </c>
      <c r="N1126" s="1">
        <v>6279082</v>
      </c>
    </row>
    <row r="1127" spans="1:14" x14ac:dyDescent="0.35">
      <c r="A1127" s="1" t="s">
        <v>69</v>
      </c>
      <c r="B1127" s="1">
        <v>202511</v>
      </c>
      <c r="C1127" s="1" t="str">
        <f>MID(analisis_productividad__4[[#This Row],[Periodo]],1,4)</f>
        <v>2025</v>
      </c>
      <c r="D1127" s="1" t="str">
        <f>MID(analisis_productividad__4[[#This Row],[Periodo]],5,2)</f>
        <v>11</v>
      </c>
      <c r="E1127" s="1" t="s">
        <v>11</v>
      </c>
      <c r="F1127" s="1" t="s">
        <v>52</v>
      </c>
      <c r="G1127" s="1">
        <v>89512</v>
      </c>
      <c r="H1127" s="1">
        <v>5233223</v>
      </c>
      <c r="I1127" s="1">
        <v>58.463854166666664</v>
      </c>
      <c r="J1127" s="1">
        <v>84227.157732814376</v>
      </c>
      <c r="K1127" s="1">
        <v>68</v>
      </c>
      <c r="L1127" s="1">
        <v>60.5</v>
      </c>
      <c r="M1127" s="1">
        <v>62.13225248085476</v>
      </c>
      <c r="N1127" s="1">
        <v>5720280</v>
      </c>
    </row>
    <row r="1128" spans="1:14" x14ac:dyDescent="0.35">
      <c r="A1128" s="1" t="s">
        <v>41</v>
      </c>
      <c r="B1128" s="1">
        <v>202401</v>
      </c>
      <c r="C1128" s="1" t="str">
        <f>MID(analisis_productividad__4[[#This Row],[Periodo]],1,4)</f>
        <v>2024</v>
      </c>
      <c r="D1128" s="1" t="str">
        <f>MID(analisis_productividad__4[[#This Row],[Periodo]],5,2)</f>
        <v>01</v>
      </c>
      <c r="E1128" s="1" t="s">
        <v>16</v>
      </c>
      <c r="F1128" s="1" t="s">
        <v>19</v>
      </c>
      <c r="G1128" s="1">
        <v>89511</v>
      </c>
      <c r="H1128" s="1">
        <v>4582277</v>
      </c>
      <c r="I1128" s="1">
        <v>51.192157258064505</v>
      </c>
      <c r="J1128" s="1">
        <v>0</v>
      </c>
      <c r="K1128" s="1">
        <v>57.5</v>
      </c>
      <c r="L1128" s="1">
        <v>56.5</v>
      </c>
      <c r="M1128" s="1"/>
      <c r="N1128" s="1">
        <v>0</v>
      </c>
    </row>
    <row r="1129" spans="1:14" x14ac:dyDescent="0.35">
      <c r="A1129" s="1" t="s">
        <v>28</v>
      </c>
      <c r="B1129" s="1">
        <v>202409</v>
      </c>
      <c r="C1129" s="1" t="str">
        <f>MID(analisis_productividad__4[[#This Row],[Periodo]],1,4)</f>
        <v>2024</v>
      </c>
      <c r="D1129" s="1" t="str">
        <f>MID(analisis_productividad__4[[#This Row],[Periodo]],5,2)</f>
        <v>09</v>
      </c>
      <c r="E1129" s="1" t="s">
        <v>16</v>
      </c>
      <c r="F1129" s="1" t="s">
        <v>17</v>
      </c>
      <c r="G1129" s="1">
        <v>89484</v>
      </c>
      <c r="H1129" s="1">
        <v>5221266</v>
      </c>
      <c r="I1129" s="1">
        <v>58.348500000000016</v>
      </c>
      <c r="J1129" s="1">
        <v>0</v>
      </c>
      <c r="K1129" s="1">
        <v>64</v>
      </c>
      <c r="L1129" s="1">
        <v>67</v>
      </c>
      <c r="M1129" s="1"/>
      <c r="N1129" s="1">
        <v>0</v>
      </c>
    </row>
    <row r="1130" spans="1:14" x14ac:dyDescent="0.35">
      <c r="A1130" s="1" t="s">
        <v>57</v>
      </c>
      <c r="B1130" s="1">
        <v>202507</v>
      </c>
      <c r="C1130" s="1" t="str">
        <f>MID(analisis_productividad__4[[#This Row],[Periodo]],1,4)</f>
        <v>2025</v>
      </c>
      <c r="D1130" s="1" t="str">
        <f>MID(analisis_productividad__4[[#This Row],[Periodo]],5,2)</f>
        <v>07</v>
      </c>
      <c r="E1130" s="1" t="s">
        <v>16</v>
      </c>
      <c r="F1130" s="1" t="s">
        <v>19</v>
      </c>
      <c r="G1130" s="1">
        <v>89474</v>
      </c>
      <c r="H1130" s="1">
        <v>5650099</v>
      </c>
      <c r="I1130" s="1">
        <v>63.147715053763449</v>
      </c>
      <c r="J1130" s="1">
        <v>105982.18280995172</v>
      </c>
      <c r="K1130" s="1">
        <v>71</v>
      </c>
      <c r="L1130" s="1">
        <v>74.5</v>
      </c>
      <c r="M1130" s="1">
        <v>53.311783643216835</v>
      </c>
      <c r="N1130" s="1">
        <v>6716653</v>
      </c>
    </row>
    <row r="1131" spans="1:14" x14ac:dyDescent="0.35">
      <c r="A1131" s="1" t="s">
        <v>44</v>
      </c>
      <c r="B1131" s="1">
        <v>202411</v>
      </c>
      <c r="C1131" s="1" t="str">
        <f>MID(analisis_productividad__4[[#This Row],[Periodo]],1,4)</f>
        <v>2024</v>
      </c>
      <c r="D1131" s="1" t="str">
        <f>MID(analisis_productividad__4[[#This Row],[Periodo]],5,2)</f>
        <v>11</v>
      </c>
      <c r="E1131" s="1" t="s">
        <v>11</v>
      </c>
      <c r="F1131" s="1" t="s">
        <v>12</v>
      </c>
      <c r="G1131" s="1">
        <v>89453</v>
      </c>
      <c r="H1131" s="1">
        <v>6231313</v>
      </c>
      <c r="I1131" s="1">
        <v>69.660159722222204</v>
      </c>
      <c r="J1131" s="1">
        <v>0</v>
      </c>
      <c r="K1131" s="1">
        <v>78</v>
      </c>
      <c r="L1131" s="1">
        <v>74.5</v>
      </c>
      <c r="M1131" s="1"/>
      <c r="N1131" s="1">
        <v>0</v>
      </c>
    </row>
    <row r="1132" spans="1:14" x14ac:dyDescent="0.35">
      <c r="A1132" s="1" t="s">
        <v>70</v>
      </c>
      <c r="B1132" s="1">
        <v>202501</v>
      </c>
      <c r="C1132" s="1" t="str">
        <f>MID(analisis_productividad__4[[#This Row],[Periodo]],1,4)</f>
        <v>2025</v>
      </c>
      <c r="D1132" s="1" t="str">
        <f>MID(analisis_productividad__4[[#This Row],[Periodo]],5,2)</f>
        <v>01</v>
      </c>
      <c r="E1132" s="1" t="s">
        <v>11</v>
      </c>
      <c r="F1132" s="1" t="s">
        <v>14</v>
      </c>
      <c r="G1132" s="1">
        <v>89440</v>
      </c>
      <c r="H1132" s="1">
        <v>4827976</v>
      </c>
      <c r="I1132" s="1">
        <v>53.980114247311825</v>
      </c>
      <c r="J1132" s="1">
        <v>83963.412358594156</v>
      </c>
      <c r="K1132" s="1">
        <v>65</v>
      </c>
      <c r="L1132" s="1">
        <v>67.5</v>
      </c>
      <c r="M1132" s="1">
        <v>57.500944928018136</v>
      </c>
      <c r="N1132" s="1">
        <v>4755550</v>
      </c>
    </row>
    <row r="1133" spans="1:14" x14ac:dyDescent="0.35">
      <c r="A1133" s="1" t="s">
        <v>87</v>
      </c>
      <c r="B1133" s="1">
        <v>202604</v>
      </c>
      <c r="C1133" s="1" t="str">
        <f>MID(analisis_productividad__4[[#This Row],[Periodo]],1,4)</f>
        <v>2026</v>
      </c>
      <c r="D1133" s="1" t="str">
        <f>MID(analisis_productividad__4[[#This Row],[Periodo]],5,2)</f>
        <v>04</v>
      </c>
      <c r="E1133" s="1" t="s">
        <v>9</v>
      </c>
      <c r="F1133" s="1" t="s">
        <v>9</v>
      </c>
      <c r="G1133" s="1">
        <v>89430</v>
      </c>
      <c r="H1133" s="1">
        <v>864911</v>
      </c>
      <c r="I1133" s="1">
        <v>9.6714236111111163</v>
      </c>
      <c r="J1133" s="1">
        <v>73571.915872272235</v>
      </c>
      <c r="K1133" s="1">
        <v>13.5</v>
      </c>
      <c r="L1133" s="1">
        <v>12</v>
      </c>
      <c r="M1133" s="1">
        <v>11.788780293634797</v>
      </c>
      <c r="N1133" s="1">
        <v>867323</v>
      </c>
    </row>
    <row r="1134" spans="1:14" x14ac:dyDescent="0.35">
      <c r="A1134" s="1" t="s">
        <v>41</v>
      </c>
      <c r="B1134" s="1">
        <v>202507</v>
      </c>
      <c r="C1134" s="1" t="str">
        <f>MID(analisis_productividad__4[[#This Row],[Periodo]],1,4)</f>
        <v>2025</v>
      </c>
      <c r="D1134" s="1" t="str">
        <f>MID(analisis_productividad__4[[#This Row],[Periodo]],5,2)</f>
        <v>07</v>
      </c>
      <c r="E1134" s="1" t="s">
        <v>16</v>
      </c>
      <c r="F1134" s="1" t="s">
        <v>19</v>
      </c>
      <c r="G1134" s="1">
        <v>89418</v>
      </c>
      <c r="H1134" s="1">
        <v>4713655</v>
      </c>
      <c r="I1134" s="1">
        <v>52.714892473118262</v>
      </c>
      <c r="J1134" s="1">
        <v>95899.699048585069</v>
      </c>
      <c r="K1134" s="1">
        <v>57.5</v>
      </c>
      <c r="L1134" s="1">
        <v>56.5</v>
      </c>
      <c r="M1134" s="1">
        <v>49.151922547869013</v>
      </c>
      <c r="N1134" s="1">
        <v>4908714</v>
      </c>
    </row>
    <row r="1135" spans="1:14" x14ac:dyDescent="0.35">
      <c r="A1135" s="1" t="s">
        <v>50</v>
      </c>
      <c r="B1135" s="1">
        <v>202502</v>
      </c>
      <c r="C1135" s="1" t="str">
        <f>MID(analisis_productividad__4[[#This Row],[Periodo]],1,4)</f>
        <v>2025</v>
      </c>
      <c r="D1135" s="1" t="str">
        <f>MID(analisis_productividad__4[[#This Row],[Periodo]],5,2)</f>
        <v>02</v>
      </c>
      <c r="E1135" s="1" t="s">
        <v>34</v>
      </c>
      <c r="F1135" s="1" t="s">
        <v>35</v>
      </c>
      <c r="G1135" s="1">
        <v>89334</v>
      </c>
      <c r="H1135" s="1">
        <v>5397340</v>
      </c>
      <c r="I1135" s="1">
        <v>60.417656250000007</v>
      </c>
      <c r="J1135" s="1">
        <v>85041.170618933349</v>
      </c>
      <c r="K1135" s="1">
        <v>79.5</v>
      </c>
      <c r="L1135" s="1">
        <v>72.5</v>
      </c>
      <c r="M1135" s="1">
        <v>63.467381513188492</v>
      </c>
      <c r="N1135" s="1">
        <v>5481427</v>
      </c>
    </row>
    <row r="1136" spans="1:14" x14ac:dyDescent="0.35">
      <c r="A1136" s="1" t="s">
        <v>63</v>
      </c>
      <c r="B1136" s="1">
        <v>202602</v>
      </c>
      <c r="C1136" s="1" t="str">
        <f>MID(analisis_productividad__4[[#This Row],[Periodo]],1,4)</f>
        <v>2026</v>
      </c>
      <c r="D1136" s="1" t="str">
        <f>MID(analisis_productividad__4[[#This Row],[Periodo]],5,2)</f>
        <v>02</v>
      </c>
      <c r="E1136" s="1" t="s">
        <v>16</v>
      </c>
      <c r="F1136" s="1" t="s">
        <v>17</v>
      </c>
      <c r="G1136" s="1">
        <v>89316</v>
      </c>
      <c r="H1136" s="1">
        <v>6432948</v>
      </c>
      <c r="I1136" s="1">
        <v>72.024687499999999</v>
      </c>
      <c r="J1136" s="1">
        <v>111276.42485808405</v>
      </c>
      <c r="K1136" s="1">
        <v>86.5</v>
      </c>
      <c r="L1136" s="1">
        <v>81.5</v>
      </c>
      <c r="M1136" s="1">
        <v>76.26782259426129</v>
      </c>
      <c r="N1136" s="1">
        <v>8486811</v>
      </c>
    </row>
    <row r="1137" spans="1:14" x14ac:dyDescent="0.35">
      <c r="A1137" s="1" t="s">
        <v>89</v>
      </c>
      <c r="B1137" s="1">
        <v>202504</v>
      </c>
      <c r="C1137" s="1" t="str">
        <f>MID(analisis_productividad__4[[#This Row],[Periodo]],1,4)</f>
        <v>2025</v>
      </c>
      <c r="D1137" s="1" t="str">
        <f>MID(analisis_productividad__4[[#This Row],[Periodo]],5,2)</f>
        <v>04</v>
      </c>
      <c r="E1137" s="1" t="s">
        <v>9</v>
      </c>
      <c r="F1137" s="1" t="s">
        <v>9</v>
      </c>
      <c r="G1137" s="1">
        <v>89315</v>
      </c>
      <c r="H1137" s="1">
        <v>1000023</v>
      </c>
      <c r="I1137" s="1">
        <v>11.196597222222225</v>
      </c>
      <c r="J1137" s="1">
        <v>62960.405917186406</v>
      </c>
      <c r="K1137" s="1">
        <v>17</v>
      </c>
      <c r="L1137" s="1">
        <v>13.5</v>
      </c>
      <c r="M1137" s="1">
        <v>15.883362971251465</v>
      </c>
      <c r="N1137" s="1">
        <v>1104646</v>
      </c>
    </row>
    <row r="1138" spans="1:14" x14ac:dyDescent="0.35">
      <c r="A1138" s="1" t="s">
        <v>97</v>
      </c>
      <c r="B1138" s="1">
        <v>202511</v>
      </c>
      <c r="C1138" s="1" t="str">
        <f>MID(analisis_productividad__4[[#This Row],[Periodo]],1,4)</f>
        <v>2025</v>
      </c>
      <c r="D1138" s="1" t="str">
        <f>MID(analisis_productividad__4[[#This Row],[Periodo]],5,2)</f>
        <v>11</v>
      </c>
      <c r="E1138" s="1" t="s">
        <v>11</v>
      </c>
      <c r="F1138" s="1" t="s">
        <v>12</v>
      </c>
      <c r="G1138" s="1">
        <v>89267</v>
      </c>
      <c r="H1138" s="1">
        <v>4726245</v>
      </c>
      <c r="I1138" s="1">
        <v>52.945229166666692</v>
      </c>
      <c r="J1138" s="1">
        <v>85082.982803407271</v>
      </c>
      <c r="K1138" s="1">
        <v>66.5</v>
      </c>
      <c r="L1138" s="1">
        <v>63.5</v>
      </c>
      <c r="M1138" s="1">
        <v>55.548654787061963</v>
      </c>
      <c r="N1138" s="1">
        <v>4875858</v>
      </c>
    </row>
    <row r="1139" spans="1:14" x14ac:dyDescent="0.35">
      <c r="A1139" s="1" t="s">
        <v>88</v>
      </c>
      <c r="B1139" s="1">
        <v>202603</v>
      </c>
      <c r="C1139" s="1" t="str">
        <f>MID(analisis_productividad__4[[#This Row],[Periodo]],1,4)</f>
        <v>2026</v>
      </c>
      <c r="D1139" s="1" t="str">
        <f>MID(analisis_productividad__4[[#This Row],[Periodo]],5,2)</f>
        <v>03</v>
      </c>
      <c r="E1139" s="1" t="s">
        <v>34</v>
      </c>
      <c r="F1139" s="1" t="s">
        <v>35</v>
      </c>
      <c r="G1139" s="1">
        <v>89209</v>
      </c>
      <c r="H1139" s="1">
        <v>1236118</v>
      </c>
      <c r="I1139" s="1">
        <v>13.856471774193544</v>
      </c>
      <c r="J1139" s="1">
        <v>89093.964351180693</v>
      </c>
      <c r="K1139" s="1">
        <v>15.5</v>
      </c>
      <c r="L1139" s="1">
        <v>14.5</v>
      </c>
      <c r="M1139" s="1">
        <v>13.971887755419019</v>
      </c>
      <c r="N1139" s="1">
        <v>1244811</v>
      </c>
    </row>
    <row r="1140" spans="1:14" x14ac:dyDescent="0.35">
      <c r="A1140" s="1" t="s">
        <v>75</v>
      </c>
      <c r="B1140" s="1">
        <v>202410</v>
      </c>
      <c r="C1140" s="1" t="str">
        <f>MID(analisis_productividad__4[[#This Row],[Periodo]],1,4)</f>
        <v>2024</v>
      </c>
      <c r="D1140" s="1" t="str">
        <f>MID(analisis_productividad__4[[#This Row],[Periodo]],5,2)</f>
        <v>10</v>
      </c>
      <c r="E1140" s="1" t="s">
        <v>11</v>
      </c>
      <c r="F1140" s="1" t="s">
        <v>52</v>
      </c>
      <c r="G1140" s="1">
        <v>89206</v>
      </c>
      <c r="H1140" s="1">
        <v>9117490</v>
      </c>
      <c r="I1140" s="1">
        <v>102.20691532258061</v>
      </c>
      <c r="J1140" s="1">
        <v>0</v>
      </c>
      <c r="K1140" s="1">
        <v>118</v>
      </c>
      <c r="L1140" s="1">
        <v>106</v>
      </c>
      <c r="M1140" s="1"/>
      <c r="N1140" s="1">
        <v>0</v>
      </c>
    </row>
    <row r="1141" spans="1:14" x14ac:dyDescent="0.35">
      <c r="A1141" s="1" t="s">
        <v>40</v>
      </c>
      <c r="B1141" s="1">
        <v>202405</v>
      </c>
      <c r="C1141" s="1" t="str">
        <f>MID(analisis_productividad__4[[#This Row],[Periodo]],1,4)</f>
        <v>2024</v>
      </c>
      <c r="D1141" s="1" t="str">
        <f>MID(analisis_productividad__4[[#This Row],[Periodo]],5,2)</f>
        <v>05</v>
      </c>
      <c r="E1141" s="1" t="s">
        <v>11</v>
      </c>
      <c r="F1141" s="1" t="s">
        <v>14</v>
      </c>
      <c r="G1141" s="1">
        <v>89175</v>
      </c>
      <c r="H1141" s="1">
        <v>6167177</v>
      </c>
      <c r="I1141" s="1">
        <v>69.158024193548414</v>
      </c>
      <c r="J1141" s="1">
        <v>0</v>
      </c>
      <c r="K1141" s="1">
        <v>76.5</v>
      </c>
      <c r="L1141" s="1">
        <v>75.5</v>
      </c>
      <c r="M1141" s="1"/>
      <c r="N1141" s="1">
        <v>0</v>
      </c>
    </row>
    <row r="1142" spans="1:14" x14ac:dyDescent="0.35">
      <c r="A1142" s="1" t="s">
        <v>77</v>
      </c>
      <c r="B1142" s="1">
        <v>202511</v>
      </c>
      <c r="C1142" s="1" t="str">
        <f>MID(analisis_productividad__4[[#This Row],[Periodo]],1,4)</f>
        <v>2025</v>
      </c>
      <c r="D1142" s="1" t="str">
        <f>MID(analisis_productividad__4[[#This Row],[Periodo]],5,2)</f>
        <v>11</v>
      </c>
      <c r="E1142" s="1" t="s">
        <v>16</v>
      </c>
      <c r="F1142" s="1" t="s">
        <v>21</v>
      </c>
      <c r="G1142" s="1">
        <v>89152</v>
      </c>
      <c r="H1142" s="1">
        <v>4710518</v>
      </c>
      <c r="I1142" s="1">
        <v>52.83716666666669</v>
      </c>
      <c r="J1142" s="1">
        <v>75332.840128254815</v>
      </c>
      <c r="K1142" s="1">
        <v>60.5</v>
      </c>
      <c r="L1142" s="1">
        <v>60.5</v>
      </c>
      <c r="M1142" s="1">
        <v>62.529403935658124</v>
      </c>
      <c r="N1142" s="1">
        <v>4702326</v>
      </c>
    </row>
    <row r="1143" spans="1:14" x14ac:dyDescent="0.35">
      <c r="A1143" s="1" t="s">
        <v>81</v>
      </c>
      <c r="B1143" s="1">
        <v>202403</v>
      </c>
      <c r="C1143" s="1" t="str">
        <f>MID(analisis_productividad__4[[#This Row],[Periodo]],1,4)</f>
        <v>2024</v>
      </c>
      <c r="D1143" s="1" t="str">
        <f>MID(analisis_productividad__4[[#This Row],[Periodo]],5,2)</f>
        <v>03</v>
      </c>
      <c r="E1143" s="1" t="s">
        <v>34</v>
      </c>
      <c r="F1143" s="1" t="s">
        <v>35</v>
      </c>
      <c r="G1143" s="1">
        <v>89108</v>
      </c>
      <c r="H1143" s="1">
        <v>8059338</v>
      </c>
      <c r="I1143" s="1">
        <v>90.444139784946188</v>
      </c>
      <c r="J1143" s="1">
        <v>0</v>
      </c>
      <c r="K1143" s="1">
        <v>106</v>
      </c>
      <c r="L1143" s="1">
        <v>94.5</v>
      </c>
      <c r="M1143" s="1"/>
      <c r="N1143" s="1">
        <v>0</v>
      </c>
    </row>
    <row r="1144" spans="1:14" x14ac:dyDescent="0.35">
      <c r="A1144" s="1" t="s">
        <v>48</v>
      </c>
      <c r="B1144" s="1">
        <v>202504</v>
      </c>
      <c r="C1144" s="1" t="str">
        <f>MID(analisis_productividad__4[[#This Row],[Periodo]],1,4)</f>
        <v>2025</v>
      </c>
      <c r="D1144" s="1" t="str">
        <f>MID(analisis_productividad__4[[#This Row],[Periodo]],5,2)</f>
        <v>04</v>
      </c>
      <c r="E1144" s="1" t="s">
        <v>16</v>
      </c>
      <c r="F1144" s="1" t="s">
        <v>21</v>
      </c>
      <c r="G1144" s="1">
        <v>89108</v>
      </c>
      <c r="H1144" s="1">
        <v>4761071</v>
      </c>
      <c r="I1144" s="1">
        <v>53.43046527777777</v>
      </c>
      <c r="J1144" s="1">
        <v>64479.660279576317</v>
      </c>
      <c r="K1144" s="1">
        <v>56</v>
      </c>
      <c r="L1144" s="1">
        <v>60</v>
      </c>
      <c r="M1144" s="1">
        <v>73.838337071823105</v>
      </c>
      <c r="N1144" s="1">
        <v>4031746</v>
      </c>
    </row>
    <row r="1145" spans="1:14" x14ac:dyDescent="0.35">
      <c r="A1145" s="1" t="s">
        <v>42</v>
      </c>
      <c r="B1145" s="1">
        <v>202508</v>
      </c>
      <c r="C1145" s="1" t="str">
        <f>MID(analisis_productividad__4[[#This Row],[Periodo]],1,4)</f>
        <v>2025</v>
      </c>
      <c r="D1145" s="1" t="str">
        <f>MID(analisis_productividad__4[[#This Row],[Periodo]],5,2)</f>
        <v>08</v>
      </c>
      <c r="E1145" s="1" t="s">
        <v>16</v>
      </c>
      <c r="F1145" s="1" t="s">
        <v>19</v>
      </c>
      <c r="G1145" s="1">
        <v>89047</v>
      </c>
      <c r="H1145" s="1">
        <v>4867322</v>
      </c>
      <c r="I1145" s="1">
        <v>54.660073924731194</v>
      </c>
      <c r="J1145" s="1">
        <v>83535.471313357732</v>
      </c>
      <c r="K1145" s="1">
        <v>62</v>
      </c>
      <c r="L1145" s="1">
        <v>58</v>
      </c>
      <c r="M1145" s="1">
        <v>58.266525746191505</v>
      </c>
      <c r="N1145" s="1">
        <v>4749745</v>
      </c>
    </row>
    <row r="1146" spans="1:14" x14ac:dyDescent="0.35">
      <c r="A1146" s="1" t="s">
        <v>43</v>
      </c>
      <c r="B1146" s="1">
        <v>202411</v>
      </c>
      <c r="C1146" s="1" t="str">
        <f>MID(analisis_productividad__4[[#This Row],[Periodo]],1,4)</f>
        <v>2024</v>
      </c>
      <c r="D1146" s="1" t="str">
        <f>MID(analisis_productividad__4[[#This Row],[Periodo]],5,2)</f>
        <v>11</v>
      </c>
      <c r="E1146" s="1" t="s">
        <v>11</v>
      </c>
      <c r="F1146" s="1" t="s">
        <v>12</v>
      </c>
      <c r="G1146" s="1">
        <v>89036</v>
      </c>
      <c r="H1146" s="1">
        <v>7014573</v>
      </c>
      <c r="I1146" s="1">
        <v>78.783833333333362</v>
      </c>
      <c r="J1146" s="1">
        <v>0</v>
      </c>
      <c r="K1146" s="1">
        <v>84.5</v>
      </c>
      <c r="L1146" s="1">
        <v>86.5</v>
      </c>
      <c r="M1146" s="1"/>
      <c r="N1146" s="1">
        <v>0</v>
      </c>
    </row>
    <row r="1147" spans="1:14" x14ac:dyDescent="0.35">
      <c r="A1147" s="1" t="s">
        <v>25</v>
      </c>
      <c r="B1147" s="1">
        <v>202401</v>
      </c>
      <c r="C1147" s="1" t="str">
        <f>MID(analisis_productividad__4[[#This Row],[Periodo]],1,4)</f>
        <v>2024</v>
      </c>
      <c r="D1147" s="1" t="str">
        <f>MID(analisis_productividad__4[[#This Row],[Periodo]],5,2)</f>
        <v>01</v>
      </c>
      <c r="E1147" s="1" t="s">
        <v>16</v>
      </c>
      <c r="F1147" s="1" t="s">
        <v>19</v>
      </c>
      <c r="G1147" s="1">
        <v>89033</v>
      </c>
      <c r="H1147" s="1">
        <v>7178563</v>
      </c>
      <c r="I1147" s="1">
        <v>80.627862903225804</v>
      </c>
      <c r="J1147" s="1">
        <v>0</v>
      </c>
      <c r="K1147" s="1">
        <v>94</v>
      </c>
      <c r="L1147" s="1">
        <v>92</v>
      </c>
      <c r="M1147" s="1"/>
      <c r="N1147" s="1">
        <v>0</v>
      </c>
    </row>
    <row r="1148" spans="1:14" x14ac:dyDescent="0.35">
      <c r="A1148" s="1" t="s">
        <v>20</v>
      </c>
      <c r="B1148" s="1">
        <v>202504</v>
      </c>
      <c r="C1148" s="1" t="str">
        <f>MID(analisis_productividad__4[[#This Row],[Periodo]],1,4)</f>
        <v>2025</v>
      </c>
      <c r="D1148" s="1" t="str">
        <f>MID(analisis_productividad__4[[#This Row],[Periodo]],5,2)</f>
        <v>04</v>
      </c>
      <c r="E1148" s="1" t="s">
        <v>16</v>
      </c>
      <c r="F1148" s="1" t="s">
        <v>21</v>
      </c>
      <c r="G1148" s="1">
        <v>89000</v>
      </c>
      <c r="H1148" s="1">
        <v>8281450</v>
      </c>
      <c r="I1148" s="1">
        <v>93.050416666666692</v>
      </c>
      <c r="J1148" s="1">
        <v>90831.096293284267</v>
      </c>
      <c r="K1148" s="1">
        <v>96.5</v>
      </c>
      <c r="L1148" s="1">
        <v>94</v>
      </c>
      <c r="M1148" s="1">
        <v>91.174167415749906</v>
      </c>
      <c r="N1148" s="1">
        <v>8301415</v>
      </c>
    </row>
    <row r="1149" spans="1:14" x14ac:dyDescent="0.35">
      <c r="A1149" s="1" t="s">
        <v>94</v>
      </c>
      <c r="B1149" s="1">
        <v>202508</v>
      </c>
      <c r="C1149" s="1" t="str">
        <f>MID(analisis_productividad__4[[#This Row],[Periodo]],1,4)</f>
        <v>2025</v>
      </c>
      <c r="D1149" s="1" t="str">
        <f>MID(analisis_productividad__4[[#This Row],[Periodo]],5,2)</f>
        <v>08</v>
      </c>
      <c r="E1149" s="1" t="s">
        <v>11</v>
      </c>
      <c r="F1149" s="1" t="s">
        <v>52</v>
      </c>
      <c r="G1149" s="1">
        <v>88996</v>
      </c>
      <c r="H1149" s="1">
        <v>4861639</v>
      </c>
      <c r="I1149" s="1">
        <v>54.627802419354865</v>
      </c>
      <c r="J1149" s="1">
        <v>81699.26391442983</v>
      </c>
      <c r="K1149" s="1">
        <v>75.5</v>
      </c>
      <c r="L1149" s="1">
        <v>70.5</v>
      </c>
      <c r="M1149" s="1">
        <v>59.506516302178476</v>
      </c>
      <c r="N1149" s="1">
        <v>5490370</v>
      </c>
    </row>
    <row r="1150" spans="1:14" x14ac:dyDescent="0.35">
      <c r="A1150" s="1" t="s">
        <v>28</v>
      </c>
      <c r="B1150" s="1">
        <v>202502</v>
      </c>
      <c r="C1150" s="1" t="str">
        <f>MID(analisis_productividad__4[[#This Row],[Periodo]],1,4)</f>
        <v>2025</v>
      </c>
      <c r="D1150" s="1" t="str">
        <f>MID(analisis_productividad__4[[#This Row],[Periodo]],5,2)</f>
        <v>02</v>
      </c>
      <c r="E1150" s="1" t="s">
        <v>16</v>
      </c>
      <c r="F1150" s="1" t="s">
        <v>17</v>
      </c>
      <c r="G1150" s="1">
        <v>88964</v>
      </c>
      <c r="H1150" s="1">
        <v>5349294</v>
      </c>
      <c r="I1150" s="1">
        <v>60.128802083333348</v>
      </c>
      <c r="J1150" s="1">
        <v>116959.17389401076</v>
      </c>
      <c r="K1150" s="1">
        <v>64</v>
      </c>
      <c r="L1150" s="1">
        <v>67</v>
      </c>
      <c r="M1150" s="1">
        <v>45.736419657405996</v>
      </c>
      <c r="N1150" s="1">
        <v>5793568</v>
      </c>
    </row>
    <row r="1151" spans="1:14" x14ac:dyDescent="0.35">
      <c r="A1151" s="1" t="s">
        <v>48</v>
      </c>
      <c r="B1151" s="1">
        <v>202511</v>
      </c>
      <c r="C1151" s="1" t="str">
        <f>MID(analisis_productividad__4[[#This Row],[Periodo]],1,4)</f>
        <v>2025</v>
      </c>
      <c r="D1151" s="1" t="str">
        <f>MID(analisis_productividad__4[[#This Row],[Periodo]],5,2)</f>
        <v>11</v>
      </c>
      <c r="E1151" s="1" t="s">
        <v>16</v>
      </c>
      <c r="F1151" s="1" t="s">
        <v>21</v>
      </c>
      <c r="G1151" s="1">
        <v>88948</v>
      </c>
      <c r="H1151" s="1">
        <v>4609139</v>
      </c>
      <c r="I1151" s="1">
        <v>51.818423611111093</v>
      </c>
      <c r="J1151" s="1">
        <v>63112.758670106545</v>
      </c>
      <c r="K1151" s="1">
        <v>56</v>
      </c>
      <c r="L1151" s="1">
        <v>60</v>
      </c>
      <c r="M1151" s="1">
        <v>73.030226013288271</v>
      </c>
      <c r="N1151" s="1">
        <v>4011253</v>
      </c>
    </row>
    <row r="1152" spans="1:14" x14ac:dyDescent="0.35">
      <c r="A1152" s="1" t="s">
        <v>18</v>
      </c>
      <c r="B1152" s="1">
        <v>202502</v>
      </c>
      <c r="C1152" s="1" t="str">
        <f>MID(analisis_productividad__4[[#This Row],[Periodo]],1,4)</f>
        <v>2025</v>
      </c>
      <c r="D1152" s="1" t="str">
        <f>MID(analisis_productividad__4[[#This Row],[Periodo]],5,2)</f>
        <v>02</v>
      </c>
      <c r="E1152" s="1" t="s">
        <v>16</v>
      </c>
      <c r="F1152" s="1" t="s">
        <v>19</v>
      </c>
      <c r="G1152" s="1">
        <v>88940</v>
      </c>
      <c r="H1152" s="1">
        <v>5965040</v>
      </c>
      <c r="I1152" s="1">
        <v>67.067916666666676</v>
      </c>
      <c r="J1152" s="1">
        <v>91141.834972849072</v>
      </c>
      <c r="K1152" s="1">
        <v>70.5</v>
      </c>
      <c r="L1152" s="1">
        <v>69.5</v>
      </c>
      <c r="M1152" s="1">
        <v>65.447881006312528</v>
      </c>
      <c r="N1152" s="1">
        <v>5477118</v>
      </c>
    </row>
    <row r="1153" spans="1:14" x14ac:dyDescent="0.35">
      <c r="A1153" s="1" t="s">
        <v>88</v>
      </c>
      <c r="B1153" s="1">
        <v>202411</v>
      </c>
      <c r="C1153" s="1" t="str">
        <f>MID(analisis_productividad__4[[#This Row],[Periodo]],1,4)</f>
        <v>2024</v>
      </c>
      <c r="D1153" s="1" t="str">
        <f>MID(analisis_productividad__4[[#This Row],[Periodo]],5,2)</f>
        <v>11</v>
      </c>
      <c r="E1153" s="1" t="s">
        <v>34</v>
      </c>
      <c r="F1153" s="1" t="s">
        <v>35</v>
      </c>
      <c r="G1153" s="1">
        <v>88938</v>
      </c>
      <c r="H1153" s="1">
        <v>1013930</v>
      </c>
      <c r="I1153" s="1">
        <v>11.400375000000002</v>
      </c>
      <c r="J1153" s="1">
        <v>0</v>
      </c>
      <c r="K1153" s="1">
        <v>15.5</v>
      </c>
      <c r="L1153" s="1">
        <v>14.5</v>
      </c>
      <c r="M1153" s="1"/>
      <c r="N1153" s="1">
        <v>0</v>
      </c>
    </row>
    <row r="1154" spans="1:14" x14ac:dyDescent="0.35">
      <c r="A1154" s="1" t="s">
        <v>40</v>
      </c>
      <c r="B1154" s="1">
        <v>202401</v>
      </c>
      <c r="C1154" s="1" t="str">
        <f>MID(analisis_productividad__4[[#This Row],[Periodo]],1,4)</f>
        <v>2024</v>
      </c>
      <c r="D1154" s="1" t="str">
        <f>MID(analisis_productividad__4[[#This Row],[Periodo]],5,2)</f>
        <v>01</v>
      </c>
      <c r="E1154" s="1" t="s">
        <v>11</v>
      </c>
      <c r="F1154" s="1" t="s">
        <v>14</v>
      </c>
      <c r="G1154" s="1">
        <v>88937</v>
      </c>
      <c r="H1154" s="1">
        <v>6225525</v>
      </c>
      <c r="I1154" s="1">
        <v>69.999435483870968</v>
      </c>
      <c r="J1154" s="1">
        <v>0</v>
      </c>
      <c r="K1154" s="1">
        <v>76.5</v>
      </c>
      <c r="L1154" s="1">
        <v>75.5</v>
      </c>
      <c r="M1154" s="1"/>
      <c r="N1154" s="1">
        <v>0</v>
      </c>
    </row>
    <row r="1155" spans="1:14" x14ac:dyDescent="0.35">
      <c r="A1155" s="1" t="s">
        <v>44</v>
      </c>
      <c r="B1155" s="1">
        <v>202606</v>
      </c>
      <c r="C1155" s="1" t="str">
        <f>MID(analisis_productividad__4[[#This Row],[Periodo]],1,4)</f>
        <v>2026</v>
      </c>
      <c r="D1155" s="1" t="str">
        <f>MID(analisis_productividad__4[[#This Row],[Periodo]],5,2)</f>
        <v>06</v>
      </c>
      <c r="E1155" s="1" t="s">
        <v>11</v>
      </c>
      <c r="F1155" s="1" t="s">
        <v>12</v>
      </c>
      <c r="G1155" s="1">
        <v>88921</v>
      </c>
      <c r="H1155" s="1">
        <v>5656095</v>
      </c>
      <c r="I1155" s="1">
        <v>63.60783333333481</v>
      </c>
      <c r="J1155" s="1">
        <v>82387.837409259446</v>
      </c>
      <c r="K1155" s="1">
        <v>78</v>
      </c>
      <c r="L1155" s="1">
        <v>74.5</v>
      </c>
      <c r="M1155" s="1">
        <v>66.954795775232199</v>
      </c>
      <c r="N1155" s="1">
        <v>5516261</v>
      </c>
    </row>
    <row r="1156" spans="1:14" x14ac:dyDescent="0.35">
      <c r="A1156" s="1" t="s">
        <v>68</v>
      </c>
      <c r="B1156" s="1">
        <v>202601</v>
      </c>
      <c r="C1156" s="1" t="str">
        <f>MID(analisis_productividad__4[[#This Row],[Periodo]],1,4)</f>
        <v>2026</v>
      </c>
      <c r="D1156" s="1" t="str">
        <f>MID(analisis_productividad__4[[#This Row],[Periodo]],5,2)</f>
        <v>01</v>
      </c>
      <c r="E1156" s="1" t="s">
        <v>11</v>
      </c>
      <c r="F1156" s="1" t="s">
        <v>52</v>
      </c>
      <c r="G1156" s="1">
        <v>88915</v>
      </c>
      <c r="H1156" s="1">
        <v>7702672</v>
      </c>
      <c r="I1156" s="1">
        <v>86.629704301075307</v>
      </c>
      <c r="J1156" s="1">
        <v>99634.457811982516</v>
      </c>
      <c r="K1156" s="1">
        <v>103</v>
      </c>
      <c r="L1156" s="1">
        <v>91</v>
      </c>
      <c r="M1156" s="1">
        <v>85.91077884372821</v>
      </c>
      <c r="N1156" s="1">
        <v>8559674</v>
      </c>
    </row>
    <row r="1157" spans="1:14" x14ac:dyDescent="0.35">
      <c r="A1157" s="1" t="s">
        <v>46</v>
      </c>
      <c r="B1157" s="1">
        <v>202502</v>
      </c>
      <c r="C1157" s="1" t="str">
        <f>MID(analisis_productividad__4[[#This Row],[Periodo]],1,4)</f>
        <v>2025</v>
      </c>
      <c r="D1157" s="1" t="str">
        <f>MID(analisis_productividad__4[[#This Row],[Periodo]],5,2)</f>
        <v>02</v>
      </c>
      <c r="E1157" s="1" t="s">
        <v>11</v>
      </c>
      <c r="F1157" s="1" t="s">
        <v>14</v>
      </c>
      <c r="G1157" s="1">
        <v>88914</v>
      </c>
      <c r="H1157" s="1">
        <v>6340296</v>
      </c>
      <c r="I1157" s="1">
        <v>71.308437499999997</v>
      </c>
      <c r="J1157" s="1">
        <v>94798.896940034872</v>
      </c>
      <c r="K1157" s="1">
        <v>77</v>
      </c>
      <c r="L1157" s="1">
        <v>79</v>
      </c>
      <c r="M1157" s="1">
        <v>66.881539075402529</v>
      </c>
      <c r="N1157" s="1">
        <v>5649831</v>
      </c>
    </row>
    <row r="1158" spans="1:14" x14ac:dyDescent="0.35">
      <c r="A1158" s="1" t="s">
        <v>30</v>
      </c>
      <c r="B1158" s="1">
        <v>202502</v>
      </c>
      <c r="C1158" s="1" t="str">
        <f>MID(analisis_productividad__4[[#This Row],[Periodo]],1,4)</f>
        <v>2025</v>
      </c>
      <c r="D1158" s="1" t="str">
        <f>MID(analisis_productividad__4[[#This Row],[Periodo]],5,2)</f>
        <v>02</v>
      </c>
      <c r="E1158" s="1" t="s">
        <v>16</v>
      </c>
      <c r="F1158" s="1" t="s">
        <v>19</v>
      </c>
      <c r="G1158" s="1">
        <v>88903</v>
      </c>
      <c r="H1158" s="1">
        <v>7931521</v>
      </c>
      <c r="I1158" s="1">
        <v>89.215156249999978</v>
      </c>
      <c r="J1158" s="1">
        <v>99841.650525266101</v>
      </c>
      <c r="K1158" s="1">
        <v>101</v>
      </c>
      <c r="L1158" s="1">
        <v>105</v>
      </c>
      <c r="M1158" s="1">
        <v>79.441007918762679</v>
      </c>
      <c r="N1158" s="1">
        <v>8362990</v>
      </c>
    </row>
    <row r="1159" spans="1:14" x14ac:dyDescent="0.35">
      <c r="A1159" s="1" t="s">
        <v>76</v>
      </c>
      <c r="B1159" s="1">
        <v>202602</v>
      </c>
      <c r="C1159" s="1" t="str">
        <f>MID(analisis_productividad__4[[#This Row],[Periodo]],1,4)</f>
        <v>2026</v>
      </c>
      <c r="D1159" s="1" t="str">
        <f>MID(analisis_productividad__4[[#This Row],[Periodo]],5,2)</f>
        <v>02</v>
      </c>
      <c r="E1159" s="1" t="s">
        <v>11</v>
      </c>
      <c r="F1159" s="1" t="s">
        <v>14</v>
      </c>
      <c r="G1159" s="1">
        <v>88873</v>
      </c>
      <c r="H1159" s="1">
        <v>6070053</v>
      </c>
      <c r="I1159" s="1">
        <v>68.300312500000004</v>
      </c>
      <c r="J1159" s="1">
        <v>88408.977671194254</v>
      </c>
      <c r="K1159" s="1">
        <v>80</v>
      </c>
      <c r="L1159" s="1">
        <v>78</v>
      </c>
      <c r="M1159" s="1">
        <v>69.114627897013889</v>
      </c>
      <c r="N1159" s="1">
        <v>6110354</v>
      </c>
    </row>
    <row r="1160" spans="1:14" x14ac:dyDescent="0.35">
      <c r="A1160" s="1" t="s">
        <v>88</v>
      </c>
      <c r="B1160" s="1">
        <v>202606</v>
      </c>
      <c r="C1160" s="1" t="str">
        <f>MID(analisis_productividad__4[[#This Row],[Periodo]],1,4)</f>
        <v>2026</v>
      </c>
      <c r="D1160" s="1" t="str">
        <f>MID(analisis_productividad__4[[#This Row],[Periodo]],5,2)</f>
        <v>06</v>
      </c>
      <c r="E1160" s="1" t="s">
        <v>34</v>
      </c>
      <c r="F1160" s="1" t="s">
        <v>35</v>
      </c>
      <c r="G1160" s="1">
        <v>88871</v>
      </c>
      <c r="H1160" s="1">
        <v>1148547</v>
      </c>
      <c r="I1160" s="1">
        <v>12.923701388888864</v>
      </c>
      <c r="J1160" s="1">
        <v>70758.329275624128</v>
      </c>
      <c r="K1160" s="1">
        <v>15.5</v>
      </c>
      <c r="L1160" s="1">
        <v>14.5</v>
      </c>
      <c r="M1160" s="1">
        <v>13.971887755419019</v>
      </c>
      <c r="N1160" s="1">
        <v>988627</v>
      </c>
    </row>
    <row r="1161" spans="1:14" x14ac:dyDescent="0.35">
      <c r="A1161" s="1" t="s">
        <v>24</v>
      </c>
      <c r="B1161" s="1">
        <v>202505</v>
      </c>
      <c r="C1161" s="1" t="str">
        <f>MID(analisis_productividad__4[[#This Row],[Periodo]],1,4)</f>
        <v>2025</v>
      </c>
      <c r="D1161" s="1" t="str">
        <f>MID(analisis_productividad__4[[#This Row],[Periodo]],5,2)</f>
        <v>05</v>
      </c>
      <c r="E1161" s="1" t="s">
        <v>16</v>
      </c>
      <c r="F1161" s="1" t="s">
        <v>21</v>
      </c>
      <c r="G1161" s="1">
        <v>88848</v>
      </c>
      <c r="H1161" s="1">
        <v>9890773</v>
      </c>
      <c r="I1161" s="1">
        <v>111.32272177419355</v>
      </c>
      <c r="J1161" s="1">
        <v>90358.485881147411</v>
      </c>
      <c r="K1161" s="1">
        <v>125</v>
      </c>
      <c r="L1161" s="1">
        <v>118.5</v>
      </c>
      <c r="M1161" s="1">
        <v>109.46147407792753</v>
      </c>
      <c r="N1161" s="1">
        <v>9373948</v>
      </c>
    </row>
    <row r="1162" spans="1:14" x14ac:dyDescent="0.35">
      <c r="A1162" s="1" t="s">
        <v>47</v>
      </c>
      <c r="B1162" s="1">
        <v>202601</v>
      </c>
      <c r="C1162" s="1" t="str">
        <f>MID(analisis_productividad__4[[#This Row],[Periodo]],1,4)</f>
        <v>2026</v>
      </c>
      <c r="D1162" s="1" t="str">
        <f>MID(analisis_productividad__4[[#This Row],[Periodo]],5,2)</f>
        <v>01</v>
      </c>
      <c r="E1162" s="1" t="s">
        <v>11</v>
      </c>
      <c r="F1162" s="1" t="s">
        <v>14</v>
      </c>
      <c r="G1162" s="1">
        <v>88817</v>
      </c>
      <c r="H1162" s="1">
        <v>4354373</v>
      </c>
      <c r="I1162" s="1">
        <v>49.026344086021524</v>
      </c>
      <c r="J1162" s="1">
        <v>89835.033702776622</v>
      </c>
      <c r="K1162" s="1">
        <v>61.5</v>
      </c>
      <c r="L1162" s="1">
        <v>48.5</v>
      </c>
      <c r="M1162" s="1">
        <v>53.715920394326645</v>
      </c>
      <c r="N1162" s="1">
        <v>4825572</v>
      </c>
    </row>
    <row r="1163" spans="1:14" x14ac:dyDescent="0.35">
      <c r="A1163" s="1" t="s">
        <v>22</v>
      </c>
      <c r="B1163" s="1">
        <v>202411</v>
      </c>
      <c r="C1163" s="1" t="str">
        <f>MID(analisis_productividad__4[[#This Row],[Periodo]],1,4)</f>
        <v>2024</v>
      </c>
      <c r="D1163" s="1" t="str">
        <f>MID(analisis_productividad__4[[#This Row],[Periodo]],5,2)</f>
        <v>11</v>
      </c>
      <c r="E1163" s="1" t="s">
        <v>16</v>
      </c>
      <c r="F1163" s="1" t="s">
        <v>21</v>
      </c>
      <c r="G1163" s="1">
        <v>88813</v>
      </c>
      <c r="H1163" s="1">
        <v>4757462</v>
      </c>
      <c r="I1163" s="1">
        <v>53.567062499999999</v>
      </c>
      <c r="J1163" s="1">
        <v>0</v>
      </c>
      <c r="K1163" s="1">
        <v>59.5</v>
      </c>
      <c r="L1163" s="1">
        <v>55.5</v>
      </c>
      <c r="M1163" s="1"/>
      <c r="N1163" s="1">
        <v>0</v>
      </c>
    </row>
    <row r="1164" spans="1:14" x14ac:dyDescent="0.35">
      <c r="A1164" s="1" t="s">
        <v>81</v>
      </c>
      <c r="B1164" s="1">
        <v>202401</v>
      </c>
      <c r="C1164" s="1" t="str">
        <f>MID(analisis_productividad__4[[#This Row],[Periodo]],1,4)</f>
        <v>2024</v>
      </c>
      <c r="D1164" s="1" t="str">
        <f>MID(analisis_productividad__4[[#This Row],[Periodo]],5,2)</f>
        <v>01</v>
      </c>
      <c r="E1164" s="1" t="s">
        <v>34</v>
      </c>
      <c r="F1164" s="1" t="s">
        <v>35</v>
      </c>
      <c r="G1164" s="1">
        <v>88779</v>
      </c>
      <c r="H1164" s="1">
        <v>7380550</v>
      </c>
      <c r="I1164" s="1">
        <v>83.133749999999949</v>
      </c>
      <c r="J1164" s="1">
        <v>0</v>
      </c>
      <c r="K1164" s="1">
        <v>106</v>
      </c>
      <c r="L1164" s="1">
        <v>94.5</v>
      </c>
      <c r="M1164" s="1"/>
      <c r="N1164" s="1">
        <v>0</v>
      </c>
    </row>
    <row r="1165" spans="1:14" x14ac:dyDescent="0.35">
      <c r="A1165" s="1" t="s">
        <v>42</v>
      </c>
      <c r="B1165" s="1">
        <v>202401</v>
      </c>
      <c r="C1165" s="1" t="str">
        <f>MID(analisis_productividad__4[[#This Row],[Periodo]],1,4)</f>
        <v>2024</v>
      </c>
      <c r="D1165" s="1" t="str">
        <f>MID(analisis_productividad__4[[#This Row],[Periodo]],5,2)</f>
        <v>01</v>
      </c>
      <c r="E1165" s="1" t="s">
        <v>16</v>
      </c>
      <c r="F1165" s="1" t="s">
        <v>19</v>
      </c>
      <c r="G1165" s="1">
        <v>88769</v>
      </c>
      <c r="H1165" s="1">
        <v>5145529</v>
      </c>
      <c r="I1165" s="1">
        <v>57.965221774193537</v>
      </c>
      <c r="J1165" s="1">
        <v>0</v>
      </c>
      <c r="K1165" s="1">
        <v>62</v>
      </c>
      <c r="L1165" s="1">
        <v>58</v>
      </c>
      <c r="M1165" s="1"/>
      <c r="N1165" s="1">
        <v>0</v>
      </c>
    </row>
    <row r="1166" spans="1:14" x14ac:dyDescent="0.35">
      <c r="A1166" s="1" t="s">
        <v>22</v>
      </c>
      <c r="B1166" s="1">
        <v>202408</v>
      </c>
      <c r="C1166" s="1" t="str">
        <f>MID(analisis_productividad__4[[#This Row],[Periodo]],1,4)</f>
        <v>2024</v>
      </c>
      <c r="D1166" s="1" t="str">
        <f>MID(analisis_productividad__4[[#This Row],[Periodo]],5,2)</f>
        <v>08</v>
      </c>
      <c r="E1166" s="1" t="s">
        <v>16</v>
      </c>
      <c r="F1166" s="1" t="s">
        <v>21</v>
      </c>
      <c r="G1166" s="1">
        <v>88766</v>
      </c>
      <c r="H1166" s="1">
        <v>4955365</v>
      </c>
      <c r="I1166" s="1">
        <v>55.825282258064505</v>
      </c>
      <c r="J1166" s="1">
        <v>0</v>
      </c>
      <c r="K1166" s="1">
        <v>59.5</v>
      </c>
      <c r="L1166" s="1">
        <v>55.5</v>
      </c>
      <c r="M1166" s="1"/>
      <c r="N1166" s="1">
        <v>0</v>
      </c>
    </row>
    <row r="1167" spans="1:14" x14ac:dyDescent="0.35">
      <c r="A1167" s="1" t="s">
        <v>57</v>
      </c>
      <c r="B1167" s="1">
        <v>202601</v>
      </c>
      <c r="C1167" s="1" t="str">
        <f>MID(analisis_productividad__4[[#This Row],[Periodo]],1,4)</f>
        <v>2026</v>
      </c>
      <c r="D1167" s="1" t="str">
        <f>MID(analisis_productividad__4[[#This Row],[Periodo]],5,2)</f>
        <v>01</v>
      </c>
      <c r="E1167" s="1" t="s">
        <v>16</v>
      </c>
      <c r="F1167" s="1" t="s">
        <v>19</v>
      </c>
      <c r="G1167" s="1">
        <v>88742</v>
      </c>
      <c r="H1167" s="1">
        <v>5892825</v>
      </c>
      <c r="I1167" s="1">
        <v>66.40384408602155</v>
      </c>
      <c r="J1167" s="1">
        <v>100910.39272850117</v>
      </c>
      <c r="K1167" s="1">
        <v>71</v>
      </c>
      <c r="L1167" s="1">
        <v>74.5</v>
      </c>
      <c r="M1167" s="1">
        <v>62.681117153293116</v>
      </c>
      <c r="N1167" s="1">
        <v>6325176</v>
      </c>
    </row>
    <row r="1168" spans="1:14" x14ac:dyDescent="0.35">
      <c r="A1168" s="1" t="s">
        <v>81</v>
      </c>
      <c r="B1168" s="1">
        <v>202604</v>
      </c>
      <c r="C1168" s="1" t="str">
        <f>MID(analisis_productividad__4[[#This Row],[Periodo]],1,4)</f>
        <v>2026</v>
      </c>
      <c r="D1168" s="1" t="str">
        <f>MID(analisis_productividad__4[[#This Row],[Periodo]],5,2)</f>
        <v>04</v>
      </c>
      <c r="E1168" s="1" t="s">
        <v>34</v>
      </c>
      <c r="F1168" s="1" t="s">
        <v>35</v>
      </c>
      <c r="G1168" s="1">
        <v>88733</v>
      </c>
      <c r="H1168" s="1">
        <v>7788630</v>
      </c>
      <c r="I1168" s="1">
        <v>87.776013888890731</v>
      </c>
      <c r="J1168" s="1">
        <v>86102.564309229667</v>
      </c>
      <c r="K1168" s="1">
        <v>106</v>
      </c>
      <c r="L1168" s="1">
        <v>94.5</v>
      </c>
      <c r="M1168" s="1">
        <v>88.413034538205707</v>
      </c>
      <c r="N1168" s="1">
        <v>7612589</v>
      </c>
    </row>
    <row r="1169" spans="1:14" x14ac:dyDescent="0.35">
      <c r="A1169" s="1" t="s">
        <v>77</v>
      </c>
      <c r="B1169" s="1">
        <v>202503</v>
      </c>
      <c r="C1169" s="1" t="str">
        <f>MID(analisis_productividad__4[[#This Row],[Periodo]],1,4)</f>
        <v>2025</v>
      </c>
      <c r="D1169" s="1" t="str">
        <f>MID(analisis_productividad__4[[#This Row],[Periodo]],5,2)</f>
        <v>03</v>
      </c>
      <c r="E1169" s="1" t="s">
        <v>16</v>
      </c>
      <c r="F1169" s="1" t="s">
        <v>21</v>
      </c>
      <c r="G1169" s="1">
        <v>88729</v>
      </c>
      <c r="H1169" s="1">
        <v>5049665</v>
      </c>
      <c r="I1169" s="1">
        <v>56.911129032258039</v>
      </c>
      <c r="J1169" s="1">
        <v>90374.979717185692</v>
      </c>
      <c r="K1169" s="1">
        <v>60.5</v>
      </c>
      <c r="L1169" s="1">
        <v>60.5</v>
      </c>
      <c r="M1169" s="1">
        <v>55.874585928562638</v>
      </c>
      <c r="N1169" s="1">
        <v>6601552</v>
      </c>
    </row>
    <row r="1170" spans="1:14" x14ac:dyDescent="0.35">
      <c r="A1170" s="1" t="s">
        <v>20</v>
      </c>
      <c r="B1170" s="1">
        <v>202409</v>
      </c>
      <c r="C1170" s="1" t="str">
        <f>MID(analisis_productividad__4[[#This Row],[Periodo]],1,4)</f>
        <v>2024</v>
      </c>
      <c r="D1170" s="1" t="str">
        <f>MID(analisis_productividad__4[[#This Row],[Periodo]],5,2)</f>
        <v>09</v>
      </c>
      <c r="E1170" s="1" t="s">
        <v>16</v>
      </c>
      <c r="F1170" s="1" t="s">
        <v>21</v>
      </c>
      <c r="G1170" s="1">
        <v>88626</v>
      </c>
      <c r="H1170" s="1">
        <v>7493896</v>
      </c>
      <c r="I1170" s="1">
        <v>84.5567430555556</v>
      </c>
      <c r="J1170" s="1">
        <v>0</v>
      </c>
      <c r="K1170" s="1">
        <v>96.5</v>
      </c>
      <c r="L1170" s="1">
        <v>94</v>
      </c>
      <c r="M1170" s="1"/>
      <c r="N1170" s="1">
        <v>0</v>
      </c>
    </row>
    <row r="1171" spans="1:14" x14ac:dyDescent="0.35">
      <c r="A1171" s="1" t="s">
        <v>70</v>
      </c>
      <c r="B1171" s="1">
        <v>202407</v>
      </c>
      <c r="C1171" s="1" t="str">
        <f>MID(analisis_productividad__4[[#This Row],[Periodo]],1,4)</f>
        <v>2024</v>
      </c>
      <c r="D1171" s="1" t="str">
        <f>MID(analisis_productividad__4[[#This Row],[Periodo]],5,2)</f>
        <v>07</v>
      </c>
      <c r="E1171" s="1" t="s">
        <v>11</v>
      </c>
      <c r="F1171" s="1" t="s">
        <v>14</v>
      </c>
      <c r="G1171" s="1">
        <v>88587</v>
      </c>
      <c r="H1171" s="1">
        <v>5125917</v>
      </c>
      <c r="I1171" s="1">
        <v>57.863279569892484</v>
      </c>
      <c r="J1171" s="1">
        <v>0</v>
      </c>
      <c r="K1171" s="1">
        <v>65</v>
      </c>
      <c r="L1171" s="1">
        <v>67.5</v>
      </c>
      <c r="M1171" s="1"/>
      <c r="N1171" s="1">
        <v>0</v>
      </c>
    </row>
    <row r="1172" spans="1:14" x14ac:dyDescent="0.35">
      <c r="A1172" s="1" t="s">
        <v>49</v>
      </c>
      <c r="B1172" s="1">
        <v>202406</v>
      </c>
      <c r="C1172" s="1" t="str">
        <f>MID(analisis_productividad__4[[#This Row],[Periodo]],1,4)</f>
        <v>2024</v>
      </c>
      <c r="D1172" s="1" t="str">
        <f>MID(analisis_productividad__4[[#This Row],[Periodo]],5,2)</f>
        <v>06</v>
      </c>
      <c r="E1172" s="1" t="s">
        <v>16</v>
      </c>
      <c r="F1172" s="1" t="s">
        <v>21</v>
      </c>
      <c r="G1172" s="1">
        <v>88574</v>
      </c>
      <c r="H1172" s="1">
        <v>5597276</v>
      </c>
      <c r="I1172" s="1">
        <v>63.192888888888881</v>
      </c>
      <c r="J1172" s="1">
        <v>0</v>
      </c>
      <c r="K1172" s="1">
        <v>75.5</v>
      </c>
      <c r="L1172" s="1">
        <v>68</v>
      </c>
      <c r="M1172" s="1"/>
      <c r="N1172" s="1">
        <v>0</v>
      </c>
    </row>
    <row r="1173" spans="1:14" x14ac:dyDescent="0.35">
      <c r="A1173" s="1" t="s">
        <v>62</v>
      </c>
      <c r="B1173" s="1">
        <v>202602</v>
      </c>
      <c r="C1173" s="1" t="str">
        <f>MID(analisis_productividad__4[[#This Row],[Periodo]],1,4)</f>
        <v>2026</v>
      </c>
      <c r="D1173" s="1" t="str">
        <f>MID(analisis_productividad__4[[#This Row],[Periodo]],5,2)</f>
        <v>02</v>
      </c>
      <c r="E1173" s="1" t="s">
        <v>16</v>
      </c>
      <c r="F1173" s="1" t="s">
        <v>17</v>
      </c>
      <c r="G1173" s="1">
        <v>88574</v>
      </c>
      <c r="H1173" s="1">
        <v>2702396</v>
      </c>
      <c r="I1173" s="1">
        <v>30.510156250000001</v>
      </c>
      <c r="J1173" s="1">
        <v>86422.56168002302</v>
      </c>
      <c r="K1173" s="1">
        <v>32.5</v>
      </c>
      <c r="L1173" s="1">
        <v>32</v>
      </c>
      <c r="M1173" s="1">
        <v>29.073700348097926</v>
      </c>
      <c r="N1173" s="1">
        <v>2512624</v>
      </c>
    </row>
    <row r="1174" spans="1:14" x14ac:dyDescent="0.35">
      <c r="A1174" s="1" t="s">
        <v>33</v>
      </c>
      <c r="B1174" s="1">
        <v>202406</v>
      </c>
      <c r="C1174" s="1" t="str">
        <f>MID(analisis_productividad__4[[#This Row],[Periodo]],1,4)</f>
        <v>2024</v>
      </c>
      <c r="D1174" s="1" t="str">
        <f>MID(analisis_productividad__4[[#This Row],[Periodo]],5,2)</f>
        <v>06</v>
      </c>
      <c r="E1174" s="1" t="s">
        <v>34</v>
      </c>
      <c r="F1174" s="1" t="s">
        <v>35</v>
      </c>
      <c r="G1174" s="1">
        <v>88572</v>
      </c>
      <c r="H1174" s="1">
        <v>1046023</v>
      </c>
      <c r="I1174" s="1">
        <v>11.809826388888892</v>
      </c>
      <c r="J1174" s="1">
        <v>0</v>
      </c>
      <c r="K1174" s="1">
        <v>15</v>
      </c>
      <c r="L1174" s="1">
        <v>15</v>
      </c>
      <c r="M1174" s="1"/>
      <c r="N1174" s="1">
        <v>0</v>
      </c>
    </row>
    <row r="1175" spans="1:14" x14ac:dyDescent="0.35">
      <c r="A1175" s="1" t="s">
        <v>32</v>
      </c>
      <c r="B1175" s="1">
        <v>202509</v>
      </c>
      <c r="C1175" s="1" t="str">
        <f>MID(analisis_productividad__4[[#This Row],[Periodo]],1,4)</f>
        <v>2025</v>
      </c>
      <c r="D1175" s="1" t="str">
        <f>MID(analisis_productividad__4[[#This Row],[Periodo]],5,2)</f>
        <v>09</v>
      </c>
      <c r="E1175" s="1" t="s">
        <v>11</v>
      </c>
      <c r="F1175" s="1" t="s">
        <v>12</v>
      </c>
      <c r="G1175" s="1">
        <v>88571</v>
      </c>
      <c r="H1175" s="1">
        <v>4598957</v>
      </c>
      <c r="I1175" s="1">
        <v>51.924006944444436</v>
      </c>
      <c r="J1175" s="1">
        <v>89530.964891471987</v>
      </c>
      <c r="K1175" s="1">
        <v>65.5</v>
      </c>
      <c r="L1175" s="1">
        <v>66</v>
      </c>
      <c r="M1175" s="1">
        <v>51.367225021809858</v>
      </c>
      <c r="N1175" s="1">
        <v>6158772</v>
      </c>
    </row>
    <row r="1176" spans="1:14" x14ac:dyDescent="0.35">
      <c r="A1176" s="1" t="s">
        <v>88</v>
      </c>
      <c r="B1176" s="1">
        <v>202403</v>
      </c>
      <c r="C1176" s="1" t="str">
        <f>MID(analisis_productividad__4[[#This Row],[Periodo]],1,4)</f>
        <v>2024</v>
      </c>
      <c r="D1176" s="1" t="str">
        <f>MID(analisis_productividad__4[[#This Row],[Periodo]],5,2)</f>
        <v>03</v>
      </c>
      <c r="E1176" s="1" t="s">
        <v>34</v>
      </c>
      <c r="F1176" s="1" t="s">
        <v>35</v>
      </c>
      <c r="G1176" s="1">
        <v>88553</v>
      </c>
      <c r="H1176" s="1">
        <v>1232762</v>
      </c>
      <c r="I1176" s="1">
        <v>13.921155913978497</v>
      </c>
      <c r="J1176" s="1">
        <v>0</v>
      </c>
      <c r="K1176" s="1">
        <v>15.5</v>
      </c>
      <c r="L1176" s="1">
        <v>14.5</v>
      </c>
      <c r="M1176" s="1"/>
      <c r="N1176" s="1">
        <v>0</v>
      </c>
    </row>
    <row r="1177" spans="1:14" x14ac:dyDescent="0.35">
      <c r="A1177" s="1" t="s">
        <v>84</v>
      </c>
      <c r="B1177" s="1">
        <v>202410</v>
      </c>
      <c r="C1177" s="1" t="str">
        <f>MID(analisis_productividad__4[[#This Row],[Periodo]],1,4)</f>
        <v>2024</v>
      </c>
      <c r="D1177" s="1" t="str">
        <f>MID(analisis_productividad__4[[#This Row],[Periodo]],5,2)</f>
        <v>10</v>
      </c>
      <c r="E1177" s="1" t="s">
        <v>11</v>
      </c>
      <c r="F1177" s="1" t="s">
        <v>52</v>
      </c>
      <c r="G1177" s="1">
        <v>88550</v>
      </c>
      <c r="H1177" s="1">
        <v>8504191</v>
      </c>
      <c r="I1177" s="1">
        <v>96.038212365591306</v>
      </c>
      <c r="J1177" s="1">
        <v>0</v>
      </c>
      <c r="K1177" s="1">
        <v>123</v>
      </c>
      <c r="L1177" s="1">
        <v>115.5</v>
      </c>
      <c r="M1177" s="1"/>
      <c r="N1177" s="1">
        <v>0</v>
      </c>
    </row>
    <row r="1178" spans="1:14" x14ac:dyDescent="0.35">
      <c r="A1178" s="1" t="s">
        <v>55</v>
      </c>
      <c r="B1178" s="1">
        <v>202402</v>
      </c>
      <c r="C1178" s="1" t="str">
        <f>MID(analisis_productividad__4[[#This Row],[Periodo]],1,4)</f>
        <v>2024</v>
      </c>
      <c r="D1178" s="1" t="str">
        <f>MID(analisis_productividad__4[[#This Row],[Periodo]],5,2)</f>
        <v>02</v>
      </c>
      <c r="E1178" s="1" t="s">
        <v>16</v>
      </c>
      <c r="F1178" s="1" t="s">
        <v>21</v>
      </c>
      <c r="G1178" s="1">
        <v>88546</v>
      </c>
      <c r="H1178" s="1">
        <v>4565394</v>
      </c>
      <c r="I1178" s="1">
        <v>51.559676724137951</v>
      </c>
      <c r="J1178" s="1">
        <v>0</v>
      </c>
      <c r="K1178" s="1">
        <v>55</v>
      </c>
      <c r="L1178" s="1">
        <v>50.5</v>
      </c>
      <c r="M1178" s="1"/>
      <c r="N1178" s="1">
        <v>0</v>
      </c>
    </row>
    <row r="1179" spans="1:14" x14ac:dyDescent="0.35">
      <c r="A1179" s="1" t="s">
        <v>58</v>
      </c>
      <c r="B1179" s="1">
        <v>202412</v>
      </c>
      <c r="C1179" s="1" t="str">
        <f>MID(analisis_productividad__4[[#This Row],[Periodo]],1,4)</f>
        <v>2024</v>
      </c>
      <c r="D1179" s="1" t="str">
        <f>MID(analisis_productividad__4[[#This Row],[Periodo]],5,2)</f>
        <v>12</v>
      </c>
      <c r="E1179" s="1" t="s">
        <v>34</v>
      </c>
      <c r="F1179" s="1" t="s">
        <v>35</v>
      </c>
      <c r="G1179" s="1">
        <v>88531</v>
      </c>
      <c r="H1179" s="1">
        <v>4610193</v>
      </c>
      <c r="I1179" s="1">
        <v>52.074401881720448</v>
      </c>
      <c r="J1179" s="1">
        <v>0</v>
      </c>
      <c r="K1179" s="1">
        <v>53.5</v>
      </c>
      <c r="L1179" s="1">
        <v>52</v>
      </c>
      <c r="M1179" s="1"/>
      <c r="N1179" s="1">
        <v>0</v>
      </c>
    </row>
    <row r="1180" spans="1:14" x14ac:dyDescent="0.35">
      <c r="A1180" s="1" t="s">
        <v>62</v>
      </c>
      <c r="B1180" s="1">
        <v>202507</v>
      </c>
      <c r="C1180" s="1" t="str">
        <f>MID(analisis_productividad__4[[#This Row],[Periodo]],1,4)</f>
        <v>2025</v>
      </c>
      <c r="D1180" s="1" t="str">
        <f>MID(analisis_productividad__4[[#This Row],[Periodo]],5,2)</f>
        <v>07</v>
      </c>
      <c r="E1180" s="1" t="s">
        <v>16</v>
      </c>
      <c r="F1180" s="1" t="s">
        <v>17</v>
      </c>
      <c r="G1180" s="1">
        <v>88515</v>
      </c>
      <c r="H1180" s="1">
        <v>2546618</v>
      </c>
      <c r="I1180" s="1">
        <v>28.770564516129031</v>
      </c>
      <c r="J1180" s="1">
        <v>90962.66702287423</v>
      </c>
      <c r="K1180" s="1">
        <v>32.5</v>
      </c>
      <c r="L1180" s="1">
        <v>32</v>
      </c>
      <c r="M1180" s="1">
        <v>27.996299507792649</v>
      </c>
      <c r="N1180" s="1">
        <v>2566237</v>
      </c>
    </row>
    <row r="1181" spans="1:14" x14ac:dyDescent="0.35">
      <c r="A1181" s="1" t="s">
        <v>64</v>
      </c>
      <c r="B1181" s="1">
        <v>202601</v>
      </c>
      <c r="C1181" s="1" t="str">
        <f>MID(analisis_productividad__4[[#This Row],[Periodo]],1,4)</f>
        <v>2026</v>
      </c>
      <c r="D1181" s="1" t="str">
        <f>MID(analisis_productividad__4[[#This Row],[Periodo]],5,2)</f>
        <v>01</v>
      </c>
      <c r="E1181" s="1" t="s">
        <v>16</v>
      </c>
      <c r="F1181" s="1" t="s">
        <v>21</v>
      </c>
      <c r="G1181" s="1">
        <v>88511</v>
      </c>
      <c r="H1181" s="1">
        <v>9423205</v>
      </c>
      <c r="I1181" s="1">
        <v>106.46374327956993</v>
      </c>
      <c r="J1181" s="1">
        <v>79751.74011851821</v>
      </c>
      <c r="K1181" s="1">
        <v>88.5</v>
      </c>
      <c r="L1181" s="1">
        <v>92.5</v>
      </c>
      <c r="M1181" s="1">
        <v>102.97612103755296</v>
      </c>
      <c r="N1181" s="1">
        <v>8212525</v>
      </c>
    </row>
    <row r="1182" spans="1:14" x14ac:dyDescent="0.35">
      <c r="A1182" s="1" t="s">
        <v>42</v>
      </c>
      <c r="B1182" s="1">
        <v>202502</v>
      </c>
      <c r="C1182" s="1" t="str">
        <f>MID(analisis_productividad__4[[#This Row],[Periodo]],1,4)</f>
        <v>2025</v>
      </c>
      <c r="D1182" s="1" t="str">
        <f>MID(analisis_productividad__4[[#This Row],[Periodo]],5,2)</f>
        <v>02</v>
      </c>
      <c r="E1182" s="1" t="s">
        <v>16</v>
      </c>
      <c r="F1182" s="1" t="s">
        <v>19</v>
      </c>
      <c r="G1182" s="1">
        <v>88485</v>
      </c>
      <c r="H1182" s="1">
        <v>5446165</v>
      </c>
      <c r="I1182" s="1">
        <v>61.548854166666672</v>
      </c>
      <c r="J1182" s="1">
        <v>84185.970575629544</v>
      </c>
      <c r="K1182" s="1">
        <v>62</v>
      </c>
      <c r="L1182" s="1">
        <v>58</v>
      </c>
      <c r="M1182" s="1">
        <v>64.692073902116149</v>
      </c>
      <c r="N1182" s="1">
        <v>5044223</v>
      </c>
    </row>
    <row r="1183" spans="1:14" x14ac:dyDescent="0.35">
      <c r="A1183" s="1" t="s">
        <v>45</v>
      </c>
      <c r="B1183" s="1">
        <v>202403</v>
      </c>
      <c r="C1183" s="1" t="str">
        <f>MID(analisis_productividad__4[[#This Row],[Periodo]],1,4)</f>
        <v>2024</v>
      </c>
      <c r="D1183" s="1" t="str">
        <f>MID(analisis_productividad__4[[#This Row],[Periodo]],5,2)</f>
        <v>03</v>
      </c>
      <c r="E1183" s="1" t="s">
        <v>34</v>
      </c>
      <c r="F1183" s="1" t="s">
        <v>35</v>
      </c>
      <c r="G1183" s="1">
        <v>88466</v>
      </c>
      <c r="H1183" s="1">
        <v>2273853</v>
      </c>
      <c r="I1183" s="1">
        <v>25.703266129032265</v>
      </c>
      <c r="J1183" s="1">
        <v>0</v>
      </c>
      <c r="K1183" s="1">
        <v>22.5</v>
      </c>
      <c r="L1183" s="1">
        <v>21</v>
      </c>
      <c r="M1183" s="1"/>
      <c r="N1183" s="1">
        <v>0</v>
      </c>
    </row>
    <row r="1184" spans="1:14" x14ac:dyDescent="0.35">
      <c r="A1184" s="1" t="s">
        <v>72</v>
      </c>
      <c r="B1184" s="1">
        <v>202501</v>
      </c>
      <c r="C1184" s="1" t="str">
        <f>MID(analisis_productividad__4[[#This Row],[Periodo]],1,4)</f>
        <v>2025</v>
      </c>
      <c r="D1184" s="1" t="str">
        <f>MID(analisis_productividad__4[[#This Row],[Periodo]],5,2)</f>
        <v>01</v>
      </c>
      <c r="E1184" s="1" t="s">
        <v>11</v>
      </c>
      <c r="F1184" s="1" t="s">
        <v>14</v>
      </c>
      <c r="G1184" s="1">
        <v>88437</v>
      </c>
      <c r="H1184" s="1">
        <v>4731755</v>
      </c>
      <c r="I1184" s="1">
        <v>53.504321236559143</v>
      </c>
      <c r="J1184" s="1">
        <v>83390.117247417249</v>
      </c>
      <c r="K1184" s="1">
        <v>66</v>
      </c>
      <c r="L1184" s="1">
        <v>64.5</v>
      </c>
      <c r="M1184" s="1">
        <v>56.742390299811575</v>
      </c>
      <c r="N1184" s="1">
        <v>5157284</v>
      </c>
    </row>
    <row r="1185" spans="1:14" x14ac:dyDescent="0.35">
      <c r="A1185" s="1" t="s">
        <v>22</v>
      </c>
      <c r="B1185" s="1">
        <v>202407</v>
      </c>
      <c r="C1185" s="1" t="str">
        <f>MID(analisis_productividad__4[[#This Row],[Periodo]],1,4)</f>
        <v>2024</v>
      </c>
      <c r="D1185" s="1" t="str">
        <f>MID(analisis_productividad__4[[#This Row],[Periodo]],5,2)</f>
        <v>07</v>
      </c>
      <c r="E1185" s="1" t="s">
        <v>16</v>
      </c>
      <c r="F1185" s="1" t="s">
        <v>21</v>
      </c>
      <c r="G1185" s="1">
        <v>88433</v>
      </c>
      <c r="H1185" s="1">
        <v>5319483</v>
      </c>
      <c r="I1185" s="1">
        <v>60.152627688172053</v>
      </c>
      <c r="J1185" s="1">
        <v>0</v>
      </c>
      <c r="K1185" s="1">
        <v>59.5</v>
      </c>
      <c r="L1185" s="1">
        <v>55.5</v>
      </c>
      <c r="M1185" s="1"/>
      <c r="N1185" s="1">
        <v>0</v>
      </c>
    </row>
    <row r="1186" spans="1:14" x14ac:dyDescent="0.35">
      <c r="A1186" s="1" t="s">
        <v>45</v>
      </c>
      <c r="B1186" s="1">
        <v>202401</v>
      </c>
      <c r="C1186" s="1" t="str">
        <f>MID(analisis_productividad__4[[#This Row],[Periodo]],1,4)</f>
        <v>2024</v>
      </c>
      <c r="D1186" s="1" t="str">
        <f>MID(analisis_productividad__4[[#This Row],[Periodo]],5,2)</f>
        <v>01</v>
      </c>
      <c r="E1186" s="1" t="s">
        <v>34</v>
      </c>
      <c r="F1186" s="1" t="s">
        <v>35</v>
      </c>
      <c r="G1186" s="1">
        <v>88423</v>
      </c>
      <c r="H1186" s="1">
        <v>2528718</v>
      </c>
      <c r="I1186" s="1">
        <v>28.598010752688165</v>
      </c>
      <c r="J1186" s="1">
        <v>0</v>
      </c>
      <c r="K1186" s="1">
        <v>22.5</v>
      </c>
      <c r="L1186" s="1">
        <v>21</v>
      </c>
      <c r="M1186" s="1"/>
      <c r="N1186" s="1">
        <v>0</v>
      </c>
    </row>
    <row r="1187" spans="1:14" x14ac:dyDescent="0.35">
      <c r="A1187" s="1" t="s">
        <v>75</v>
      </c>
      <c r="B1187" s="1">
        <v>202504</v>
      </c>
      <c r="C1187" s="1" t="str">
        <f>MID(analisis_productividad__4[[#This Row],[Periodo]],1,4)</f>
        <v>2025</v>
      </c>
      <c r="D1187" s="1" t="str">
        <f>MID(analisis_productividad__4[[#This Row],[Periodo]],5,2)</f>
        <v>04</v>
      </c>
      <c r="E1187" s="1" t="s">
        <v>11</v>
      </c>
      <c r="F1187" s="1" t="s">
        <v>52</v>
      </c>
      <c r="G1187" s="1">
        <v>88422</v>
      </c>
      <c r="H1187" s="1">
        <v>9286509</v>
      </c>
      <c r="I1187" s="1">
        <v>105.02484027777781</v>
      </c>
      <c r="J1187" s="1">
        <v>87517.515994939429</v>
      </c>
      <c r="K1187" s="1">
        <v>118</v>
      </c>
      <c r="L1187" s="1">
        <v>106</v>
      </c>
      <c r="M1187" s="1">
        <v>106.11029351583717</v>
      </c>
      <c r="N1187" s="1">
        <v>10218984</v>
      </c>
    </row>
    <row r="1188" spans="1:14" x14ac:dyDescent="0.35">
      <c r="A1188" s="1" t="s">
        <v>69</v>
      </c>
      <c r="B1188" s="1">
        <v>202506</v>
      </c>
      <c r="C1188" s="1" t="str">
        <f>MID(analisis_productividad__4[[#This Row],[Periodo]],1,4)</f>
        <v>2025</v>
      </c>
      <c r="D1188" s="1" t="str">
        <f>MID(analisis_productividad__4[[#This Row],[Periodo]],5,2)</f>
        <v>06</v>
      </c>
      <c r="E1188" s="1" t="s">
        <v>11</v>
      </c>
      <c r="F1188" s="1" t="s">
        <v>52</v>
      </c>
      <c r="G1188" s="1">
        <v>88420</v>
      </c>
      <c r="H1188" s="1">
        <v>5220375</v>
      </c>
      <c r="I1188" s="1">
        <v>59.040527777777797</v>
      </c>
      <c r="J1188" s="1">
        <v>86922.30356426131</v>
      </c>
      <c r="K1188" s="1">
        <v>68</v>
      </c>
      <c r="L1188" s="1">
        <v>60.5</v>
      </c>
      <c r="M1188" s="1">
        <v>60.057945842871014</v>
      </c>
      <c r="N1188" s="1">
        <v>5065111</v>
      </c>
    </row>
    <row r="1189" spans="1:14" x14ac:dyDescent="0.35">
      <c r="A1189" s="1" t="s">
        <v>47</v>
      </c>
      <c r="B1189" s="1">
        <v>202602</v>
      </c>
      <c r="C1189" s="1" t="str">
        <f>MID(analisis_productividad__4[[#This Row],[Periodo]],1,4)</f>
        <v>2026</v>
      </c>
      <c r="D1189" s="1" t="str">
        <f>MID(analisis_productividad__4[[#This Row],[Periodo]],5,2)</f>
        <v>02</v>
      </c>
      <c r="E1189" s="1" t="s">
        <v>11</v>
      </c>
      <c r="F1189" s="1" t="s">
        <v>14</v>
      </c>
      <c r="G1189" s="1">
        <v>88391</v>
      </c>
      <c r="H1189" s="1">
        <v>4417794</v>
      </c>
      <c r="I1189" s="1">
        <v>49.980208333333337</v>
      </c>
      <c r="J1189" s="1">
        <v>83597.679010900451</v>
      </c>
      <c r="K1189" s="1">
        <v>61.5</v>
      </c>
      <c r="L1189" s="1">
        <v>48.5</v>
      </c>
      <c r="M1189" s="1">
        <v>53.715920394326645</v>
      </c>
      <c r="N1189" s="1">
        <v>4490526</v>
      </c>
    </row>
    <row r="1190" spans="1:14" x14ac:dyDescent="0.35">
      <c r="A1190" s="1" t="s">
        <v>46</v>
      </c>
      <c r="B1190" s="1">
        <v>202409</v>
      </c>
      <c r="C1190" s="1" t="str">
        <f>MID(analisis_productividad__4[[#This Row],[Periodo]],1,4)</f>
        <v>2024</v>
      </c>
      <c r="D1190" s="1" t="str">
        <f>MID(analisis_productividad__4[[#This Row],[Periodo]],5,2)</f>
        <v>09</v>
      </c>
      <c r="E1190" s="1" t="s">
        <v>11</v>
      </c>
      <c r="F1190" s="1" t="s">
        <v>14</v>
      </c>
      <c r="G1190" s="1">
        <v>88390</v>
      </c>
      <c r="H1190" s="1">
        <v>5803138</v>
      </c>
      <c r="I1190" s="1">
        <v>65.654118055555557</v>
      </c>
      <c r="J1190" s="1">
        <v>0</v>
      </c>
      <c r="K1190" s="1">
        <v>77</v>
      </c>
      <c r="L1190" s="1">
        <v>79</v>
      </c>
      <c r="M1190" s="1"/>
      <c r="N1190" s="1">
        <v>0</v>
      </c>
    </row>
    <row r="1191" spans="1:14" x14ac:dyDescent="0.35">
      <c r="A1191" s="1" t="s">
        <v>44</v>
      </c>
      <c r="B1191" s="1">
        <v>202402</v>
      </c>
      <c r="C1191" s="1" t="str">
        <f>MID(analisis_productividad__4[[#This Row],[Periodo]],1,4)</f>
        <v>2024</v>
      </c>
      <c r="D1191" s="1" t="str">
        <f>MID(analisis_productividad__4[[#This Row],[Periodo]],5,2)</f>
        <v>02</v>
      </c>
      <c r="E1191" s="1" t="s">
        <v>11</v>
      </c>
      <c r="F1191" s="1" t="s">
        <v>12</v>
      </c>
      <c r="G1191" s="1">
        <v>88359</v>
      </c>
      <c r="H1191" s="1">
        <v>6436373</v>
      </c>
      <c r="I1191" s="1">
        <v>72.843850574712633</v>
      </c>
      <c r="J1191" s="1">
        <v>0</v>
      </c>
      <c r="K1191" s="1">
        <v>78</v>
      </c>
      <c r="L1191" s="1">
        <v>74.5</v>
      </c>
      <c r="M1191" s="1"/>
      <c r="N1191" s="1">
        <v>0</v>
      </c>
    </row>
    <row r="1192" spans="1:14" x14ac:dyDescent="0.35">
      <c r="A1192" s="1" t="s">
        <v>80</v>
      </c>
      <c r="B1192" s="1">
        <v>202511</v>
      </c>
      <c r="C1192" s="1" t="str">
        <f>MID(analisis_productividad__4[[#This Row],[Periodo]],1,4)</f>
        <v>2025</v>
      </c>
      <c r="D1192" s="1" t="str">
        <f>MID(analisis_productividad__4[[#This Row],[Periodo]],5,2)</f>
        <v>11</v>
      </c>
      <c r="E1192" s="1" t="s">
        <v>16</v>
      </c>
      <c r="F1192" s="1" t="s">
        <v>17</v>
      </c>
      <c r="G1192" s="1">
        <v>88357</v>
      </c>
      <c r="H1192" s="1">
        <v>4399312</v>
      </c>
      <c r="I1192" s="1">
        <v>49.790270833333345</v>
      </c>
      <c r="J1192" s="1">
        <v>92566.897328037376</v>
      </c>
      <c r="K1192" s="1">
        <v>58</v>
      </c>
      <c r="L1192" s="1">
        <v>58.5</v>
      </c>
      <c r="M1192" s="1">
        <v>47.525758418906221</v>
      </c>
      <c r="N1192" s="1">
        <v>4785224</v>
      </c>
    </row>
    <row r="1193" spans="1:14" x14ac:dyDescent="0.35">
      <c r="A1193" s="1" t="s">
        <v>22</v>
      </c>
      <c r="B1193" s="1">
        <v>202406</v>
      </c>
      <c r="C1193" s="1" t="str">
        <f>MID(analisis_productividad__4[[#This Row],[Periodo]],1,4)</f>
        <v>2024</v>
      </c>
      <c r="D1193" s="1" t="str">
        <f>MID(analisis_productividad__4[[#This Row],[Periodo]],5,2)</f>
        <v>06</v>
      </c>
      <c r="E1193" s="1" t="s">
        <v>16</v>
      </c>
      <c r="F1193" s="1" t="s">
        <v>21</v>
      </c>
      <c r="G1193" s="1">
        <v>88338</v>
      </c>
      <c r="H1193" s="1">
        <v>4895054</v>
      </c>
      <c r="I1193" s="1">
        <v>55.412534722222212</v>
      </c>
      <c r="J1193" s="1">
        <v>0</v>
      </c>
      <c r="K1193" s="1">
        <v>59.5</v>
      </c>
      <c r="L1193" s="1">
        <v>55.5</v>
      </c>
      <c r="M1193" s="1"/>
      <c r="N1193" s="1">
        <v>0</v>
      </c>
    </row>
    <row r="1194" spans="1:14" x14ac:dyDescent="0.35">
      <c r="A1194" s="1" t="s">
        <v>41</v>
      </c>
      <c r="B1194" s="1">
        <v>202504</v>
      </c>
      <c r="C1194" s="1" t="str">
        <f>MID(analisis_productividad__4[[#This Row],[Periodo]],1,4)</f>
        <v>2025</v>
      </c>
      <c r="D1194" s="1" t="str">
        <f>MID(analisis_productividad__4[[#This Row],[Periodo]],5,2)</f>
        <v>04</v>
      </c>
      <c r="E1194" s="1" t="s">
        <v>16</v>
      </c>
      <c r="F1194" s="1" t="s">
        <v>19</v>
      </c>
      <c r="G1194" s="1">
        <v>88317</v>
      </c>
      <c r="H1194" s="1">
        <v>4768102</v>
      </c>
      <c r="I1194" s="1">
        <v>53.988375000000012</v>
      </c>
      <c r="J1194" s="1">
        <v>83891.582842215663</v>
      </c>
      <c r="K1194" s="1">
        <v>57.5</v>
      </c>
      <c r="L1194" s="1">
        <v>56.5</v>
      </c>
      <c r="M1194" s="1">
        <v>56.836475823419669</v>
      </c>
      <c r="N1194" s="1">
        <v>4585167</v>
      </c>
    </row>
    <row r="1195" spans="1:14" x14ac:dyDescent="0.35">
      <c r="A1195" s="1" t="s">
        <v>89</v>
      </c>
      <c r="B1195" s="1">
        <v>202605</v>
      </c>
      <c r="C1195" s="1" t="str">
        <f>MID(analisis_productividad__4[[#This Row],[Periodo]],1,4)</f>
        <v>2026</v>
      </c>
      <c r="D1195" s="1" t="str">
        <f>MID(analisis_productividad__4[[#This Row],[Periodo]],5,2)</f>
        <v>05</v>
      </c>
      <c r="E1195" s="1" t="s">
        <v>9</v>
      </c>
      <c r="F1195" s="1" t="s">
        <v>9</v>
      </c>
      <c r="G1195" s="1">
        <v>88301</v>
      </c>
      <c r="H1195" s="1">
        <v>1111855</v>
      </c>
      <c r="I1195" s="1">
        <v>12.591673387096812</v>
      </c>
      <c r="J1195" s="1">
        <v>66639.257849416317</v>
      </c>
      <c r="K1195" s="1">
        <v>17</v>
      </c>
      <c r="L1195" s="1">
        <v>13.5</v>
      </c>
      <c r="M1195" s="1">
        <v>14.845130740132706</v>
      </c>
      <c r="N1195" s="1">
        <v>989268</v>
      </c>
    </row>
    <row r="1196" spans="1:14" x14ac:dyDescent="0.35">
      <c r="A1196" s="1" t="s">
        <v>49</v>
      </c>
      <c r="B1196" s="1">
        <v>202401</v>
      </c>
      <c r="C1196" s="1" t="str">
        <f>MID(analisis_productividad__4[[#This Row],[Periodo]],1,4)</f>
        <v>2024</v>
      </c>
      <c r="D1196" s="1" t="str">
        <f>MID(analisis_productividad__4[[#This Row],[Periodo]],5,2)</f>
        <v>01</v>
      </c>
      <c r="E1196" s="1" t="s">
        <v>16</v>
      </c>
      <c r="F1196" s="1" t="s">
        <v>21</v>
      </c>
      <c r="G1196" s="1">
        <v>88298</v>
      </c>
      <c r="H1196" s="1">
        <v>5792103</v>
      </c>
      <c r="I1196" s="1">
        <v>65.597197580645172</v>
      </c>
      <c r="J1196" s="1">
        <v>0</v>
      </c>
      <c r="K1196" s="1">
        <v>75.5</v>
      </c>
      <c r="L1196" s="1">
        <v>68</v>
      </c>
      <c r="M1196" s="1"/>
      <c r="N1196" s="1">
        <v>0</v>
      </c>
    </row>
    <row r="1197" spans="1:14" x14ac:dyDescent="0.35">
      <c r="A1197" s="1" t="s">
        <v>26</v>
      </c>
      <c r="B1197" s="1">
        <v>202407</v>
      </c>
      <c r="C1197" s="1" t="str">
        <f>MID(analisis_productividad__4[[#This Row],[Periodo]],1,4)</f>
        <v>2024</v>
      </c>
      <c r="D1197" s="1" t="str">
        <f>MID(analisis_productividad__4[[#This Row],[Periodo]],5,2)</f>
        <v>07</v>
      </c>
      <c r="E1197" s="1" t="s">
        <v>11</v>
      </c>
      <c r="F1197" s="1" t="s">
        <v>12</v>
      </c>
      <c r="G1197" s="1">
        <v>88273</v>
      </c>
      <c r="H1197" s="1">
        <v>5677827</v>
      </c>
      <c r="I1197" s="1">
        <v>64.321579301075289</v>
      </c>
      <c r="J1197" s="1">
        <v>0</v>
      </c>
      <c r="K1197" s="1">
        <v>65.5</v>
      </c>
      <c r="L1197" s="1">
        <v>63</v>
      </c>
      <c r="M1197" s="1"/>
      <c r="N1197" s="1">
        <v>0</v>
      </c>
    </row>
    <row r="1198" spans="1:14" x14ac:dyDescent="0.35">
      <c r="A1198" s="1" t="s">
        <v>44</v>
      </c>
      <c r="B1198" s="1">
        <v>202510</v>
      </c>
      <c r="C1198" s="1" t="str">
        <f>MID(analisis_productividad__4[[#This Row],[Periodo]],1,4)</f>
        <v>2025</v>
      </c>
      <c r="D1198" s="1" t="str">
        <f>MID(analisis_productividad__4[[#This Row],[Periodo]],5,2)</f>
        <v>10</v>
      </c>
      <c r="E1198" s="1" t="s">
        <v>11</v>
      </c>
      <c r="F1198" s="1" t="s">
        <v>12</v>
      </c>
      <c r="G1198" s="1">
        <v>88256</v>
      </c>
      <c r="H1198" s="1">
        <v>5194602</v>
      </c>
      <c r="I1198" s="1">
        <v>58.858051075268826</v>
      </c>
      <c r="J1198" s="1">
        <v>84630.019038687256</v>
      </c>
      <c r="K1198" s="1">
        <v>78</v>
      </c>
      <c r="L1198" s="1">
        <v>74.5</v>
      </c>
      <c r="M1198" s="1">
        <v>61.380131293901407</v>
      </c>
      <c r="N1198" s="1">
        <v>5528093</v>
      </c>
    </row>
    <row r="1199" spans="1:14" x14ac:dyDescent="0.35">
      <c r="A1199" s="1" t="s">
        <v>76</v>
      </c>
      <c r="B1199" s="1">
        <v>202510</v>
      </c>
      <c r="C1199" s="1" t="str">
        <f>MID(analisis_productividad__4[[#This Row],[Periodo]],1,4)</f>
        <v>2025</v>
      </c>
      <c r="D1199" s="1" t="str">
        <f>MID(analisis_productividad__4[[#This Row],[Periodo]],5,2)</f>
        <v>10</v>
      </c>
      <c r="E1199" s="1" t="s">
        <v>11</v>
      </c>
      <c r="F1199" s="1" t="s">
        <v>14</v>
      </c>
      <c r="G1199" s="1">
        <v>88255</v>
      </c>
      <c r="H1199" s="1">
        <v>5785891</v>
      </c>
      <c r="I1199" s="1">
        <v>65.558434139784978</v>
      </c>
      <c r="J1199" s="1">
        <v>90069.109576340503</v>
      </c>
      <c r="K1199" s="1">
        <v>80</v>
      </c>
      <c r="L1199" s="1">
        <v>78</v>
      </c>
      <c r="M1199" s="1">
        <v>64.238348055345355</v>
      </c>
      <c r="N1199" s="1">
        <v>6657644</v>
      </c>
    </row>
    <row r="1200" spans="1:14" x14ac:dyDescent="0.35">
      <c r="A1200" s="1" t="s">
        <v>62</v>
      </c>
      <c r="B1200" s="1">
        <v>202508</v>
      </c>
      <c r="C1200" s="1" t="str">
        <f>MID(analisis_productividad__4[[#This Row],[Periodo]],1,4)</f>
        <v>2025</v>
      </c>
      <c r="D1200" s="1" t="str">
        <f>MID(analisis_productividad__4[[#This Row],[Periodo]],5,2)</f>
        <v>08</v>
      </c>
      <c r="E1200" s="1" t="s">
        <v>16</v>
      </c>
      <c r="F1200" s="1" t="s">
        <v>17</v>
      </c>
      <c r="G1200" s="1">
        <v>88242</v>
      </c>
      <c r="H1200" s="1">
        <v>2424261</v>
      </c>
      <c r="I1200" s="1">
        <v>27.472930107526881</v>
      </c>
      <c r="J1200" s="1">
        <v>80719.608774580192</v>
      </c>
      <c r="K1200" s="1">
        <v>32.5</v>
      </c>
      <c r="L1200" s="1">
        <v>32</v>
      </c>
      <c r="M1200" s="1">
        <v>30.033109015308259</v>
      </c>
      <c r="N1200" s="1">
        <v>2294199</v>
      </c>
    </row>
    <row r="1201" spans="1:14" x14ac:dyDescent="0.35">
      <c r="A1201" s="1" t="s">
        <v>89</v>
      </c>
      <c r="B1201" s="1">
        <v>202606</v>
      </c>
      <c r="C1201" s="1" t="str">
        <f>MID(analisis_productividad__4[[#This Row],[Periodo]],1,4)</f>
        <v>2026</v>
      </c>
      <c r="D1201" s="1" t="str">
        <f>MID(analisis_productividad__4[[#This Row],[Periodo]],5,2)</f>
        <v>06</v>
      </c>
      <c r="E1201" s="1" t="s">
        <v>9</v>
      </c>
      <c r="F1201" s="1" t="s">
        <v>9</v>
      </c>
      <c r="G1201" s="1">
        <v>88238</v>
      </c>
      <c r="H1201" s="1">
        <v>991635</v>
      </c>
      <c r="I1201" s="1">
        <v>11.238159722222216</v>
      </c>
      <c r="J1201" s="1">
        <v>62331.274920905707</v>
      </c>
      <c r="K1201" s="1">
        <v>17</v>
      </c>
      <c r="L1201" s="1">
        <v>13.5</v>
      </c>
      <c r="M1201" s="1">
        <v>14.845130740132706</v>
      </c>
      <c r="N1201" s="1">
        <v>925316</v>
      </c>
    </row>
    <row r="1202" spans="1:14" x14ac:dyDescent="0.35">
      <c r="A1202" s="1" t="s">
        <v>90</v>
      </c>
      <c r="B1202" s="1">
        <v>202605</v>
      </c>
      <c r="C1202" s="1" t="str">
        <f>MID(analisis_productividad__4[[#This Row],[Periodo]],1,4)</f>
        <v>2026</v>
      </c>
      <c r="D1202" s="1" t="str">
        <f>MID(analisis_productividad__4[[#This Row],[Periodo]],5,2)</f>
        <v>05</v>
      </c>
      <c r="E1202" s="1" t="s">
        <v>11</v>
      </c>
      <c r="F1202" s="1" t="s">
        <v>14</v>
      </c>
      <c r="G1202" s="1">
        <v>88222</v>
      </c>
      <c r="H1202" s="1">
        <v>6165922</v>
      </c>
      <c r="I1202" s="1">
        <v>69.891283602150736</v>
      </c>
      <c r="J1202" s="1">
        <v>84078.134647349085</v>
      </c>
      <c r="K1202" s="1">
        <v>84.5</v>
      </c>
      <c r="L1202" s="1">
        <v>78.5</v>
      </c>
      <c r="M1202" s="1">
        <v>72.494656792343278</v>
      </c>
      <c r="N1202" s="1">
        <v>6095216</v>
      </c>
    </row>
    <row r="1203" spans="1:14" x14ac:dyDescent="0.35">
      <c r="A1203" s="1" t="s">
        <v>40</v>
      </c>
      <c r="B1203" s="1">
        <v>202606</v>
      </c>
      <c r="C1203" s="1" t="str">
        <f>MID(analisis_productividad__4[[#This Row],[Periodo]],1,4)</f>
        <v>2026</v>
      </c>
      <c r="D1203" s="1" t="str">
        <f>MID(analisis_productividad__4[[#This Row],[Periodo]],5,2)</f>
        <v>06</v>
      </c>
      <c r="E1203" s="1" t="s">
        <v>11</v>
      </c>
      <c r="F1203" s="1" t="s">
        <v>14</v>
      </c>
      <c r="G1203" s="1">
        <v>88182</v>
      </c>
      <c r="H1203" s="1">
        <v>5615133</v>
      </c>
      <c r="I1203" s="1">
        <v>63.676326388889862</v>
      </c>
      <c r="J1203" s="1">
        <v>88230.596093308108</v>
      </c>
      <c r="K1203" s="1">
        <v>76.5</v>
      </c>
      <c r="L1203" s="1">
        <v>75.5</v>
      </c>
      <c r="M1203" s="1">
        <v>67.697971575339096</v>
      </c>
      <c r="N1203" s="1">
        <v>5973032</v>
      </c>
    </row>
    <row r="1204" spans="1:14" x14ac:dyDescent="0.35">
      <c r="A1204" s="1" t="s">
        <v>75</v>
      </c>
      <c r="B1204" s="1">
        <v>202507</v>
      </c>
      <c r="C1204" s="1" t="str">
        <f>MID(analisis_productividad__4[[#This Row],[Periodo]],1,4)</f>
        <v>2025</v>
      </c>
      <c r="D1204" s="1" t="str">
        <f>MID(analisis_productividad__4[[#This Row],[Periodo]],5,2)</f>
        <v>07</v>
      </c>
      <c r="E1204" s="1" t="s">
        <v>11</v>
      </c>
      <c r="F1204" s="1" t="s">
        <v>52</v>
      </c>
      <c r="G1204" s="1">
        <v>88179</v>
      </c>
      <c r="H1204" s="1">
        <v>8891587</v>
      </c>
      <c r="I1204" s="1">
        <v>100.83575268817208</v>
      </c>
      <c r="J1204" s="1">
        <v>89111.957039488392</v>
      </c>
      <c r="K1204" s="1">
        <v>118</v>
      </c>
      <c r="L1204" s="1">
        <v>106</v>
      </c>
      <c r="M1204" s="1">
        <v>99.779959226569915</v>
      </c>
      <c r="N1204" s="1">
        <v>10124985</v>
      </c>
    </row>
    <row r="1205" spans="1:14" x14ac:dyDescent="0.35">
      <c r="A1205" s="1" t="s">
        <v>70</v>
      </c>
      <c r="B1205" s="1">
        <v>202601</v>
      </c>
      <c r="C1205" s="1" t="str">
        <f>MID(analisis_productividad__4[[#This Row],[Periodo]],1,4)</f>
        <v>2026</v>
      </c>
      <c r="D1205" s="1" t="str">
        <f>MID(analisis_productividad__4[[#This Row],[Periodo]],5,2)</f>
        <v>01</v>
      </c>
      <c r="E1205" s="1" t="s">
        <v>11</v>
      </c>
      <c r="F1205" s="1" t="s">
        <v>14</v>
      </c>
      <c r="G1205" s="1">
        <v>88172</v>
      </c>
      <c r="H1205" s="1">
        <v>5081790</v>
      </c>
      <c r="I1205" s="1">
        <v>57.635026881720457</v>
      </c>
      <c r="J1205" s="1">
        <v>89598.966710561843</v>
      </c>
      <c r="K1205" s="1">
        <v>65</v>
      </c>
      <c r="L1205" s="1">
        <v>67.5</v>
      </c>
      <c r="M1205" s="1">
        <v>56.772923994003762</v>
      </c>
      <c r="N1205" s="1">
        <v>5086795</v>
      </c>
    </row>
    <row r="1206" spans="1:14" x14ac:dyDescent="0.35">
      <c r="A1206" s="1" t="s">
        <v>80</v>
      </c>
      <c r="B1206" s="1">
        <v>202407</v>
      </c>
      <c r="C1206" s="1" t="str">
        <f>MID(analisis_productividad__4[[#This Row],[Periodo]],1,4)</f>
        <v>2024</v>
      </c>
      <c r="D1206" s="1" t="str">
        <f>MID(analisis_productividad__4[[#This Row],[Periodo]],5,2)</f>
        <v>07</v>
      </c>
      <c r="E1206" s="1" t="s">
        <v>16</v>
      </c>
      <c r="F1206" s="1" t="s">
        <v>17</v>
      </c>
      <c r="G1206" s="1">
        <v>88160</v>
      </c>
      <c r="H1206" s="1">
        <v>5128266</v>
      </c>
      <c r="I1206" s="1">
        <v>58.170188172042991</v>
      </c>
      <c r="J1206" s="1">
        <v>0</v>
      </c>
      <c r="K1206" s="1">
        <v>58</v>
      </c>
      <c r="L1206" s="1">
        <v>58.5</v>
      </c>
      <c r="M1206" s="1"/>
      <c r="N1206" s="1">
        <v>0</v>
      </c>
    </row>
    <row r="1207" spans="1:14" x14ac:dyDescent="0.35">
      <c r="A1207" s="1" t="s">
        <v>80</v>
      </c>
      <c r="B1207" s="1">
        <v>202411</v>
      </c>
      <c r="C1207" s="1" t="str">
        <f>MID(analisis_productividad__4[[#This Row],[Periodo]],1,4)</f>
        <v>2024</v>
      </c>
      <c r="D1207" s="1" t="str">
        <f>MID(analisis_productividad__4[[#This Row],[Periodo]],5,2)</f>
        <v>11</v>
      </c>
      <c r="E1207" s="1" t="s">
        <v>16</v>
      </c>
      <c r="F1207" s="1" t="s">
        <v>17</v>
      </c>
      <c r="G1207" s="1">
        <v>88159</v>
      </c>
      <c r="H1207" s="1">
        <v>4530477</v>
      </c>
      <c r="I1207" s="1">
        <v>51.389868055555574</v>
      </c>
      <c r="J1207" s="1">
        <v>0</v>
      </c>
      <c r="K1207" s="1">
        <v>58</v>
      </c>
      <c r="L1207" s="1">
        <v>58.5</v>
      </c>
      <c r="M1207" s="1"/>
      <c r="N1207" s="1">
        <v>0</v>
      </c>
    </row>
    <row r="1208" spans="1:14" x14ac:dyDescent="0.35">
      <c r="A1208" s="1" t="s">
        <v>55</v>
      </c>
      <c r="B1208" s="1">
        <v>202506</v>
      </c>
      <c r="C1208" s="1" t="str">
        <f>MID(analisis_productividad__4[[#This Row],[Periodo]],1,4)</f>
        <v>2025</v>
      </c>
      <c r="D1208" s="1" t="str">
        <f>MID(analisis_productividad__4[[#This Row],[Periodo]],5,2)</f>
        <v>06</v>
      </c>
      <c r="E1208" s="1" t="s">
        <v>16</v>
      </c>
      <c r="F1208" s="1" t="s">
        <v>21</v>
      </c>
      <c r="G1208" s="1">
        <v>88150</v>
      </c>
      <c r="H1208" s="1">
        <v>4328492</v>
      </c>
      <c r="I1208" s="1">
        <v>49.103541666666672</v>
      </c>
      <c r="J1208" s="1">
        <v>91881.75757339719</v>
      </c>
      <c r="K1208" s="1">
        <v>55</v>
      </c>
      <c r="L1208" s="1">
        <v>50.5</v>
      </c>
      <c r="M1208" s="1">
        <v>47.109377686232264</v>
      </c>
      <c r="N1208" s="1">
        <v>4633955</v>
      </c>
    </row>
    <row r="1209" spans="1:14" x14ac:dyDescent="0.35">
      <c r="A1209" s="1" t="s">
        <v>87</v>
      </c>
      <c r="B1209" s="1">
        <v>202412</v>
      </c>
      <c r="C1209" s="1" t="str">
        <f>MID(analisis_productividad__4[[#This Row],[Periodo]],1,4)</f>
        <v>2024</v>
      </c>
      <c r="D1209" s="1" t="str">
        <f>MID(analisis_productividad__4[[#This Row],[Periodo]],5,2)</f>
        <v>12</v>
      </c>
      <c r="E1209" s="1" t="s">
        <v>9</v>
      </c>
      <c r="F1209" s="1" t="s">
        <v>9</v>
      </c>
      <c r="G1209" s="1">
        <v>88133</v>
      </c>
      <c r="H1209" s="1">
        <v>1195664</v>
      </c>
      <c r="I1209" s="1">
        <v>13.56663978494624</v>
      </c>
      <c r="J1209" s="1">
        <v>0</v>
      </c>
      <c r="K1209" s="1">
        <v>13.5</v>
      </c>
      <c r="L1209" s="1">
        <v>12</v>
      </c>
      <c r="M1209" s="1"/>
      <c r="N1209" s="1">
        <v>0</v>
      </c>
    </row>
    <row r="1210" spans="1:14" x14ac:dyDescent="0.35">
      <c r="A1210" s="1" t="s">
        <v>8</v>
      </c>
      <c r="B1210" s="1">
        <v>202512</v>
      </c>
      <c r="C1210" s="1" t="str">
        <f>MID(analisis_productividad__4[[#This Row],[Periodo]],1,4)</f>
        <v>2025</v>
      </c>
      <c r="D1210" s="1" t="str">
        <f>MID(analisis_productividad__4[[#This Row],[Periodo]],5,2)</f>
        <v>12</v>
      </c>
      <c r="E1210" s="1" t="s">
        <v>9</v>
      </c>
      <c r="F1210" s="1" t="s">
        <v>9</v>
      </c>
      <c r="G1210" s="1">
        <v>88112</v>
      </c>
      <c r="H1210" s="1">
        <v>1404790</v>
      </c>
      <c r="I1210" s="1">
        <v>15.943299731182792</v>
      </c>
      <c r="J1210" s="1">
        <v>74280.824902418244</v>
      </c>
      <c r="K1210" s="1">
        <v>13.5</v>
      </c>
      <c r="L1210" s="1">
        <v>12.5</v>
      </c>
      <c r="M1210" s="1">
        <v>18.911875465107642</v>
      </c>
      <c r="N1210" s="1">
        <v>1257101</v>
      </c>
    </row>
    <row r="1211" spans="1:14" x14ac:dyDescent="0.35">
      <c r="A1211" s="1" t="s">
        <v>68</v>
      </c>
      <c r="B1211" s="1">
        <v>202410</v>
      </c>
      <c r="C1211" s="1" t="str">
        <f>MID(analisis_productividad__4[[#This Row],[Periodo]],1,4)</f>
        <v>2024</v>
      </c>
      <c r="D1211" s="1" t="str">
        <f>MID(analisis_productividad__4[[#This Row],[Periodo]],5,2)</f>
        <v>10</v>
      </c>
      <c r="E1211" s="1" t="s">
        <v>11</v>
      </c>
      <c r="F1211" s="1" t="s">
        <v>52</v>
      </c>
      <c r="G1211" s="1">
        <v>88098</v>
      </c>
      <c r="H1211" s="1">
        <v>7583352</v>
      </c>
      <c r="I1211" s="1">
        <v>86.078172043010767</v>
      </c>
      <c r="J1211" s="1">
        <v>0</v>
      </c>
      <c r="K1211" s="1">
        <v>103</v>
      </c>
      <c r="L1211" s="1">
        <v>91</v>
      </c>
      <c r="M1211" s="1"/>
      <c r="N1211" s="1">
        <v>0</v>
      </c>
    </row>
    <row r="1212" spans="1:14" x14ac:dyDescent="0.35">
      <c r="A1212" s="1" t="s">
        <v>77</v>
      </c>
      <c r="B1212" s="1">
        <v>202508</v>
      </c>
      <c r="C1212" s="1" t="str">
        <f>MID(analisis_productividad__4[[#This Row],[Periodo]],1,4)</f>
        <v>2025</v>
      </c>
      <c r="D1212" s="1" t="str">
        <f>MID(analisis_productividad__4[[#This Row],[Periodo]],5,2)</f>
        <v>08</v>
      </c>
      <c r="E1212" s="1" t="s">
        <v>16</v>
      </c>
      <c r="F1212" s="1" t="s">
        <v>21</v>
      </c>
      <c r="G1212" s="1">
        <v>88095</v>
      </c>
      <c r="H1212" s="1">
        <v>4573501</v>
      </c>
      <c r="I1212" s="1">
        <v>51.915584677419361</v>
      </c>
      <c r="J1212" s="1">
        <v>84221.908672305537</v>
      </c>
      <c r="K1212" s="1">
        <v>60.5</v>
      </c>
      <c r="L1212" s="1">
        <v>60.5</v>
      </c>
      <c r="M1212" s="1">
        <v>54.302983535967904</v>
      </c>
      <c r="N1212" s="1">
        <v>5171181</v>
      </c>
    </row>
    <row r="1213" spans="1:14" x14ac:dyDescent="0.35">
      <c r="A1213" s="1" t="s">
        <v>41</v>
      </c>
      <c r="B1213" s="1">
        <v>202505</v>
      </c>
      <c r="C1213" s="1" t="str">
        <f>MID(analisis_productividad__4[[#This Row],[Periodo]],1,4)</f>
        <v>2025</v>
      </c>
      <c r="D1213" s="1" t="str">
        <f>MID(analisis_productividad__4[[#This Row],[Periodo]],5,2)</f>
        <v>05</v>
      </c>
      <c r="E1213" s="1" t="s">
        <v>16</v>
      </c>
      <c r="F1213" s="1" t="s">
        <v>19</v>
      </c>
      <c r="G1213" s="1">
        <v>88083</v>
      </c>
      <c r="H1213" s="1">
        <v>4795836</v>
      </c>
      <c r="I1213" s="1">
        <v>54.446686827956988</v>
      </c>
      <c r="J1213" s="1">
        <v>87849.571491045761</v>
      </c>
      <c r="K1213" s="1">
        <v>57.5</v>
      </c>
      <c r="L1213" s="1">
        <v>56.5</v>
      </c>
      <c r="M1213" s="1">
        <v>54.591458428329666</v>
      </c>
      <c r="N1213" s="1">
        <v>4357533</v>
      </c>
    </row>
    <row r="1214" spans="1:14" x14ac:dyDescent="0.35">
      <c r="A1214" s="1" t="s">
        <v>90</v>
      </c>
      <c r="B1214" s="1">
        <v>202603</v>
      </c>
      <c r="C1214" s="1" t="str">
        <f>MID(analisis_productividad__4[[#This Row],[Periodo]],1,4)</f>
        <v>2026</v>
      </c>
      <c r="D1214" s="1" t="str">
        <f>MID(analisis_productividad__4[[#This Row],[Periodo]],5,2)</f>
        <v>03</v>
      </c>
      <c r="E1214" s="1" t="s">
        <v>11</v>
      </c>
      <c r="F1214" s="1" t="s">
        <v>14</v>
      </c>
      <c r="G1214" s="1">
        <v>88081</v>
      </c>
      <c r="H1214" s="1">
        <v>6404195</v>
      </c>
      <c r="I1214" s="1">
        <v>72.708266129032282</v>
      </c>
      <c r="J1214" s="1">
        <v>91350.882268049434</v>
      </c>
      <c r="K1214" s="1">
        <v>84.5</v>
      </c>
      <c r="L1214" s="1">
        <v>78.5</v>
      </c>
      <c r="M1214" s="1">
        <v>72.494656792343278</v>
      </c>
      <c r="N1214" s="1">
        <v>6622451</v>
      </c>
    </row>
    <row r="1215" spans="1:14" x14ac:dyDescent="0.35">
      <c r="A1215" s="1" t="s">
        <v>60</v>
      </c>
      <c r="B1215" s="1">
        <v>202505</v>
      </c>
      <c r="C1215" s="1" t="str">
        <f>MID(analisis_productividad__4[[#This Row],[Periodo]],1,4)</f>
        <v>2025</v>
      </c>
      <c r="D1215" s="1" t="str">
        <f>MID(analisis_productividad__4[[#This Row],[Periodo]],5,2)</f>
        <v>05</v>
      </c>
      <c r="E1215" s="1" t="s">
        <v>11</v>
      </c>
      <c r="F1215" s="1" t="s">
        <v>14</v>
      </c>
      <c r="G1215" s="1">
        <v>88042</v>
      </c>
      <c r="H1215" s="1">
        <v>5930508</v>
      </c>
      <c r="I1215" s="1">
        <v>67.360087365591411</v>
      </c>
      <c r="J1215" s="1">
        <v>88017.757034605122</v>
      </c>
      <c r="K1215" s="1">
        <v>75.5</v>
      </c>
      <c r="L1215" s="1">
        <v>74</v>
      </c>
      <c r="M1215" s="1">
        <v>67.378538374573182</v>
      </c>
      <c r="N1215" s="1">
        <v>6405470</v>
      </c>
    </row>
    <row r="1216" spans="1:14" x14ac:dyDescent="0.35">
      <c r="A1216" s="1" t="s">
        <v>92</v>
      </c>
      <c r="B1216" s="1">
        <v>202412</v>
      </c>
      <c r="C1216" s="1" t="str">
        <f>MID(analisis_productividad__4[[#This Row],[Periodo]],1,4)</f>
        <v>2024</v>
      </c>
      <c r="D1216" s="1" t="str">
        <f>MID(analisis_productividad__4[[#This Row],[Periodo]],5,2)</f>
        <v>12</v>
      </c>
      <c r="E1216" s="1" t="s">
        <v>11</v>
      </c>
      <c r="F1216" s="1" t="s">
        <v>14</v>
      </c>
      <c r="G1216" s="1">
        <v>88034</v>
      </c>
      <c r="H1216" s="1">
        <v>5569000</v>
      </c>
      <c r="I1216" s="1">
        <v>63.259489247311812</v>
      </c>
      <c r="J1216" s="1">
        <v>0</v>
      </c>
      <c r="K1216" s="1">
        <v>63</v>
      </c>
      <c r="L1216" s="1">
        <v>59</v>
      </c>
      <c r="M1216" s="1"/>
      <c r="N1216" s="1">
        <v>0</v>
      </c>
    </row>
    <row r="1217" spans="1:14" x14ac:dyDescent="0.35">
      <c r="A1217" s="1" t="s">
        <v>56</v>
      </c>
      <c r="B1217" s="1">
        <v>202401</v>
      </c>
      <c r="C1217" s="1" t="str">
        <f>MID(analisis_productividad__4[[#This Row],[Periodo]],1,4)</f>
        <v>2024</v>
      </c>
      <c r="D1217" s="1" t="str">
        <f>MID(analisis_productividad__4[[#This Row],[Periodo]],5,2)</f>
        <v>01</v>
      </c>
      <c r="E1217" s="1" t="s">
        <v>16</v>
      </c>
      <c r="F1217" s="1" t="s">
        <v>21</v>
      </c>
      <c r="G1217" s="1">
        <v>88032</v>
      </c>
      <c r="H1217" s="1">
        <v>5385583</v>
      </c>
      <c r="I1217" s="1">
        <v>61.177365591397844</v>
      </c>
      <c r="J1217" s="1">
        <v>0</v>
      </c>
      <c r="K1217" s="1">
        <v>72.5</v>
      </c>
      <c r="L1217" s="1">
        <v>68.5</v>
      </c>
      <c r="M1217" s="1"/>
      <c r="N1217" s="1">
        <v>0</v>
      </c>
    </row>
    <row r="1218" spans="1:14" x14ac:dyDescent="0.35">
      <c r="A1218" s="1" t="s">
        <v>59</v>
      </c>
      <c r="B1218" s="1">
        <v>202503</v>
      </c>
      <c r="C1218" s="1" t="str">
        <f>MID(analisis_productividad__4[[#This Row],[Periodo]],1,4)</f>
        <v>2025</v>
      </c>
      <c r="D1218" s="1" t="str">
        <f>MID(analisis_productividad__4[[#This Row],[Periodo]],5,2)</f>
        <v>03</v>
      </c>
      <c r="E1218" s="1" t="s">
        <v>11</v>
      </c>
      <c r="F1218" s="1" t="s">
        <v>12</v>
      </c>
      <c r="G1218" s="1">
        <v>88006</v>
      </c>
      <c r="H1218" s="1">
        <v>7663921</v>
      </c>
      <c r="I1218" s="1">
        <v>87.083669354838662</v>
      </c>
      <c r="J1218" s="1">
        <v>103032.55834489517</v>
      </c>
      <c r="K1218" s="1">
        <v>94.5</v>
      </c>
      <c r="L1218" s="1">
        <v>97</v>
      </c>
      <c r="M1218" s="1">
        <v>74.383484532583324</v>
      </c>
      <c r="N1218" s="1">
        <v>9394613</v>
      </c>
    </row>
    <row r="1219" spans="1:14" x14ac:dyDescent="0.35">
      <c r="A1219" s="1" t="s">
        <v>23</v>
      </c>
      <c r="B1219" s="1">
        <v>202409</v>
      </c>
      <c r="C1219" s="1" t="str">
        <f>MID(analisis_productividad__4[[#This Row],[Periodo]],1,4)</f>
        <v>2024</v>
      </c>
      <c r="D1219" s="1" t="str">
        <f>MID(analisis_productividad__4[[#This Row],[Periodo]],5,2)</f>
        <v>09</v>
      </c>
      <c r="E1219" s="1" t="s">
        <v>11</v>
      </c>
      <c r="F1219" s="1" t="s">
        <v>12</v>
      </c>
      <c r="G1219" s="1">
        <v>88001</v>
      </c>
      <c r="H1219" s="1">
        <v>5465036</v>
      </c>
      <c r="I1219" s="1">
        <v>62.102249999999991</v>
      </c>
      <c r="J1219" s="1">
        <v>0</v>
      </c>
      <c r="K1219" s="1">
        <v>68.5</v>
      </c>
      <c r="L1219" s="1">
        <v>66</v>
      </c>
      <c r="M1219" s="1"/>
      <c r="N1219" s="1">
        <v>0</v>
      </c>
    </row>
    <row r="1220" spans="1:14" x14ac:dyDescent="0.35">
      <c r="A1220" s="1" t="s">
        <v>20</v>
      </c>
      <c r="B1220" s="1">
        <v>202405</v>
      </c>
      <c r="C1220" s="1" t="str">
        <f>MID(analisis_productividad__4[[#This Row],[Periodo]],1,4)</f>
        <v>2024</v>
      </c>
      <c r="D1220" s="1" t="str">
        <f>MID(analisis_productividad__4[[#This Row],[Periodo]],5,2)</f>
        <v>05</v>
      </c>
      <c r="E1220" s="1" t="s">
        <v>16</v>
      </c>
      <c r="F1220" s="1" t="s">
        <v>21</v>
      </c>
      <c r="G1220" s="1">
        <v>87984</v>
      </c>
      <c r="H1220" s="1">
        <v>7862064</v>
      </c>
      <c r="I1220" s="1">
        <v>89.357399193548375</v>
      </c>
      <c r="J1220" s="1">
        <v>0</v>
      </c>
      <c r="K1220" s="1">
        <v>96.5</v>
      </c>
      <c r="L1220" s="1">
        <v>94</v>
      </c>
      <c r="M1220" s="1"/>
      <c r="N1220" s="1">
        <v>0</v>
      </c>
    </row>
    <row r="1221" spans="1:14" x14ac:dyDescent="0.35">
      <c r="A1221" s="1" t="s">
        <v>57</v>
      </c>
      <c r="B1221" s="1">
        <v>202502</v>
      </c>
      <c r="C1221" s="1" t="str">
        <f>MID(analisis_productividad__4[[#This Row],[Periodo]],1,4)</f>
        <v>2025</v>
      </c>
      <c r="D1221" s="1" t="str">
        <f>MID(analisis_productividad__4[[#This Row],[Periodo]],5,2)</f>
        <v>02</v>
      </c>
      <c r="E1221" s="1" t="s">
        <v>16</v>
      </c>
      <c r="F1221" s="1" t="s">
        <v>19</v>
      </c>
      <c r="G1221" s="1">
        <v>87983</v>
      </c>
      <c r="H1221" s="1">
        <v>5505677</v>
      </c>
      <c r="I1221" s="1">
        <v>62.576927083333324</v>
      </c>
      <c r="J1221" s="1">
        <v>91351.641121312787</v>
      </c>
      <c r="K1221" s="1">
        <v>71</v>
      </c>
      <c r="L1221" s="1">
        <v>74.5</v>
      </c>
      <c r="M1221" s="1">
        <v>60.269058797625696</v>
      </c>
      <c r="N1221" s="1">
        <v>5416410</v>
      </c>
    </row>
    <row r="1222" spans="1:14" x14ac:dyDescent="0.35">
      <c r="A1222" s="1" t="s">
        <v>98</v>
      </c>
      <c r="B1222" s="1">
        <v>202412</v>
      </c>
      <c r="C1222" s="1" t="str">
        <f>MID(analisis_productividad__4[[#This Row],[Periodo]],1,4)</f>
        <v>2024</v>
      </c>
      <c r="D1222" s="1" t="str">
        <f>MID(analisis_productividad__4[[#This Row],[Periodo]],5,2)</f>
        <v>12</v>
      </c>
      <c r="E1222" s="1" t="s">
        <v>11</v>
      </c>
      <c r="F1222" s="1" t="s">
        <v>14</v>
      </c>
      <c r="G1222" s="1">
        <v>87978</v>
      </c>
      <c r="H1222" s="1">
        <v>5173380</v>
      </c>
      <c r="I1222" s="1">
        <v>58.803151881720446</v>
      </c>
      <c r="J1222" s="1">
        <v>0</v>
      </c>
      <c r="K1222" s="1">
        <v>61.5</v>
      </c>
      <c r="L1222" s="1">
        <v>56</v>
      </c>
      <c r="M1222" s="1"/>
      <c r="N1222" s="1">
        <v>0</v>
      </c>
    </row>
    <row r="1223" spans="1:14" x14ac:dyDescent="0.35">
      <c r="A1223" s="1" t="s">
        <v>39</v>
      </c>
      <c r="B1223" s="1">
        <v>202404</v>
      </c>
      <c r="C1223" s="1" t="str">
        <f>MID(analisis_productividad__4[[#This Row],[Periodo]],1,4)</f>
        <v>2024</v>
      </c>
      <c r="D1223" s="1" t="str">
        <f>MID(analisis_productividad__4[[#This Row],[Periodo]],5,2)</f>
        <v>04</v>
      </c>
      <c r="E1223" s="1" t="s">
        <v>16</v>
      </c>
      <c r="F1223" s="1" t="s">
        <v>17</v>
      </c>
      <c r="G1223" s="1">
        <v>87964</v>
      </c>
      <c r="H1223" s="1">
        <v>7380669</v>
      </c>
      <c r="I1223" s="1">
        <v>83.905840277777742</v>
      </c>
      <c r="J1223" s="1">
        <v>0</v>
      </c>
      <c r="K1223" s="1">
        <v>93.5</v>
      </c>
      <c r="L1223" s="1">
        <v>94</v>
      </c>
      <c r="M1223" s="1"/>
      <c r="N1223" s="1">
        <v>0</v>
      </c>
    </row>
    <row r="1224" spans="1:14" x14ac:dyDescent="0.35">
      <c r="A1224" s="1" t="s">
        <v>75</v>
      </c>
      <c r="B1224" s="1">
        <v>202510</v>
      </c>
      <c r="C1224" s="1" t="str">
        <f>MID(analisis_productividad__4[[#This Row],[Periodo]],1,4)</f>
        <v>2025</v>
      </c>
      <c r="D1224" s="1" t="str">
        <f>MID(analisis_productividad__4[[#This Row],[Periodo]],5,2)</f>
        <v>10</v>
      </c>
      <c r="E1224" s="1" t="s">
        <v>11</v>
      </c>
      <c r="F1224" s="1" t="s">
        <v>52</v>
      </c>
      <c r="G1224" s="1">
        <v>87930</v>
      </c>
      <c r="H1224" s="1">
        <v>8610763</v>
      </c>
      <c r="I1224" s="1">
        <v>97.927506720430117</v>
      </c>
      <c r="J1224" s="1">
        <v>93666.505175163606</v>
      </c>
      <c r="K1224" s="1">
        <v>118</v>
      </c>
      <c r="L1224" s="1">
        <v>106</v>
      </c>
      <c r="M1224" s="1">
        <v>91.930016006225543</v>
      </c>
      <c r="N1224" s="1">
        <v>10013630</v>
      </c>
    </row>
    <row r="1225" spans="1:14" x14ac:dyDescent="0.35">
      <c r="A1225" s="1" t="s">
        <v>60</v>
      </c>
      <c r="B1225" s="1">
        <v>202501</v>
      </c>
      <c r="C1225" s="1" t="str">
        <f>MID(analisis_productividad__4[[#This Row],[Periodo]],1,4)</f>
        <v>2025</v>
      </c>
      <c r="D1225" s="1" t="str">
        <f>MID(analisis_productividad__4[[#This Row],[Periodo]],5,2)</f>
        <v>01</v>
      </c>
      <c r="E1225" s="1" t="s">
        <v>11</v>
      </c>
      <c r="F1225" s="1" t="s">
        <v>14</v>
      </c>
      <c r="G1225" s="1">
        <v>87928</v>
      </c>
      <c r="H1225" s="1">
        <v>5757214</v>
      </c>
      <c r="I1225" s="1">
        <v>65.476814516129025</v>
      </c>
      <c r="J1225" s="1">
        <v>96043.379572619597</v>
      </c>
      <c r="K1225" s="1">
        <v>75.5</v>
      </c>
      <c r="L1225" s="1">
        <v>74</v>
      </c>
      <c r="M1225" s="1">
        <v>59.943891141886553</v>
      </c>
      <c r="N1225" s="1">
        <v>6560589</v>
      </c>
    </row>
    <row r="1226" spans="1:14" x14ac:dyDescent="0.35">
      <c r="A1226" s="1" t="s">
        <v>97</v>
      </c>
      <c r="B1226" s="1">
        <v>202508</v>
      </c>
      <c r="C1226" s="1" t="str">
        <f>MID(analisis_productividad__4[[#This Row],[Periodo]],1,4)</f>
        <v>2025</v>
      </c>
      <c r="D1226" s="1" t="str">
        <f>MID(analisis_productividad__4[[#This Row],[Periodo]],5,2)</f>
        <v>08</v>
      </c>
      <c r="E1226" s="1" t="s">
        <v>11</v>
      </c>
      <c r="F1226" s="1" t="s">
        <v>12</v>
      </c>
      <c r="G1226" s="1">
        <v>87906</v>
      </c>
      <c r="H1226" s="1">
        <v>4453911</v>
      </c>
      <c r="I1226" s="1">
        <v>50.666969086021517</v>
      </c>
      <c r="J1226" s="1">
        <v>82008.058539540914</v>
      </c>
      <c r="K1226" s="1">
        <v>66.5</v>
      </c>
      <c r="L1226" s="1">
        <v>63.5</v>
      </c>
      <c r="M1226" s="1">
        <v>54.31065372499345</v>
      </c>
      <c r="N1226" s="1">
        <v>4914528</v>
      </c>
    </row>
    <row r="1227" spans="1:14" x14ac:dyDescent="0.35">
      <c r="A1227" s="1" t="s">
        <v>57</v>
      </c>
      <c r="B1227" s="1">
        <v>202510</v>
      </c>
      <c r="C1227" s="1" t="str">
        <f>MID(analisis_productividad__4[[#This Row],[Periodo]],1,4)</f>
        <v>2025</v>
      </c>
      <c r="D1227" s="1" t="str">
        <f>MID(analisis_productividad__4[[#This Row],[Periodo]],5,2)</f>
        <v>10</v>
      </c>
      <c r="E1227" s="1" t="s">
        <v>16</v>
      </c>
      <c r="F1227" s="1" t="s">
        <v>19</v>
      </c>
      <c r="G1227" s="1">
        <v>87901</v>
      </c>
      <c r="H1227" s="1">
        <v>5313793</v>
      </c>
      <c r="I1227" s="1">
        <v>60.452244623655886</v>
      </c>
      <c r="J1227" s="1">
        <v>88563.211475483724</v>
      </c>
      <c r="K1227" s="1">
        <v>71</v>
      </c>
      <c r="L1227" s="1">
        <v>74.5</v>
      </c>
      <c r="M1227" s="1">
        <v>60.000000581177851</v>
      </c>
      <c r="N1227" s="1">
        <v>6094813</v>
      </c>
    </row>
    <row r="1228" spans="1:14" x14ac:dyDescent="0.35">
      <c r="A1228" s="1" t="s">
        <v>41</v>
      </c>
      <c r="B1228" s="1">
        <v>202508</v>
      </c>
      <c r="C1228" s="1" t="str">
        <f>MID(analisis_productividad__4[[#This Row],[Periodo]],1,4)</f>
        <v>2025</v>
      </c>
      <c r="D1228" s="1" t="str">
        <f>MID(analisis_productividad__4[[#This Row],[Periodo]],5,2)</f>
        <v>08</v>
      </c>
      <c r="E1228" s="1" t="s">
        <v>16</v>
      </c>
      <c r="F1228" s="1" t="s">
        <v>19</v>
      </c>
      <c r="G1228" s="1">
        <v>87864</v>
      </c>
      <c r="H1228" s="1">
        <v>4395962</v>
      </c>
      <c r="I1228" s="1">
        <v>50.03127688172043</v>
      </c>
      <c r="J1228" s="1">
        <v>94834.93283103974</v>
      </c>
      <c r="K1228" s="1">
        <v>57.5</v>
      </c>
      <c r="L1228" s="1">
        <v>56.5</v>
      </c>
      <c r="M1228" s="1">
        <v>46.353827843501023</v>
      </c>
      <c r="N1228" s="1">
        <v>4482008</v>
      </c>
    </row>
    <row r="1229" spans="1:14" x14ac:dyDescent="0.35">
      <c r="A1229" s="1" t="s">
        <v>68</v>
      </c>
      <c r="B1229" s="1">
        <v>202404</v>
      </c>
      <c r="C1229" s="1" t="str">
        <f>MID(analisis_productividad__4[[#This Row],[Periodo]],1,4)</f>
        <v>2024</v>
      </c>
      <c r="D1229" s="1" t="str">
        <f>MID(analisis_productividad__4[[#This Row],[Periodo]],5,2)</f>
        <v>04</v>
      </c>
      <c r="E1229" s="1" t="s">
        <v>11</v>
      </c>
      <c r="F1229" s="1" t="s">
        <v>52</v>
      </c>
      <c r="G1229" s="1">
        <v>87862</v>
      </c>
      <c r="H1229" s="1">
        <v>7777179</v>
      </c>
      <c r="I1229" s="1">
        <v>88.516166666666649</v>
      </c>
      <c r="J1229" s="1">
        <v>0</v>
      </c>
      <c r="K1229" s="1">
        <v>103</v>
      </c>
      <c r="L1229" s="1">
        <v>91</v>
      </c>
      <c r="M1229" s="1"/>
      <c r="N1229" s="1">
        <v>0</v>
      </c>
    </row>
    <row r="1230" spans="1:14" x14ac:dyDescent="0.35">
      <c r="A1230" s="1" t="s">
        <v>91</v>
      </c>
      <c r="B1230" s="1">
        <v>202603</v>
      </c>
      <c r="C1230" s="1" t="str">
        <f>MID(analisis_productividad__4[[#This Row],[Periodo]],1,4)</f>
        <v>2026</v>
      </c>
      <c r="D1230" s="1" t="str">
        <f>MID(analisis_productividad__4[[#This Row],[Periodo]],5,2)</f>
        <v>03</v>
      </c>
      <c r="E1230" s="1" t="s">
        <v>11</v>
      </c>
      <c r="F1230" s="1" t="s">
        <v>12</v>
      </c>
      <c r="G1230" s="1">
        <v>87858</v>
      </c>
      <c r="H1230" s="1">
        <v>4898567</v>
      </c>
      <c r="I1230" s="1">
        <v>55.755329301075264</v>
      </c>
      <c r="J1230" s="1">
        <v>94145.868473673807</v>
      </c>
      <c r="K1230" s="1">
        <v>55</v>
      </c>
      <c r="L1230" s="1">
        <v>55.5</v>
      </c>
      <c r="M1230" s="1">
        <v>48.91205759483401</v>
      </c>
      <c r="N1230" s="1">
        <v>4604868</v>
      </c>
    </row>
    <row r="1231" spans="1:14" x14ac:dyDescent="0.35">
      <c r="A1231" s="1" t="s">
        <v>92</v>
      </c>
      <c r="B1231" s="1">
        <v>202603</v>
      </c>
      <c r="C1231" s="1" t="str">
        <f>MID(analisis_productividad__4[[#This Row],[Periodo]],1,4)</f>
        <v>2026</v>
      </c>
      <c r="D1231" s="1" t="str">
        <f>MID(analisis_productividad__4[[#This Row],[Periodo]],5,2)</f>
        <v>03</v>
      </c>
      <c r="E1231" s="1" t="s">
        <v>11</v>
      </c>
      <c r="F1231" s="1" t="s">
        <v>14</v>
      </c>
      <c r="G1231" s="1">
        <v>87795</v>
      </c>
      <c r="H1231" s="1">
        <v>4720487</v>
      </c>
      <c r="I1231" s="1">
        <v>53.767056451612923</v>
      </c>
      <c r="J1231" s="1">
        <v>90615.795529805662</v>
      </c>
      <c r="K1231" s="1">
        <v>63</v>
      </c>
      <c r="L1231" s="1">
        <v>59</v>
      </c>
      <c r="M1231" s="1">
        <v>55.026064794188251</v>
      </c>
      <c r="N1231" s="1">
        <v>4986231</v>
      </c>
    </row>
    <row r="1232" spans="1:14" x14ac:dyDescent="0.35">
      <c r="A1232" s="1" t="s">
        <v>70</v>
      </c>
      <c r="B1232" s="1">
        <v>202606</v>
      </c>
      <c r="C1232" s="1" t="str">
        <f>MID(analisis_productividad__4[[#This Row],[Periodo]],1,4)</f>
        <v>2026</v>
      </c>
      <c r="D1232" s="1" t="str">
        <f>MID(analisis_productividad__4[[#This Row],[Periodo]],5,2)</f>
        <v>06</v>
      </c>
      <c r="E1232" s="1" t="s">
        <v>11</v>
      </c>
      <c r="F1232" s="1" t="s">
        <v>14</v>
      </c>
      <c r="G1232" s="1">
        <v>87789</v>
      </c>
      <c r="H1232" s="1">
        <v>5040977</v>
      </c>
      <c r="I1232" s="1">
        <v>57.421437500000373</v>
      </c>
      <c r="J1232" s="1">
        <v>84371.030484635761</v>
      </c>
      <c r="K1232" s="1">
        <v>65</v>
      </c>
      <c r="L1232" s="1">
        <v>67.5</v>
      </c>
      <c r="M1232" s="1">
        <v>56.772923994003762</v>
      </c>
      <c r="N1232" s="1">
        <v>4789990</v>
      </c>
    </row>
    <row r="1233" spans="1:14" x14ac:dyDescent="0.35">
      <c r="A1233" s="1" t="s">
        <v>48</v>
      </c>
      <c r="B1233" s="1">
        <v>202606</v>
      </c>
      <c r="C1233" s="1" t="str">
        <f>MID(analisis_productividad__4[[#This Row],[Periodo]],1,4)</f>
        <v>2026</v>
      </c>
      <c r="D1233" s="1" t="str">
        <f>MID(analisis_productividad__4[[#This Row],[Periodo]],5,2)</f>
        <v>06</v>
      </c>
      <c r="E1233" s="1" t="s">
        <v>16</v>
      </c>
      <c r="F1233" s="1" t="s">
        <v>21</v>
      </c>
      <c r="G1233" s="1">
        <v>87725</v>
      </c>
      <c r="H1233" s="1">
        <v>4724789</v>
      </c>
      <c r="I1233" s="1">
        <v>53.859263888889366</v>
      </c>
      <c r="J1233" s="1">
        <v>100178.05887467151</v>
      </c>
      <c r="K1233" s="1">
        <v>56</v>
      </c>
      <c r="L1233" s="1">
        <v>60</v>
      </c>
      <c r="M1233" s="1">
        <v>48.493991244906013</v>
      </c>
      <c r="N1233" s="1">
        <v>4858034</v>
      </c>
    </row>
    <row r="1234" spans="1:14" x14ac:dyDescent="0.35">
      <c r="A1234" s="1" t="s">
        <v>80</v>
      </c>
      <c r="B1234" s="1">
        <v>202604</v>
      </c>
      <c r="C1234" s="1" t="str">
        <f>MID(analisis_productividad__4[[#This Row],[Periodo]],1,4)</f>
        <v>2026</v>
      </c>
      <c r="D1234" s="1" t="str">
        <f>MID(analisis_productividad__4[[#This Row],[Periodo]],5,2)</f>
        <v>04</v>
      </c>
      <c r="E1234" s="1" t="s">
        <v>16</v>
      </c>
      <c r="F1234" s="1" t="s">
        <v>17</v>
      </c>
      <c r="G1234" s="1">
        <v>87688</v>
      </c>
      <c r="H1234" s="1">
        <v>4569013</v>
      </c>
      <c r="I1234" s="1">
        <v>52.105180555556011</v>
      </c>
      <c r="J1234" s="1">
        <v>86043.52635395751</v>
      </c>
      <c r="K1234" s="1">
        <v>58</v>
      </c>
      <c r="L1234" s="1">
        <v>58.5</v>
      </c>
      <c r="M1234" s="1">
        <v>51.139118040082707</v>
      </c>
      <c r="N1234" s="1">
        <v>4400190</v>
      </c>
    </row>
    <row r="1235" spans="1:14" x14ac:dyDescent="0.35">
      <c r="A1235" s="1" t="s">
        <v>68</v>
      </c>
      <c r="B1235" s="1">
        <v>202402</v>
      </c>
      <c r="C1235" s="1" t="str">
        <f>MID(analisis_productividad__4[[#This Row],[Periodo]],1,4)</f>
        <v>2024</v>
      </c>
      <c r="D1235" s="1" t="str">
        <f>MID(analisis_productividad__4[[#This Row],[Periodo]],5,2)</f>
        <v>02</v>
      </c>
      <c r="E1235" s="1" t="s">
        <v>11</v>
      </c>
      <c r="F1235" s="1" t="s">
        <v>52</v>
      </c>
      <c r="G1235" s="1">
        <v>87685</v>
      </c>
      <c r="H1235" s="1">
        <v>7714247</v>
      </c>
      <c r="I1235" s="1">
        <v>87.976875000000049</v>
      </c>
      <c r="J1235" s="1">
        <v>0</v>
      </c>
      <c r="K1235" s="1">
        <v>103</v>
      </c>
      <c r="L1235" s="1">
        <v>91</v>
      </c>
      <c r="M1235" s="1"/>
      <c r="N1235" s="1">
        <v>0</v>
      </c>
    </row>
    <row r="1236" spans="1:14" x14ac:dyDescent="0.35">
      <c r="A1236" s="1" t="s">
        <v>60</v>
      </c>
      <c r="B1236" s="1">
        <v>202606</v>
      </c>
      <c r="C1236" s="1" t="str">
        <f>MID(analisis_productividad__4[[#This Row],[Periodo]],1,4)</f>
        <v>2026</v>
      </c>
      <c r="D1236" s="1" t="str">
        <f>MID(analisis_productividad__4[[#This Row],[Periodo]],5,2)</f>
        <v>06</v>
      </c>
      <c r="E1236" s="1" t="s">
        <v>11</v>
      </c>
      <c r="F1236" s="1" t="s">
        <v>14</v>
      </c>
      <c r="G1236" s="1">
        <v>87675</v>
      </c>
      <c r="H1236" s="1">
        <v>5671532</v>
      </c>
      <c r="I1236" s="1">
        <v>64.688409722223057</v>
      </c>
      <c r="J1236" s="1">
        <v>84392.043132808976</v>
      </c>
      <c r="K1236" s="1">
        <v>75.5</v>
      </c>
      <c r="L1236" s="1">
        <v>74</v>
      </c>
      <c r="M1236" s="1">
        <v>63.845934941054651</v>
      </c>
      <c r="N1236" s="1">
        <v>5388089</v>
      </c>
    </row>
    <row r="1237" spans="1:14" x14ac:dyDescent="0.35">
      <c r="A1237" s="1" t="s">
        <v>62</v>
      </c>
      <c r="B1237" s="1">
        <v>202504</v>
      </c>
      <c r="C1237" s="1" t="str">
        <f>MID(analisis_productividad__4[[#This Row],[Periodo]],1,4)</f>
        <v>2025</v>
      </c>
      <c r="D1237" s="1" t="str">
        <f>MID(analisis_productividad__4[[#This Row],[Periodo]],5,2)</f>
        <v>04</v>
      </c>
      <c r="E1237" s="1" t="s">
        <v>16</v>
      </c>
      <c r="F1237" s="1" t="s">
        <v>17</v>
      </c>
      <c r="G1237" s="1">
        <v>87671</v>
      </c>
      <c r="H1237" s="1">
        <v>2583201</v>
      </c>
      <c r="I1237" s="1">
        <v>29.464847222222222</v>
      </c>
      <c r="J1237" s="1">
        <v>81258.080494266615</v>
      </c>
      <c r="K1237" s="1">
        <v>32.5</v>
      </c>
      <c r="L1237" s="1">
        <v>32</v>
      </c>
      <c r="M1237" s="1">
        <v>31.79007729800195</v>
      </c>
      <c r="N1237" s="1">
        <v>2417364</v>
      </c>
    </row>
    <row r="1238" spans="1:14" x14ac:dyDescent="0.35">
      <c r="A1238" s="1" t="s">
        <v>76</v>
      </c>
      <c r="B1238" s="1">
        <v>202411</v>
      </c>
      <c r="C1238" s="1" t="str">
        <f>MID(analisis_productividad__4[[#This Row],[Periodo]],1,4)</f>
        <v>2024</v>
      </c>
      <c r="D1238" s="1" t="str">
        <f>MID(analisis_productividad__4[[#This Row],[Periodo]],5,2)</f>
        <v>11</v>
      </c>
      <c r="E1238" s="1" t="s">
        <v>11</v>
      </c>
      <c r="F1238" s="1" t="s">
        <v>14</v>
      </c>
      <c r="G1238" s="1">
        <v>87669</v>
      </c>
      <c r="H1238" s="1">
        <v>6281298</v>
      </c>
      <c r="I1238" s="1">
        <v>71.647819444444451</v>
      </c>
      <c r="J1238" s="1">
        <v>0</v>
      </c>
      <c r="K1238" s="1">
        <v>80</v>
      </c>
      <c r="L1238" s="1">
        <v>78</v>
      </c>
      <c r="M1238" s="1"/>
      <c r="N1238" s="1">
        <v>0</v>
      </c>
    </row>
    <row r="1239" spans="1:14" x14ac:dyDescent="0.35">
      <c r="A1239" s="1" t="s">
        <v>64</v>
      </c>
      <c r="B1239" s="1">
        <v>202401</v>
      </c>
      <c r="C1239" s="1" t="str">
        <f>MID(analisis_productividad__4[[#This Row],[Periodo]],1,4)</f>
        <v>2024</v>
      </c>
      <c r="D1239" s="1" t="str">
        <f>MID(analisis_productividad__4[[#This Row],[Periodo]],5,2)</f>
        <v>01</v>
      </c>
      <c r="E1239" s="1" t="s">
        <v>16</v>
      </c>
      <c r="F1239" s="1" t="s">
        <v>21</v>
      </c>
      <c r="G1239" s="1">
        <v>87604</v>
      </c>
      <c r="H1239" s="1">
        <v>6447157</v>
      </c>
      <c r="I1239" s="1">
        <v>73.594509408602136</v>
      </c>
      <c r="J1239" s="1">
        <v>0</v>
      </c>
      <c r="K1239" s="1">
        <v>88.5</v>
      </c>
      <c r="L1239" s="1">
        <v>92.5</v>
      </c>
      <c r="M1239" s="1"/>
      <c r="N1239" s="1">
        <v>0</v>
      </c>
    </row>
    <row r="1240" spans="1:14" x14ac:dyDescent="0.35">
      <c r="A1240" s="1" t="s">
        <v>87</v>
      </c>
      <c r="B1240" s="1">
        <v>202503</v>
      </c>
      <c r="C1240" s="1" t="str">
        <f>MID(analisis_productividad__4[[#This Row],[Periodo]],1,4)</f>
        <v>2025</v>
      </c>
      <c r="D1240" s="1" t="str">
        <f>MID(analisis_productividad__4[[#This Row],[Periodo]],5,2)</f>
        <v>03</v>
      </c>
      <c r="E1240" s="1" t="s">
        <v>9</v>
      </c>
      <c r="F1240" s="1" t="s">
        <v>9</v>
      </c>
      <c r="G1240" s="1">
        <v>87587</v>
      </c>
      <c r="H1240" s="1">
        <v>1000801</v>
      </c>
      <c r="I1240" s="1">
        <v>11.426323924731184</v>
      </c>
      <c r="J1240" s="1">
        <v>99710.776131367864</v>
      </c>
      <c r="K1240" s="1">
        <v>13.5</v>
      </c>
      <c r="L1240" s="1">
        <v>12</v>
      </c>
      <c r="M1240" s="1">
        <v>10.037041218909534</v>
      </c>
      <c r="N1240" s="1">
        <v>1103945</v>
      </c>
    </row>
    <row r="1241" spans="1:14" x14ac:dyDescent="0.35">
      <c r="A1241" s="1" t="s">
        <v>80</v>
      </c>
      <c r="B1241" s="1">
        <v>202408</v>
      </c>
      <c r="C1241" s="1" t="str">
        <f>MID(analisis_productividad__4[[#This Row],[Periodo]],1,4)</f>
        <v>2024</v>
      </c>
      <c r="D1241" s="1" t="str">
        <f>MID(analisis_productividad__4[[#This Row],[Periodo]],5,2)</f>
        <v>08</v>
      </c>
      <c r="E1241" s="1" t="s">
        <v>16</v>
      </c>
      <c r="F1241" s="1" t="s">
        <v>17</v>
      </c>
      <c r="G1241" s="1">
        <v>87567</v>
      </c>
      <c r="H1241" s="1">
        <v>4830571</v>
      </c>
      <c r="I1241" s="1">
        <v>55.164469086021491</v>
      </c>
      <c r="J1241" s="1">
        <v>0</v>
      </c>
      <c r="K1241" s="1">
        <v>58</v>
      </c>
      <c r="L1241" s="1">
        <v>58.5</v>
      </c>
      <c r="M1241" s="1"/>
      <c r="N1241" s="1">
        <v>0</v>
      </c>
    </row>
    <row r="1242" spans="1:14" x14ac:dyDescent="0.35">
      <c r="A1242" s="1" t="s">
        <v>74</v>
      </c>
      <c r="B1242" s="1">
        <v>202403</v>
      </c>
      <c r="C1242" s="1" t="str">
        <f>MID(analisis_productividad__4[[#This Row],[Periodo]],1,4)</f>
        <v>2024</v>
      </c>
      <c r="D1242" s="1" t="str">
        <f>MID(analisis_productividad__4[[#This Row],[Periodo]],5,2)</f>
        <v>03</v>
      </c>
      <c r="E1242" s="1" t="s">
        <v>16</v>
      </c>
      <c r="F1242" s="1" t="s">
        <v>19</v>
      </c>
      <c r="G1242" s="1">
        <v>87566</v>
      </c>
      <c r="H1242" s="1">
        <v>4604740</v>
      </c>
      <c r="I1242" s="1">
        <v>52.586088709677405</v>
      </c>
      <c r="J1242" s="1">
        <v>0</v>
      </c>
      <c r="K1242" s="1">
        <v>50.5</v>
      </c>
      <c r="L1242" s="1">
        <v>51.5</v>
      </c>
      <c r="M1242" s="1"/>
      <c r="N1242" s="1">
        <v>0</v>
      </c>
    </row>
    <row r="1243" spans="1:14" x14ac:dyDescent="0.35">
      <c r="A1243" s="1" t="s">
        <v>75</v>
      </c>
      <c r="B1243" s="1">
        <v>202409</v>
      </c>
      <c r="C1243" s="1" t="str">
        <f>MID(analisis_productividad__4[[#This Row],[Periodo]],1,4)</f>
        <v>2024</v>
      </c>
      <c r="D1243" s="1" t="str">
        <f>MID(analisis_productividad__4[[#This Row],[Periodo]],5,2)</f>
        <v>09</v>
      </c>
      <c r="E1243" s="1" t="s">
        <v>11</v>
      </c>
      <c r="F1243" s="1" t="s">
        <v>52</v>
      </c>
      <c r="G1243" s="1">
        <v>87553</v>
      </c>
      <c r="H1243" s="1">
        <v>9059462</v>
      </c>
      <c r="I1243" s="1">
        <v>103.47443750000001</v>
      </c>
      <c r="J1243" s="1">
        <v>0</v>
      </c>
      <c r="K1243" s="1">
        <v>118</v>
      </c>
      <c r="L1243" s="1">
        <v>106</v>
      </c>
      <c r="M1243" s="1"/>
      <c r="N1243" s="1">
        <v>0</v>
      </c>
    </row>
    <row r="1244" spans="1:14" x14ac:dyDescent="0.35">
      <c r="A1244" s="1" t="s">
        <v>75</v>
      </c>
      <c r="B1244" s="1">
        <v>202501</v>
      </c>
      <c r="C1244" s="1" t="str">
        <f>MID(analisis_productividad__4[[#This Row],[Periodo]],1,4)</f>
        <v>2025</v>
      </c>
      <c r="D1244" s="1" t="str">
        <f>MID(analisis_productividad__4[[#This Row],[Periodo]],5,2)</f>
        <v>01</v>
      </c>
      <c r="E1244" s="1" t="s">
        <v>11</v>
      </c>
      <c r="F1244" s="1" t="s">
        <v>52</v>
      </c>
      <c r="G1244" s="1">
        <v>87539</v>
      </c>
      <c r="H1244" s="1">
        <v>9150518</v>
      </c>
      <c r="I1244" s="1">
        <v>104.53055779569887</v>
      </c>
      <c r="J1244" s="1">
        <v>90125.790148887623</v>
      </c>
      <c r="K1244" s="1">
        <v>118</v>
      </c>
      <c r="L1244" s="1">
        <v>106</v>
      </c>
      <c r="M1244" s="1">
        <v>101.53052045239616</v>
      </c>
      <c r="N1244" s="1">
        <v>9881997</v>
      </c>
    </row>
    <row r="1245" spans="1:14" x14ac:dyDescent="0.35">
      <c r="A1245" s="1" t="s">
        <v>43</v>
      </c>
      <c r="B1245" s="1">
        <v>202506</v>
      </c>
      <c r="C1245" s="1" t="str">
        <f>MID(analisis_productividad__4[[#This Row],[Periodo]],1,4)</f>
        <v>2025</v>
      </c>
      <c r="D1245" s="1" t="str">
        <f>MID(analisis_productividad__4[[#This Row],[Periodo]],5,2)</f>
        <v>06</v>
      </c>
      <c r="E1245" s="1" t="s">
        <v>11</v>
      </c>
      <c r="F1245" s="1" t="s">
        <v>12</v>
      </c>
      <c r="G1245" s="1">
        <v>87528</v>
      </c>
      <c r="H1245" s="1">
        <v>6433169</v>
      </c>
      <c r="I1245" s="1">
        <v>73.498687500000003</v>
      </c>
      <c r="J1245" s="1">
        <v>98506.047163448093</v>
      </c>
      <c r="K1245" s="1">
        <v>84.5</v>
      </c>
      <c r="L1245" s="1">
        <v>86.5</v>
      </c>
      <c r="M1245" s="1">
        <v>65.307350617019864</v>
      </c>
      <c r="N1245" s="1">
        <v>7303631</v>
      </c>
    </row>
    <row r="1246" spans="1:14" x14ac:dyDescent="0.35">
      <c r="A1246" s="1" t="s">
        <v>24</v>
      </c>
      <c r="B1246" s="1">
        <v>202507</v>
      </c>
      <c r="C1246" s="1" t="str">
        <f>MID(analisis_productividad__4[[#This Row],[Periodo]],1,4)</f>
        <v>2025</v>
      </c>
      <c r="D1246" s="1" t="str">
        <f>MID(analisis_productividad__4[[#This Row],[Periodo]],5,2)</f>
        <v>07</v>
      </c>
      <c r="E1246" s="1" t="s">
        <v>16</v>
      </c>
      <c r="F1246" s="1" t="s">
        <v>21</v>
      </c>
      <c r="G1246" s="1">
        <v>87526</v>
      </c>
      <c r="H1246" s="1">
        <v>9455800</v>
      </c>
      <c r="I1246" s="1">
        <v>108.03366263440867</v>
      </c>
      <c r="J1246" s="1">
        <v>105149.39019121883</v>
      </c>
      <c r="K1246" s="1">
        <v>125</v>
      </c>
      <c r="L1246" s="1">
        <v>118.5</v>
      </c>
      <c r="M1246" s="1">
        <v>89.927289666675293</v>
      </c>
      <c r="N1246" s="1">
        <v>10511744</v>
      </c>
    </row>
    <row r="1247" spans="1:14" x14ac:dyDescent="0.35">
      <c r="A1247" s="1" t="s">
        <v>55</v>
      </c>
      <c r="B1247" s="1">
        <v>202406</v>
      </c>
      <c r="C1247" s="1" t="str">
        <f>MID(analisis_productividad__4[[#This Row],[Periodo]],1,4)</f>
        <v>2024</v>
      </c>
      <c r="D1247" s="1" t="str">
        <f>MID(analisis_productividad__4[[#This Row],[Periodo]],5,2)</f>
        <v>06</v>
      </c>
      <c r="E1247" s="1" t="s">
        <v>16</v>
      </c>
      <c r="F1247" s="1" t="s">
        <v>21</v>
      </c>
      <c r="G1247" s="1">
        <v>87506</v>
      </c>
      <c r="H1247" s="1">
        <v>4696583</v>
      </c>
      <c r="I1247" s="1">
        <v>53.671284722222239</v>
      </c>
      <c r="J1247" s="1">
        <v>0</v>
      </c>
      <c r="K1247" s="1">
        <v>55</v>
      </c>
      <c r="L1247" s="1">
        <v>50.5</v>
      </c>
      <c r="M1247" s="1"/>
      <c r="N1247" s="1">
        <v>0</v>
      </c>
    </row>
    <row r="1248" spans="1:14" x14ac:dyDescent="0.35">
      <c r="A1248" s="1" t="s">
        <v>91</v>
      </c>
      <c r="B1248" s="1">
        <v>202605</v>
      </c>
      <c r="C1248" s="1" t="str">
        <f>MID(analisis_productividad__4[[#This Row],[Periodo]],1,4)</f>
        <v>2026</v>
      </c>
      <c r="D1248" s="1" t="str">
        <f>MID(analisis_productividad__4[[#This Row],[Periodo]],5,2)</f>
        <v>05</v>
      </c>
      <c r="E1248" s="1" t="s">
        <v>11</v>
      </c>
      <c r="F1248" s="1" t="s">
        <v>12</v>
      </c>
      <c r="G1248" s="1">
        <v>87496</v>
      </c>
      <c r="H1248" s="1">
        <v>4505027</v>
      </c>
      <c r="I1248" s="1">
        <v>51.488622311828152</v>
      </c>
      <c r="J1248" s="1">
        <v>87314.602795427418</v>
      </c>
      <c r="K1248" s="1">
        <v>55</v>
      </c>
      <c r="L1248" s="1">
        <v>55.5</v>
      </c>
      <c r="M1248" s="1">
        <v>48.91205759483401</v>
      </c>
      <c r="N1248" s="1">
        <v>4270737</v>
      </c>
    </row>
    <row r="1249" spans="1:14" x14ac:dyDescent="0.35">
      <c r="A1249" s="1" t="s">
        <v>81</v>
      </c>
      <c r="B1249" s="1">
        <v>202603</v>
      </c>
      <c r="C1249" s="1" t="str">
        <f>MID(analisis_productividad__4[[#This Row],[Periodo]],1,4)</f>
        <v>2026</v>
      </c>
      <c r="D1249" s="1" t="str">
        <f>MID(analisis_productividad__4[[#This Row],[Periodo]],5,2)</f>
        <v>03</v>
      </c>
      <c r="E1249" s="1" t="s">
        <v>34</v>
      </c>
      <c r="F1249" s="1" t="s">
        <v>35</v>
      </c>
      <c r="G1249" s="1">
        <v>87492</v>
      </c>
      <c r="H1249" s="1">
        <v>8235621</v>
      </c>
      <c r="I1249" s="1">
        <v>94.130524193548382</v>
      </c>
      <c r="J1249" s="1">
        <v>93859.205990877323</v>
      </c>
      <c r="K1249" s="1">
        <v>106</v>
      </c>
      <c r="L1249" s="1">
        <v>94.5</v>
      </c>
      <c r="M1249" s="1">
        <v>88.413034538205707</v>
      </c>
      <c r="N1249" s="1">
        <v>8298377</v>
      </c>
    </row>
    <row r="1250" spans="1:14" x14ac:dyDescent="0.35">
      <c r="A1250" s="1" t="s">
        <v>97</v>
      </c>
      <c r="B1250" s="1">
        <v>202503</v>
      </c>
      <c r="C1250" s="1" t="str">
        <f>MID(analisis_productividad__4[[#This Row],[Periodo]],1,4)</f>
        <v>2025</v>
      </c>
      <c r="D1250" s="1" t="str">
        <f>MID(analisis_productividad__4[[#This Row],[Periodo]],5,2)</f>
        <v>03</v>
      </c>
      <c r="E1250" s="1" t="s">
        <v>11</v>
      </c>
      <c r="F1250" s="1" t="s">
        <v>12</v>
      </c>
      <c r="G1250" s="1">
        <v>87425</v>
      </c>
      <c r="H1250" s="1">
        <v>5293162</v>
      </c>
      <c r="I1250" s="1">
        <v>60.545013440860238</v>
      </c>
      <c r="J1250" s="1">
        <v>85277.176250358156</v>
      </c>
      <c r="K1250" s="1">
        <v>66.5</v>
      </c>
      <c r="L1250" s="1">
        <v>63.5</v>
      </c>
      <c r="M1250" s="1">
        <v>62.070089357324036</v>
      </c>
      <c r="N1250" s="1">
        <v>5608921</v>
      </c>
    </row>
    <row r="1251" spans="1:14" x14ac:dyDescent="0.35">
      <c r="A1251" s="1" t="s">
        <v>66</v>
      </c>
      <c r="B1251" s="1">
        <v>202602</v>
      </c>
      <c r="C1251" s="1" t="str">
        <f>MID(analisis_productividad__4[[#This Row],[Periodo]],1,4)</f>
        <v>2026</v>
      </c>
      <c r="D1251" s="1" t="str">
        <f>MID(analisis_productividad__4[[#This Row],[Periodo]],5,2)</f>
        <v>02</v>
      </c>
      <c r="E1251" s="1" t="s">
        <v>11</v>
      </c>
      <c r="F1251" s="1" t="s">
        <v>12</v>
      </c>
      <c r="G1251" s="1">
        <v>87411</v>
      </c>
      <c r="H1251" s="1">
        <v>6261384</v>
      </c>
      <c r="I1251" s="1">
        <v>71.631614583333317</v>
      </c>
      <c r="J1251" s="1">
        <v>92600.887191461632</v>
      </c>
      <c r="K1251" s="1">
        <v>80</v>
      </c>
      <c r="L1251" s="1">
        <v>80.5</v>
      </c>
      <c r="M1251" s="1">
        <v>67.651321791845987</v>
      </c>
      <c r="N1251" s="1">
        <v>6264572</v>
      </c>
    </row>
    <row r="1252" spans="1:14" x14ac:dyDescent="0.35">
      <c r="A1252" s="1" t="s">
        <v>18</v>
      </c>
      <c r="B1252" s="1">
        <v>202504</v>
      </c>
      <c r="C1252" s="1" t="str">
        <f>MID(analisis_productividad__4[[#This Row],[Periodo]],1,4)</f>
        <v>2025</v>
      </c>
      <c r="D1252" s="1" t="str">
        <f>MID(analisis_productividad__4[[#This Row],[Periodo]],5,2)</f>
        <v>04</v>
      </c>
      <c r="E1252" s="1" t="s">
        <v>16</v>
      </c>
      <c r="F1252" s="1" t="s">
        <v>19</v>
      </c>
      <c r="G1252" s="1">
        <v>87396</v>
      </c>
      <c r="H1252" s="1">
        <v>5536075</v>
      </c>
      <c r="I1252" s="1">
        <v>63.344361111111148</v>
      </c>
      <c r="J1252" s="1">
        <v>82604.678894560231</v>
      </c>
      <c r="K1252" s="1">
        <v>70.5</v>
      </c>
      <c r="L1252" s="1">
        <v>69.5</v>
      </c>
      <c r="M1252" s="1">
        <v>67.018905636888391</v>
      </c>
      <c r="N1252" s="1">
        <v>5428027</v>
      </c>
    </row>
    <row r="1253" spans="1:14" x14ac:dyDescent="0.35">
      <c r="A1253" s="1" t="s">
        <v>56</v>
      </c>
      <c r="B1253" s="1">
        <v>202506</v>
      </c>
      <c r="C1253" s="1" t="str">
        <f>MID(analisis_productividad__4[[#This Row],[Periodo]],1,4)</f>
        <v>2025</v>
      </c>
      <c r="D1253" s="1" t="str">
        <f>MID(analisis_productividad__4[[#This Row],[Periodo]],5,2)</f>
        <v>06</v>
      </c>
      <c r="E1253" s="1" t="s">
        <v>16</v>
      </c>
      <c r="F1253" s="1" t="s">
        <v>21</v>
      </c>
      <c r="G1253" s="1">
        <v>87396</v>
      </c>
      <c r="H1253" s="1">
        <v>5554799</v>
      </c>
      <c r="I1253" s="1">
        <v>63.558638888888893</v>
      </c>
      <c r="J1253" s="1">
        <v>94464.08092611593</v>
      </c>
      <c r="K1253" s="1">
        <v>72.5</v>
      </c>
      <c r="L1253" s="1">
        <v>68.5</v>
      </c>
      <c r="M1253" s="1">
        <v>58.803291743711853</v>
      </c>
      <c r="N1253" s="1">
        <v>6008003</v>
      </c>
    </row>
    <row r="1254" spans="1:14" x14ac:dyDescent="0.35">
      <c r="A1254" s="1" t="s">
        <v>33</v>
      </c>
      <c r="B1254" s="1">
        <v>202403</v>
      </c>
      <c r="C1254" s="1" t="str">
        <f>MID(analisis_productividad__4[[#This Row],[Periodo]],1,4)</f>
        <v>2024</v>
      </c>
      <c r="D1254" s="1" t="str">
        <f>MID(analisis_productividad__4[[#This Row],[Periodo]],5,2)</f>
        <v>03</v>
      </c>
      <c r="E1254" s="1" t="s">
        <v>34</v>
      </c>
      <c r="F1254" s="1" t="s">
        <v>35</v>
      </c>
      <c r="G1254" s="1">
        <v>87374</v>
      </c>
      <c r="H1254" s="1">
        <v>1227250</v>
      </c>
      <c r="I1254" s="1">
        <v>14.045961021505375</v>
      </c>
      <c r="J1254" s="1">
        <v>0</v>
      </c>
      <c r="K1254" s="1">
        <v>15</v>
      </c>
      <c r="L1254" s="1">
        <v>15</v>
      </c>
      <c r="M1254" s="1"/>
      <c r="N1254" s="1">
        <v>0</v>
      </c>
    </row>
    <row r="1255" spans="1:14" x14ac:dyDescent="0.35">
      <c r="A1255" s="1" t="s">
        <v>74</v>
      </c>
      <c r="B1255" s="1">
        <v>202407</v>
      </c>
      <c r="C1255" s="1" t="str">
        <f>MID(analisis_productividad__4[[#This Row],[Periodo]],1,4)</f>
        <v>2024</v>
      </c>
      <c r="D1255" s="1" t="str">
        <f>MID(analisis_productividad__4[[#This Row],[Periodo]],5,2)</f>
        <v>07</v>
      </c>
      <c r="E1255" s="1" t="s">
        <v>16</v>
      </c>
      <c r="F1255" s="1" t="s">
        <v>19</v>
      </c>
      <c r="G1255" s="1">
        <v>87373</v>
      </c>
      <c r="H1255" s="1">
        <v>4416300</v>
      </c>
      <c r="I1255" s="1">
        <v>50.545598118279571</v>
      </c>
      <c r="J1255" s="1">
        <v>0</v>
      </c>
      <c r="K1255" s="1">
        <v>50.5</v>
      </c>
      <c r="L1255" s="1">
        <v>51.5</v>
      </c>
      <c r="M1255" s="1"/>
      <c r="N1255" s="1">
        <v>0</v>
      </c>
    </row>
    <row r="1256" spans="1:14" x14ac:dyDescent="0.35">
      <c r="A1256" s="1" t="s">
        <v>56</v>
      </c>
      <c r="B1256" s="1">
        <v>202502</v>
      </c>
      <c r="C1256" s="1" t="str">
        <f>MID(analisis_productividad__4[[#This Row],[Periodo]],1,4)</f>
        <v>2025</v>
      </c>
      <c r="D1256" s="1" t="str">
        <f>MID(analisis_productividad__4[[#This Row],[Periodo]],5,2)</f>
        <v>02</v>
      </c>
      <c r="E1256" s="1" t="s">
        <v>16</v>
      </c>
      <c r="F1256" s="1" t="s">
        <v>21</v>
      </c>
      <c r="G1256" s="1">
        <v>87358</v>
      </c>
      <c r="H1256" s="1">
        <v>5427544</v>
      </c>
      <c r="I1256" s="1">
        <v>62.129947916666666</v>
      </c>
      <c r="J1256" s="1">
        <v>91121.869439858448</v>
      </c>
      <c r="K1256" s="1">
        <v>72.5</v>
      </c>
      <c r="L1256" s="1">
        <v>68.5</v>
      </c>
      <c r="M1256" s="1">
        <v>59.563576047814152</v>
      </c>
      <c r="N1256" s="1">
        <v>5718677</v>
      </c>
    </row>
    <row r="1257" spans="1:14" x14ac:dyDescent="0.35">
      <c r="A1257" s="1" t="s">
        <v>81</v>
      </c>
      <c r="B1257" s="1">
        <v>202508</v>
      </c>
      <c r="C1257" s="1" t="str">
        <f>MID(analisis_productividad__4[[#This Row],[Periodo]],1,4)</f>
        <v>2025</v>
      </c>
      <c r="D1257" s="1" t="str">
        <f>MID(analisis_productividad__4[[#This Row],[Periodo]],5,2)</f>
        <v>08</v>
      </c>
      <c r="E1257" s="1" t="s">
        <v>34</v>
      </c>
      <c r="F1257" s="1" t="s">
        <v>35</v>
      </c>
      <c r="G1257" s="1">
        <v>87343</v>
      </c>
      <c r="H1257" s="1">
        <v>7530769</v>
      </c>
      <c r="I1257" s="1">
        <v>86.22071236559141</v>
      </c>
      <c r="J1257" s="1">
        <v>86572.720314740698</v>
      </c>
      <c r="K1257" s="1">
        <v>106</v>
      </c>
      <c r="L1257" s="1">
        <v>94.5</v>
      </c>
      <c r="M1257" s="1">
        <v>86.987777588845574</v>
      </c>
      <c r="N1257" s="1">
        <v>7661773</v>
      </c>
    </row>
    <row r="1258" spans="1:14" x14ac:dyDescent="0.35">
      <c r="A1258" s="1" t="s">
        <v>47</v>
      </c>
      <c r="B1258" s="1">
        <v>202509</v>
      </c>
      <c r="C1258" s="1" t="str">
        <f>MID(analisis_productividad__4[[#This Row],[Periodo]],1,4)</f>
        <v>2025</v>
      </c>
      <c r="D1258" s="1" t="str">
        <f>MID(analisis_productividad__4[[#This Row],[Periodo]],5,2)</f>
        <v>09</v>
      </c>
      <c r="E1258" s="1" t="s">
        <v>11</v>
      </c>
      <c r="F1258" s="1" t="s">
        <v>14</v>
      </c>
      <c r="G1258" s="1">
        <v>87335</v>
      </c>
      <c r="H1258" s="1">
        <v>4038238</v>
      </c>
      <c r="I1258" s="1">
        <v>46.238256944444473</v>
      </c>
      <c r="J1258" s="1">
        <v>83291.305498924368</v>
      </c>
      <c r="K1258" s="1">
        <v>61.5</v>
      </c>
      <c r="L1258" s="1">
        <v>48.5</v>
      </c>
      <c r="M1258" s="1">
        <v>48.483309582080572</v>
      </c>
      <c r="N1258" s="1">
        <v>4838014</v>
      </c>
    </row>
    <row r="1259" spans="1:14" x14ac:dyDescent="0.35">
      <c r="A1259" s="1" t="s">
        <v>69</v>
      </c>
      <c r="B1259" s="1">
        <v>202601</v>
      </c>
      <c r="C1259" s="1" t="str">
        <f>MID(analisis_productividad__4[[#This Row],[Periodo]],1,4)</f>
        <v>2026</v>
      </c>
      <c r="D1259" s="1" t="str">
        <f>MID(analisis_productividad__4[[#This Row],[Periodo]],5,2)</f>
        <v>01</v>
      </c>
      <c r="E1259" s="1" t="s">
        <v>11</v>
      </c>
      <c r="F1259" s="1" t="s">
        <v>52</v>
      </c>
      <c r="G1259" s="1">
        <v>87330</v>
      </c>
      <c r="H1259" s="1">
        <v>4844291</v>
      </c>
      <c r="I1259" s="1">
        <v>55.470860215053769</v>
      </c>
      <c r="J1259" s="1">
        <v>90386.273826044213</v>
      </c>
      <c r="K1259" s="1">
        <v>68</v>
      </c>
      <c r="L1259" s="1">
        <v>60.5</v>
      </c>
      <c r="M1259" s="1">
        <v>56.717795741490448</v>
      </c>
      <c r="N1259" s="1">
        <v>5126510</v>
      </c>
    </row>
    <row r="1260" spans="1:14" x14ac:dyDescent="0.35">
      <c r="A1260" s="1" t="s">
        <v>32</v>
      </c>
      <c r="B1260" s="1">
        <v>202402</v>
      </c>
      <c r="C1260" s="1" t="str">
        <f>MID(analisis_productividad__4[[#This Row],[Periodo]],1,4)</f>
        <v>2024</v>
      </c>
      <c r="D1260" s="1" t="str">
        <f>MID(analisis_productividad__4[[#This Row],[Periodo]],5,2)</f>
        <v>02</v>
      </c>
      <c r="E1260" s="1" t="s">
        <v>11</v>
      </c>
      <c r="F1260" s="1" t="s">
        <v>12</v>
      </c>
      <c r="G1260" s="1">
        <v>87322</v>
      </c>
      <c r="H1260" s="1">
        <v>5434013</v>
      </c>
      <c r="I1260" s="1">
        <v>62.229698275862056</v>
      </c>
      <c r="J1260" s="1">
        <v>0</v>
      </c>
      <c r="K1260" s="1">
        <v>65.5</v>
      </c>
      <c r="L1260" s="1">
        <v>66</v>
      </c>
      <c r="M1260" s="1"/>
      <c r="N1260" s="1">
        <v>0</v>
      </c>
    </row>
    <row r="1261" spans="1:14" x14ac:dyDescent="0.35">
      <c r="A1261" s="1" t="s">
        <v>72</v>
      </c>
      <c r="B1261" s="1">
        <v>202504</v>
      </c>
      <c r="C1261" s="1" t="str">
        <f>MID(analisis_productividad__4[[#This Row],[Periodo]],1,4)</f>
        <v>2025</v>
      </c>
      <c r="D1261" s="1" t="str">
        <f>MID(analisis_productividad__4[[#This Row],[Periodo]],5,2)</f>
        <v>04</v>
      </c>
      <c r="E1261" s="1" t="s">
        <v>11</v>
      </c>
      <c r="F1261" s="1" t="s">
        <v>14</v>
      </c>
      <c r="G1261" s="1">
        <v>87303</v>
      </c>
      <c r="H1261" s="1">
        <v>4860857</v>
      </c>
      <c r="I1261" s="1">
        <v>55.677999999999997</v>
      </c>
      <c r="J1261" s="1">
        <v>78869.770872055917</v>
      </c>
      <c r="K1261" s="1">
        <v>66</v>
      </c>
      <c r="L1261" s="1">
        <v>64.5</v>
      </c>
      <c r="M1261" s="1">
        <v>61.631432629433867</v>
      </c>
      <c r="N1261" s="1">
        <v>5200934</v>
      </c>
    </row>
    <row r="1262" spans="1:14" x14ac:dyDescent="0.35">
      <c r="A1262" s="1" t="s">
        <v>94</v>
      </c>
      <c r="B1262" s="1">
        <v>202503</v>
      </c>
      <c r="C1262" s="1" t="str">
        <f>MID(analisis_productividad__4[[#This Row],[Periodo]],1,4)</f>
        <v>2025</v>
      </c>
      <c r="D1262" s="1" t="str">
        <f>MID(analisis_productividad__4[[#This Row],[Periodo]],5,2)</f>
        <v>03</v>
      </c>
      <c r="E1262" s="1" t="s">
        <v>11</v>
      </c>
      <c r="F1262" s="1" t="s">
        <v>52</v>
      </c>
      <c r="G1262" s="1">
        <v>87298</v>
      </c>
      <c r="H1262" s="1">
        <v>5878384</v>
      </c>
      <c r="I1262" s="1">
        <v>67.336989247311834</v>
      </c>
      <c r="J1262" s="1">
        <v>79522.2157276199</v>
      </c>
      <c r="K1262" s="1">
        <v>75.5</v>
      </c>
      <c r="L1262" s="1">
        <v>70.5</v>
      </c>
      <c r="M1262" s="1">
        <v>73.921283080625997</v>
      </c>
      <c r="N1262" s="1">
        <v>6235173</v>
      </c>
    </row>
    <row r="1263" spans="1:14" x14ac:dyDescent="0.35">
      <c r="A1263" s="1" t="s">
        <v>60</v>
      </c>
      <c r="B1263" s="1">
        <v>202406</v>
      </c>
      <c r="C1263" s="1" t="str">
        <f>MID(analisis_productividad__4[[#This Row],[Periodo]],1,4)</f>
        <v>2024</v>
      </c>
      <c r="D1263" s="1" t="str">
        <f>MID(analisis_productividad__4[[#This Row],[Periodo]],5,2)</f>
        <v>06</v>
      </c>
      <c r="E1263" s="1" t="s">
        <v>11</v>
      </c>
      <c r="F1263" s="1" t="s">
        <v>14</v>
      </c>
      <c r="G1263" s="1">
        <v>87298</v>
      </c>
      <c r="H1263" s="1">
        <v>6544105</v>
      </c>
      <c r="I1263" s="1">
        <v>74.962951388888882</v>
      </c>
      <c r="J1263" s="1">
        <v>0</v>
      </c>
      <c r="K1263" s="1">
        <v>75.5</v>
      </c>
      <c r="L1263" s="1">
        <v>74</v>
      </c>
      <c r="M1263" s="1"/>
      <c r="N1263" s="1">
        <v>0</v>
      </c>
    </row>
    <row r="1264" spans="1:14" x14ac:dyDescent="0.35">
      <c r="A1264" s="1" t="s">
        <v>61</v>
      </c>
      <c r="B1264" s="1">
        <v>202404</v>
      </c>
      <c r="C1264" s="1" t="str">
        <f>MID(analisis_productividad__4[[#This Row],[Periodo]],1,4)</f>
        <v>2024</v>
      </c>
      <c r="D1264" s="1" t="str">
        <f>MID(analisis_productividad__4[[#This Row],[Periodo]],5,2)</f>
        <v>04</v>
      </c>
      <c r="E1264" s="1" t="s">
        <v>11</v>
      </c>
      <c r="F1264" s="1" t="s">
        <v>52</v>
      </c>
      <c r="G1264" s="1">
        <v>87297</v>
      </c>
      <c r="H1264" s="1">
        <v>8466780</v>
      </c>
      <c r="I1264" s="1">
        <v>96.988159722222207</v>
      </c>
      <c r="J1264" s="1">
        <v>0</v>
      </c>
      <c r="K1264" s="1">
        <v>104.5</v>
      </c>
      <c r="L1264" s="1">
        <v>99</v>
      </c>
      <c r="M1264" s="1"/>
      <c r="N1264" s="1">
        <v>0</v>
      </c>
    </row>
    <row r="1265" spans="1:14" x14ac:dyDescent="0.35">
      <c r="A1265" s="1" t="s">
        <v>77</v>
      </c>
      <c r="B1265" s="1">
        <v>202602</v>
      </c>
      <c r="C1265" s="1" t="str">
        <f>MID(analisis_productividad__4[[#This Row],[Periodo]],1,4)</f>
        <v>2026</v>
      </c>
      <c r="D1265" s="1" t="str">
        <f>MID(analisis_productividad__4[[#This Row],[Periodo]],5,2)</f>
        <v>02</v>
      </c>
      <c r="E1265" s="1" t="s">
        <v>16</v>
      </c>
      <c r="F1265" s="1" t="s">
        <v>21</v>
      </c>
      <c r="G1265" s="1">
        <v>87288</v>
      </c>
      <c r="H1265" s="1">
        <v>4656237</v>
      </c>
      <c r="I1265" s="1">
        <v>53.343229166666674</v>
      </c>
      <c r="J1265" s="1">
        <v>80960.752207412603</v>
      </c>
      <c r="K1265" s="1">
        <v>60.5</v>
      </c>
      <c r="L1265" s="1">
        <v>60.5</v>
      </c>
      <c r="M1265" s="1">
        <v>53.343390369396616</v>
      </c>
      <c r="N1265" s="1">
        <v>4318721</v>
      </c>
    </row>
    <row r="1266" spans="1:14" x14ac:dyDescent="0.35">
      <c r="A1266" s="1" t="s">
        <v>48</v>
      </c>
      <c r="B1266" s="1">
        <v>202507</v>
      </c>
      <c r="C1266" s="1" t="str">
        <f>MID(analisis_productividad__4[[#This Row],[Periodo]],1,4)</f>
        <v>2025</v>
      </c>
      <c r="D1266" s="1" t="str">
        <f>MID(analisis_productividad__4[[#This Row],[Periodo]],5,2)</f>
        <v>07</v>
      </c>
      <c r="E1266" s="1" t="s">
        <v>16</v>
      </c>
      <c r="F1266" s="1" t="s">
        <v>21</v>
      </c>
      <c r="G1266" s="1">
        <v>87275</v>
      </c>
      <c r="H1266" s="1">
        <v>4534973</v>
      </c>
      <c r="I1266" s="1">
        <v>51.962157258064529</v>
      </c>
      <c r="J1266" s="1">
        <v>86410.718220186798</v>
      </c>
      <c r="K1266" s="1">
        <v>56</v>
      </c>
      <c r="L1266" s="1">
        <v>60</v>
      </c>
      <c r="M1266" s="1">
        <v>52.481602090660154</v>
      </c>
      <c r="N1266" s="1">
        <v>5134999</v>
      </c>
    </row>
    <row r="1267" spans="1:14" x14ac:dyDescent="0.35">
      <c r="A1267" s="1" t="s">
        <v>67</v>
      </c>
      <c r="B1267" s="1">
        <v>202401</v>
      </c>
      <c r="C1267" s="1" t="str">
        <f>MID(analisis_productividad__4[[#This Row],[Periodo]],1,4)</f>
        <v>2024</v>
      </c>
      <c r="D1267" s="1" t="str">
        <f>MID(analisis_productividad__4[[#This Row],[Periodo]],5,2)</f>
        <v>01</v>
      </c>
      <c r="E1267" s="1" t="s">
        <v>16</v>
      </c>
      <c r="F1267" s="1" t="s">
        <v>19</v>
      </c>
      <c r="G1267" s="1">
        <v>87270</v>
      </c>
      <c r="H1267" s="1">
        <v>5763831</v>
      </c>
      <c r="I1267" s="1">
        <v>66.046223118279599</v>
      </c>
      <c r="J1267" s="1">
        <v>0</v>
      </c>
      <c r="K1267" s="1">
        <v>79.5</v>
      </c>
      <c r="L1267" s="1">
        <v>81.5</v>
      </c>
      <c r="M1267" s="1"/>
      <c r="N1267" s="1">
        <v>0</v>
      </c>
    </row>
    <row r="1268" spans="1:14" x14ac:dyDescent="0.35">
      <c r="A1268" s="1" t="s">
        <v>83</v>
      </c>
      <c r="B1268" s="1">
        <v>202602</v>
      </c>
      <c r="C1268" s="1" t="str">
        <f>MID(analisis_productividad__4[[#This Row],[Periodo]],1,4)</f>
        <v>2026</v>
      </c>
      <c r="D1268" s="1" t="str">
        <f>MID(analisis_productividad__4[[#This Row],[Periodo]],5,2)</f>
        <v>02</v>
      </c>
      <c r="E1268" s="1" t="s">
        <v>16</v>
      </c>
      <c r="F1268" s="1" t="s">
        <v>17</v>
      </c>
      <c r="G1268" s="1">
        <v>87250</v>
      </c>
      <c r="H1268" s="1">
        <v>3532325</v>
      </c>
      <c r="I1268" s="1">
        <v>40.485312499999992</v>
      </c>
      <c r="J1268" s="1">
        <v>72088.089584617221</v>
      </c>
      <c r="K1268" s="1">
        <v>52</v>
      </c>
      <c r="L1268" s="1">
        <v>52</v>
      </c>
      <c r="M1268" s="1">
        <v>46.517920556956689</v>
      </c>
      <c r="N1268" s="1">
        <v>3353388</v>
      </c>
    </row>
    <row r="1269" spans="1:14" x14ac:dyDescent="0.35">
      <c r="A1269" s="1" t="s">
        <v>106</v>
      </c>
      <c r="B1269" s="1">
        <v>202503</v>
      </c>
      <c r="C1269" s="1" t="str">
        <f>MID(analisis_productividad__4[[#This Row],[Periodo]],1,4)</f>
        <v>2025</v>
      </c>
      <c r="D1269" s="1" t="str">
        <f>MID(analisis_productividad__4[[#This Row],[Periodo]],5,2)</f>
        <v>03</v>
      </c>
      <c r="E1269" s="1" t="s">
        <v>34</v>
      </c>
      <c r="F1269" s="1" t="s">
        <v>35</v>
      </c>
      <c r="G1269" s="1">
        <v>87246</v>
      </c>
      <c r="H1269" s="1">
        <v>3715064</v>
      </c>
      <c r="I1269" s="1">
        <v>42.581451612903223</v>
      </c>
      <c r="J1269" s="1">
        <v>85995.825190307238</v>
      </c>
      <c r="K1269" s="1">
        <v>51</v>
      </c>
      <c r="L1269" s="1">
        <v>49</v>
      </c>
      <c r="M1269" s="1">
        <v>43.200518650511562</v>
      </c>
      <c r="N1269" s="1">
        <v>3717322</v>
      </c>
    </row>
    <row r="1270" spans="1:14" x14ac:dyDescent="0.35">
      <c r="A1270" s="1" t="s">
        <v>62</v>
      </c>
      <c r="B1270" s="1">
        <v>202411</v>
      </c>
      <c r="C1270" s="1" t="str">
        <f>MID(analisis_productividad__4[[#This Row],[Periodo]],1,4)</f>
        <v>2024</v>
      </c>
      <c r="D1270" s="1" t="str">
        <f>MID(analisis_productividad__4[[#This Row],[Periodo]],5,2)</f>
        <v>11</v>
      </c>
      <c r="E1270" s="1" t="s">
        <v>16</v>
      </c>
      <c r="F1270" s="1" t="s">
        <v>17</v>
      </c>
      <c r="G1270" s="1">
        <v>87230</v>
      </c>
      <c r="H1270" s="1">
        <v>2466822</v>
      </c>
      <c r="I1270" s="1">
        <v>28.279465277777778</v>
      </c>
      <c r="J1270" s="1">
        <v>0</v>
      </c>
      <c r="K1270" s="1">
        <v>32.5</v>
      </c>
      <c r="L1270" s="1">
        <v>32</v>
      </c>
      <c r="M1270" s="1"/>
      <c r="N1270" s="1">
        <v>0</v>
      </c>
    </row>
    <row r="1271" spans="1:14" x14ac:dyDescent="0.35">
      <c r="A1271" s="1" t="s">
        <v>53</v>
      </c>
      <c r="B1271" s="1">
        <v>202510</v>
      </c>
      <c r="C1271" s="1" t="str">
        <f>MID(analisis_productividad__4[[#This Row],[Periodo]],1,4)</f>
        <v>2025</v>
      </c>
      <c r="D1271" s="1" t="str">
        <f>MID(analisis_productividad__4[[#This Row],[Periodo]],5,2)</f>
        <v>10</v>
      </c>
      <c r="E1271" s="1" t="s">
        <v>11</v>
      </c>
      <c r="F1271" s="1" t="s">
        <v>12</v>
      </c>
      <c r="G1271" s="1">
        <v>87219</v>
      </c>
      <c r="H1271" s="1">
        <v>5980175</v>
      </c>
      <c r="I1271" s="1">
        <v>68.564952956989288</v>
      </c>
      <c r="J1271" s="1">
        <v>90137.211039756046</v>
      </c>
      <c r="K1271" s="1">
        <v>81</v>
      </c>
      <c r="L1271" s="1">
        <v>77</v>
      </c>
      <c r="M1271" s="1">
        <v>66.345240783657886</v>
      </c>
      <c r="N1271" s="1">
        <v>6886414</v>
      </c>
    </row>
    <row r="1272" spans="1:14" x14ac:dyDescent="0.35">
      <c r="A1272" s="1" t="s">
        <v>33</v>
      </c>
      <c r="B1272" s="1">
        <v>202411</v>
      </c>
      <c r="C1272" s="1" t="str">
        <f>MID(analisis_productividad__4[[#This Row],[Periodo]],1,4)</f>
        <v>2024</v>
      </c>
      <c r="D1272" s="1" t="str">
        <f>MID(analisis_productividad__4[[#This Row],[Periodo]],5,2)</f>
        <v>11</v>
      </c>
      <c r="E1272" s="1" t="s">
        <v>34</v>
      </c>
      <c r="F1272" s="1" t="s">
        <v>35</v>
      </c>
      <c r="G1272" s="1">
        <v>87208</v>
      </c>
      <c r="H1272" s="1">
        <v>1034963</v>
      </c>
      <c r="I1272" s="1">
        <v>11.867770833333337</v>
      </c>
      <c r="J1272" s="1">
        <v>0</v>
      </c>
      <c r="K1272" s="1">
        <v>15</v>
      </c>
      <c r="L1272" s="1">
        <v>15</v>
      </c>
      <c r="M1272" s="1"/>
      <c r="N1272" s="1">
        <v>0</v>
      </c>
    </row>
    <row r="1273" spans="1:14" x14ac:dyDescent="0.35">
      <c r="A1273" s="1" t="s">
        <v>48</v>
      </c>
      <c r="B1273" s="1">
        <v>202510</v>
      </c>
      <c r="C1273" s="1" t="str">
        <f>MID(analisis_productividad__4[[#This Row],[Periodo]],1,4)</f>
        <v>2025</v>
      </c>
      <c r="D1273" s="1" t="str">
        <f>MID(analisis_productividad__4[[#This Row],[Periodo]],5,2)</f>
        <v>10</v>
      </c>
      <c r="E1273" s="1" t="s">
        <v>16</v>
      </c>
      <c r="F1273" s="1" t="s">
        <v>21</v>
      </c>
      <c r="G1273" s="1">
        <v>87204</v>
      </c>
      <c r="H1273" s="1">
        <v>4547677</v>
      </c>
      <c r="I1273" s="1">
        <v>52.149623655913977</v>
      </c>
      <c r="J1273" s="1">
        <v>63948.471683267766</v>
      </c>
      <c r="K1273" s="1">
        <v>56</v>
      </c>
      <c r="L1273" s="1">
        <v>60</v>
      </c>
      <c r="M1273" s="1">
        <v>71.114711740482576</v>
      </c>
      <c r="N1273" s="1">
        <v>4088628</v>
      </c>
    </row>
    <row r="1274" spans="1:14" x14ac:dyDescent="0.35">
      <c r="A1274" s="1" t="s">
        <v>74</v>
      </c>
      <c r="B1274" s="1">
        <v>202511</v>
      </c>
      <c r="C1274" s="1" t="str">
        <f>MID(analisis_productividad__4[[#This Row],[Periodo]],1,4)</f>
        <v>2025</v>
      </c>
      <c r="D1274" s="1" t="str">
        <f>MID(analisis_productividad__4[[#This Row],[Periodo]],5,2)</f>
        <v>11</v>
      </c>
      <c r="E1274" s="1" t="s">
        <v>16</v>
      </c>
      <c r="F1274" s="1" t="s">
        <v>19</v>
      </c>
      <c r="G1274" s="1">
        <v>87188</v>
      </c>
      <c r="H1274" s="1">
        <v>3819231</v>
      </c>
      <c r="I1274" s="1">
        <v>43.804541666666665</v>
      </c>
      <c r="J1274" s="1">
        <v>81064.841904024404</v>
      </c>
      <c r="K1274" s="1">
        <v>50.5</v>
      </c>
      <c r="L1274" s="1">
        <v>51.5</v>
      </c>
      <c r="M1274" s="1">
        <v>47.113290179751743</v>
      </c>
      <c r="N1274" s="1">
        <v>3728800</v>
      </c>
    </row>
    <row r="1275" spans="1:14" x14ac:dyDescent="0.35">
      <c r="A1275" s="1" t="s">
        <v>54</v>
      </c>
      <c r="B1275" s="1">
        <v>202406</v>
      </c>
      <c r="C1275" s="1" t="str">
        <f>MID(analisis_productividad__4[[#This Row],[Periodo]],1,4)</f>
        <v>2024</v>
      </c>
      <c r="D1275" s="1" t="str">
        <f>MID(analisis_productividad__4[[#This Row],[Periodo]],5,2)</f>
        <v>06</v>
      </c>
      <c r="E1275" s="1" t="s">
        <v>11</v>
      </c>
      <c r="F1275" s="1" t="s">
        <v>52</v>
      </c>
      <c r="G1275" s="1">
        <v>87187</v>
      </c>
      <c r="H1275" s="1">
        <v>9076590</v>
      </c>
      <c r="I1275" s="1">
        <v>104.10511805555551</v>
      </c>
      <c r="J1275" s="1">
        <v>0</v>
      </c>
      <c r="K1275" s="1">
        <v>106</v>
      </c>
      <c r="L1275" s="1">
        <v>102.5</v>
      </c>
      <c r="M1275" s="1"/>
      <c r="N1275" s="1">
        <v>0</v>
      </c>
    </row>
    <row r="1276" spans="1:14" x14ac:dyDescent="0.35">
      <c r="A1276" s="1" t="s">
        <v>44</v>
      </c>
      <c r="B1276" s="1">
        <v>202404</v>
      </c>
      <c r="C1276" s="1" t="str">
        <f>MID(analisis_productividad__4[[#This Row],[Periodo]],1,4)</f>
        <v>2024</v>
      </c>
      <c r="D1276" s="1" t="str">
        <f>MID(analisis_productividad__4[[#This Row],[Periodo]],5,2)</f>
        <v>04</v>
      </c>
      <c r="E1276" s="1" t="s">
        <v>11</v>
      </c>
      <c r="F1276" s="1" t="s">
        <v>12</v>
      </c>
      <c r="G1276" s="1">
        <v>87187</v>
      </c>
      <c r="H1276" s="1">
        <v>5729311</v>
      </c>
      <c r="I1276" s="1">
        <v>65.713083333333373</v>
      </c>
      <c r="J1276" s="1">
        <v>0</v>
      </c>
      <c r="K1276" s="1">
        <v>78</v>
      </c>
      <c r="L1276" s="1">
        <v>74.5</v>
      </c>
      <c r="M1276" s="1"/>
      <c r="N1276" s="1">
        <v>0</v>
      </c>
    </row>
    <row r="1277" spans="1:14" x14ac:dyDescent="0.35">
      <c r="A1277" s="1" t="s">
        <v>18</v>
      </c>
      <c r="B1277" s="1">
        <v>202401</v>
      </c>
      <c r="C1277" s="1" t="str">
        <f>MID(analisis_productividad__4[[#This Row],[Periodo]],1,4)</f>
        <v>2024</v>
      </c>
      <c r="D1277" s="1" t="str">
        <f>MID(analisis_productividad__4[[#This Row],[Periodo]],5,2)</f>
        <v>01</v>
      </c>
      <c r="E1277" s="1" t="s">
        <v>16</v>
      </c>
      <c r="F1277" s="1" t="s">
        <v>19</v>
      </c>
      <c r="G1277" s="1">
        <v>87174</v>
      </c>
      <c r="H1277" s="1">
        <v>5093762</v>
      </c>
      <c r="I1277" s="1">
        <v>58.432311827957001</v>
      </c>
      <c r="J1277" s="1">
        <v>0</v>
      </c>
      <c r="K1277" s="1">
        <v>70.5</v>
      </c>
      <c r="L1277" s="1">
        <v>69.5</v>
      </c>
      <c r="M1277" s="1"/>
      <c r="N1277" s="1">
        <v>0</v>
      </c>
    </row>
    <row r="1278" spans="1:14" x14ac:dyDescent="0.35">
      <c r="A1278" s="1" t="s">
        <v>46</v>
      </c>
      <c r="B1278" s="1">
        <v>202510</v>
      </c>
      <c r="C1278" s="1" t="str">
        <f>MID(analisis_productividad__4[[#This Row],[Periodo]],1,4)</f>
        <v>2025</v>
      </c>
      <c r="D1278" s="1" t="str">
        <f>MID(analisis_productividad__4[[#This Row],[Periodo]],5,2)</f>
        <v>10</v>
      </c>
      <c r="E1278" s="1" t="s">
        <v>11</v>
      </c>
      <c r="F1278" s="1" t="s">
        <v>14</v>
      </c>
      <c r="G1278" s="1">
        <v>87153</v>
      </c>
      <c r="H1278" s="1">
        <v>5913473</v>
      </c>
      <c r="I1278" s="1">
        <v>67.851592741935505</v>
      </c>
      <c r="J1278" s="1">
        <v>95995.860151513451</v>
      </c>
      <c r="K1278" s="1">
        <v>77</v>
      </c>
      <c r="L1278" s="1">
        <v>79</v>
      </c>
      <c r="M1278" s="1">
        <v>61.601331772709486</v>
      </c>
      <c r="N1278" s="1">
        <v>6414009</v>
      </c>
    </row>
    <row r="1279" spans="1:14" x14ac:dyDescent="0.35">
      <c r="A1279" s="1" t="s">
        <v>43</v>
      </c>
      <c r="B1279" s="1">
        <v>202405</v>
      </c>
      <c r="C1279" s="1" t="str">
        <f>MID(analisis_productividad__4[[#This Row],[Periodo]],1,4)</f>
        <v>2024</v>
      </c>
      <c r="D1279" s="1" t="str">
        <f>MID(analisis_productividad__4[[#This Row],[Periodo]],5,2)</f>
        <v>05</v>
      </c>
      <c r="E1279" s="1" t="s">
        <v>11</v>
      </c>
      <c r="F1279" s="1" t="s">
        <v>12</v>
      </c>
      <c r="G1279" s="1">
        <v>87152</v>
      </c>
      <c r="H1279" s="1">
        <v>6620642</v>
      </c>
      <c r="I1279" s="1">
        <v>75.966465053763471</v>
      </c>
      <c r="J1279" s="1">
        <v>0</v>
      </c>
      <c r="K1279" s="1">
        <v>84.5</v>
      </c>
      <c r="L1279" s="1">
        <v>86.5</v>
      </c>
      <c r="M1279" s="1"/>
      <c r="N1279" s="1">
        <v>0</v>
      </c>
    </row>
    <row r="1280" spans="1:14" x14ac:dyDescent="0.35">
      <c r="A1280" s="1" t="s">
        <v>24</v>
      </c>
      <c r="B1280" s="1">
        <v>202410</v>
      </c>
      <c r="C1280" s="1" t="str">
        <f>MID(analisis_productividad__4[[#This Row],[Periodo]],1,4)</f>
        <v>2024</v>
      </c>
      <c r="D1280" s="1" t="str">
        <f>MID(analisis_productividad__4[[#This Row],[Periodo]],5,2)</f>
        <v>10</v>
      </c>
      <c r="E1280" s="1" t="s">
        <v>16</v>
      </c>
      <c r="F1280" s="1" t="s">
        <v>21</v>
      </c>
      <c r="G1280" s="1">
        <v>87141</v>
      </c>
      <c r="H1280" s="1">
        <v>8555887</v>
      </c>
      <c r="I1280" s="1">
        <v>98.183938172042915</v>
      </c>
      <c r="J1280" s="1">
        <v>0</v>
      </c>
      <c r="K1280" s="1">
        <v>125</v>
      </c>
      <c r="L1280" s="1">
        <v>118.5</v>
      </c>
      <c r="M1280" s="1"/>
      <c r="N1280" s="1">
        <v>0</v>
      </c>
    </row>
    <row r="1281" spans="1:14" x14ac:dyDescent="0.35">
      <c r="A1281" s="1" t="s">
        <v>97</v>
      </c>
      <c r="B1281" s="1">
        <v>202505</v>
      </c>
      <c r="C1281" s="1" t="str">
        <f>MID(analisis_productividad__4[[#This Row],[Periodo]],1,4)</f>
        <v>2025</v>
      </c>
      <c r="D1281" s="1" t="str">
        <f>MID(analisis_productividad__4[[#This Row],[Periodo]],5,2)</f>
        <v>05</v>
      </c>
      <c r="E1281" s="1" t="s">
        <v>11</v>
      </c>
      <c r="F1281" s="1" t="s">
        <v>12</v>
      </c>
      <c r="G1281" s="1">
        <v>87126</v>
      </c>
      <c r="H1281" s="1">
        <v>4736377</v>
      </c>
      <c r="I1281" s="1">
        <v>54.362668010752678</v>
      </c>
      <c r="J1281" s="1">
        <v>76325.155710767242</v>
      </c>
      <c r="K1281" s="1">
        <v>66.5</v>
      </c>
      <c r="L1281" s="1">
        <v>63.5</v>
      </c>
      <c r="M1281" s="1">
        <v>62.055261281724924</v>
      </c>
      <c r="N1281" s="1">
        <v>5071062</v>
      </c>
    </row>
    <row r="1282" spans="1:14" x14ac:dyDescent="0.35">
      <c r="A1282" s="1" t="s">
        <v>70</v>
      </c>
      <c r="B1282" s="1">
        <v>202502</v>
      </c>
      <c r="C1282" s="1" t="str">
        <f>MID(analisis_productividad__4[[#This Row],[Periodo]],1,4)</f>
        <v>2025</v>
      </c>
      <c r="D1282" s="1" t="str">
        <f>MID(analisis_productividad__4[[#This Row],[Periodo]],5,2)</f>
        <v>02</v>
      </c>
      <c r="E1282" s="1" t="s">
        <v>11</v>
      </c>
      <c r="F1282" s="1" t="s">
        <v>14</v>
      </c>
      <c r="G1282" s="1">
        <v>87101</v>
      </c>
      <c r="H1282" s="1">
        <v>4835070</v>
      </c>
      <c r="I1282" s="1">
        <v>55.511302083333355</v>
      </c>
      <c r="J1282" s="1">
        <v>82839.828761386292</v>
      </c>
      <c r="K1282" s="1">
        <v>65</v>
      </c>
      <c r="L1282" s="1">
        <v>67.5</v>
      </c>
      <c r="M1282" s="1">
        <v>58.366483759002477</v>
      </c>
      <c r="N1282" s="1">
        <v>4685103</v>
      </c>
    </row>
    <row r="1283" spans="1:14" x14ac:dyDescent="0.35">
      <c r="A1283" s="1" t="s">
        <v>32</v>
      </c>
      <c r="B1283" s="1">
        <v>202401</v>
      </c>
      <c r="C1283" s="1" t="str">
        <f>MID(analisis_productividad__4[[#This Row],[Periodo]],1,4)</f>
        <v>2024</v>
      </c>
      <c r="D1283" s="1" t="str">
        <f>MID(analisis_productividad__4[[#This Row],[Periodo]],5,2)</f>
        <v>01</v>
      </c>
      <c r="E1283" s="1" t="s">
        <v>11</v>
      </c>
      <c r="F1283" s="1" t="s">
        <v>12</v>
      </c>
      <c r="G1283" s="1">
        <v>87030</v>
      </c>
      <c r="H1283" s="1">
        <v>5218175</v>
      </c>
      <c r="I1283" s="1">
        <v>59.958293010752683</v>
      </c>
      <c r="J1283" s="1">
        <v>0</v>
      </c>
      <c r="K1283" s="1">
        <v>65.5</v>
      </c>
      <c r="L1283" s="1">
        <v>66</v>
      </c>
      <c r="M1283" s="1"/>
      <c r="N1283" s="1">
        <v>0</v>
      </c>
    </row>
    <row r="1284" spans="1:14" x14ac:dyDescent="0.35">
      <c r="A1284" s="1" t="s">
        <v>40</v>
      </c>
      <c r="B1284" s="1">
        <v>202502</v>
      </c>
      <c r="C1284" s="1" t="str">
        <f>MID(analisis_productividad__4[[#This Row],[Periodo]],1,4)</f>
        <v>2025</v>
      </c>
      <c r="D1284" s="1" t="str">
        <f>MID(analisis_productividad__4[[#This Row],[Periodo]],5,2)</f>
        <v>02</v>
      </c>
      <c r="E1284" s="1" t="s">
        <v>11</v>
      </c>
      <c r="F1284" s="1" t="s">
        <v>14</v>
      </c>
      <c r="G1284" s="1">
        <v>87024</v>
      </c>
      <c r="H1284" s="1">
        <v>5980202</v>
      </c>
      <c r="I1284" s="1">
        <v>68.718854166666659</v>
      </c>
      <c r="J1284" s="1">
        <v>99203.497821408877</v>
      </c>
      <c r="K1284" s="1">
        <v>76.5</v>
      </c>
      <c r="L1284" s="1">
        <v>75.5</v>
      </c>
      <c r="M1284" s="1">
        <v>60.282173424629242</v>
      </c>
      <c r="N1284" s="1">
        <v>6805566</v>
      </c>
    </row>
    <row r="1285" spans="1:14" x14ac:dyDescent="0.35">
      <c r="A1285" s="1" t="s">
        <v>70</v>
      </c>
      <c r="B1285" s="1">
        <v>202507</v>
      </c>
      <c r="C1285" s="1" t="str">
        <f>MID(analisis_productividad__4[[#This Row],[Periodo]],1,4)</f>
        <v>2025</v>
      </c>
      <c r="D1285" s="1" t="str">
        <f>MID(analisis_productividad__4[[#This Row],[Periodo]],5,2)</f>
        <v>07</v>
      </c>
      <c r="E1285" s="1" t="s">
        <v>11</v>
      </c>
      <c r="F1285" s="1" t="s">
        <v>14</v>
      </c>
      <c r="G1285" s="1">
        <v>87021</v>
      </c>
      <c r="H1285" s="1">
        <v>4899458</v>
      </c>
      <c r="I1285" s="1">
        <v>56.301733870967773</v>
      </c>
      <c r="J1285" s="1">
        <v>93016.031764996616</v>
      </c>
      <c r="K1285" s="1">
        <v>65</v>
      </c>
      <c r="L1285" s="1">
        <v>67.5</v>
      </c>
      <c r="M1285" s="1">
        <v>52.673260587791944</v>
      </c>
      <c r="N1285" s="1">
        <v>5250059</v>
      </c>
    </row>
    <row r="1286" spans="1:14" x14ac:dyDescent="0.35">
      <c r="A1286" s="1" t="s">
        <v>83</v>
      </c>
      <c r="B1286" s="1">
        <v>202605</v>
      </c>
      <c r="C1286" s="1" t="str">
        <f>MID(analisis_productividad__4[[#This Row],[Periodo]],1,4)</f>
        <v>2026</v>
      </c>
      <c r="D1286" s="1" t="str">
        <f>MID(analisis_productividad__4[[#This Row],[Periodo]],5,2)</f>
        <v>05</v>
      </c>
      <c r="E1286" s="1" t="s">
        <v>16</v>
      </c>
      <c r="F1286" s="1" t="s">
        <v>17</v>
      </c>
      <c r="G1286" s="1">
        <v>87014</v>
      </c>
      <c r="H1286" s="1">
        <v>3902377</v>
      </c>
      <c r="I1286" s="1">
        <v>44.847466397849821</v>
      </c>
      <c r="J1286" s="1">
        <v>81315.949645008586</v>
      </c>
      <c r="K1286" s="1">
        <v>52</v>
      </c>
      <c r="L1286" s="1">
        <v>52</v>
      </c>
      <c r="M1286" s="1">
        <v>46.517920556956689</v>
      </c>
      <c r="N1286" s="1">
        <v>3782649</v>
      </c>
    </row>
    <row r="1287" spans="1:14" x14ac:dyDescent="0.35">
      <c r="A1287" s="1" t="s">
        <v>42</v>
      </c>
      <c r="B1287" s="1">
        <v>202403</v>
      </c>
      <c r="C1287" s="1" t="str">
        <f>MID(analisis_productividad__4[[#This Row],[Periodo]],1,4)</f>
        <v>2024</v>
      </c>
      <c r="D1287" s="1" t="str">
        <f>MID(analisis_productividad__4[[#This Row],[Periodo]],5,2)</f>
        <v>03</v>
      </c>
      <c r="E1287" s="1" t="s">
        <v>16</v>
      </c>
      <c r="F1287" s="1" t="s">
        <v>19</v>
      </c>
      <c r="G1287" s="1">
        <v>87008</v>
      </c>
      <c r="H1287" s="1">
        <v>5636219</v>
      </c>
      <c r="I1287" s="1">
        <v>64.778319892473093</v>
      </c>
      <c r="J1287" s="1">
        <v>0</v>
      </c>
      <c r="K1287" s="1">
        <v>62</v>
      </c>
      <c r="L1287" s="1">
        <v>58</v>
      </c>
      <c r="M1287" s="1"/>
      <c r="N1287" s="1">
        <v>0</v>
      </c>
    </row>
    <row r="1288" spans="1:14" x14ac:dyDescent="0.35">
      <c r="A1288" s="1" t="s">
        <v>65</v>
      </c>
      <c r="B1288" s="1">
        <v>202408</v>
      </c>
      <c r="C1288" s="1" t="str">
        <f>MID(analisis_productividad__4[[#This Row],[Periodo]],1,4)</f>
        <v>2024</v>
      </c>
      <c r="D1288" s="1" t="str">
        <f>MID(analisis_productividad__4[[#This Row],[Periodo]],5,2)</f>
        <v>08</v>
      </c>
      <c r="E1288" s="1" t="s">
        <v>16</v>
      </c>
      <c r="F1288" s="1" t="s">
        <v>19</v>
      </c>
      <c r="G1288" s="1">
        <v>87006</v>
      </c>
      <c r="H1288" s="1">
        <v>5302083</v>
      </c>
      <c r="I1288" s="1">
        <v>60.939233870967719</v>
      </c>
      <c r="J1288" s="1">
        <v>0</v>
      </c>
      <c r="K1288" s="1">
        <v>68</v>
      </c>
      <c r="L1288" s="1">
        <v>68.5</v>
      </c>
      <c r="M1288" s="1"/>
      <c r="N1288" s="1">
        <v>0</v>
      </c>
    </row>
    <row r="1289" spans="1:14" x14ac:dyDescent="0.35">
      <c r="A1289" s="1" t="s">
        <v>57</v>
      </c>
      <c r="B1289" s="1">
        <v>202402</v>
      </c>
      <c r="C1289" s="1" t="str">
        <f>MID(analisis_productividad__4[[#This Row],[Periodo]],1,4)</f>
        <v>2024</v>
      </c>
      <c r="D1289" s="1" t="str">
        <f>MID(analisis_productividad__4[[#This Row],[Periodo]],5,2)</f>
        <v>02</v>
      </c>
      <c r="E1289" s="1" t="s">
        <v>16</v>
      </c>
      <c r="F1289" s="1" t="s">
        <v>19</v>
      </c>
      <c r="G1289" s="1">
        <v>87002</v>
      </c>
      <c r="H1289" s="1">
        <v>5736192</v>
      </c>
      <c r="I1289" s="1">
        <v>65.932054597701182</v>
      </c>
      <c r="J1289" s="1">
        <v>0</v>
      </c>
      <c r="K1289" s="1">
        <v>71</v>
      </c>
      <c r="L1289" s="1">
        <v>74.5</v>
      </c>
      <c r="M1289" s="1"/>
      <c r="N1289" s="1">
        <v>0</v>
      </c>
    </row>
    <row r="1290" spans="1:14" x14ac:dyDescent="0.35">
      <c r="A1290" s="1" t="s">
        <v>43</v>
      </c>
      <c r="B1290" s="1">
        <v>202410</v>
      </c>
      <c r="C1290" s="1" t="str">
        <f>MID(analisis_productividad__4[[#This Row],[Periodo]],1,4)</f>
        <v>2024</v>
      </c>
      <c r="D1290" s="1" t="str">
        <f>MID(analisis_productividad__4[[#This Row],[Periodo]],5,2)</f>
        <v>10</v>
      </c>
      <c r="E1290" s="1" t="s">
        <v>11</v>
      </c>
      <c r="F1290" s="1" t="s">
        <v>12</v>
      </c>
      <c r="G1290" s="1">
        <v>87000</v>
      </c>
      <c r="H1290" s="1">
        <v>6579000</v>
      </c>
      <c r="I1290" s="1">
        <v>75.620416666666642</v>
      </c>
      <c r="J1290" s="1">
        <v>0</v>
      </c>
      <c r="K1290" s="1">
        <v>84.5</v>
      </c>
      <c r="L1290" s="1">
        <v>86.5</v>
      </c>
      <c r="M1290" s="1"/>
      <c r="N1290" s="1">
        <v>0</v>
      </c>
    </row>
    <row r="1291" spans="1:14" x14ac:dyDescent="0.35">
      <c r="A1291" s="1" t="s">
        <v>69</v>
      </c>
      <c r="B1291" s="1">
        <v>202510</v>
      </c>
      <c r="C1291" s="1" t="str">
        <f>MID(analisis_productividad__4[[#This Row],[Periodo]],1,4)</f>
        <v>2025</v>
      </c>
      <c r="D1291" s="1" t="str">
        <f>MID(analisis_productividad__4[[#This Row],[Periodo]],5,2)</f>
        <v>10</v>
      </c>
      <c r="E1291" s="1" t="s">
        <v>11</v>
      </c>
      <c r="F1291" s="1" t="s">
        <v>52</v>
      </c>
      <c r="G1291" s="1">
        <v>86988</v>
      </c>
      <c r="H1291" s="1">
        <v>4844242</v>
      </c>
      <c r="I1291" s="1">
        <v>55.688481182795705</v>
      </c>
      <c r="J1291" s="1">
        <v>84683.092134247956</v>
      </c>
      <c r="K1291" s="1">
        <v>68</v>
      </c>
      <c r="L1291" s="1">
        <v>60.5</v>
      </c>
      <c r="M1291" s="1">
        <v>57.204355059690442</v>
      </c>
      <c r="N1291" s="1">
        <v>5471913</v>
      </c>
    </row>
    <row r="1292" spans="1:14" x14ac:dyDescent="0.35">
      <c r="A1292" s="1" t="s">
        <v>54</v>
      </c>
      <c r="B1292" s="1">
        <v>202410</v>
      </c>
      <c r="C1292" s="1" t="str">
        <f>MID(analisis_productividad__4[[#This Row],[Periodo]],1,4)</f>
        <v>2024</v>
      </c>
      <c r="D1292" s="1" t="str">
        <f>MID(analisis_productividad__4[[#This Row],[Periodo]],5,2)</f>
        <v>10</v>
      </c>
      <c r="E1292" s="1" t="s">
        <v>11</v>
      </c>
      <c r="F1292" s="1" t="s">
        <v>52</v>
      </c>
      <c r="G1292" s="1">
        <v>86971</v>
      </c>
      <c r="H1292" s="1">
        <v>8668246</v>
      </c>
      <c r="I1292" s="1">
        <v>99.668380376344089</v>
      </c>
      <c r="J1292" s="1">
        <v>0</v>
      </c>
      <c r="K1292" s="1">
        <v>106</v>
      </c>
      <c r="L1292" s="1">
        <v>102.5</v>
      </c>
      <c r="M1292" s="1"/>
      <c r="N1292" s="1">
        <v>0</v>
      </c>
    </row>
    <row r="1293" spans="1:14" x14ac:dyDescent="0.35">
      <c r="A1293" s="1" t="s">
        <v>22</v>
      </c>
      <c r="B1293" s="1">
        <v>202504</v>
      </c>
      <c r="C1293" s="1" t="str">
        <f>MID(analisis_productividad__4[[#This Row],[Periodo]],1,4)</f>
        <v>2025</v>
      </c>
      <c r="D1293" s="1" t="str">
        <f>MID(analisis_productividad__4[[#This Row],[Periodo]],5,2)</f>
        <v>04</v>
      </c>
      <c r="E1293" s="1" t="s">
        <v>16</v>
      </c>
      <c r="F1293" s="1" t="s">
        <v>21</v>
      </c>
      <c r="G1293" s="1">
        <v>86933</v>
      </c>
      <c r="H1293" s="1">
        <v>4984716</v>
      </c>
      <c r="I1293" s="1">
        <v>57.339722222222242</v>
      </c>
      <c r="J1293" s="1">
        <v>85282.15655474666</v>
      </c>
      <c r="K1293" s="1">
        <v>59.5</v>
      </c>
      <c r="L1293" s="1">
        <v>55.5</v>
      </c>
      <c r="M1293" s="1">
        <v>58.449696177653223</v>
      </c>
      <c r="N1293" s="1">
        <v>4894738</v>
      </c>
    </row>
    <row r="1294" spans="1:14" x14ac:dyDescent="0.35">
      <c r="A1294" s="1" t="s">
        <v>22</v>
      </c>
      <c r="B1294" s="1">
        <v>202401</v>
      </c>
      <c r="C1294" s="1" t="str">
        <f>MID(analisis_productividad__4[[#This Row],[Periodo]],1,4)</f>
        <v>2024</v>
      </c>
      <c r="D1294" s="1" t="str">
        <f>MID(analisis_productividad__4[[#This Row],[Periodo]],5,2)</f>
        <v>01</v>
      </c>
      <c r="E1294" s="1" t="s">
        <v>16</v>
      </c>
      <c r="F1294" s="1" t="s">
        <v>21</v>
      </c>
      <c r="G1294" s="1">
        <v>86912</v>
      </c>
      <c r="H1294" s="1">
        <v>4811763</v>
      </c>
      <c r="I1294" s="1">
        <v>55.363413978494627</v>
      </c>
      <c r="J1294" s="1">
        <v>0</v>
      </c>
      <c r="K1294" s="1">
        <v>59.5</v>
      </c>
      <c r="L1294" s="1">
        <v>55.5</v>
      </c>
      <c r="M1294" s="1"/>
      <c r="N1294" s="1">
        <v>0</v>
      </c>
    </row>
    <row r="1295" spans="1:14" x14ac:dyDescent="0.35">
      <c r="A1295" s="1" t="s">
        <v>60</v>
      </c>
      <c r="B1295" s="1">
        <v>202601</v>
      </c>
      <c r="C1295" s="1" t="str">
        <f>MID(analisis_productividad__4[[#This Row],[Periodo]],1,4)</f>
        <v>2026</v>
      </c>
      <c r="D1295" s="1" t="str">
        <f>MID(analisis_productividad__4[[#This Row],[Periodo]],5,2)</f>
        <v>01</v>
      </c>
      <c r="E1295" s="1" t="s">
        <v>11</v>
      </c>
      <c r="F1295" s="1" t="s">
        <v>14</v>
      </c>
      <c r="G1295" s="1">
        <v>86907</v>
      </c>
      <c r="H1295" s="1">
        <v>5374283</v>
      </c>
      <c r="I1295" s="1">
        <v>61.839637096774183</v>
      </c>
      <c r="J1295" s="1">
        <v>100382.99439450784</v>
      </c>
      <c r="K1295" s="1">
        <v>75.5</v>
      </c>
      <c r="L1295" s="1">
        <v>74</v>
      </c>
      <c r="M1295" s="1">
        <v>63.845934941054651</v>
      </c>
      <c r="N1295" s="1">
        <v>6409046</v>
      </c>
    </row>
    <row r="1296" spans="1:14" x14ac:dyDescent="0.35">
      <c r="A1296" s="1" t="s">
        <v>56</v>
      </c>
      <c r="B1296" s="1">
        <v>202410</v>
      </c>
      <c r="C1296" s="1" t="str">
        <f>MID(analisis_productividad__4[[#This Row],[Periodo]],1,4)</f>
        <v>2024</v>
      </c>
      <c r="D1296" s="1" t="str">
        <f>MID(analisis_productividad__4[[#This Row],[Periodo]],5,2)</f>
        <v>10</v>
      </c>
      <c r="E1296" s="1" t="s">
        <v>16</v>
      </c>
      <c r="F1296" s="1" t="s">
        <v>21</v>
      </c>
      <c r="G1296" s="1">
        <v>86889</v>
      </c>
      <c r="H1296" s="1">
        <v>5717119</v>
      </c>
      <c r="I1296" s="1">
        <v>65.797836021505347</v>
      </c>
      <c r="J1296" s="1">
        <v>0</v>
      </c>
      <c r="K1296" s="1">
        <v>72.5</v>
      </c>
      <c r="L1296" s="1">
        <v>68.5</v>
      </c>
      <c r="M1296" s="1"/>
      <c r="N1296" s="1">
        <v>0</v>
      </c>
    </row>
    <row r="1297" spans="1:14" x14ac:dyDescent="0.35">
      <c r="A1297" s="1" t="s">
        <v>83</v>
      </c>
      <c r="B1297" s="1">
        <v>202601</v>
      </c>
      <c r="C1297" s="1" t="str">
        <f>MID(analisis_productividad__4[[#This Row],[Periodo]],1,4)</f>
        <v>2026</v>
      </c>
      <c r="D1297" s="1" t="str">
        <f>MID(analisis_productividad__4[[#This Row],[Periodo]],5,2)</f>
        <v>01</v>
      </c>
      <c r="E1297" s="1" t="s">
        <v>16</v>
      </c>
      <c r="F1297" s="1" t="s">
        <v>17</v>
      </c>
      <c r="G1297" s="1">
        <v>86878</v>
      </c>
      <c r="H1297" s="1">
        <v>3687231</v>
      </c>
      <c r="I1297" s="1">
        <v>42.441545698924742</v>
      </c>
      <c r="J1297" s="1">
        <v>79251.514103819311</v>
      </c>
      <c r="K1297" s="1">
        <v>52</v>
      </c>
      <c r="L1297" s="1">
        <v>52</v>
      </c>
      <c r="M1297" s="1">
        <v>46.517920556956689</v>
      </c>
      <c r="N1297" s="1">
        <v>3686616</v>
      </c>
    </row>
    <row r="1298" spans="1:14" x14ac:dyDescent="0.35">
      <c r="A1298" s="1" t="s">
        <v>62</v>
      </c>
      <c r="B1298" s="1">
        <v>202501</v>
      </c>
      <c r="C1298" s="1" t="str">
        <f>MID(analisis_productividad__4[[#This Row],[Periodo]],1,4)</f>
        <v>2025</v>
      </c>
      <c r="D1298" s="1" t="str">
        <f>MID(analisis_productividad__4[[#This Row],[Periodo]],5,2)</f>
        <v>01</v>
      </c>
      <c r="E1298" s="1" t="s">
        <v>16</v>
      </c>
      <c r="F1298" s="1" t="s">
        <v>17</v>
      </c>
      <c r="G1298" s="1">
        <v>86866</v>
      </c>
      <c r="H1298" s="1">
        <v>2428365</v>
      </c>
      <c r="I1298" s="1">
        <v>27.9553561827957</v>
      </c>
      <c r="J1298" s="1">
        <v>88535.973864775035</v>
      </c>
      <c r="K1298" s="1">
        <v>32.5</v>
      </c>
      <c r="L1298" s="1">
        <v>32</v>
      </c>
      <c r="M1298" s="1">
        <v>27.428005860182338</v>
      </c>
      <c r="N1298" s="1">
        <v>2488686</v>
      </c>
    </row>
    <row r="1299" spans="1:14" x14ac:dyDescent="0.35">
      <c r="A1299" s="1" t="s">
        <v>26</v>
      </c>
      <c r="B1299" s="1">
        <v>202408</v>
      </c>
      <c r="C1299" s="1" t="str">
        <f>MID(analisis_productividad__4[[#This Row],[Periodo]],1,4)</f>
        <v>2024</v>
      </c>
      <c r="D1299" s="1" t="str">
        <f>MID(analisis_productividad__4[[#This Row],[Periodo]],5,2)</f>
        <v>08</v>
      </c>
      <c r="E1299" s="1" t="s">
        <v>11</v>
      </c>
      <c r="F1299" s="1" t="s">
        <v>12</v>
      </c>
      <c r="G1299" s="1">
        <v>86858</v>
      </c>
      <c r="H1299" s="1">
        <v>5419216</v>
      </c>
      <c r="I1299" s="1">
        <v>62.39168682795701</v>
      </c>
      <c r="J1299" s="1">
        <v>0</v>
      </c>
      <c r="K1299" s="1">
        <v>65.5</v>
      </c>
      <c r="L1299" s="1">
        <v>63</v>
      </c>
      <c r="M1299" s="1"/>
      <c r="N1299" s="1">
        <v>0</v>
      </c>
    </row>
    <row r="1300" spans="1:14" x14ac:dyDescent="0.35">
      <c r="A1300" s="1" t="s">
        <v>98</v>
      </c>
      <c r="B1300" s="1">
        <v>202503</v>
      </c>
      <c r="C1300" s="1" t="str">
        <f>MID(analisis_productividad__4[[#This Row],[Periodo]],1,4)</f>
        <v>2025</v>
      </c>
      <c r="D1300" s="1" t="str">
        <f>MID(analisis_productividad__4[[#This Row],[Periodo]],5,2)</f>
        <v>03</v>
      </c>
      <c r="E1300" s="1" t="s">
        <v>11</v>
      </c>
      <c r="F1300" s="1" t="s">
        <v>14</v>
      </c>
      <c r="G1300" s="1">
        <v>86853</v>
      </c>
      <c r="H1300" s="1">
        <v>4667423</v>
      </c>
      <c r="I1300" s="1">
        <v>53.739395161290332</v>
      </c>
      <c r="J1300" s="1">
        <v>72865.682798315451</v>
      </c>
      <c r="K1300" s="1">
        <v>61.5</v>
      </c>
      <c r="L1300" s="1">
        <v>56</v>
      </c>
      <c r="M1300" s="1">
        <v>64.055162468166756</v>
      </c>
      <c r="N1300" s="1">
        <v>4574810</v>
      </c>
    </row>
    <row r="1301" spans="1:14" x14ac:dyDescent="0.35">
      <c r="A1301" s="1" t="s">
        <v>46</v>
      </c>
      <c r="B1301" s="1">
        <v>202404</v>
      </c>
      <c r="C1301" s="1" t="str">
        <f>MID(analisis_productividad__4[[#This Row],[Periodo]],1,4)</f>
        <v>2024</v>
      </c>
      <c r="D1301" s="1" t="str">
        <f>MID(analisis_productividad__4[[#This Row],[Periodo]],5,2)</f>
        <v>04</v>
      </c>
      <c r="E1301" s="1" t="s">
        <v>11</v>
      </c>
      <c r="F1301" s="1" t="s">
        <v>14</v>
      </c>
      <c r="G1301" s="1">
        <v>86847</v>
      </c>
      <c r="H1301" s="1">
        <v>5709160</v>
      </c>
      <c r="I1301" s="1">
        <v>65.738263888888895</v>
      </c>
      <c r="J1301" s="1">
        <v>0</v>
      </c>
      <c r="K1301" s="1">
        <v>77</v>
      </c>
      <c r="L1301" s="1">
        <v>79</v>
      </c>
      <c r="M1301" s="1"/>
      <c r="N1301" s="1">
        <v>0</v>
      </c>
    </row>
    <row r="1302" spans="1:14" x14ac:dyDescent="0.35">
      <c r="A1302" s="1" t="s">
        <v>20</v>
      </c>
      <c r="B1302" s="1">
        <v>202505</v>
      </c>
      <c r="C1302" s="1" t="str">
        <f>MID(analisis_productividad__4[[#This Row],[Periodo]],1,4)</f>
        <v>2025</v>
      </c>
      <c r="D1302" s="1" t="str">
        <f>MID(analisis_productividad__4[[#This Row],[Periodo]],5,2)</f>
        <v>05</v>
      </c>
      <c r="E1302" s="1" t="s">
        <v>16</v>
      </c>
      <c r="F1302" s="1" t="s">
        <v>21</v>
      </c>
      <c r="G1302" s="1">
        <v>86832</v>
      </c>
      <c r="H1302" s="1">
        <v>8278367</v>
      </c>
      <c r="I1302" s="1">
        <v>95.337553763440908</v>
      </c>
      <c r="J1302" s="1">
        <v>92383.698451420714</v>
      </c>
      <c r="K1302" s="1">
        <v>96.5</v>
      </c>
      <c r="L1302" s="1">
        <v>94</v>
      </c>
      <c r="M1302" s="1">
        <v>89.608520645588982</v>
      </c>
      <c r="N1302" s="1">
        <v>8138034</v>
      </c>
    </row>
    <row r="1303" spans="1:14" x14ac:dyDescent="0.35">
      <c r="A1303" s="1" t="s">
        <v>25</v>
      </c>
      <c r="B1303" s="1">
        <v>202506</v>
      </c>
      <c r="C1303" s="1" t="str">
        <f>MID(analisis_productividad__4[[#This Row],[Periodo]],1,4)</f>
        <v>2025</v>
      </c>
      <c r="D1303" s="1" t="str">
        <f>MID(analisis_productividad__4[[#This Row],[Periodo]],5,2)</f>
        <v>06</v>
      </c>
      <c r="E1303" s="1" t="s">
        <v>16</v>
      </c>
      <c r="F1303" s="1" t="s">
        <v>19</v>
      </c>
      <c r="G1303" s="1">
        <v>86828</v>
      </c>
      <c r="H1303" s="1">
        <v>7601473</v>
      </c>
      <c r="I1303" s="1">
        <v>87.546763888888833</v>
      </c>
      <c r="J1303" s="1">
        <v>89356.925897739464</v>
      </c>
      <c r="K1303" s="1">
        <v>94</v>
      </c>
      <c r="L1303" s="1">
        <v>92</v>
      </c>
      <c r="M1303" s="1">
        <v>85.068652973795949</v>
      </c>
      <c r="N1303" s="1">
        <v>7493596</v>
      </c>
    </row>
    <row r="1304" spans="1:14" x14ac:dyDescent="0.35">
      <c r="A1304" s="1" t="s">
        <v>51</v>
      </c>
      <c r="B1304" s="1">
        <v>202407</v>
      </c>
      <c r="C1304" s="1" t="str">
        <f>MID(analisis_productividad__4[[#This Row],[Periodo]],1,4)</f>
        <v>2024</v>
      </c>
      <c r="D1304" s="1" t="str">
        <f>MID(analisis_productividad__4[[#This Row],[Periodo]],5,2)</f>
        <v>07</v>
      </c>
      <c r="E1304" s="1" t="s">
        <v>11</v>
      </c>
      <c r="F1304" s="1" t="s">
        <v>52</v>
      </c>
      <c r="G1304" s="1">
        <v>86826</v>
      </c>
      <c r="H1304" s="1">
        <v>9244910</v>
      </c>
      <c r="I1304" s="1">
        <v>106.47658602150533</v>
      </c>
      <c r="J1304" s="1">
        <v>0</v>
      </c>
      <c r="K1304" s="1">
        <v>117.5</v>
      </c>
      <c r="L1304" s="1">
        <v>99</v>
      </c>
      <c r="M1304" s="1"/>
      <c r="N1304" s="1">
        <v>0</v>
      </c>
    </row>
    <row r="1305" spans="1:14" x14ac:dyDescent="0.35">
      <c r="A1305" s="1" t="s">
        <v>25</v>
      </c>
      <c r="B1305" s="1">
        <v>202405</v>
      </c>
      <c r="C1305" s="1" t="str">
        <f>MID(analisis_productividad__4[[#This Row],[Periodo]],1,4)</f>
        <v>2024</v>
      </c>
      <c r="D1305" s="1" t="str">
        <f>MID(analisis_productividad__4[[#This Row],[Periodo]],5,2)</f>
        <v>05</v>
      </c>
      <c r="E1305" s="1" t="s">
        <v>16</v>
      </c>
      <c r="F1305" s="1" t="s">
        <v>19</v>
      </c>
      <c r="G1305" s="1">
        <v>86812</v>
      </c>
      <c r="H1305" s="1">
        <v>7270711</v>
      </c>
      <c r="I1305" s="1">
        <v>83.752553763440886</v>
      </c>
      <c r="J1305" s="1">
        <v>0</v>
      </c>
      <c r="K1305" s="1">
        <v>94</v>
      </c>
      <c r="L1305" s="1">
        <v>92</v>
      </c>
      <c r="M1305" s="1"/>
      <c r="N1305" s="1">
        <v>0</v>
      </c>
    </row>
    <row r="1306" spans="1:14" x14ac:dyDescent="0.35">
      <c r="A1306" s="1" t="s">
        <v>44</v>
      </c>
      <c r="B1306" s="1">
        <v>202405</v>
      </c>
      <c r="C1306" s="1" t="str">
        <f>MID(analisis_productividad__4[[#This Row],[Periodo]],1,4)</f>
        <v>2024</v>
      </c>
      <c r="D1306" s="1" t="str">
        <f>MID(analisis_productividad__4[[#This Row],[Periodo]],5,2)</f>
        <v>05</v>
      </c>
      <c r="E1306" s="1" t="s">
        <v>11</v>
      </c>
      <c r="F1306" s="1" t="s">
        <v>12</v>
      </c>
      <c r="G1306" s="1">
        <v>86807</v>
      </c>
      <c r="H1306" s="1">
        <v>5951841</v>
      </c>
      <c r="I1306" s="1">
        <v>68.564341397849461</v>
      </c>
      <c r="J1306" s="1">
        <v>0</v>
      </c>
      <c r="K1306" s="1">
        <v>78</v>
      </c>
      <c r="L1306" s="1">
        <v>74.5</v>
      </c>
      <c r="M1306" s="1"/>
      <c r="N1306" s="1">
        <v>0</v>
      </c>
    </row>
    <row r="1307" spans="1:14" x14ac:dyDescent="0.35">
      <c r="A1307" s="1" t="s">
        <v>18</v>
      </c>
      <c r="B1307" s="1">
        <v>202402</v>
      </c>
      <c r="C1307" s="1" t="str">
        <f>MID(analisis_productividad__4[[#This Row],[Periodo]],1,4)</f>
        <v>2024</v>
      </c>
      <c r="D1307" s="1" t="str">
        <f>MID(analisis_productividad__4[[#This Row],[Periodo]],5,2)</f>
        <v>02</v>
      </c>
      <c r="E1307" s="1" t="s">
        <v>16</v>
      </c>
      <c r="F1307" s="1" t="s">
        <v>19</v>
      </c>
      <c r="G1307" s="1">
        <v>86802</v>
      </c>
      <c r="H1307" s="1">
        <v>5731416</v>
      </c>
      <c r="I1307" s="1">
        <v>66.028807471264372</v>
      </c>
      <c r="J1307" s="1">
        <v>0</v>
      </c>
      <c r="K1307" s="1">
        <v>70.5</v>
      </c>
      <c r="L1307" s="1">
        <v>69.5</v>
      </c>
      <c r="M1307" s="1"/>
      <c r="N1307" s="1">
        <v>0</v>
      </c>
    </row>
    <row r="1308" spans="1:14" x14ac:dyDescent="0.35">
      <c r="A1308" s="1" t="s">
        <v>87</v>
      </c>
      <c r="B1308" s="1">
        <v>202501</v>
      </c>
      <c r="C1308" s="1" t="str">
        <f>MID(analisis_productividad__4[[#This Row],[Periodo]],1,4)</f>
        <v>2025</v>
      </c>
      <c r="D1308" s="1" t="str">
        <f>MID(analisis_productividad__4[[#This Row],[Periodo]],5,2)</f>
        <v>01</v>
      </c>
      <c r="E1308" s="1" t="s">
        <v>9</v>
      </c>
      <c r="F1308" s="1" t="s">
        <v>9</v>
      </c>
      <c r="G1308" s="1">
        <v>86800</v>
      </c>
      <c r="H1308" s="1">
        <v>939055</v>
      </c>
      <c r="I1308" s="1">
        <v>10.818669354838711</v>
      </c>
      <c r="J1308" s="1">
        <v>96488.978956619787</v>
      </c>
      <c r="K1308" s="1">
        <v>13.5</v>
      </c>
      <c r="L1308" s="1">
        <v>12</v>
      </c>
      <c r="M1308" s="1">
        <v>9.7322549181724387</v>
      </c>
      <c r="N1308" s="1">
        <v>1063779</v>
      </c>
    </row>
    <row r="1309" spans="1:14" x14ac:dyDescent="0.35">
      <c r="A1309" s="1" t="s">
        <v>70</v>
      </c>
      <c r="B1309" s="1">
        <v>202410</v>
      </c>
      <c r="C1309" s="1" t="str">
        <f>MID(analisis_productividad__4[[#This Row],[Periodo]],1,4)</f>
        <v>2024</v>
      </c>
      <c r="D1309" s="1" t="str">
        <f>MID(analisis_productividad__4[[#This Row],[Periodo]],5,2)</f>
        <v>10</v>
      </c>
      <c r="E1309" s="1" t="s">
        <v>11</v>
      </c>
      <c r="F1309" s="1" t="s">
        <v>14</v>
      </c>
      <c r="G1309" s="1">
        <v>86788</v>
      </c>
      <c r="H1309" s="1">
        <v>4786584</v>
      </c>
      <c r="I1309" s="1">
        <v>55.152708333333344</v>
      </c>
      <c r="J1309" s="1">
        <v>0</v>
      </c>
      <c r="K1309" s="1">
        <v>65</v>
      </c>
      <c r="L1309" s="1">
        <v>67.5</v>
      </c>
      <c r="M1309" s="1"/>
      <c r="N1309" s="1">
        <v>0</v>
      </c>
    </row>
    <row r="1310" spans="1:14" x14ac:dyDescent="0.35">
      <c r="A1310" s="1" t="s">
        <v>85</v>
      </c>
      <c r="B1310" s="1">
        <v>202503</v>
      </c>
      <c r="C1310" s="1" t="str">
        <f>MID(analisis_productividad__4[[#This Row],[Periodo]],1,4)</f>
        <v>2025</v>
      </c>
      <c r="D1310" s="1" t="str">
        <f>MID(analisis_productividad__4[[#This Row],[Periodo]],5,2)</f>
        <v>03</v>
      </c>
      <c r="E1310" s="1" t="s">
        <v>11</v>
      </c>
      <c r="F1310" s="1" t="s">
        <v>14</v>
      </c>
      <c r="G1310" s="1">
        <v>86785</v>
      </c>
      <c r="H1310" s="1">
        <v>4826621</v>
      </c>
      <c r="I1310" s="1">
        <v>55.615752688172037</v>
      </c>
      <c r="J1310" s="1">
        <v>84673.966202722644</v>
      </c>
      <c r="K1310" s="1">
        <v>60.5</v>
      </c>
      <c r="L1310" s="1">
        <v>57.5</v>
      </c>
      <c r="M1310" s="1">
        <v>57.00242384352611</v>
      </c>
      <c r="N1310" s="1">
        <v>4440672</v>
      </c>
    </row>
    <row r="1311" spans="1:14" x14ac:dyDescent="0.35">
      <c r="A1311" s="1" t="s">
        <v>56</v>
      </c>
      <c r="B1311" s="1">
        <v>202402</v>
      </c>
      <c r="C1311" s="1" t="str">
        <f>MID(analisis_productividad__4[[#This Row],[Periodo]],1,4)</f>
        <v>2024</v>
      </c>
      <c r="D1311" s="1" t="str">
        <f>MID(analisis_productividad__4[[#This Row],[Periodo]],5,2)</f>
        <v>02</v>
      </c>
      <c r="E1311" s="1" t="s">
        <v>16</v>
      </c>
      <c r="F1311" s="1" t="s">
        <v>21</v>
      </c>
      <c r="G1311" s="1">
        <v>86783</v>
      </c>
      <c r="H1311" s="1">
        <v>5683238</v>
      </c>
      <c r="I1311" s="1">
        <v>65.488117816091972</v>
      </c>
      <c r="J1311" s="1">
        <v>0</v>
      </c>
      <c r="K1311" s="1">
        <v>72.5</v>
      </c>
      <c r="L1311" s="1">
        <v>68.5</v>
      </c>
      <c r="M1311" s="1"/>
      <c r="N1311" s="1">
        <v>0</v>
      </c>
    </row>
    <row r="1312" spans="1:14" x14ac:dyDescent="0.35">
      <c r="A1312" s="1" t="s">
        <v>68</v>
      </c>
      <c r="B1312" s="1">
        <v>202411</v>
      </c>
      <c r="C1312" s="1" t="str">
        <f>MID(analisis_productividad__4[[#This Row],[Periodo]],1,4)</f>
        <v>2024</v>
      </c>
      <c r="D1312" s="1" t="str">
        <f>MID(analisis_productividad__4[[#This Row],[Periodo]],5,2)</f>
        <v>11</v>
      </c>
      <c r="E1312" s="1" t="s">
        <v>11</v>
      </c>
      <c r="F1312" s="1" t="s">
        <v>52</v>
      </c>
      <c r="G1312" s="1">
        <v>86777</v>
      </c>
      <c r="H1312" s="1">
        <v>7951338</v>
      </c>
      <c r="I1312" s="1">
        <v>91.629465277777797</v>
      </c>
      <c r="J1312" s="1">
        <v>0</v>
      </c>
      <c r="K1312" s="1">
        <v>103</v>
      </c>
      <c r="L1312" s="1">
        <v>91</v>
      </c>
      <c r="M1312" s="1"/>
      <c r="N1312" s="1">
        <v>0</v>
      </c>
    </row>
    <row r="1313" spans="1:14" x14ac:dyDescent="0.35">
      <c r="A1313" s="1" t="s">
        <v>50</v>
      </c>
      <c r="B1313" s="1">
        <v>202401</v>
      </c>
      <c r="C1313" s="1" t="str">
        <f>MID(analisis_productividad__4[[#This Row],[Periodo]],1,4)</f>
        <v>2024</v>
      </c>
      <c r="D1313" s="1" t="str">
        <f>MID(analisis_productividad__4[[#This Row],[Periodo]],5,2)</f>
        <v>01</v>
      </c>
      <c r="E1313" s="1" t="s">
        <v>34</v>
      </c>
      <c r="F1313" s="1" t="s">
        <v>35</v>
      </c>
      <c r="G1313" s="1">
        <v>86772</v>
      </c>
      <c r="H1313" s="1">
        <v>5583538</v>
      </c>
      <c r="I1313" s="1">
        <v>64.347217741935452</v>
      </c>
      <c r="J1313" s="1">
        <v>0</v>
      </c>
      <c r="K1313" s="1">
        <v>79.5</v>
      </c>
      <c r="L1313" s="1">
        <v>72.5</v>
      </c>
      <c r="M1313" s="1"/>
      <c r="N1313" s="1">
        <v>0</v>
      </c>
    </row>
    <row r="1314" spans="1:14" x14ac:dyDescent="0.35">
      <c r="A1314" s="1" t="s">
        <v>41</v>
      </c>
      <c r="B1314" s="1">
        <v>202411</v>
      </c>
      <c r="C1314" s="1" t="str">
        <f>MID(analisis_productividad__4[[#This Row],[Periodo]],1,4)</f>
        <v>2024</v>
      </c>
      <c r="D1314" s="1" t="str">
        <f>MID(analisis_productividad__4[[#This Row],[Periodo]],5,2)</f>
        <v>11</v>
      </c>
      <c r="E1314" s="1" t="s">
        <v>16</v>
      </c>
      <c r="F1314" s="1" t="s">
        <v>19</v>
      </c>
      <c r="G1314" s="1">
        <v>86764</v>
      </c>
      <c r="H1314" s="1">
        <v>4518190</v>
      </c>
      <c r="I1314" s="1">
        <v>52.074409722222207</v>
      </c>
      <c r="J1314" s="1">
        <v>0</v>
      </c>
      <c r="K1314" s="1">
        <v>57.5</v>
      </c>
      <c r="L1314" s="1">
        <v>56.5</v>
      </c>
      <c r="M1314" s="1"/>
      <c r="N1314" s="1">
        <v>0</v>
      </c>
    </row>
    <row r="1315" spans="1:14" x14ac:dyDescent="0.35">
      <c r="A1315" s="1" t="s">
        <v>71</v>
      </c>
      <c r="B1315" s="1">
        <v>202510</v>
      </c>
      <c r="C1315" s="1" t="str">
        <f>MID(analisis_productividad__4[[#This Row],[Periodo]],1,4)</f>
        <v>2025</v>
      </c>
      <c r="D1315" s="1" t="str">
        <f>MID(analisis_productividad__4[[#This Row],[Periodo]],5,2)</f>
        <v>10</v>
      </c>
      <c r="E1315" s="1" t="s">
        <v>16</v>
      </c>
      <c r="F1315" s="1" t="s">
        <v>19</v>
      </c>
      <c r="G1315" s="1">
        <v>86756</v>
      </c>
      <c r="H1315" s="1">
        <v>2741730</v>
      </c>
      <c r="I1315" s="1">
        <v>31.602647849462354</v>
      </c>
      <c r="J1315" s="1">
        <v>75546.766338253947</v>
      </c>
      <c r="K1315" s="1">
        <v>41.5</v>
      </c>
      <c r="L1315" s="1">
        <v>35.5</v>
      </c>
      <c r="M1315" s="1">
        <v>36.291826677585988</v>
      </c>
      <c r="N1315" s="1">
        <v>2185061</v>
      </c>
    </row>
    <row r="1316" spans="1:14" x14ac:dyDescent="0.35">
      <c r="A1316" s="1" t="s">
        <v>106</v>
      </c>
      <c r="B1316" s="1">
        <v>202512</v>
      </c>
      <c r="C1316" s="1" t="str">
        <f>MID(analisis_productividad__4[[#This Row],[Periodo]],1,4)</f>
        <v>2025</v>
      </c>
      <c r="D1316" s="1" t="str">
        <f>MID(analisis_productividad__4[[#This Row],[Periodo]],5,2)</f>
        <v>12</v>
      </c>
      <c r="E1316" s="1" t="s">
        <v>34</v>
      </c>
      <c r="F1316" s="1" t="s">
        <v>35</v>
      </c>
      <c r="G1316" s="1">
        <v>86749</v>
      </c>
      <c r="H1316" s="1">
        <v>3901515</v>
      </c>
      <c r="I1316" s="1">
        <v>44.974576612903199</v>
      </c>
      <c r="J1316" s="1">
        <v>83508.545087170613</v>
      </c>
      <c r="K1316" s="1">
        <v>51</v>
      </c>
      <c r="L1316" s="1">
        <v>49</v>
      </c>
      <c r="M1316" s="1">
        <v>46.719944838308386</v>
      </c>
      <c r="N1316" s="1">
        <v>4551462</v>
      </c>
    </row>
    <row r="1317" spans="1:14" x14ac:dyDescent="0.35">
      <c r="A1317" s="1" t="s">
        <v>119</v>
      </c>
      <c r="B1317" s="1">
        <v>202512</v>
      </c>
      <c r="C1317" s="1" t="str">
        <f>MID(analisis_productividad__4[[#This Row],[Periodo]],1,4)</f>
        <v>2025</v>
      </c>
      <c r="D1317" s="1" t="str">
        <f>MID(analisis_productividad__4[[#This Row],[Periodo]],5,2)</f>
        <v>12</v>
      </c>
      <c r="E1317" s="1" t="s">
        <v>16</v>
      </c>
      <c r="F1317" s="1" t="s">
        <v>21</v>
      </c>
      <c r="G1317" s="1">
        <v>86712</v>
      </c>
      <c r="H1317" s="1">
        <v>4406034</v>
      </c>
      <c r="I1317" s="1">
        <v>50.812520161290294</v>
      </c>
      <c r="J1317" s="1">
        <v>86898.182095419252</v>
      </c>
      <c r="K1317" s="1">
        <v>52.5</v>
      </c>
      <c r="L1317" s="1">
        <v>52.5</v>
      </c>
      <c r="M1317" s="1">
        <v>50.703413509409415</v>
      </c>
      <c r="N1317" s="1">
        <v>5289174</v>
      </c>
    </row>
    <row r="1318" spans="1:14" x14ac:dyDescent="0.35">
      <c r="A1318" s="1" t="s">
        <v>64</v>
      </c>
      <c r="B1318" s="1">
        <v>202606</v>
      </c>
      <c r="C1318" s="1" t="str">
        <f>MID(analisis_productividad__4[[#This Row],[Periodo]],1,4)</f>
        <v>2026</v>
      </c>
      <c r="D1318" s="1" t="str">
        <f>MID(analisis_productividad__4[[#This Row],[Periodo]],5,2)</f>
        <v>06</v>
      </c>
      <c r="E1318" s="1" t="s">
        <v>16</v>
      </c>
      <c r="F1318" s="1" t="s">
        <v>21</v>
      </c>
      <c r="G1318" s="1">
        <v>86703</v>
      </c>
      <c r="H1318" s="1">
        <v>9178038</v>
      </c>
      <c r="I1318" s="1">
        <v>105.8557013888923</v>
      </c>
      <c r="J1318" s="1">
        <v>81145.52633860374</v>
      </c>
      <c r="K1318" s="1">
        <v>88.5</v>
      </c>
      <c r="L1318" s="1">
        <v>92.5</v>
      </c>
      <c r="M1318" s="1">
        <v>102.97612103755296</v>
      </c>
      <c r="N1318" s="1">
        <v>8356052</v>
      </c>
    </row>
    <row r="1319" spans="1:14" x14ac:dyDescent="0.35">
      <c r="A1319" s="1" t="s">
        <v>87</v>
      </c>
      <c r="B1319" s="1">
        <v>202507</v>
      </c>
      <c r="C1319" s="1" t="str">
        <f>MID(analisis_productividad__4[[#This Row],[Periodo]],1,4)</f>
        <v>2025</v>
      </c>
      <c r="D1319" s="1" t="str">
        <f>MID(analisis_productividad__4[[#This Row],[Periodo]],5,2)</f>
        <v>07</v>
      </c>
      <c r="E1319" s="1" t="s">
        <v>9</v>
      </c>
      <c r="F1319" s="1" t="s">
        <v>9</v>
      </c>
      <c r="G1319" s="1">
        <v>86682</v>
      </c>
      <c r="H1319" s="1">
        <v>911923</v>
      </c>
      <c r="I1319" s="1">
        <v>10.520369623655915</v>
      </c>
      <c r="J1319" s="1">
        <v>83909.100013346935</v>
      </c>
      <c r="K1319" s="1">
        <v>13.5</v>
      </c>
      <c r="L1319" s="1">
        <v>12</v>
      </c>
      <c r="M1319" s="1">
        <v>10.867984281263242</v>
      </c>
      <c r="N1319" s="1">
        <v>1056507</v>
      </c>
    </row>
    <row r="1320" spans="1:14" x14ac:dyDescent="0.35">
      <c r="A1320" s="1" t="s">
        <v>42</v>
      </c>
      <c r="B1320" s="1">
        <v>202507</v>
      </c>
      <c r="C1320" s="1" t="str">
        <f>MID(analisis_productividad__4[[#This Row],[Periodo]],1,4)</f>
        <v>2025</v>
      </c>
      <c r="D1320" s="1" t="str">
        <f>MID(analisis_productividad__4[[#This Row],[Periodo]],5,2)</f>
        <v>07</v>
      </c>
      <c r="E1320" s="1" t="s">
        <v>16</v>
      </c>
      <c r="F1320" s="1" t="s">
        <v>19</v>
      </c>
      <c r="G1320" s="1">
        <v>86677</v>
      </c>
      <c r="H1320" s="1">
        <v>5078571</v>
      </c>
      <c r="I1320" s="1">
        <v>58.591881720430081</v>
      </c>
      <c r="J1320" s="1">
        <v>85654.254346087982</v>
      </c>
      <c r="K1320" s="1">
        <v>62</v>
      </c>
      <c r="L1320" s="1">
        <v>58</v>
      </c>
      <c r="M1320" s="1">
        <v>59.291518311278693</v>
      </c>
      <c r="N1320" s="1">
        <v>5403232</v>
      </c>
    </row>
    <row r="1321" spans="1:14" x14ac:dyDescent="0.35">
      <c r="A1321" s="1" t="s">
        <v>74</v>
      </c>
      <c r="B1321" s="1">
        <v>202507</v>
      </c>
      <c r="C1321" s="1" t="str">
        <f>MID(analisis_productividad__4[[#This Row],[Periodo]],1,4)</f>
        <v>2025</v>
      </c>
      <c r="D1321" s="1" t="str">
        <f>MID(analisis_productividad__4[[#This Row],[Periodo]],5,2)</f>
        <v>07</v>
      </c>
      <c r="E1321" s="1" t="s">
        <v>16</v>
      </c>
      <c r="F1321" s="1" t="s">
        <v>19</v>
      </c>
      <c r="G1321" s="1">
        <v>86667</v>
      </c>
      <c r="H1321" s="1">
        <v>3967619</v>
      </c>
      <c r="I1321" s="1">
        <v>45.78018817204299</v>
      </c>
      <c r="J1321" s="1">
        <v>91741.22571759636</v>
      </c>
      <c r="K1321" s="1">
        <v>50.5</v>
      </c>
      <c r="L1321" s="1">
        <v>51.5</v>
      </c>
      <c r="M1321" s="1">
        <v>43.247941140587926</v>
      </c>
      <c r="N1321" s="1">
        <v>4324454</v>
      </c>
    </row>
    <row r="1322" spans="1:14" x14ac:dyDescent="0.35">
      <c r="A1322" s="1" t="s">
        <v>131</v>
      </c>
      <c r="B1322" s="1">
        <v>202502</v>
      </c>
      <c r="C1322" s="1" t="str">
        <f>MID(analisis_productividad__4[[#This Row],[Periodo]],1,4)</f>
        <v>2025</v>
      </c>
      <c r="D1322" s="1" t="str">
        <f>MID(analisis_productividad__4[[#This Row],[Periodo]],5,2)</f>
        <v>02</v>
      </c>
      <c r="E1322" s="1" t="s">
        <v>16</v>
      </c>
      <c r="F1322" s="1" t="s">
        <v>21</v>
      </c>
      <c r="G1322" s="1">
        <v>86662</v>
      </c>
      <c r="H1322" s="1">
        <v>9091264</v>
      </c>
      <c r="I1322" s="1">
        <v>104.9054166666666</v>
      </c>
      <c r="J1322" s="1">
        <v>101264.14446834766</v>
      </c>
      <c r="K1322" s="1">
        <v>99</v>
      </c>
      <c r="L1322" s="1">
        <v>32.5</v>
      </c>
      <c r="M1322" s="1">
        <v>89.777720907341219</v>
      </c>
      <c r="N1322" s="1">
        <v>12042986</v>
      </c>
    </row>
    <row r="1323" spans="1:14" x14ac:dyDescent="0.35">
      <c r="A1323" s="1" t="s">
        <v>23</v>
      </c>
      <c r="B1323" s="1">
        <v>202404</v>
      </c>
      <c r="C1323" s="1" t="str">
        <f>MID(analisis_productividad__4[[#This Row],[Periodo]],1,4)</f>
        <v>2024</v>
      </c>
      <c r="D1323" s="1" t="str">
        <f>MID(analisis_productividad__4[[#This Row],[Periodo]],5,2)</f>
        <v>04</v>
      </c>
      <c r="E1323" s="1" t="s">
        <v>11</v>
      </c>
      <c r="F1323" s="1" t="s">
        <v>12</v>
      </c>
      <c r="G1323" s="1">
        <v>86647</v>
      </c>
      <c r="H1323" s="1">
        <v>5300095</v>
      </c>
      <c r="I1323" s="1">
        <v>61.168819444444452</v>
      </c>
      <c r="J1323" s="1">
        <v>0</v>
      </c>
      <c r="K1323" s="1">
        <v>68.5</v>
      </c>
      <c r="L1323" s="1">
        <v>66</v>
      </c>
      <c r="M1323" s="1"/>
      <c r="N1323" s="1">
        <v>0</v>
      </c>
    </row>
    <row r="1324" spans="1:14" x14ac:dyDescent="0.35">
      <c r="A1324" s="1" t="s">
        <v>62</v>
      </c>
      <c r="B1324" s="1">
        <v>202407</v>
      </c>
      <c r="C1324" s="1" t="str">
        <f>MID(analisis_productividad__4[[#This Row],[Periodo]],1,4)</f>
        <v>2024</v>
      </c>
      <c r="D1324" s="1" t="str">
        <f>MID(analisis_productividad__4[[#This Row],[Periodo]],5,2)</f>
        <v>07</v>
      </c>
      <c r="E1324" s="1" t="s">
        <v>16</v>
      </c>
      <c r="F1324" s="1" t="s">
        <v>17</v>
      </c>
      <c r="G1324" s="1">
        <v>86631</v>
      </c>
      <c r="H1324" s="1">
        <v>2602457</v>
      </c>
      <c r="I1324" s="1">
        <v>30.040678763440862</v>
      </c>
      <c r="J1324" s="1">
        <v>0</v>
      </c>
      <c r="K1324" s="1">
        <v>32.5</v>
      </c>
      <c r="L1324" s="1">
        <v>32</v>
      </c>
      <c r="M1324" s="1"/>
      <c r="N1324" s="1">
        <v>0</v>
      </c>
    </row>
    <row r="1325" spans="1:14" x14ac:dyDescent="0.35">
      <c r="A1325" s="1" t="s">
        <v>46</v>
      </c>
      <c r="B1325" s="1">
        <v>202509</v>
      </c>
      <c r="C1325" s="1" t="str">
        <f>MID(analisis_productividad__4[[#This Row],[Periodo]],1,4)</f>
        <v>2025</v>
      </c>
      <c r="D1325" s="1" t="str">
        <f>MID(analisis_productividad__4[[#This Row],[Periodo]],5,2)</f>
        <v>09</v>
      </c>
      <c r="E1325" s="1" t="s">
        <v>11</v>
      </c>
      <c r="F1325" s="1" t="s">
        <v>14</v>
      </c>
      <c r="G1325" s="1">
        <v>86627</v>
      </c>
      <c r="H1325" s="1">
        <v>5791061</v>
      </c>
      <c r="I1325" s="1">
        <v>66.850486111111167</v>
      </c>
      <c r="J1325" s="1">
        <v>92809.031968778319</v>
      </c>
      <c r="K1325" s="1">
        <v>77</v>
      </c>
      <c r="L1325" s="1">
        <v>79</v>
      </c>
      <c r="M1325" s="1">
        <v>62.397606107433162</v>
      </c>
      <c r="N1325" s="1">
        <v>6381448</v>
      </c>
    </row>
    <row r="1326" spans="1:14" x14ac:dyDescent="0.35">
      <c r="A1326" s="1" t="s">
        <v>75</v>
      </c>
      <c r="B1326" s="1">
        <v>202406</v>
      </c>
      <c r="C1326" s="1" t="str">
        <f>MID(analisis_productividad__4[[#This Row],[Periodo]],1,4)</f>
        <v>2024</v>
      </c>
      <c r="D1326" s="1" t="str">
        <f>MID(analisis_productividad__4[[#This Row],[Periodo]],5,2)</f>
        <v>06</v>
      </c>
      <c r="E1326" s="1" t="s">
        <v>11</v>
      </c>
      <c r="F1326" s="1" t="s">
        <v>52</v>
      </c>
      <c r="G1326" s="1">
        <v>86621</v>
      </c>
      <c r="H1326" s="1">
        <v>9611792</v>
      </c>
      <c r="I1326" s="1">
        <v>110.96322222222221</v>
      </c>
      <c r="J1326" s="1">
        <v>0</v>
      </c>
      <c r="K1326" s="1">
        <v>118</v>
      </c>
      <c r="L1326" s="1">
        <v>106</v>
      </c>
      <c r="M1326" s="1"/>
      <c r="N1326" s="1">
        <v>0</v>
      </c>
    </row>
    <row r="1327" spans="1:14" x14ac:dyDescent="0.35">
      <c r="A1327" s="1" t="s">
        <v>41</v>
      </c>
      <c r="B1327" s="1">
        <v>202510</v>
      </c>
      <c r="C1327" s="1" t="str">
        <f>MID(analisis_productividad__4[[#This Row],[Periodo]],1,4)</f>
        <v>2025</v>
      </c>
      <c r="D1327" s="1" t="str">
        <f>MID(analisis_productividad__4[[#This Row],[Periodo]],5,2)</f>
        <v>10</v>
      </c>
      <c r="E1327" s="1" t="s">
        <v>16</v>
      </c>
      <c r="F1327" s="1" t="s">
        <v>19</v>
      </c>
      <c r="G1327" s="1">
        <v>86594</v>
      </c>
      <c r="H1327" s="1">
        <v>4167631</v>
      </c>
      <c r="I1327" s="1">
        <v>48.128340053763438</v>
      </c>
      <c r="J1327" s="1">
        <v>83754.469900287353</v>
      </c>
      <c r="K1327" s="1">
        <v>57.5</v>
      </c>
      <c r="L1327" s="1">
        <v>56.5</v>
      </c>
      <c r="M1327" s="1">
        <v>49.760098117291065</v>
      </c>
      <c r="N1327" s="1">
        <v>4081537</v>
      </c>
    </row>
    <row r="1328" spans="1:14" x14ac:dyDescent="0.35">
      <c r="A1328" s="1" t="s">
        <v>18</v>
      </c>
      <c r="B1328" s="1">
        <v>202601</v>
      </c>
      <c r="C1328" s="1" t="str">
        <f>MID(analisis_productividad__4[[#This Row],[Periodo]],1,4)</f>
        <v>2026</v>
      </c>
      <c r="D1328" s="1" t="str">
        <f>MID(analisis_productividad__4[[#This Row],[Periodo]],5,2)</f>
        <v>01</v>
      </c>
      <c r="E1328" s="1" t="s">
        <v>16</v>
      </c>
      <c r="F1328" s="1" t="s">
        <v>19</v>
      </c>
      <c r="G1328" s="1">
        <v>86584</v>
      </c>
      <c r="H1328" s="1">
        <v>5093224</v>
      </c>
      <c r="I1328" s="1">
        <v>58.824086021505352</v>
      </c>
      <c r="J1328" s="1">
        <v>82854.243645282841</v>
      </c>
      <c r="K1328" s="1">
        <v>70.5</v>
      </c>
      <c r="L1328" s="1">
        <v>69.5</v>
      </c>
      <c r="M1328" s="1">
        <v>63.576561684054447</v>
      </c>
      <c r="N1328" s="1">
        <v>5267588</v>
      </c>
    </row>
    <row r="1329" spans="1:14" x14ac:dyDescent="0.35">
      <c r="A1329" s="1" t="s">
        <v>80</v>
      </c>
      <c r="B1329" s="1">
        <v>202507</v>
      </c>
      <c r="C1329" s="1" t="str">
        <f>MID(analisis_productividad__4[[#This Row],[Periodo]],1,4)</f>
        <v>2025</v>
      </c>
      <c r="D1329" s="1" t="str">
        <f>MID(analisis_productividad__4[[#This Row],[Periodo]],5,2)</f>
        <v>07</v>
      </c>
      <c r="E1329" s="1" t="s">
        <v>16</v>
      </c>
      <c r="F1329" s="1" t="s">
        <v>17</v>
      </c>
      <c r="G1329" s="1">
        <v>86572</v>
      </c>
      <c r="H1329" s="1">
        <v>4700254</v>
      </c>
      <c r="I1329" s="1">
        <v>54.29323252688171</v>
      </c>
      <c r="J1329" s="1">
        <v>92567.685213160701</v>
      </c>
      <c r="K1329" s="1">
        <v>58</v>
      </c>
      <c r="L1329" s="1">
        <v>58.5</v>
      </c>
      <c r="M1329" s="1">
        <v>50.77640268498093</v>
      </c>
      <c r="N1329" s="1">
        <v>5128144</v>
      </c>
    </row>
    <row r="1330" spans="1:14" x14ac:dyDescent="0.35">
      <c r="A1330" s="1" t="s">
        <v>54</v>
      </c>
      <c r="B1330" s="1">
        <v>202411</v>
      </c>
      <c r="C1330" s="1" t="str">
        <f>MID(analisis_productividad__4[[#This Row],[Periodo]],1,4)</f>
        <v>2024</v>
      </c>
      <c r="D1330" s="1" t="str">
        <f>MID(analisis_productividad__4[[#This Row],[Periodo]],5,2)</f>
        <v>11</v>
      </c>
      <c r="E1330" s="1" t="s">
        <v>11</v>
      </c>
      <c r="F1330" s="1" t="s">
        <v>52</v>
      </c>
      <c r="G1330" s="1">
        <v>86545</v>
      </c>
      <c r="H1330" s="1">
        <v>8930370</v>
      </c>
      <c r="I1330" s="1">
        <v>103.18714583333337</v>
      </c>
      <c r="J1330" s="1">
        <v>0</v>
      </c>
      <c r="K1330" s="1">
        <v>106</v>
      </c>
      <c r="L1330" s="1">
        <v>102.5</v>
      </c>
      <c r="M1330" s="1"/>
      <c r="N1330" s="1">
        <v>0</v>
      </c>
    </row>
    <row r="1331" spans="1:14" x14ac:dyDescent="0.35">
      <c r="A1331" s="1" t="s">
        <v>72</v>
      </c>
      <c r="B1331" s="1">
        <v>202407</v>
      </c>
      <c r="C1331" s="1" t="str">
        <f>MID(analisis_productividad__4[[#This Row],[Periodo]],1,4)</f>
        <v>2024</v>
      </c>
      <c r="D1331" s="1" t="str">
        <f>MID(analisis_productividad__4[[#This Row],[Periodo]],5,2)</f>
        <v>07</v>
      </c>
      <c r="E1331" s="1" t="s">
        <v>11</v>
      </c>
      <c r="F1331" s="1" t="s">
        <v>14</v>
      </c>
      <c r="G1331" s="1">
        <v>86544</v>
      </c>
      <c r="H1331" s="1">
        <v>5154914</v>
      </c>
      <c r="I1331" s="1">
        <v>59.564025537634407</v>
      </c>
      <c r="J1331" s="1">
        <v>0</v>
      </c>
      <c r="K1331" s="1">
        <v>66</v>
      </c>
      <c r="L1331" s="1">
        <v>64.5</v>
      </c>
      <c r="M1331" s="1"/>
      <c r="N1331" s="1">
        <v>0</v>
      </c>
    </row>
    <row r="1332" spans="1:14" x14ac:dyDescent="0.35">
      <c r="A1332" s="1" t="s">
        <v>56</v>
      </c>
      <c r="B1332" s="1">
        <v>202602</v>
      </c>
      <c r="C1332" s="1" t="str">
        <f>MID(analisis_productividad__4[[#This Row],[Periodo]],1,4)</f>
        <v>2026</v>
      </c>
      <c r="D1332" s="1" t="str">
        <f>MID(analisis_productividad__4[[#This Row],[Periodo]],5,2)</f>
        <v>02</v>
      </c>
      <c r="E1332" s="1" t="s">
        <v>16</v>
      </c>
      <c r="F1332" s="1" t="s">
        <v>21</v>
      </c>
      <c r="G1332" s="1">
        <v>86530</v>
      </c>
      <c r="H1332" s="1">
        <v>5792634</v>
      </c>
      <c r="I1332" s="1">
        <v>66.943906249999984</v>
      </c>
      <c r="J1332" s="1">
        <v>104547.41695117239</v>
      </c>
      <c r="K1332" s="1">
        <v>72.5</v>
      </c>
      <c r="L1332" s="1">
        <v>68.5</v>
      </c>
      <c r="M1332" s="1">
        <v>63.042188618377821</v>
      </c>
      <c r="N1332" s="1">
        <v>6590898</v>
      </c>
    </row>
    <row r="1333" spans="1:14" x14ac:dyDescent="0.35">
      <c r="A1333" s="1" t="s">
        <v>20</v>
      </c>
      <c r="B1333" s="1">
        <v>202404</v>
      </c>
      <c r="C1333" s="1" t="str">
        <f>MID(analisis_productividad__4[[#This Row],[Periodo]],1,4)</f>
        <v>2024</v>
      </c>
      <c r="D1333" s="1" t="str">
        <f>MID(analisis_productividad__4[[#This Row],[Periodo]],5,2)</f>
        <v>04</v>
      </c>
      <c r="E1333" s="1" t="s">
        <v>16</v>
      </c>
      <c r="F1333" s="1" t="s">
        <v>21</v>
      </c>
      <c r="G1333" s="1">
        <v>86506</v>
      </c>
      <c r="H1333" s="1">
        <v>7673415</v>
      </c>
      <c r="I1333" s="1">
        <v>88.704048611111105</v>
      </c>
      <c r="J1333" s="1">
        <v>0</v>
      </c>
      <c r="K1333" s="1">
        <v>96.5</v>
      </c>
      <c r="L1333" s="1">
        <v>94</v>
      </c>
      <c r="M1333" s="1"/>
      <c r="N1333" s="1">
        <v>0</v>
      </c>
    </row>
    <row r="1334" spans="1:14" x14ac:dyDescent="0.35">
      <c r="A1334" s="1" t="s">
        <v>93</v>
      </c>
      <c r="B1334" s="1">
        <v>202605</v>
      </c>
      <c r="C1334" s="1" t="str">
        <f>MID(analisis_productividad__4[[#This Row],[Periodo]],1,4)</f>
        <v>2026</v>
      </c>
      <c r="D1334" s="1" t="str">
        <f>MID(analisis_productividad__4[[#This Row],[Periodo]],5,2)</f>
        <v>05</v>
      </c>
      <c r="E1334" s="1" t="s">
        <v>16</v>
      </c>
      <c r="F1334" s="1" t="s">
        <v>17</v>
      </c>
      <c r="G1334" s="1">
        <v>86487</v>
      </c>
      <c r="H1334" s="1">
        <v>6172300</v>
      </c>
      <c r="I1334" s="1">
        <v>71.366458333333611</v>
      </c>
      <c r="J1334" s="1">
        <v>80789.24452619048</v>
      </c>
      <c r="K1334" s="1">
        <v>84</v>
      </c>
      <c r="L1334" s="1">
        <v>76</v>
      </c>
      <c r="M1334" s="1">
        <v>84</v>
      </c>
      <c r="N1334" s="1">
        <v>6786297</v>
      </c>
    </row>
    <row r="1335" spans="1:14" x14ac:dyDescent="0.35">
      <c r="A1335" s="1" t="s">
        <v>55</v>
      </c>
      <c r="B1335" s="1">
        <v>202509</v>
      </c>
      <c r="C1335" s="1" t="str">
        <f>MID(analisis_productividad__4[[#This Row],[Periodo]],1,4)</f>
        <v>2025</v>
      </c>
      <c r="D1335" s="1" t="str">
        <f>MID(analisis_productividad__4[[#This Row],[Periodo]],5,2)</f>
        <v>09</v>
      </c>
      <c r="E1335" s="1" t="s">
        <v>16</v>
      </c>
      <c r="F1335" s="1" t="s">
        <v>21</v>
      </c>
      <c r="G1335" s="1">
        <v>86471</v>
      </c>
      <c r="H1335" s="1">
        <v>4125863</v>
      </c>
      <c r="I1335" s="1">
        <v>47.714090277777792</v>
      </c>
      <c r="J1335" s="1">
        <v>86378.528260922176</v>
      </c>
      <c r="K1335" s="1">
        <v>55</v>
      </c>
      <c r="L1335" s="1">
        <v>50.5</v>
      </c>
      <c r="M1335" s="1">
        <v>47.764917891829242</v>
      </c>
      <c r="N1335" s="1">
        <v>4673929</v>
      </c>
    </row>
    <row r="1336" spans="1:14" x14ac:dyDescent="0.35">
      <c r="A1336" s="1" t="s">
        <v>83</v>
      </c>
      <c r="B1336" s="1">
        <v>202604</v>
      </c>
      <c r="C1336" s="1" t="str">
        <f>MID(analisis_productividad__4[[#This Row],[Periodo]],1,4)</f>
        <v>2026</v>
      </c>
      <c r="D1336" s="1" t="str">
        <f>MID(analisis_productividad__4[[#This Row],[Periodo]],5,2)</f>
        <v>04</v>
      </c>
      <c r="E1336" s="1" t="s">
        <v>16</v>
      </c>
      <c r="F1336" s="1" t="s">
        <v>17</v>
      </c>
      <c r="G1336" s="1">
        <v>86460</v>
      </c>
      <c r="H1336" s="1">
        <v>3775308</v>
      </c>
      <c r="I1336" s="1">
        <v>43.665416666666168</v>
      </c>
      <c r="J1336" s="1">
        <v>78147.116009818186</v>
      </c>
      <c r="K1336" s="1">
        <v>52</v>
      </c>
      <c r="L1336" s="1">
        <v>52</v>
      </c>
      <c r="M1336" s="1">
        <v>46.517920556956689</v>
      </c>
      <c r="N1336" s="1">
        <v>3635241</v>
      </c>
    </row>
    <row r="1337" spans="1:14" x14ac:dyDescent="0.35">
      <c r="A1337" s="1" t="s">
        <v>24</v>
      </c>
      <c r="B1337" s="1">
        <v>202409</v>
      </c>
      <c r="C1337" s="1" t="str">
        <f>MID(analisis_productividad__4[[#This Row],[Periodo]],1,4)</f>
        <v>2024</v>
      </c>
      <c r="D1337" s="1" t="str">
        <f>MID(analisis_productividad__4[[#This Row],[Periodo]],5,2)</f>
        <v>09</v>
      </c>
      <c r="E1337" s="1" t="s">
        <v>16</v>
      </c>
      <c r="F1337" s="1" t="s">
        <v>21</v>
      </c>
      <c r="G1337" s="1">
        <v>86447</v>
      </c>
      <c r="H1337" s="1">
        <v>8730314</v>
      </c>
      <c r="I1337" s="1">
        <v>100.99021527777782</v>
      </c>
      <c r="J1337" s="1">
        <v>0</v>
      </c>
      <c r="K1337" s="1">
        <v>125</v>
      </c>
      <c r="L1337" s="1">
        <v>118.5</v>
      </c>
      <c r="M1337" s="1"/>
      <c r="N1337" s="1">
        <v>0</v>
      </c>
    </row>
    <row r="1338" spans="1:14" x14ac:dyDescent="0.35">
      <c r="A1338" s="1" t="s">
        <v>81</v>
      </c>
      <c r="B1338" s="1">
        <v>202511</v>
      </c>
      <c r="C1338" s="1" t="str">
        <f>MID(analisis_productividad__4[[#This Row],[Periodo]],1,4)</f>
        <v>2025</v>
      </c>
      <c r="D1338" s="1" t="str">
        <f>MID(analisis_productividad__4[[#This Row],[Periodo]],5,2)</f>
        <v>11</v>
      </c>
      <c r="E1338" s="1" t="s">
        <v>34</v>
      </c>
      <c r="F1338" s="1" t="s">
        <v>35</v>
      </c>
      <c r="G1338" s="1">
        <v>86420</v>
      </c>
      <c r="H1338" s="1">
        <v>7524630</v>
      </c>
      <c r="I1338" s="1">
        <v>87.070812500000031</v>
      </c>
      <c r="J1338" s="1">
        <v>76488.130163010224</v>
      </c>
      <c r="K1338" s="1">
        <v>106</v>
      </c>
      <c r="L1338" s="1">
        <v>94.5</v>
      </c>
      <c r="M1338" s="1">
        <v>98.376434669845366</v>
      </c>
      <c r="N1338" s="1">
        <v>7939529</v>
      </c>
    </row>
    <row r="1339" spans="1:14" x14ac:dyDescent="0.35">
      <c r="A1339" s="1" t="s">
        <v>8</v>
      </c>
      <c r="B1339" s="1">
        <v>202606</v>
      </c>
      <c r="C1339" s="1" t="str">
        <f>MID(analisis_productividad__4[[#This Row],[Periodo]],1,4)</f>
        <v>2026</v>
      </c>
      <c r="D1339" s="1" t="str">
        <f>MID(analisis_productividad__4[[#This Row],[Periodo]],5,2)</f>
        <v>06</v>
      </c>
      <c r="E1339" s="1" t="s">
        <v>9</v>
      </c>
      <c r="F1339" s="1" t="s">
        <v>9</v>
      </c>
      <c r="G1339" s="1">
        <v>86392</v>
      </c>
      <c r="H1339" s="1">
        <v>909515</v>
      </c>
      <c r="I1339" s="1">
        <v>10.527708333333319</v>
      </c>
      <c r="J1339" s="1">
        <v>85402.564335872477</v>
      </c>
      <c r="K1339" s="1">
        <v>13.5</v>
      </c>
      <c r="L1339" s="1">
        <v>12.5</v>
      </c>
      <c r="M1339" s="1">
        <v>11.712938172043014</v>
      </c>
      <c r="N1339" s="1">
        <v>1000315</v>
      </c>
    </row>
    <row r="1340" spans="1:14" x14ac:dyDescent="0.35">
      <c r="A1340" s="1" t="s">
        <v>68</v>
      </c>
      <c r="B1340" s="1">
        <v>202602</v>
      </c>
      <c r="C1340" s="1" t="str">
        <f>MID(analisis_productividad__4[[#This Row],[Periodo]],1,4)</f>
        <v>2026</v>
      </c>
      <c r="D1340" s="1" t="str">
        <f>MID(analisis_productividad__4[[#This Row],[Periodo]],5,2)</f>
        <v>02</v>
      </c>
      <c r="E1340" s="1" t="s">
        <v>11</v>
      </c>
      <c r="F1340" s="1" t="s">
        <v>52</v>
      </c>
      <c r="G1340" s="1">
        <v>86383</v>
      </c>
      <c r="H1340" s="1">
        <v>7737545</v>
      </c>
      <c r="I1340" s="1">
        <v>89.572968750000044</v>
      </c>
      <c r="J1340" s="1">
        <v>91121.865633877896</v>
      </c>
      <c r="K1340" s="1">
        <v>103</v>
      </c>
      <c r="L1340" s="1">
        <v>91</v>
      </c>
      <c r="M1340" s="1">
        <v>85.91077884372821</v>
      </c>
      <c r="N1340" s="1">
        <v>7828350</v>
      </c>
    </row>
    <row r="1341" spans="1:14" x14ac:dyDescent="0.35">
      <c r="A1341" s="1" t="s">
        <v>50</v>
      </c>
      <c r="B1341" s="1">
        <v>202409</v>
      </c>
      <c r="C1341" s="1" t="str">
        <f>MID(analisis_productividad__4[[#This Row],[Periodo]],1,4)</f>
        <v>2024</v>
      </c>
      <c r="D1341" s="1" t="str">
        <f>MID(analisis_productividad__4[[#This Row],[Periodo]],5,2)</f>
        <v>09</v>
      </c>
      <c r="E1341" s="1" t="s">
        <v>34</v>
      </c>
      <c r="F1341" s="1" t="s">
        <v>35</v>
      </c>
      <c r="G1341" s="1">
        <v>86376</v>
      </c>
      <c r="H1341" s="1">
        <v>5322138</v>
      </c>
      <c r="I1341" s="1">
        <v>61.615750000000013</v>
      </c>
      <c r="J1341" s="1">
        <v>0</v>
      </c>
      <c r="K1341" s="1">
        <v>79.5</v>
      </c>
      <c r="L1341" s="1">
        <v>72.5</v>
      </c>
      <c r="M1341" s="1"/>
      <c r="N1341" s="1">
        <v>0</v>
      </c>
    </row>
    <row r="1342" spans="1:14" x14ac:dyDescent="0.35">
      <c r="A1342" s="1" t="s">
        <v>81</v>
      </c>
      <c r="B1342" s="1">
        <v>202510</v>
      </c>
      <c r="C1342" s="1" t="str">
        <f>MID(analisis_productividad__4[[#This Row],[Periodo]],1,4)</f>
        <v>2025</v>
      </c>
      <c r="D1342" s="1" t="str">
        <f>MID(analisis_productividad__4[[#This Row],[Periodo]],5,2)</f>
        <v>10</v>
      </c>
      <c r="E1342" s="1" t="s">
        <v>34</v>
      </c>
      <c r="F1342" s="1" t="s">
        <v>35</v>
      </c>
      <c r="G1342" s="1">
        <v>86375</v>
      </c>
      <c r="H1342" s="1">
        <v>7381591</v>
      </c>
      <c r="I1342" s="1">
        <v>85.460073924731219</v>
      </c>
      <c r="J1342" s="1">
        <v>83882.683762090339</v>
      </c>
      <c r="K1342" s="1">
        <v>106</v>
      </c>
      <c r="L1342" s="1">
        <v>94.5</v>
      </c>
      <c r="M1342" s="1">
        <v>87.998988455541181</v>
      </c>
      <c r="N1342" s="1">
        <v>7919671</v>
      </c>
    </row>
    <row r="1343" spans="1:14" x14ac:dyDescent="0.35">
      <c r="A1343" s="1" t="s">
        <v>68</v>
      </c>
      <c r="B1343" s="1">
        <v>202406</v>
      </c>
      <c r="C1343" s="1" t="str">
        <f>MID(analisis_productividad__4[[#This Row],[Periodo]],1,4)</f>
        <v>2024</v>
      </c>
      <c r="D1343" s="1" t="str">
        <f>MID(analisis_productividad__4[[#This Row],[Periodo]],5,2)</f>
        <v>06</v>
      </c>
      <c r="E1343" s="1" t="s">
        <v>11</v>
      </c>
      <c r="F1343" s="1" t="s">
        <v>52</v>
      </c>
      <c r="G1343" s="1">
        <v>86370</v>
      </c>
      <c r="H1343" s="1">
        <v>8168455</v>
      </c>
      <c r="I1343" s="1">
        <v>94.575104166666748</v>
      </c>
      <c r="J1343" s="1">
        <v>0</v>
      </c>
      <c r="K1343" s="1">
        <v>103</v>
      </c>
      <c r="L1343" s="1">
        <v>91</v>
      </c>
      <c r="M1343" s="1"/>
      <c r="N1343" s="1">
        <v>0</v>
      </c>
    </row>
    <row r="1344" spans="1:14" x14ac:dyDescent="0.35">
      <c r="A1344" s="1" t="s">
        <v>22</v>
      </c>
      <c r="B1344" s="1">
        <v>202409</v>
      </c>
      <c r="C1344" s="1" t="str">
        <f>MID(analisis_productividad__4[[#This Row],[Periodo]],1,4)</f>
        <v>2024</v>
      </c>
      <c r="D1344" s="1" t="str">
        <f>MID(analisis_productividad__4[[#This Row],[Periodo]],5,2)</f>
        <v>09</v>
      </c>
      <c r="E1344" s="1" t="s">
        <v>16</v>
      </c>
      <c r="F1344" s="1" t="s">
        <v>21</v>
      </c>
      <c r="G1344" s="1">
        <v>86334</v>
      </c>
      <c r="H1344" s="1">
        <v>4666868</v>
      </c>
      <c r="I1344" s="1">
        <v>54.055895833333331</v>
      </c>
      <c r="J1344" s="1">
        <v>0</v>
      </c>
      <c r="K1344" s="1">
        <v>59.5</v>
      </c>
      <c r="L1344" s="1">
        <v>55.5</v>
      </c>
      <c r="M1344" s="1"/>
      <c r="N1344" s="1">
        <v>0</v>
      </c>
    </row>
    <row r="1345" spans="1:14" x14ac:dyDescent="0.35">
      <c r="A1345" s="1" t="s">
        <v>54</v>
      </c>
      <c r="B1345" s="1">
        <v>202401</v>
      </c>
      <c r="C1345" s="1" t="str">
        <f>MID(analisis_productividad__4[[#This Row],[Periodo]],1,4)</f>
        <v>2024</v>
      </c>
      <c r="D1345" s="1" t="str">
        <f>MID(analisis_productividad__4[[#This Row],[Periodo]],5,2)</f>
        <v>01</v>
      </c>
      <c r="E1345" s="1" t="s">
        <v>11</v>
      </c>
      <c r="F1345" s="1" t="s">
        <v>52</v>
      </c>
      <c r="G1345" s="1">
        <v>86328</v>
      </c>
      <c r="H1345" s="1">
        <v>8980870</v>
      </c>
      <c r="I1345" s="1">
        <v>104.03180779569894</v>
      </c>
      <c r="J1345" s="1">
        <v>0</v>
      </c>
      <c r="K1345" s="1">
        <v>106</v>
      </c>
      <c r="L1345" s="1">
        <v>102.5</v>
      </c>
      <c r="M1345" s="1"/>
      <c r="N1345" s="1">
        <v>0</v>
      </c>
    </row>
    <row r="1346" spans="1:14" x14ac:dyDescent="0.35">
      <c r="A1346" s="1" t="s">
        <v>100</v>
      </c>
      <c r="B1346" s="1">
        <v>202512</v>
      </c>
      <c r="C1346" s="1" t="str">
        <f>MID(analisis_productividad__4[[#This Row],[Periodo]],1,4)</f>
        <v>2025</v>
      </c>
      <c r="D1346" s="1" t="str">
        <f>MID(analisis_productividad__4[[#This Row],[Periodo]],5,2)</f>
        <v>12</v>
      </c>
      <c r="E1346" s="1" t="s">
        <v>34</v>
      </c>
      <c r="F1346" s="1" t="s">
        <v>35</v>
      </c>
      <c r="G1346" s="1">
        <v>86292</v>
      </c>
      <c r="H1346" s="1">
        <v>3463835</v>
      </c>
      <c r="I1346" s="1">
        <v>40.141048387096745</v>
      </c>
      <c r="J1346" s="1">
        <v>84949.929513119656</v>
      </c>
      <c r="K1346" s="1">
        <v>44</v>
      </c>
      <c r="L1346" s="1">
        <v>40.5</v>
      </c>
      <c r="M1346" s="1">
        <v>40.775015822291479</v>
      </c>
      <c r="N1346" s="1">
        <v>3829880</v>
      </c>
    </row>
    <row r="1347" spans="1:14" x14ac:dyDescent="0.35">
      <c r="A1347" s="1" t="s">
        <v>72</v>
      </c>
      <c r="B1347" s="1">
        <v>202511</v>
      </c>
      <c r="C1347" s="1" t="str">
        <f>MID(analisis_productividad__4[[#This Row],[Periodo]],1,4)</f>
        <v>2025</v>
      </c>
      <c r="D1347" s="1" t="str">
        <f>MID(analisis_productividad__4[[#This Row],[Periodo]],5,2)</f>
        <v>11</v>
      </c>
      <c r="E1347" s="1" t="s">
        <v>11</v>
      </c>
      <c r="F1347" s="1" t="s">
        <v>14</v>
      </c>
      <c r="G1347" s="1">
        <v>86283</v>
      </c>
      <c r="H1347" s="1">
        <v>4813689</v>
      </c>
      <c r="I1347" s="1">
        <v>55.789416666666689</v>
      </c>
      <c r="J1347" s="1">
        <v>89018.293261589046</v>
      </c>
      <c r="K1347" s="1">
        <v>66</v>
      </c>
      <c r="L1347" s="1">
        <v>64.5</v>
      </c>
      <c r="M1347" s="1">
        <v>54.075276705817082</v>
      </c>
      <c r="N1347" s="1">
        <v>5354134</v>
      </c>
    </row>
    <row r="1348" spans="1:14" x14ac:dyDescent="0.35">
      <c r="A1348" s="1" t="s">
        <v>40</v>
      </c>
      <c r="B1348" s="1">
        <v>202601</v>
      </c>
      <c r="C1348" s="1" t="str">
        <f>MID(analisis_productividad__4[[#This Row],[Periodo]],1,4)</f>
        <v>2026</v>
      </c>
      <c r="D1348" s="1" t="str">
        <f>MID(analisis_productividad__4[[#This Row],[Periodo]],5,2)</f>
        <v>01</v>
      </c>
      <c r="E1348" s="1" t="s">
        <v>11</v>
      </c>
      <c r="F1348" s="1" t="s">
        <v>14</v>
      </c>
      <c r="G1348" s="1">
        <v>86281</v>
      </c>
      <c r="H1348" s="1">
        <v>5965605</v>
      </c>
      <c r="I1348" s="1">
        <v>69.14155913978496</v>
      </c>
      <c r="J1348" s="1">
        <v>89248.215076519991</v>
      </c>
      <c r="K1348" s="1">
        <v>76.5</v>
      </c>
      <c r="L1348" s="1">
        <v>75.5</v>
      </c>
      <c r="M1348" s="1">
        <v>67.697971575339096</v>
      </c>
      <c r="N1348" s="1">
        <v>6041923</v>
      </c>
    </row>
    <row r="1349" spans="1:14" x14ac:dyDescent="0.35">
      <c r="A1349" s="1" t="s">
        <v>76</v>
      </c>
      <c r="B1349" s="1">
        <v>202406</v>
      </c>
      <c r="C1349" s="1" t="str">
        <f>MID(analisis_productividad__4[[#This Row],[Periodo]],1,4)</f>
        <v>2024</v>
      </c>
      <c r="D1349" s="1" t="str">
        <f>MID(analisis_productividad__4[[#This Row],[Periodo]],5,2)</f>
        <v>06</v>
      </c>
      <c r="E1349" s="1" t="s">
        <v>11</v>
      </c>
      <c r="F1349" s="1" t="s">
        <v>14</v>
      </c>
      <c r="G1349" s="1">
        <v>86278</v>
      </c>
      <c r="H1349" s="1">
        <v>6560570</v>
      </c>
      <c r="I1349" s="1">
        <v>76.039493055555539</v>
      </c>
      <c r="J1349" s="1">
        <v>0</v>
      </c>
      <c r="K1349" s="1">
        <v>80</v>
      </c>
      <c r="L1349" s="1">
        <v>78</v>
      </c>
      <c r="M1349" s="1"/>
      <c r="N1349" s="1">
        <v>0</v>
      </c>
    </row>
    <row r="1350" spans="1:14" x14ac:dyDescent="0.35">
      <c r="A1350" s="1" t="s">
        <v>47</v>
      </c>
      <c r="B1350" s="1">
        <v>202510</v>
      </c>
      <c r="C1350" s="1" t="str">
        <f>MID(analisis_productividad__4[[#This Row],[Periodo]],1,4)</f>
        <v>2025</v>
      </c>
      <c r="D1350" s="1" t="str">
        <f>MID(analisis_productividad__4[[#This Row],[Periodo]],5,2)</f>
        <v>10</v>
      </c>
      <c r="E1350" s="1" t="s">
        <v>11</v>
      </c>
      <c r="F1350" s="1" t="s">
        <v>14</v>
      </c>
      <c r="G1350" s="1">
        <v>86277</v>
      </c>
      <c r="H1350" s="1">
        <v>4139846</v>
      </c>
      <c r="I1350" s="1">
        <v>47.982930107526876</v>
      </c>
      <c r="J1350" s="1">
        <v>87207.789165371825</v>
      </c>
      <c r="K1350" s="1">
        <v>61.5</v>
      </c>
      <c r="L1350" s="1">
        <v>48.5</v>
      </c>
      <c r="M1350" s="1">
        <v>47.471059748454628</v>
      </c>
      <c r="N1350" s="1">
        <v>4828900</v>
      </c>
    </row>
    <row r="1351" spans="1:14" x14ac:dyDescent="0.35">
      <c r="A1351" s="1" t="s">
        <v>32</v>
      </c>
      <c r="B1351" s="1">
        <v>202411</v>
      </c>
      <c r="C1351" s="1" t="str">
        <f>MID(analisis_productividad__4[[#This Row],[Periodo]],1,4)</f>
        <v>2024</v>
      </c>
      <c r="D1351" s="1" t="str">
        <f>MID(analisis_productividad__4[[#This Row],[Periodo]],5,2)</f>
        <v>11</v>
      </c>
      <c r="E1351" s="1" t="s">
        <v>11</v>
      </c>
      <c r="F1351" s="1" t="s">
        <v>12</v>
      </c>
      <c r="G1351" s="1">
        <v>86272</v>
      </c>
      <c r="H1351" s="1">
        <v>5094279</v>
      </c>
      <c r="I1351" s="1">
        <v>59.048888888888882</v>
      </c>
      <c r="J1351" s="1">
        <v>0</v>
      </c>
      <c r="K1351" s="1">
        <v>65.5</v>
      </c>
      <c r="L1351" s="1">
        <v>66</v>
      </c>
      <c r="M1351" s="1"/>
      <c r="N1351" s="1">
        <v>0</v>
      </c>
    </row>
    <row r="1352" spans="1:14" x14ac:dyDescent="0.35">
      <c r="A1352" s="1" t="s">
        <v>67</v>
      </c>
      <c r="B1352" s="1">
        <v>202505</v>
      </c>
      <c r="C1352" s="1" t="str">
        <f>MID(analisis_productividad__4[[#This Row],[Periodo]],1,4)</f>
        <v>2025</v>
      </c>
      <c r="D1352" s="1" t="str">
        <f>MID(analisis_productividad__4[[#This Row],[Periodo]],5,2)</f>
        <v>05</v>
      </c>
      <c r="E1352" s="1" t="s">
        <v>16</v>
      </c>
      <c r="F1352" s="1" t="s">
        <v>19</v>
      </c>
      <c r="G1352" s="1">
        <v>86263</v>
      </c>
      <c r="H1352" s="1">
        <v>6207317</v>
      </c>
      <c r="I1352" s="1">
        <v>71.957647849462347</v>
      </c>
      <c r="J1352" s="1">
        <v>83892.534911035182</v>
      </c>
      <c r="K1352" s="1">
        <v>79.5</v>
      </c>
      <c r="L1352" s="1">
        <v>81.5</v>
      </c>
      <c r="M1352" s="1">
        <v>73.991286907501603</v>
      </c>
      <c r="N1352" s="1">
        <v>6110404</v>
      </c>
    </row>
    <row r="1353" spans="1:14" x14ac:dyDescent="0.35">
      <c r="A1353" s="1" t="s">
        <v>69</v>
      </c>
      <c r="B1353" s="1">
        <v>202408</v>
      </c>
      <c r="C1353" s="1" t="str">
        <f>MID(analisis_productividad__4[[#This Row],[Periodo]],1,4)</f>
        <v>2024</v>
      </c>
      <c r="D1353" s="1" t="str">
        <f>MID(analisis_productividad__4[[#This Row],[Periodo]],5,2)</f>
        <v>08</v>
      </c>
      <c r="E1353" s="1" t="s">
        <v>11</v>
      </c>
      <c r="F1353" s="1" t="s">
        <v>52</v>
      </c>
      <c r="G1353" s="1">
        <v>86260</v>
      </c>
      <c r="H1353" s="1">
        <v>4965345</v>
      </c>
      <c r="I1353" s="1">
        <v>57.562768817204301</v>
      </c>
      <c r="J1353" s="1">
        <v>0</v>
      </c>
      <c r="K1353" s="1">
        <v>68</v>
      </c>
      <c r="L1353" s="1">
        <v>60.5</v>
      </c>
      <c r="M1353" s="1"/>
      <c r="N1353" s="1">
        <v>0</v>
      </c>
    </row>
    <row r="1354" spans="1:14" x14ac:dyDescent="0.35">
      <c r="A1354" s="1" t="s">
        <v>77</v>
      </c>
      <c r="B1354" s="1">
        <v>202507</v>
      </c>
      <c r="C1354" s="1" t="str">
        <f>MID(analisis_productividad__4[[#This Row],[Periodo]],1,4)</f>
        <v>2025</v>
      </c>
      <c r="D1354" s="1" t="str">
        <f>MID(analisis_productividad__4[[#This Row],[Periodo]],5,2)</f>
        <v>07</v>
      </c>
      <c r="E1354" s="1" t="s">
        <v>16</v>
      </c>
      <c r="F1354" s="1" t="s">
        <v>21</v>
      </c>
      <c r="G1354" s="1">
        <v>86241</v>
      </c>
      <c r="H1354" s="1">
        <v>4789952</v>
      </c>
      <c r="I1354" s="1">
        <v>55.541189516129009</v>
      </c>
      <c r="J1354" s="1">
        <v>88075.262257103823</v>
      </c>
      <c r="K1354" s="1">
        <v>60.5</v>
      </c>
      <c r="L1354" s="1">
        <v>60.5</v>
      </c>
      <c r="M1354" s="1">
        <v>54.38475818576017</v>
      </c>
      <c r="N1354" s="1">
        <v>6123328</v>
      </c>
    </row>
    <row r="1355" spans="1:14" x14ac:dyDescent="0.35">
      <c r="A1355" s="1" t="s">
        <v>76</v>
      </c>
      <c r="B1355" s="1">
        <v>202506</v>
      </c>
      <c r="C1355" s="1" t="str">
        <f>MID(analisis_productividad__4[[#This Row],[Periodo]],1,4)</f>
        <v>2025</v>
      </c>
      <c r="D1355" s="1" t="str">
        <f>MID(analisis_productividad__4[[#This Row],[Periodo]],5,2)</f>
        <v>06</v>
      </c>
      <c r="E1355" s="1" t="s">
        <v>11</v>
      </c>
      <c r="F1355" s="1" t="s">
        <v>14</v>
      </c>
      <c r="G1355" s="1">
        <v>86233</v>
      </c>
      <c r="H1355" s="1">
        <v>6061446</v>
      </c>
      <c r="I1355" s="1">
        <v>70.291715277777769</v>
      </c>
      <c r="J1355" s="1">
        <v>90592.371262484521</v>
      </c>
      <c r="K1355" s="1">
        <v>80</v>
      </c>
      <c r="L1355" s="1">
        <v>78</v>
      </c>
      <c r="M1355" s="1">
        <v>66.909008623225262</v>
      </c>
      <c r="N1355" s="1">
        <v>6684945</v>
      </c>
    </row>
    <row r="1356" spans="1:14" x14ac:dyDescent="0.35">
      <c r="A1356" s="1" t="s">
        <v>72</v>
      </c>
      <c r="B1356" s="1">
        <v>202402</v>
      </c>
      <c r="C1356" s="1" t="str">
        <f>MID(analisis_productividad__4[[#This Row],[Periodo]],1,4)</f>
        <v>2024</v>
      </c>
      <c r="D1356" s="1" t="str">
        <f>MID(analisis_productividad__4[[#This Row],[Periodo]],5,2)</f>
        <v>02</v>
      </c>
      <c r="E1356" s="1" t="s">
        <v>11</v>
      </c>
      <c r="F1356" s="1" t="s">
        <v>14</v>
      </c>
      <c r="G1356" s="1">
        <v>86191</v>
      </c>
      <c r="H1356" s="1">
        <v>5536149</v>
      </c>
      <c r="I1356" s="1">
        <v>64.231034482758631</v>
      </c>
      <c r="J1356" s="1">
        <v>0</v>
      </c>
      <c r="K1356" s="1">
        <v>66</v>
      </c>
      <c r="L1356" s="1">
        <v>64.5</v>
      </c>
      <c r="M1356" s="1"/>
      <c r="N1356" s="1">
        <v>0</v>
      </c>
    </row>
    <row r="1357" spans="1:14" x14ac:dyDescent="0.35">
      <c r="A1357" s="1" t="s">
        <v>83</v>
      </c>
      <c r="B1357" s="1">
        <v>202403</v>
      </c>
      <c r="C1357" s="1" t="str">
        <f>MID(analisis_productividad__4[[#This Row],[Periodo]],1,4)</f>
        <v>2024</v>
      </c>
      <c r="D1357" s="1" t="str">
        <f>MID(analisis_productividad__4[[#This Row],[Periodo]],5,2)</f>
        <v>03</v>
      </c>
      <c r="E1357" s="1" t="s">
        <v>16</v>
      </c>
      <c r="F1357" s="1" t="s">
        <v>17</v>
      </c>
      <c r="G1357" s="1">
        <v>86186</v>
      </c>
      <c r="H1357" s="1">
        <v>4107463</v>
      </c>
      <c r="I1357" s="1">
        <v>47.658380376344105</v>
      </c>
      <c r="J1357" s="1">
        <v>0</v>
      </c>
      <c r="K1357" s="1">
        <v>52</v>
      </c>
      <c r="L1357" s="1">
        <v>52</v>
      </c>
      <c r="M1357" s="1"/>
      <c r="N1357" s="1">
        <v>0</v>
      </c>
    </row>
    <row r="1358" spans="1:14" x14ac:dyDescent="0.35">
      <c r="A1358" s="1" t="s">
        <v>51</v>
      </c>
      <c r="B1358" s="1">
        <v>202509</v>
      </c>
      <c r="C1358" s="1" t="str">
        <f>MID(analisis_productividad__4[[#This Row],[Periodo]],1,4)</f>
        <v>2025</v>
      </c>
      <c r="D1358" s="1" t="str">
        <f>MID(analisis_productividad__4[[#This Row],[Periodo]],5,2)</f>
        <v>09</v>
      </c>
      <c r="E1358" s="1" t="s">
        <v>11</v>
      </c>
      <c r="F1358" s="1" t="s">
        <v>52</v>
      </c>
      <c r="G1358" s="1">
        <v>86162</v>
      </c>
      <c r="H1358" s="1">
        <v>8523266</v>
      </c>
      <c r="I1358" s="1">
        <v>98.921472222222306</v>
      </c>
      <c r="J1358" s="1">
        <v>97007.253102296294</v>
      </c>
      <c r="K1358" s="1">
        <v>117.5</v>
      </c>
      <c r="L1358" s="1">
        <v>99</v>
      </c>
      <c r="M1358" s="1">
        <v>87.862149451979917</v>
      </c>
      <c r="N1358" s="1">
        <v>9499594</v>
      </c>
    </row>
    <row r="1359" spans="1:14" x14ac:dyDescent="0.35">
      <c r="A1359" s="1" t="s">
        <v>72</v>
      </c>
      <c r="B1359" s="1">
        <v>202502</v>
      </c>
      <c r="C1359" s="1" t="str">
        <f>MID(analisis_productividad__4[[#This Row],[Periodo]],1,4)</f>
        <v>2025</v>
      </c>
      <c r="D1359" s="1" t="str">
        <f>MID(analisis_productividad__4[[#This Row],[Periodo]],5,2)</f>
        <v>02</v>
      </c>
      <c r="E1359" s="1" t="s">
        <v>11</v>
      </c>
      <c r="F1359" s="1" t="s">
        <v>14</v>
      </c>
      <c r="G1359" s="1">
        <v>86158</v>
      </c>
      <c r="H1359" s="1">
        <v>4948762</v>
      </c>
      <c r="I1359" s="1">
        <v>57.43854166666668</v>
      </c>
      <c r="J1359" s="1">
        <v>90500.749549041691</v>
      </c>
      <c r="K1359" s="1">
        <v>66</v>
      </c>
      <c r="L1359" s="1">
        <v>64.5</v>
      </c>
      <c r="M1359" s="1">
        <v>54.68199705150839</v>
      </c>
      <c r="N1359" s="1">
        <v>5426876</v>
      </c>
    </row>
    <row r="1360" spans="1:14" x14ac:dyDescent="0.35">
      <c r="A1360" s="1" t="s">
        <v>87</v>
      </c>
      <c r="B1360" s="1">
        <v>202409</v>
      </c>
      <c r="C1360" s="1" t="str">
        <f>MID(analisis_productividad__4[[#This Row],[Periodo]],1,4)</f>
        <v>2024</v>
      </c>
      <c r="D1360" s="1" t="str">
        <f>MID(analisis_productividad__4[[#This Row],[Periodo]],5,2)</f>
        <v>09</v>
      </c>
      <c r="E1360" s="1" t="s">
        <v>9</v>
      </c>
      <c r="F1360" s="1" t="s">
        <v>9</v>
      </c>
      <c r="G1360" s="1">
        <v>86140</v>
      </c>
      <c r="H1360" s="1">
        <v>947306</v>
      </c>
      <c r="I1360" s="1">
        <v>10.997243055555554</v>
      </c>
      <c r="J1360" s="1">
        <v>0</v>
      </c>
      <c r="K1360" s="1">
        <v>13.5</v>
      </c>
      <c r="L1360" s="1">
        <v>12</v>
      </c>
      <c r="M1360" s="1"/>
      <c r="N1360" s="1">
        <v>0</v>
      </c>
    </row>
    <row r="1361" spans="1:14" x14ac:dyDescent="0.35">
      <c r="A1361" s="1" t="s">
        <v>49</v>
      </c>
      <c r="B1361" s="1">
        <v>202502</v>
      </c>
      <c r="C1361" s="1" t="str">
        <f>MID(analisis_productividad__4[[#This Row],[Periodo]],1,4)</f>
        <v>2025</v>
      </c>
      <c r="D1361" s="1" t="str">
        <f>MID(analisis_productividad__4[[#This Row],[Periodo]],5,2)</f>
        <v>02</v>
      </c>
      <c r="E1361" s="1" t="s">
        <v>16</v>
      </c>
      <c r="F1361" s="1" t="s">
        <v>21</v>
      </c>
      <c r="G1361" s="1">
        <v>86134</v>
      </c>
      <c r="H1361" s="1">
        <v>5729785</v>
      </c>
      <c r="I1361" s="1">
        <v>66.521770833333335</v>
      </c>
      <c r="J1361" s="1">
        <v>82260.820685552477</v>
      </c>
      <c r="K1361" s="1">
        <v>75.5</v>
      </c>
      <c r="L1361" s="1">
        <v>68</v>
      </c>
      <c r="M1361" s="1">
        <v>69.653870849434952</v>
      </c>
      <c r="N1361" s="1">
        <v>5496212</v>
      </c>
    </row>
    <row r="1362" spans="1:14" x14ac:dyDescent="0.35">
      <c r="A1362" s="1" t="s">
        <v>40</v>
      </c>
      <c r="B1362" s="1">
        <v>202504</v>
      </c>
      <c r="C1362" s="1" t="str">
        <f>MID(analisis_productividad__4[[#This Row],[Periodo]],1,4)</f>
        <v>2025</v>
      </c>
      <c r="D1362" s="1" t="str">
        <f>MID(analisis_productividad__4[[#This Row],[Periodo]],5,2)</f>
        <v>04</v>
      </c>
      <c r="E1362" s="1" t="s">
        <v>11</v>
      </c>
      <c r="F1362" s="1" t="s">
        <v>14</v>
      </c>
      <c r="G1362" s="1">
        <v>86115</v>
      </c>
      <c r="H1362" s="1">
        <v>5860234</v>
      </c>
      <c r="I1362" s="1">
        <v>68.051131944444464</v>
      </c>
      <c r="J1362" s="1">
        <v>95013.330724818356</v>
      </c>
      <c r="K1362" s="1">
        <v>76.5</v>
      </c>
      <c r="L1362" s="1">
        <v>75.5</v>
      </c>
      <c r="M1362" s="1">
        <v>61.67801933996671</v>
      </c>
      <c r="N1362" s="1">
        <v>7042532</v>
      </c>
    </row>
    <row r="1363" spans="1:14" x14ac:dyDescent="0.35">
      <c r="A1363" s="1" t="s">
        <v>54</v>
      </c>
      <c r="B1363" s="1">
        <v>202501</v>
      </c>
      <c r="C1363" s="1" t="str">
        <f>MID(analisis_productividad__4[[#This Row],[Periodo]],1,4)</f>
        <v>2025</v>
      </c>
      <c r="D1363" s="1" t="str">
        <f>MID(analisis_productividad__4[[#This Row],[Periodo]],5,2)</f>
        <v>01</v>
      </c>
      <c r="E1363" s="1" t="s">
        <v>11</v>
      </c>
      <c r="F1363" s="1" t="s">
        <v>52</v>
      </c>
      <c r="G1363" s="1">
        <v>86079</v>
      </c>
      <c r="H1363" s="1">
        <v>8825586</v>
      </c>
      <c r="I1363" s="1">
        <v>102.529065860215</v>
      </c>
      <c r="J1363" s="1">
        <v>90644.51896307306</v>
      </c>
      <c r="K1363" s="1">
        <v>106</v>
      </c>
      <c r="L1363" s="1">
        <v>102.5</v>
      </c>
      <c r="M1363" s="1">
        <v>97.364808936714439</v>
      </c>
      <c r="N1363" s="1">
        <v>9388104</v>
      </c>
    </row>
    <row r="1364" spans="1:14" x14ac:dyDescent="0.35">
      <c r="A1364" s="1" t="s">
        <v>70</v>
      </c>
      <c r="B1364" s="1">
        <v>202602</v>
      </c>
      <c r="C1364" s="1" t="str">
        <f>MID(analisis_productividad__4[[#This Row],[Periodo]],1,4)</f>
        <v>2026</v>
      </c>
      <c r="D1364" s="1" t="str">
        <f>MID(analisis_productividad__4[[#This Row],[Periodo]],5,2)</f>
        <v>02</v>
      </c>
      <c r="E1364" s="1" t="s">
        <v>11</v>
      </c>
      <c r="F1364" s="1" t="s">
        <v>14</v>
      </c>
      <c r="G1364" s="1">
        <v>86074</v>
      </c>
      <c r="H1364" s="1">
        <v>5222212</v>
      </c>
      <c r="I1364" s="1">
        <v>60.671041666666682</v>
      </c>
      <c r="J1364" s="1">
        <v>86874.331715254259</v>
      </c>
      <c r="K1364" s="1">
        <v>65</v>
      </c>
      <c r="L1364" s="1">
        <v>67.5</v>
      </c>
      <c r="M1364" s="1">
        <v>56.772923994003762</v>
      </c>
      <c r="N1364" s="1">
        <v>4932110</v>
      </c>
    </row>
    <row r="1365" spans="1:14" x14ac:dyDescent="0.35">
      <c r="A1365" s="1" t="s">
        <v>77</v>
      </c>
      <c r="B1365" s="1">
        <v>202403</v>
      </c>
      <c r="C1365" s="1" t="str">
        <f>MID(analisis_productividad__4[[#This Row],[Periodo]],1,4)</f>
        <v>2024</v>
      </c>
      <c r="D1365" s="1" t="str">
        <f>MID(analisis_productividad__4[[#This Row],[Periodo]],5,2)</f>
        <v>03</v>
      </c>
      <c r="E1365" s="1" t="s">
        <v>16</v>
      </c>
      <c r="F1365" s="1" t="s">
        <v>21</v>
      </c>
      <c r="G1365" s="1">
        <v>86071</v>
      </c>
      <c r="H1365" s="1">
        <v>5667536</v>
      </c>
      <c r="I1365" s="1">
        <v>65.846901881720427</v>
      </c>
      <c r="J1365" s="1">
        <v>0</v>
      </c>
      <c r="K1365" s="1">
        <v>60.5</v>
      </c>
      <c r="L1365" s="1">
        <v>60.5</v>
      </c>
      <c r="M1365" s="1"/>
      <c r="N1365" s="1">
        <v>0</v>
      </c>
    </row>
    <row r="1366" spans="1:14" x14ac:dyDescent="0.35">
      <c r="A1366" s="1" t="s">
        <v>59</v>
      </c>
      <c r="B1366" s="1">
        <v>202505</v>
      </c>
      <c r="C1366" s="1" t="str">
        <f>MID(analisis_productividad__4[[#This Row],[Periodo]],1,4)</f>
        <v>2025</v>
      </c>
      <c r="D1366" s="1" t="str">
        <f>MID(analisis_productividad__4[[#This Row],[Periodo]],5,2)</f>
        <v>05</v>
      </c>
      <c r="E1366" s="1" t="s">
        <v>11</v>
      </c>
      <c r="F1366" s="1" t="s">
        <v>12</v>
      </c>
      <c r="G1366" s="1">
        <v>86067</v>
      </c>
      <c r="H1366" s="1">
        <v>7896871</v>
      </c>
      <c r="I1366" s="1">
        <v>91.752594086021503</v>
      </c>
      <c r="J1366" s="1">
        <v>86388.755822446401</v>
      </c>
      <c r="K1366" s="1">
        <v>94.5</v>
      </c>
      <c r="L1366" s="1">
        <v>97</v>
      </c>
      <c r="M1366" s="1">
        <v>91.410865972306965</v>
      </c>
      <c r="N1366" s="1">
        <v>7674858</v>
      </c>
    </row>
    <row r="1367" spans="1:14" x14ac:dyDescent="0.35">
      <c r="A1367" s="1" t="s">
        <v>49</v>
      </c>
      <c r="B1367" s="1">
        <v>202606</v>
      </c>
      <c r="C1367" s="1" t="str">
        <f>MID(analisis_productividad__4[[#This Row],[Periodo]],1,4)</f>
        <v>2026</v>
      </c>
      <c r="D1367" s="1" t="str">
        <f>MID(analisis_productividad__4[[#This Row],[Periodo]],5,2)</f>
        <v>06</v>
      </c>
      <c r="E1367" s="1" t="s">
        <v>16</v>
      </c>
      <c r="F1367" s="1" t="s">
        <v>21</v>
      </c>
      <c r="G1367" s="1">
        <v>86063</v>
      </c>
      <c r="H1367" s="1">
        <v>5038079</v>
      </c>
      <c r="I1367" s="1">
        <v>58.539347222222098</v>
      </c>
      <c r="J1367" s="1">
        <v>80314.916931467407</v>
      </c>
      <c r="K1367" s="1">
        <v>75.5</v>
      </c>
      <c r="L1367" s="1">
        <v>68</v>
      </c>
      <c r="M1367" s="1">
        <v>66.56902434528007</v>
      </c>
      <c r="N1367" s="1">
        <v>5346486</v>
      </c>
    </row>
    <row r="1368" spans="1:14" x14ac:dyDescent="0.35">
      <c r="A1368" s="1" t="s">
        <v>24</v>
      </c>
      <c r="B1368" s="1">
        <v>202405</v>
      </c>
      <c r="C1368" s="1" t="str">
        <f>MID(analisis_productividad__4[[#This Row],[Periodo]],1,4)</f>
        <v>2024</v>
      </c>
      <c r="D1368" s="1" t="str">
        <f>MID(analisis_productividad__4[[#This Row],[Periodo]],5,2)</f>
        <v>05</v>
      </c>
      <c r="E1368" s="1" t="s">
        <v>16</v>
      </c>
      <c r="F1368" s="1" t="s">
        <v>21</v>
      </c>
      <c r="G1368" s="1">
        <v>86056</v>
      </c>
      <c r="H1368" s="1">
        <v>9244337</v>
      </c>
      <c r="I1368" s="1">
        <v>107.42271505376341</v>
      </c>
      <c r="J1368" s="1">
        <v>0</v>
      </c>
      <c r="K1368" s="1">
        <v>125</v>
      </c>
      <c r="L1368" s="1">
        <v>118.5</v>
      </c>
      <c r="M1368" s="1"/>
      <c r="N1368" s="1">
        <v>0</v>
      </c>
    </row>
    <row r="1369" spans="1:14" x14ac:dyDescent="0.35">
      <c r="A1369" s="1" t="s">
        <v>26</v>
      </c>
      <c r="B1369" s="1">
        <v>202410</v>
      </c>
      <c r="C1369" s="1" t="str">
        <f>MID(analisis_productividad__4[[#This Row],[Periodo]],1,4)</f>
        <v>2024</v>
      </c>
      <c r="D1369" s="1" t="str">
        <f>MID(analisis_productividad__4[[#This Row],[Periodo]],5,2)</f>
        <v>10</v>
      </c>
      <c r="E1369" s="1" t="s">
        <v>11</v>
      </c>
      <c r="F1369" s="1" t="s">
        <v>12</v>
      </c>
      <c r="G1369" s="1">
        <v>86047</v>
      </c>
      <c r="H1369" s="1">
        <v>5024947</v>
      </c>
      <c r="I1369" s="1">
        <v>58.397452956989241</v>
      </c>
      <c r="J1369" s="1">
        <v>0</v>
      </c>
      <c r="K1369" s="1">
        <v>65.5</v>
      </c>
      <c r="L1369" s="1">
        <v>63</v>
      </c>
      <c r="M1369" s="1"/>
      <c r="N1369" s="1">
        <v>0</v>
      </c>
    </row>
    <row r="1370" spans="1:14" x14ac:dyDescent="0.35">
      <c r="A1370" s="1" t="s">
        <v>40</v>
      </c>
      <c r="B1370" s="1">
        <v>202501</v>
      </c>
      <c r="C1370" s="1" t="str">
        <f>MID(analisis_productividad__4[[#This Row],[Periodo]],1,4)</f>
        <v>2025</v>
      </c>
      <c r="D1370" s="1" t="str">
        <f>MID(analisis_productividad__4[[#This Row],[Periodo]],5,2)</f>
        <v>01</v>
      </c>
      <c r="E1370" s="1" t="s">
        <v>11</v>
      </c>
      <c r="F1370" s="1" t="s">
        <v>14</v>
      </c>
      <c r="G1370" s="1">
        <v>86025</v>
      </c>
      <c r="H1370" s="1">
        <v>5844912</v>
      </c>
      <c r="I1370" s="1">
        <v>67.944126344086015</v>
      </c>
      <c r="J1370" s="1">
        <v>93383.62164372293</v>
      </c>
      <c r="K1370" s="1">
        <v>76.5</v>
      </c>
      <c r="L1370" s="1">
        <v>75.5</v>
      </c>
      <c r="M1370" s="1">
        <v>62.590337867806227</v>
      </c>
      <c r="N1370" s="1">
        <v>6455234</v>
      </c>
    </row>
    <row r="1371" spans="1:14" x14ac:dyDescent="0.35">
      <c r="A1371" s="1" t="s">
        <v>76</v>
      </c>
      <c r="B1371" s="1">
        <v>202408</v>
      </c>
      <c r="C1371" s="1" t="str">
        <f>MID(analisis_productividad__4[[#This Row],[Periodo]],1,4)</f>
        <v>2024</v>
      </c>
      <c r="D1371" s="1" t="str">
        <f>MID(analisis_productividad__4[[#This Row],[Periodo]],5,2)</f>
        <v>08</v>
      </c>
      <c r="E1371" s="1" t="s">
        <v>11</v>
      </c>
      <c r="F1371" s="1" t="s">
        <v>14</v>
      </c>
      <c r="G1371" s="1">
        <v>86025</v>
      </c>
      <c r="H1371" s="1">
        <v>6392978</v>
      </c>
      <c r="I1371" s="1">
        <v>74.315490591397861</v>
      </c>
      <c r="J1371" s="1">
        <v>0</v>
      </c>
      <c r="K1371" s="1">
        <v>80</v>
      </c>
      <c r="L1371" s="1">
        <v>78</v>
      </c>
      <c r="M1371" s="1"/>
      <c r="N1371" s="1">
        <v>0</v>
      </c>
    </row>
    <row r="1372" spans="1:14" x14ac:dyDescent="0.35">
      <c r="A1372" s="1" t="s">
        <v>97</v>
      </c>
      <c r="B1372" s="1">
        <v>202501</v>
      </c>
      <c r="C1372" s="1" t="str">
        <f>MID(analisis_productividad__4[[#This Row],[Periodo]],1,4)</f>
        <v>2025</v>
      </c>
      <c r="D1372" s="1" t="str">
        <f>MID(analisis_productividad__4[[#This Row],[Periodo]],5,2)</f>
        <v>01</v>
      </c>
      <c r="E1372" s="1" t="s">
        <v>11</v>
      </c>
      <c r="F1372" s="1" t="s">
        <v>12</v>
      </c>
      <c r="G1372" s="1">
        <v>86019</v>
      </c>
      <c r="H1372" s="1">
        <v>4882180</v>
      </c>
      <c r="I1372" s="1">
        <v>56.757157258064538</v>
      </c>
      <c r="J1372" s="1">
        <v>86355.325255708536</v>
      </c>
      <c r="K1372" s="1">
        <v>66.5</v>
      </c>
      <c r="L1372" s="1">
        <v>63.5</v>
      </c>
      <c r="M1372" s="1">
        <v>56.53594732627402</v>
      </c>
      <c r="N1372" s="1">
        <v>5188220</v>
      </c>
    </row>
    <row r="1373" spans="1:14" x14ac:dyDescent="0.35">
      <c r="A1373" s="1" t="s">
        <v>84</v>
      </c>
      <c r="B1373" s="1">
        <v>202606</v>
      </c>
      <c r="C1373" s="1" t="str">
        <f>MID(analisis_productividad__4[[#This Row],[Periodo]],1,4)</f>
        <v>2026</v>
      </c>
      <c r="D1373" s="1" t="str">
        <f>MID(analisis_productividad__4[[#This Row],[Periodo]],5,2)</f>
        <v>06</v>
      </c>
      <c r="E1373" s="1" t="s">
        <v>11</v>
      </c>
      <c r="F1373" s="1" t="s">
        <v>52</v>
      </c>
      <c r="G1373" s="1">
        <v>86018</v>
      </c>
      <c r="H1373" s="1">
        <v>8668578</v>
      </c>
      <c r="I1373" s="1">
        <v>100.7766180555578</v>
      </c>
      <c r="J1373" s="1">
        <v>84933.449832551152</v>
      </c>
      <c r="K1373" s="1">
        <v>123</v>
      </c>
      <c r="L1373" s="1">
        <v>115.5</v>
      </c>
      <c r="M1373" s="1">
        <v>102.59248347357834</v>
      </c>
      <c r="N1373" s="1">
        <v>8713534</v>
      </c>
    </row>
    <row r="1374" spans="1:14" x14ac:dyDescent="0.35">
      <c r="A1374" s="1" t="s">
        <v>65</v>
      </c>
      <c r="B1374" s="1">
        <v>202505</v>
      </c>
      <c r="C1374" s="1" t="str">
        <f>MID(analisis_productividad__4[[#This Row],[Periodo]],1,4)</f>
        <v>2025</v>
      </c>
      <c r="D1374" s="1" t="str">
        <f>MID(analisis_productividad__4[[#This Row],[Periodo]],5,2)</f>
        <v>05</v>
      </c>
      <c r="E1374" s="1" t="s">
        <v>16</v>
      </c>
      <c r="F1374" s="1" t="s">
        <v>19</v>
      </c>
      <c r="G1374" s="1">
        <v>86017</v>
      </c>
      <c r="H1374" s="1">
        <v>5587376</v>
      </c>
      <c r="I1374" s="1">
        <v>64.956330645161302</v>
      </c>
      <c r="J1374" s="1">
        <v>85416.051125392885</v>
      </c>
      <c r="K1374" s="1">
        <v>68</v>
      </c>
      <c r="L1374" s="1">
        <v>68.5</v>
      </c>
      <c r="M1374" s="1">
        <v>65.413652426961221</v>
      </c>
      <c r="N1374" s="1">
        <v>5244281</v>
      </c>
    </row>
    <row r="1375" spans="1:14" x14ac:dyDescent="0.35">
      <c r="A1375" s="1" t="s">
        <v>67</v>
      </c>
      <c r="B1375" s="1">
        <v>202504</v>
      </c>
      <c r="C1375" s="1" t="str">
        <f>MID(analisis_productividad__4[[#This Row],[Periodo]],1,4)</f>
        <v>2025</v>
      </c>
      <c r="D1375" s="1" t="str">
        <f>MID(analisis_productividad__4[[#This Row],[Periodo]],5,2)</f>
        <v>04</v>
      </c>
      <c r="E1375" s="1" t="s">
        <v>16</v>
      </c>
      <c r="F1375" s="1" t="s">
        <v>19</v>
      </c>
      <c r="G1375" s="1">
        <v>86011</v>
      </c>
      <c r="H1375" s="1">
        <v>5906630</v>
      </c>
      <c r="I1375" s="1">
        <v>68.673208333333321</v>
      </c>
      <c r="J1375" s="1">
        <v>87013.030056821459</v>
      </c>
      <c r="K1375" s="1">
        <v>79.5</v>
      </c>
      <c r="L1375" s="1">
        <v>81.5</v>
      </c>
      <c r="M1375" s="1">
        <v>67.882130482559234</v>
      </c>
      <c r="N1375" s="1">
        <v>6113550</v>
      </c>
    </row>
    <row r="1376" spans="1:14" x14ac:dyDescent="0.35">
      <c r="A1376" s="1" t="s">
        <v>65</v>
      </c>
      <c r="B1376" s="1">
        <v>202406</v>
      </c>
      <c r="C1376" s="1" t="str">
        <f>MID(analisis_productividad__4[[#This Row],[Periodo]],1,4)</f>
        <v>2024</v>
      </c>
      <c r="D1376" s="1" t="str">
        <f>MID(analisis_productividad__4[[#This Row],[Periodo]],5,2)</f>
        <v>06</v>
      </c>
      <c r="E1376" s="1" t="s">
        <v>16</v>
      </c>
      <c r="F1376" s="1" t="s">
        <v>19</v>
      </c>
      <c r="G1376" s="1">
        <v>85977</v>
      </c>
      <c r="H1376" s="1">
        <v>5190719</v>
      </c>
      <c r="I1376" s="1">
        <v>60.373006944444441</v>
      </c>
      <c r="J1376" s="1">
        <v>0</v>
      </c>
      <c r="K1376" s="1">
        <v>68</v>
      </c>
      <c r="L1376" s="1">
        <v>68.5</v>
      </c>
      <c r="M1376" s="1"/>
      <c r="N1376" s="1">
        <v>0</v>
      </c>
    </row>
    <row r="1377" spans="1:14" x14ac:dyDescent="0.35">
      <c r="A1377" s="1" t="s">
        <v>84</v>
      </c>
      <c r="B1377" s="1">
        <v>202511</v>
      </c>
      <c r="C1377" s="1" t="str">
        <f>MID(analisis_productividad__4[[#This Row],[Periodo]],1,4)</f>
        <v>2025</v>
      </c>
      <c r="D1377" s="1" t="str">
        <f>MID(analisis_productividad__4[[#This Row],[Periodo]],5,2)</f>
        <v>11</v>
      </c>
      <c r="E1377" s="1" t="s">
        <v>11</v>
      </c>
      <c r="F1377" s="1" t="s">
        <v>52</v>
      </c>
      <c r="G1377" s="1">
        <v>85973</v>
      </c>
      <c r="H1377" s="1">
        <v>8786514</v>
      </c>
      <c r="I1377" s="1">
        <v>102.20131250000001</v>
      </c>
      <c r="J1377" s="1">
        <v>85143.704870263886</v>
      </c>
      <c r="K1377" s="1">
        <v>123</v>
      </c>
      <c r="L1377" s="1">
        <v>115.5</v>
      </c>
      <c r="M1377" s="1">
        <v>103.19628061039019</v>
      </c>
      <c r="N1377" s="1">
        <v>9442665</v>
      </c>
    </row>
    <row r="1378" spans="1:14" x14ac:dyDescent="0.35">
      <c r="A1378" s="1" t="s">
        <v>84</v>
      </c>
      <c r="B1378" s="1">
        <v>202506</v>
      </c>
      <c r="C1378" s="1" t="str">
        <f>MID(analisis_productividad__4[[#This Row],[Periodo]],1,4)</f>
        <v>2025</v>
      </c>
      <c r="D1378" s="1" t="str">
        <f>MID(analisis_productividad__4[[#This Row],[Periodo]],5,2)</f>
        <v>06</v>
      </c>
      <c r="E1378" s="1" t="s">
        <v>11</v>
      </c>
      <c r="F1378" s="1" t="s">
        <v>52</v>
      </c>
      <c r="G1378" s="1">
        <v>85948</v>
      </c>
      <c r="H1378" s="1">
        <v>8592844</v>
      </c>
      <c r="I1378" s="1">
        <v>99.977645833333412</v>
      </c>
      <c r="J1378" s="1">
        <v>85437.53973379024</v>
      </c>
      <c r="K1378" s="1">
        <v>123</v>
      </c>
      <c r="L1378" s="1">
        <v>115.5</v>
      </c>
      <c r="M1378" s="1">
        <v>100.57456847158674</v>
      </c>
      <c r="N1378" s="1">
        <v>9380516</v>
      </c>
    </row>
    <row r="1379" spans="1:14" x14ac:dyDescent="0.35">
      <c r="A1379" s="1" t="s">
        <v>70</v>
      </c>
      <c r="B1379" s="1">
        <v>202508</v>
      </c>
      <c r="C1379" s="1" t="str">
        <f>MID(analisis_productividad__4[[#This Row],[Periodo]],1,4)</f>
        <v>2025</v>
      </c>
      <c r="D1379" s="1" t="str">
        <f>MID(analisis_productividad__4[[#This Row],[Periodo]],5,2)</f>
        <v>08</v>
      </c>
      <c r="E1379" s="1" t="s">
        <v>11</v>
      </c>
      <c r="F1379" s="1" t="s">
        <v>14</v>
      </c>
      <c r="G1379" s="1">
        <v>85914</v>
      </c>
      <c r="H1379" s="1">
        <v>4831014</v>
      </c>
      <c r="I1379" s="1">
        <v>56.230745967741925</v>
      </c>
      <c r="J1379" s="1">
        <v>86868.629758484138</v>
      </c>
      <c r="K1379" s="1">
        <v>65</v>
      </c>
      <c r="L1379" s="1">
        <v>67.5</v>
      </c>
      <c r="M1379" s="1">
        <v>55.612875711650915</v>
      </c>
      <c r="N1379" s="1">
        <v>5019260</v>
      </c>
    </row>
    <row r="1380" spans="1:14" x14ac:dyDescent="0.35">
      <c r="A1380" s="1" t="s">
        <v>84</v>
      </c>
      <c r="B1380" s="1">
        <v>202605</v>
      </c>
      <c r="C1380" s="1" t="str">
        <f>MID(analisis_productividad__4[[#This Row],[Periodo]],1,4)</f>
        <v>2026</v>
      </c>
      <c r="D1380" s="1" t="str">
        <f>MID(analisis_productividad__4[[#This Row],[Periodo]],5,2)</f>
        <v>05</v>
      </c>
      <c r="E1380" s="1" t="s">
        <v>11</v>
      </c>
      <c r="F1380" s="1" t="s">
        <v>52</v>
      </c>
      <c r="G1380" s="1">
        <v>85911</v>
      </c>
      <c r="H1380" s="1">
        <v>9451428</v>
      </c>
      <c r="I1380" s="1">
        <v>110.01379704300663</v>
      </c>
      <c r="J1380" s="1">
        <v>91186.981407944113</v>
      </c>
      <c r="K1380" s="1">
        <v>123</v>
      </c>
      <c r="L1380" s="1">
        <v>115.5</v>
      </c>
      <c r="M1380" s="1">
        <v>102.59248347357834</v>
      </c>
      <c r="N1380" s="1">
        <v>9355099</v>
      </c>
    </row>
    <row r="1381" spans="1:14" x14ac:dyDescent="0.35">
      <c r="A1381" s="1" t="s">
        <v>8</v>
      </c>
      <c r="B1381" s="1">
        <v>202401</v>
      </c>
      <c r="C1381" s="1" t="str">
        <f>MID(analisis_productividad__4[[#This Row],[Periodo]],1,4)</f>
        <v>2024</v>
      </c>
      <c r="D1381" s="1" t="str">
        <f>MID(analisis_productividad__4[[#This Row],[Periodo]],5,2)</f>
        <v>01</v>
      </c>
      <c r="E1381" s="1" t="s">
        <v>9</v>
      </c>
      <c r="F1381" s="1" t="s">
        <v>9</v>
      </c>
      <c r="G1381" s="1">
        <v>85906</v>
      </c>
      <c r="H1381" s="1">
        <v>995737</v>
      </c>
      <c r="I1381" s="1">
        <v>11.59097446236559</v>
      </c>
      <c r="J1381" s="1">
        <v>0</v>
      </c>
      <c r="K1381" s="1">
        <v>13.5</v>
      </c>
      <c r="L1381" s="1">
        <v>12.5</v>
      </c>
      <c r="M1381" s="1"/>
      <c r="N1381" s="1">
        <v>0</v>
      </c>
    </row>
    <row r="1382" spans="1:14" x14ac:dyDescent="0.35">
      <c r="A1382" s="1" t="s">
        <v>76</v>
      </c>
      <c r="B1382" s="1">
        <v>202403</v>
      </c>
      <c r="C1382" s="1" t="str">
        <f>MID(analisis_productividad__4[[#This Row],[Periodo]],1,4)</f>
        <v>2024</v>
      </c>
      <c r="D1382" s="1" t="str">
        <f>MID(analisis_productividad__4[[#This Row],[Periodo]],5,2)</f>
        <v>03</v>
      </c>
      <c r="E1382" s="1" t="s">
        <v>11</v>
      </c>
      <c r="F1382" s="1" t="s">
        <v>14</v>
      </c>
      <c r="G1382" s="1">
        <v>85902</v>
      </c>
      <c r="H1382" s="1">
        <v>7041902</v>
      </c>
      <c r="I1382" s="1">
        <v>81.975551075268854</v>
      </c>
      <c r="J1382" s="1">
        <v>0</v>
      </c>
      <c r="K1382" s="1">
        <v>80</v>
      </c>
      <c r="L1382" s="1">
        <v>78</v>
      </c>
      <c r="M1382" s="1"/>
      <c r="N1382" s="1">
        <v>0</v>
      </c>
    </row>
    <row r="1383" spans="1:14" x14ac:dyDescent="0.35">
      <c r="A1383" s="1" t="s">
        <v>53</v>
      </c>
      <c r="B1383" s="1">
        <v>202504</v>
      </c>
      <c r="C1383" s="1" t="str">
        <f>MID(analisis_productividad__4[[#This Row],[Periodo]],1,4)</f>
        <v>2025</v>
      </c>
      <c r="D1383" s="1" t="str">
        <f>MID(analisis_productividad__4[[#This Row],[Periodo]],5,2)</f>
        <v>04</v>
      </c>
      <c r="E1383" s="1" t="s">
        <v>11</v>
      </c>
      <c r="F1383" s="1" t="s">
        <v>12</v>
      </c>
      <c r="G1383" s="1">
        <v>85898</v>
      </c>
      <c r="H1383" s="1">
        <v>5949895</v>
      </c>
      <c r="I1383" s="1">
        <v>69.266993055555602</v>
      </c>
      <c r="J1383" s="1">
        <v>86934.445837472653</v>
      </c>
      <c r="K1383" s="1">
        <v>81</v>
      </c>
      <c r="L1383" s="1">
        <v>77</v>
      </c>
      <c r="M1383" s="1">
        <v>68.441168545820886</v>
      </c>
      <c r="N1383" s="1">
        <v>6756087</v>
      </c>
    </row>
    <row r="1384" spans="1:14" x14ac:dyDescent="0.35">
      <c r="A1384" s="1" t="s">
        <v>53</v>
      </c>
      <c r="B1384" s="1">
        <v>202509</v>
      </c>
      <c r="C1384" s="1" t="str">
        <f>MID(analisis_productividad__4[[#This Row],[Periodo]],1,4)</f>
        <v>2025</v>
      </c>
      <c r="D1384" s="1" t="str">
        <f>MID(analisis_productividad__4[[#This Row],[Periodo]],5,2)</f>
        <v>09</v>
      </c>
      <c r="E1384" s="1" t="s">
        <v>11</v>
      </c>
      <c r="F1384" s="1" t="s">
        <v>12</v>
      </c>
      <c r="G1384" s="1">
        <v>85890</v>
      </c>
      <c r="H1384" s="1">
        <v>5776221</v>
      </c>
      <c r="I1384" s="1">
        <v>67.251527777777795</v>
      </c>
      <c r="J1384" s="1">
        <v>89746.901574554169</v>
      </c>
      <c r="K1384" s="1">
        <v>81</v>
      </c>
      <c r="L1384" s="1">
        <v>77</v>
      </c>
      <c r="M1384" s="1">
        <v>64.361230846522346</v>
      </c>
      <c r="N1384" s="1">
        <v>6516340</v>
      </c>
    </row>
    <row r="1385" spans="1:14" x14ac:dyDescent="0.35">
      <c r="A1385" s="1" t="s">
        <v>22</v>
      </c>
      <c r="B1385" s="1">
        <v>202507</v>
      </c>
      <c r="C1385" s="1" t="str">
        <f>MID(analisis_productividad__4[[#This Row],[Periodo]],1,4)</f>
        <v>2025</v>
      </c>
      <c r="D1385" s="1" t="str">
        <f>MID(analisis_productividad__4[[#This Row],[Periodo]],5,2)</f>
        <v>07</v>
      </c>
      <c r="E1385" s="1" t="s">
        <v>16</v>
      </c>
      <c r="F1385" s="1" t="s">
        <v>21</v>
      </c>
      <c r="G1385" s="1">
        <v>85864</v>
      </c>
      <c r="H1385" s="1">
        <v>4907999</v>
      </c>
      <c r="I1385" s="1">
        <v>57.160362903225817</v>
      </c>
      <c r="J1385" s="1">
        <v>92854.748373665498</v>
      </c>
      <c r="K1385" s="1">
        <v>59.5</v>
      </c>
      <c r="L1385" s="1">
        <v>55.5</v>
      </c>
      <c r="M1385" s="1">
        <v>52.856735880100203</v>
      </c>
      <c r="N1385" s="1">
        <v>5329666</v>
      </c>
    </row>
    <row r="1386" spans="1:14" x14ac:dyDescent="0.35">
      <c r="A1386" s="1" t="s">
        <v>53</v>
      </c>
      <c r="B1386" s="1">
        <v>202410</v>
      </c>
      <c r="C1386" s="1" t="str">
        <f>MID(analisis_productividad__4[[#This Row],[Periodo]],1,4)</f>
        <v>2024</v>
      </c>
      <c r="D1386" s="1" t="str">
        <f>MID(analisis_productividad__4[[#This Row],[Periodo]],5,2)</f>
        <v>10</v>
      </c>
      <c r="E1386" s="1" t="s">
        <v>11</v>
      </c>
      <c r="F1386" s="1" t="s">
        <v>12</v>
      </c>
      <c r="G1386" s="1">
        <v>85845</v>
      </c>
      <c r="H1386" s="1">
        <v>5828748</v>
      </c>
      <c r="I1386" s="1">
        <v>67.898541666666659</v>
      </c>
      <c r="J1386" s="1">
        <v>0</v>
      </c>
      <c r="K1386" s="1">
        <v>81</v>
      </c>
      <c r="L1386" s="1">
        <v>77</v>
      </c>
      <c r="M1386" s="1"/>
      <c r="N1386" s="1">
        <v>0</v>
      </c>
    </row>
    <row r="1387" spans="1:14" x14ac:dyDescent="0.35">
      <c r="A1387" s="1" t="s">
        <v>75</v>
      </c>
      <c r="B1387" s="1">
        <v>202401</v>
      </c>
      <c r="C1387" s="1" t="str">
        <f>MID(analisis_productividad__4[[#This Row],[Periodo]],1,4)</f>
        <v>2024</v>
      </c>
      <c r="D1387" s="1" t="str">
        <f>MID(analisis_productividad__4[[#This Row],[Periodo]],5,2)</f>
        <v>01</v>
      </c>
      <c r="E1387" s="1" t="s">
        <v>11</v>
      </c>
      <c r="F1387" s="1" t="s">
        <v>52</v>
      </c>
      <c r="G1387" s="1">
        <v>85834</v>
      </c>
      <c r="H1387" s="1">
        <v>9315865</v>
      </c>
      <c r="I1387" s="1">
        <v>108.53340053763439</v>
      </c>
      <c r="J1387" s="1">
        <v>0</v>
      </c>
      <c r="K1387" s="1">
        <v>118</v>
      </c>
      <c r="L1387" s="1">
        <v>106</v>
      </c>
      <c r="M1387" s="1"/>
      <c r="N1387" s="1">
        <v>0</v>
      </c>
    </row>
    <row r="1388" spans="1:14" x14ac:dyDescent="0.35">
      <c r="A1388" s="1" t="s">
        <v>79</v>
      </c>
      <c r="B1388" s="1">
        <v>202508</v>
      </c>
      <c r="C1388" s="1" t="str">
        <f>MID(analisis_productividad__4[[#This Row],[Periodo]],1,4)</f>
        <v>2025</v>
      </c>
      <c r="D1388" s="1" t="str">
        <f>MID(analisis_productividad__4[[#This Row],[Periodo]],5,2)</f>
        <v>08</v>
      </c>
      <c r="E1388" s="1" t="s">
        <v>11</v>
      </c>
      <c r="F1388" s="1" t="s">
        <v>12</v>
      </c>
      <c r="G1388" s="1">
        <v>85821</v>
      </c>
      <c r="H1388" s="1">
        <v>4831472</v>
      </c>
      <c r="I1388" s="1">
        <v>56.296888440860208</v>
      </c>
      <c r="J1388" s="1">
        <v>86665.751641768948</v>
      </c>
      <c r="K1388" s="1">
        <v>64.5</v>
      </c>
      <c r="L1388" s="1">
        <v>64</v>
      </c>
      <c r="M1388" s="1">
        <v>55.748339205212062</v>
      </c>
      <c r="N1388" s="1">
        <v>5167104</v>
      </c>
    </row>
    <row r="1389" spans="1:14" x14ac:dyDescent="0.35">
      <c r="A1389" s="1" t="s">
        <v>87</v>
      </c>
      <c r="B1389" s="1">
        <v>202411</v>
      </c>
      <c r="C1389" s="1" t="str">
        <f>MID(analisis_productividad__4[[#This Row],[Periodo]],1,4)</f>
        <v>2024</v>
      </c>
      <c r="D1389" s="1" t="str">
        <f>MID(analisis_productividad__4[[#This Row],[Periodo]],5,2)</f>
        <v>11</v>
      </c>
      <c r="E1389" s="1" t="s">
        <v>9</v>
      </c>
      <c r="F1389" s="1" t="s">
        <v>9</v>
      </c>
      <c r="G1389" s="1">
        <v>85795</v>
      </c>
      <c r="H1389" s="1">
        <v>933840</v>
      </c>
      <c r="I1389" s="1">
        <v>10.884562499999999</v>
      </c>
      <c r="J1389" s="1">
        <v>0</v>
      </c>
      <c r="K1389" s="1">
        <v>13.5</v>
      </c>
      <c r="L1389" s="1">
        <v>12</v>
      </c>
      <c r="M1389" s="1"/>
      <c r="N1389" s="1">
        <v>0</v>
      </c>
    </row>
    <row r="1390" spans="1:14" x14ac:dyDescent="0.35">
      <c r="A1390" s="1" t="s">
        <v>76</v>
      </c>
      <c r="B1390" s="1">
        <v>202410</v>
      </c>
      <c r="C1390" s="1" t="str">
        <f>MID(analisis_productividad__4[[#This Row],[Periodo]],1,4)</f>
        <v>2024</v>
      </c>
      <c r="D1390" s="1" t="str">
        <f>MID(analisis_productividad__4[[#This Row],[Periodo]],5,2)</f>
        <v>10</v>
      </c>
      <c r="E1390" s="1" t="s">
        <v>11</v>
      </c>
      <c r="F1390" s="1" t="s">
        <v>14</v>
      </c>
      <c r="G1390" s="1">
        <v>85780</v>
      </c>
      <c r="H1390" s="1">
        <v>6022940</v>
      </c>
      <c r="I1390" s="1">
        <v>70.213716397849481</v>
      </c>
      <c r="J1390" s="1">
        <v>0</v>
      </c>
      <c r="K1390" s="1">
        <v>80</v>
      </c>
      <c r="L1390" s="1">
        <v>78</v>
      </c>
      <c r="M1390" s="1"/>
      <c r="N1390" s="1">
        <v>0</v>
      </c>
    </row>
    <row r="1391" spans="1:14" x14ac:dyDescent="0.35">
      <c r="A1391" s="1" t="s">
        <v>76</v>
      </c>
      <c r="B1391" s="1">
        <v>202407</v>
      </c>
      <c r="C1391" s="1" t="str">
        <f>MID(analisis_productividad__4[[#This Row],[Periodo]],1,4)</f>
        <v>2024</v>
      </c>
      <c r="D1391" s="1" t="str">
        <f>MID(analisis_productividad__4[[#This Row],[Periodo]],5,2)</f>
        <v>07</v>
      </c>
      <c r="E1391" s="1" t="s">
        <v>11</v>
      </c>
      <c r="F1391" s="1" t="s">
        <v>14</v>
      </c>
      <c r="G1391" s="1">
        <v>85775</v>
      </c>
      <c r="H1391" s="1">
        <v>6598063</v>
      </c>
      <c r="I1391" s="1">
        <v>76.922849462365534</v>
      </c>
      <c r="J1391" s="1">
        <v>0</v>
      </c>
      <c r="K1391" s="1">
        <v>80</v>
      </c>
      <c r="L1391" s="1">
        <v>78</v>
      </c>
      <c r="M1391" s="1"/>
      <c r="N1391" s="1">
        <v>0</v>
      </c>
    </row>
    <row r="1392" spans="1:14" x14ac:dyDescent="0.35">
      <c r="A1392" s="1" t="s">
        <v>76</v>
      </c>
      <c r="B1392" s="1">
        <v>202507</v>
      </c>
      <c r="C1392" s="1" t="str">
        <f>MID(analisis_productividad__4[[#This Row],[Periodo]],1,4)</f>
        <v>2025</v>
      </c>
      <c r="D1392" s="1" t="str">
        <f>MID(analisis_productividad__4[[#This Row],[Periodo]],5,2)</f>
        <v>07</v>
      </c>
      <c r="E1392" s="1" t="s">
        <v>11</v>
      </c>
      <c r="F1392" s="1" t="s">
        <v>14</v>
      </c>
      <c r="G1392" s="1">
        <v>85732</v>
      </c>
      <c r="H1392" s="1">
        <v>6114560</v>
      </c>
      <c r="I1392" s="1">
        <v>71.322190860215031</v>
      </c>
      <c r="J1392" s="1">
        <v>90063.827496269558</v>
      </c>
      <c r="K1392" s="1">
        <v>80</v>
      </c>
      <c r="L1392" s="1">
        <v>78</v>
      </c>
      <c r="M1392" s="1">
        <v>67.891412234876043</v>
      </c>
      <c r="N1392" s="1">
        <v>6858479</v>
      </c>
    </row>
    <row r="1393" spans="1:14" x14ac:dyDescent="0.35">
      <c r="A1393" s="1" t="s">
        <v>22</v>
      </c>
      <c r="B1393" s="1">
        <v>202505</v>
      </c>
      <c r="C1393" s="1" t="str">
        <f>MID(analisis_productividad__4[[#This Row],[Periodo]],1,4)</f>
        <v>2025</v>
      </c>
      <c r="D1393" s="1" t="str">
        <f>MID(analisis_productividad__4[[#This Row],[Periodo]],5,2)</f>
        <v>05</v>
      </c>
      <c r="E1393" s="1" t="s">
        <v>16</v>
      </c>
      <c r="F1393" s="1" t="s">
        <v>21</v>
      </c>
      <c r="G1393" s="1">
        <v>85706</v>
      </c>
      <c r="H1393" s="1">
        <v>5002160</v>
      </c>
      <c r="I1393" s="1">
        <v>58.364005376344089</v>
      </c>
      <c r="J1393" s="1">
        <v>88209.136581879939</v>
      </c>
      <c r="K1393" s="1">
        <v>59.5</v>
      </c>
      <c r="L1393" s="1">
        <v>55.5</v>
      </c>
      <c r="M1393" s="1">
        <v>56.707959898879118</v>
      </c>
      <c r="N1393" s="1">
        <v>4930152</v>
      </c>
    </row>
    <row r="1394" spans="1:14" x14ac:dyDescent="0.35">
      <c r="A1394" s="1" t="s">
        <v>121</v>
      </c>
      <c r="B1394" s="1">
        <v>202512</v>
      </c>
      <c r="C1394" s="1" t="str">
        <f>MID(analisis_productividad__4[[#This Row],[Periodo]],1,4)</f>
        <v>2025</v>
      </c>
      <c r="D1394" s="1" t="str">
        <f>MID(analisis_productividad__4[[#This Row],[Periodo]],5,2)</f>
        <v>12</v>
      </c>
      <c r="E1394" s="1" t="s">
        <v>11</v>
      </c>
      <c r="F1394" s="1" t="s">
        <v>14</v>
      </c>
      <c r="G1394" s="1">
        <v>85693</v>
      </c>
      <c r="H1394" s="1">
        <v>3062310</v>
      </c>
      <c r="I1394" s="1">
        <v>35.736034946236543</v>
      </c>
      <c r="J1394" s="1">
        <v>83347.183395083703</v>
      </c>
      <c r="K1394" s="1">
        <v>36</v>
      </c>
      <c r="L1394" s="1">
        <v>35</v>
      </c>
      <c r="M1394" s="1">
        <v>36.741616516109325</v>
      </c>
      <c r="N1394" s="1">
        <v>3360743</v>
      </c>
    </row>
    <row r="1395" spans="1:14" x14ac:dyDescent="0.35">
      <c r="A1395" s="1" t="s">
        <v>67</v>
      </c>
      <c r="B1395" s="1">
        <v>202509</v>
      </c>
      <c r="C1395" s="1" t="str">
        <f>MID(analisis_productividad__4[[#This Row],[Periodo]],1,4)</f>
        <v>2025</v>
      </c>
      <c r="D1395" s="1" t="str">
        <f>MID(analisis_productividad__4[[#This Row],[Periodo]],5,2)</f>
        <v>09</v>
      </c>
      <c r="E1395" s="1" t="s">
        <v>16</v>
      </c>
      <c r="F1395" s="1" t="s">
        <v>19</v>
      </c>
      <c r="G1395" s="1">
        <v>85674</v>
      </c>
      <c r="H1395" s="1">
        <v>5798838</v>
      </c>
      <c r="I1395" s="1">
        <v>67.685236111111124</v>
      </c>
      <c r="J1395" s="1">
        <v>87161.693968208987</v>
      </c>
      <c r="K1395" s="1">
        <v>79.5</v>
      </c>
      <c r="L1395" s="1">
        <v>81.5</v>
      </c>
      <c r="M1395" s="1">
        <v>66.529667058961067</v>
      </c>
      <c r="N1395" s="1">
        <v>6204278</v>
      </c>
    </row>
    <row r="1396" spans="1:14" x14ac:dyDescent="0.35">
      <c r="A1396" s="1" t="s">
        <v>62</v>
      </c>
      <c r="B1396" s="1">
        <v>202606</v>
      </c>
      <c r="C1396" s="1" t="str">
        <f>MID(analisis_productividad__4[[#This Row],[Periodo]],1,4)</f>
        <v>2026</v>
      </c>
      <c r="D1396" s="1" t="str">
        <f>MID(analisis_productividad__4[[#This Row],[Periodo]],5,2)</f>
        <v>06</v>
      </c>
      <c r="E1396" s="1" t="s">
        <v>16</v>
      </c>
      <c r="F1396" s="1" t="s">
        <v>17</v>
      </c>
      <c r="G1396" s="1">
        <v>85667</v>
      </c>
      <c r="H1396" s="1">
        <v>2573810</v>
      </c>
      <c r="I1396" s="1">
        <v>30.044388888888847</v>
      </c>
      <c r="J1396" s="1">
        <v>84195.760312297032</v>
      </c>
      <c r="K1396" s="1">
        <v>32.5</v>
      </c>
      <c r="L1396" s="1">
        <v>32</v>
      </c>
      <c r="M1396" s="1">
        <v>29.073700348097926</v>
      </c>
      <c r="N1396" s="1">
        <v>2447882</v>
      </c>
    </row>
    <row r="1397" spans="1:14" x14ac:dyDescent="0.35">
      <c r="A1397" s="1" t="s">
        <v>87</v>
      </c>
      <c r="B1397" s="1">
        <v>202603</v>
      </c>
      <c r="C1397" s="1" t="str">
        <f>MID(analisis_productividad__4[[#This Row],[Periodo]],1,4)</f>
        <v>2026</v>
      </c>
      <c r="D1397" s="1" t="str">
        <f>MID(analisis_productividad__4[[#This Row],[Periodo]],5,2)</f>
        <v>03</v>
      </c>
      <c r="E1397" s="1" t="s">
        <v>9</v>
      </c>
      <c r="F1397" s="1" t="s">
        <v>9</v>
      </c>
      <c r="G1397" s="1">
        <v>85657</v>
      </c>
      <c r="H1397" s="1">
        <v>1000551</v>
      </c>
      <c r="I1397" s="1">
        <v>11.680873655913979</v>
      </c>
      <c r="J1397" s="1">
        <v>88788.684404030995</v>
      </c>
      <c r="K1397" s="1">
        <v>13.5</v>
      </c>
      <c r="L1397" s="1">
        <v>12</v>
      </c>
      <c r="M1397" s="1">
        <v>11.788780293634797</v>
      </c>
      <c r="N1397" s="1">
        <v>1046710</v>
      </c>
    </row>
    <row r="1398" spans="1:14" x14ac:dyDescent="0.35">
      <c r="A1398" s="1" t="s">
        <v>41</v>
      </c>
      <c r="B1398" s="1">
        <v>202402</v>
      </c>
      <c r="C1398" s="1" t="str">
        <f>MID(analisis_productividad__4[[#This Row],[Periodo]],1,4)</f>
        <v>2024</v>
      </c>
      <c r="D1398" s="1" t="str">
        <f>MID(analisis_productividad__4[[#This Row],[Periodo]],5,2)</f>
        <v>02</v>
      </c>
      <c r="E1398" s="1" t="s">
        <v>16</v>
      </c>
      <c r="F1398" s="1" t="s">
        <v>19</v>
      </c>
      <c r="G1398" s="1">
        <v>85655</v>
      </c>
      <c r="H1398" s="1">
        <v>4724006</v>
      </c>
      <c r="I1398" s="1">
        <v>55.151551724137931</v>
      </c>
      <c r="J1398" s="1">
        <v>0</v>
      </c>
      <c r="K1398" s="1">
        <v>57.5</v>
      </c>
      <c r="L1398" s="1">
        <v>56.5</v>
      </c>
      <c r="M1398" s="1"/>
      <c r="N1398" s="1">
        <v>0</v>
      </c>
    </row>
    <row r="1399" spans="1:14" x14ac:dyDescent="0.35">
      <c r="A1399" s="1" t="s">
        <v>72</v>
      </c>
      <c r="B1399" s="1">
        <v>202606</v>
      </c>
      <c r="C1399" s="1" t="str">
        <f>MID(analisis_productividad__4[[#This Row],[Periodo]],1,4)</f>
        <v>2026</v>
      </c>
      <c r="D1399" s="1" t="str">
        <f>MID(analisis_productividad__4[[#This Row],[Periodo]],5,2)</f>
        <v>06</v>
      </c>
      <c r="E1399" s="1" t="s">
        <v>11</v>
      </c>
      <c r="F1399" s="1" t="s">
        <v>14</v>
      </c>
      <c r="G1399" s="1">
        <v>85645</v>
      </c>
      <c r="H1399" s="1">
        <v>4731533</v>
      </c>
      <c r="I1399" s="1">
        <v>55.246041666666571</v>
      </c>
      <c r="J1399" s="1">
        <v>83074.651099494833</v>
      </c>
      <c r="K1399" s="1">
        <v>66</v>
      </c>
      <c r="L1399" s="1">
        <v>64.5</v>
      </c>
      <c r="M1399" s="1">
        <v>56.772923994003754</v>
      </c>
      <c r="N1399" s="1">
        <v>4716391</v>
      </c>
    </row>
    <row r="1400" spans="1:14" x14ac:dyDescent="0.35">
      <c r="A1400" s="1" t="s">
        <v>42</v>
      </c>
      <c r="B1400" s="1">
        <v>202504</v>
      </c>
      <c r="C1400" s="1" t="str">
        <f>MID(analisis_productividad__4[[#This Row],[Periodo]],1,4)</f>
        <v>2025</v>
      </c>
      <c r="D1400" s="1" t="str">
        <f>MID(analisis_productividad__4[[#This Row],[Periodo]],5,2)</f>
        <v>04</v>
      </c>
      <c r="E1400" s="1" t="s">
        <v>16</v>
      </c>
      <c r="F1400" s="1" t="s">
        <v>19</v>
      </c>
      <c r="G1400" s="1">
        <v>85618</v>
      </c>
      <c r="H1400" s="1">
        <v>4857724</v>
      </c>
      <c r="I1400" s="1">
        <v>56.737479166666674</v>
      </c>
      <c r="J1400" s="1">
        <v>76238.081899143814</v>
      </c>
      <c r="K1400" s="1">
        <v>62</v>
      </c>
      <c r="L1400" s="1">
        <v>58</v>
      </c>
      <c r="M1400" s="1">
        <v>63.717812397567073</v>
      </c>
      <c r="N1400" s="1">
        <v>4930542</v>
      </c>
    </row>
    <row r="1401" spans="1:14" x14ac:dyDescent="0.35">
      <c r="A1401" s="1" t="s">
        <v>78</v>
      </c>
      <c r="B1401" s="1">
        <v>202606</v>
      </c>
      <c r="C1401" s="1" t="str">
        <f>MID(analisis_productividad__4[[#This Row],[Periodo]],1,4)</f>
        <v>2026</v>
      </c>
      <c r="D1401" s="1" t="str">
        <f>MID(analisis_productividad__4[[#This Row],[Periodo]],5,2)</f>
        <v>06</v>
      </c>
      <c r="E1401" s="1" t="s">
        <v>11</v>
      </c>
      <c r="F1401" s="1" t="s">
        <v>14</v>
      </c>
      <c r="G1401" s="1">
        <v>85600</v>
      </c>
      <c r="H1401" s="1">
        <v>5174230</v>
      </c>
      <c r="I1401" s="1">
        <v>60.446604166667804</v>
      </c>
      <c r="J1401" s="1">
        <v>74635.249119469692</v>
      </c>
      <c r="K1401" s="1">
        <v>79.5</v>
      </c>
      <c r="L1401" s="1">
        <v>67</v>
      </c>
      <c r="M1401" s="1">
        <v>68.682661472657543</v>
      </c>
      <c r="N1401" s="1">
        <v>5126148</v>
      </c>
    </row>
    <row r="1402" spans="1:14" x14ac:dyDescent="0.35">
      <c r="A1402" s="1" t="s">
        <v>94</v>
      </c>
      <c r="B1402" s="1">
        <v>202605</v>
      </c>
      <c r="C1402" s="1" t="str">
        <f>MID(analisis_productividad__4[[#This Row],[Periodo]],1,4)</f>
        <v>2026</v>
      </c>
      <c r="D1402" s="1" t="str">
        <f>MID(analisis_productividad__4[[#This Row],[Periodo]],5,2)</f>
        <v>05</v>
      </c>
      <c r="E1402" s="1" t="s">
        <v>11</v>
      </c>
      <c r="F1402" s="1" t="s">
        <v>52</v>
      </c>
      <c r="G1402" s="1">
        <v>85576</v>
      </c>
      <c r="H1402" s="1">
        <v>5343017</v>
      </c>
      <c r="I1402" s="1">
        <v>62.435672043010861</v>
      </c>
      <c r="J1402" s="1">
        <v>83878.596145783144</v>
      </c>
      <c r="K1402" s="1">
        <v>75.5</v>
      </c>
      <c r="L1402" s="1">
        <v>70.5</v>
      </c>
      <c r="M1402" s="1">
        <v>63.423114179855602</v>
      </c>
      <c r="N1402" s="1">
        <v>5319842</v>
      </c>
    </row>
    <row r="1403" spans="1:14" x14ac:dyDescent="0.35">
      <c r="A1403" s="1" t="s">
        <v>93</v>
      </c>
      <c r="B1403" s="1">
        <v>202606</v>
      </c>
      <c r="C1403" s="1" t="str">
        <f>MID(analisis_productividad__4[[#This Row],[Periodo]],1,4)</f>
        <v>2026</v>
      </c>
      <c r="D1403" s="1" t="str">
        <f>MID(analisis_productividad__4[[#This Row],[Periodo]],5,2)</f>
        <v>06</v>
      </c>
      <c r="E1403" s="1" t="s">
        <v>16</v>
      </c>
      <c r="F1403" s="1" t="s">
        <v>17</v>
      </c>
      <c r="G1403" s="1">
        <v>85531</v>
      </c>
      <c r="H1403" s="1">
        <v>5945118</v>
      </c>
      <c r="I1403" s="1">
        <v>69.508590277778993</v>
      </c>
      <c r="J1403" s="1">
        <v>81379.791638095237</v>
      </c>
      <c r="K1403" s="1">
        <v>84</v>
      </c>
      <c r="L1403" s="1">
        <v>76</v>
      </c>
      <c r="M1403" s="1">
        <v>84</v>
      </c>
      <c r="N1403" s="1">
        <v>6835902</v>
      </c>
    </row>
    <row r="1404" spans="1:14" x14ac:dyDescent="0.35">
      <c r="A1404" s="1" t="s">
        <v>23</v>
      </c>
      <c r="B1404" s="1">
        <v>202402</v>
      </c>
      <c r="C1404" s="1" t="str">
        <f>MID(analisis_productividad__4[[#This Row],[Periodo]],1,4)</f>
        <v>2024</v>
      </c>
      <c r="D1404" s="1" t="str">
        <f>MID(analisis_productividad__4[[#This Row],[Periodo]],5,2)</f>
        <v>02</v>
      </c>
      <c r="E1404" s="1" t="s">
        <v>11</v>
      </c>
      <c r="F1404" s="1" t="s">
        <v>12</v>
      </c>
      <c r="G1404" s="1">
        <v>85482</v>
      </c>
      <c r="H1404" s="1">
        <v>5552803</v>
      </c>
      <c r="I1404" s="1">
        <v>64.95899425287358</v>
      </c>
      <c r="J1404" s="1">
        <v>0</v>
      </c>
      <c r="K1404" s="1">
        <v>68.5</v>
      </c>
      <c r="L1404" s="1">
        <v>66</v>
      </c>
      <c r="M1404" s="1"/>
      <c r="N1404" s="1">
        <v>0</v>
      </c>
    </row>
    <row r="1405" spans="1:14" x14ac:dyDescent="0.35">
      <c r="A1405" s="1" t="s">
        <v>53</v>
      </c>
      <c r="B1405" s="1">
        <v>202409</v>
      </c>
      <c r="C1405" s="1" t="str">
        <f>MID(analisis_productividad__4[[#This Row],[Periodo]],1,4)</f>
        <v>2024</v>
      </c>
      <c r="D1405" s="1" t="str">
        <f>MID(analisis_productividad__4[[#This Row],[Periodo]],5,2)</f>
        <v>09</v>
      </c>
      <c r="E1405" s="1" t="s">
        <v>11</v>
      </c>
      <c r="F1405" s="1" t="s">
        <v>12</v>
      </c>
      <c r="G1405" s="1">
        <v>85473</v>
      </c>
      <c r="H1405" s="1">
        <v>5914628</v>
      </c>
      <c r="I1405" s="1">
        <v>69.19859722222229</v>
      </c>
      <c r="J1405" s="1">
        <v>0</v>
      </c>
      <c r="K1405" s="1">
        <v>81</v>
      </c>
      <c r="L1405" s="1">
        <v>77</v>
      </c>
      <c r="M1405" s="1"/>
      <c r="N1405" s="1">
        <v>0</v>
      </c>
    </row>
    <row r="1406" spans="1:14" x14ac:dyDescent="0.35">
      <c r="A1406" s="1" t="s">
        <v>74</v>
      </c>
      <c r="B1406" s="1">
        <v>202602</v>
      </c>
      <c r="C1406" s="1" t="str">
        <f>MID(analisis_productividad__4[[#This Row],[Periodo]],1,4)</f>
        <v>2026</v>
      </c>
      <c r="D1406" s="1" t="str">
        <f>MID(analisis_productividad__4[[#This Row],[Periodo]],5,2)</f>
        <v>02</v>
      </c>
      <c r="E1406" s="1" t="s">
        <v>16</v>
      </c>
      <c r="F1406" s="1" t="s">
        <v>19</v>
      </c>
      <c r="G1406" s="1">
        <v>85439</v>
      </c>
      <c r="H1406" s="1">
        <v>4109009</v>
      </c>
      <c r="I1406" s="1">
        <v>48.092864583333338</v>
      </c>
      <c r="J1406" s="1">
        <v>88469.294435659118</v>
      </c>
      <c r="K1406" s="1">
        <v>50.5</v>
      </c>
      <c r="L1406" s="1">
        <v>51.5</v>
      </c>
      <c r="M1406" s="1">
        <v>44.728769766304502</v>
      </c>
      <c r="N1406" s="1">
        <v>3957123</v>
      </c>
    </row>
    <row r="1407" spans="1:14" x14ac:dyDescent="0.35">
      <c r="A1407" s="1" t="s">
        <v>60</v>
      </c>
      <c r="B1407" s="1">
        <v>202408</v>
      </c>
      <c r="C1407" s="1" t="str">
        <f>MID(analisis_productividad__4[[#This Row],[Periodo]],1,4)</f>
        <v>2024</v>
      </c>
      <c r="D1407" s="1" t="str">
        <f>MID(analisis_productividad__4[[#This Row],[Periodo]],5,2)</f>
        <v>08</v>
      </c>
      <c r="E1407" s="1" t="s">
        <v>11</v>
      </c>
      <c r="F1407" s="1" t="s">
        <v>14</v>
      </c>
      <c r="G1407" s="1">
        <v>85438</v>
      </c>
      <c r="H1407" s="1">
        <v>6211508</v>
      </c>
      <c r="I1407" s="1">
        <v>72.702338709677448</v>
      </c>
      <c r="J1407" s="1">
        <v>0</v>
      </c>
      <c r="K1407" s="1">
        <v>75.5</v>
      </c>
      <c r="L1407" s="1">
        <v>74</v>
      </c>
      <c r="M1407" s="1"/>
      <c r="N1407" s="1">
        <v>0</v>
      </c>
    </row>
    <row r="1408" spans="1:14" x14ac:dyDescent="0.35">
      <c r="A1408" s="1" t="s">
        <v>53</v>
      </c>
      <c r="B1408" s="1">
        <v>202501</v>
      </c>
      <c r="C1408" s="1" t="str">
        <f>MID(analisis_productividad__4[[#This Row],[Periodo]],1,4)</f>
        <v>2025</v>
      </c>
      <c r="D1408" s="1" t="str">
        <f>MID(analisis_productividad__4[[#This Row],[Periodo]],5,2)</f>
        <v>01</v>
      </c>
      <c r="E1408" s="1" t="s">
        <v>11</v>
      </c>
      <c r="F1408" s="1" t="s">
        <v>12</v>
      </c>
      <c r="G1408" s="1">
        <v>85416</v>
      </c>
      <c r="H1408" s="1">
        <v>6365361</v>
      </c>
      <c r="I1408" s="1">
        <v>74.522291666666618</v>
      </c>
      <c r="J1408" s="1">
        <v>99255.260493468319</v>
      </c>
      <c r="K1408" s="1">
        <v>81</v>
      </c>
      <c r="L1408" s="1">
        <v>77</v>
      </c>
      <c r="M1408" s="1">
        <v>64.131216505334592</v>
      </c>
      <c r="N1408" s="1">
        <v>6746822</v>
      </c>
    </row>
    <row r="1409" spans="1:14" x14ac:dyDescent="0.35">
      <c r="A1409" s="1" t="s">
        <v>80</v>
      </c>
      <c r="B1409" s="1">
        <v>202605</v>
      </c>
      <c r="C1409" s="1" t="str">
        <f>MID(analisis_productividad__4[[#This Row],[Periodo]],1,4)</f>
        <v>2026</v>
      </c>
      <c r="D1409" s="1" t="str">
        <f>MID(analisis_productividad__4[[#This Row],[Periodo]],5,2)</f>
        <v>05</v>
      </c>
      <c r="E1409" s="1" t="s">
        <v>16</v>
      </c>
      <c r="F1409" s="1" t="s">
        <v>17</v>
      </c>
      <c r="G1409" s="1">
        <v>85389</v>
      </c>
      <c r="H1409" s="1">
        <v>4642006</v>
      </c>
      <c r="I1409" s="1">
        <v>54.363044354838998</v>
      </c>
      <c r="J1409" s="1">
        <v>92412.722558020017</v>
      </c>
      <c r="K1409" s="1">
        <v>58</v>
      </c>
      <c r="L1409" s="1">
        <v>58.5</v>
      </c>
      <c r="M1409" s="1">
        <v>51.139118040082707</v>
      </c>
      <c r="N1409" s="1">
        <v>4725905</v>
      </c>
    </row>
    <row r="1410" spans="1:14" x14ac:dyDescent="0.35">
      <c r="A1410" s="1" t="s">
        <v>40</v>
      </c>
      <c r="B1410" s="1">
        <v>202411</v>
      </c>
      <c r="C1410" s="1" t="str">
        <f>MID(analisis_productividad__4[[#This Row],[Periodo]],1,4)</f>
        <v>2024</v>
      </c>
      <c r="D1410" s="1" t="str">
        <f>MID(analisis_productividad__4[[#This Row],[Periodo]],5,2)</f>
        <v>11</v>
      </c>
      <c r="E1410" s="1" t="s">
        <v>11</v>
      </c>
      <c r="F1410" s="1" t="s">
        <v>14</v>
      </c>
      <c r="G1410" s="1">
        <v>85358</v>
      </c>
      <c r="H1410" s="1">
        <v>6006843</v>
      </c>
      <c r="I1410" s="1">
        <v>70.372312499999978</v>
      </c>
      <c r="J1410" s="1">
        <v>0</v>
      </c>
      <c r="K1410" s="1">
        <v>76.5</v>
      </c>
      <c r="L1410" s="1">
        <v>75.5</v>
      </c>
      <c r="M1410" s="1"/>
      <c r="N1410" s="1">
        <v>0</v>
      </c>
    </row>
    <row r="1411" spans="1:14" x14ac:dyDescent="0.35">
      <c r="A1411" s="1" t="s">
        <v>72</v>
      </c>
      <c r="B1411" s="1">
        <v>202505</v>
      </c>
      <c r="C1411" s="1" t="str">
        <f>MID(analisis_productividad__4[[#This Row],[Periodo]],1,4)</f>
        <v>2025</v>
      </c>
      <c r="D1411" s="1" t="str">
        <f>MID(analisis_productividad__4[[#This Row],[Periodo]],5,2)</f>
        <v>05</v>
      </c>
      <c r="E1411" s="1" t="s">
        <v>11</v>
      </c>
      <c r="F1411" s="1" t="s">
        <v>14</v>
      </c>
      <c r="G1411" s="1">
        <v>85349</v>
      </c>
      <c r="H1411" s="1">
        <v>4961382</v>
      </c>
      <c r="I1411" s="1">
        <v>58.130295698924726</v>
      </c>
      <c r="J1411" s="1">
        <v>79636.90567189685</v>
      </c>
      <c r="K1411" s="1">
        <v>66</v>
      </c>
      <c r="L1411" s="1">
        <v>64.5</v>
      </c>
      <c r="M1411" s="1">
        <v>62.300034740687188</v>
      </c>
      <c r="N1411" s="1">
        <v>5262384</v>
      </c>
    </row>
    <row r="1412" spans="1:14" x14ac:dyDescent="0.35">
      <c r="A1412" s="1" t="s">
        <v>33</v>
      </c>
      <c r="B1412" s="1">
        <v>202504</v>
      </c>
      <c r="C1412" s="1" t="str">
        <f>MID(analisis_productividad__4[[#This Row],[Periodo]],1,4)</f>
        <v>2025</v>
      </c>
      <c r="D1412" s="1" t="str">
        <f>MID(analisis_productividad__4[[#This Row],[Periodo]],5,2)</f>
        <v>04</v>
      </c>
      <c r="E1412" s="1" t="s">
        <v>34</v>
      </c>
      <c r="F1412" s="1" t="s">
        <v>35</v>
      </c>
      <c r="G1412" s="1">
        <v>85315</v>
      </c>
      <c r="H1412" s="1">
        <v>1044238</v>
      </c>
      <c r="I1412" s="1">
        <v>12.239791666666669</v>
      </c>
      <c r="J1412" s="1">
        <v>77987.59576363457</v>
      </c>
      <c r="K1412" s="1">
        <v>15</v>
      </c>
      <c r="L1412" s="1">
        <v>15</v>
      </c>
      <c r="M1412" s="1">
        <v>13.38979782329597</v>
      </c>
      <c r="N1412" s="1">
        <v>1046718</v>
      </c>
    </row>
    <row r="1413" spans="1:14" x14ac:dyDescent="0.35">
      <c r="A1413" s="1" t="s">
        <v>78</v>
      </c>
      <c r="B1413" s="1">
        <v>202412</v>
      </c>
      <c r="C1413" s="1" t="str">
        <f>MID(analisis_productividad__4[[#This Row],[Periodo]],1,4)</f>
        <v>2024</v>
      </c>
      <c r="D1413" s="1" t="str">
        <f>MID(analisis_productividad__4[[#This Row],[Periodo]],5,2)</f>
        <v>12</v>
      </c>
      <c r="E1413" s="1" t="s">
        <v>11</v>
      </c>
      <c r="F1413" s="1" t="s">
        <v>14</v>
      </c>
      <c r="G1413" s="1">
        <v>85305</v>
      </c>
      <c r="H1413" s="1">
        <v>7093370</v>
      </c>
      <c r="I1413" s="1">
        <v>83.152567204301079</v>
      </c>
      <c r="J1413" s="1">
        <v>0</v>
      </c>
      <c r="K1413" s="1">
        <v>79.5</v>
      </c>
      <c r="L1413" s="1">
        <v>67</v>
      </c>
      <c r="M1413" s="1"/>
      <c r="N1413" s="1">
        <v>0</v>
      </c>
    </row>
    <row r="1414" spans="1:14" x14ac:dyDescent="0.35">
      <c r="A1414" s="1" t="s">
        <v>32</v>
      </c>
      <c r="B1414" s="1">
        <v>202409</v>
      </c>
      <c r="C1414" s="1" t="str">
        <f>MID(analisis_productividad__4[[#This Row],[Periodo]],1,4)</f>
        <v>2024</v>
      </c>
      <c r="D1414" s="1" t="str">
        <f>MID(analisis_productividad__4[[#This Row],[Periodo]],5,2)</f>
        <v>09</v>
      </c>
      <c r="E1414" s="1" t="s">
        <v>11</v>
      </c>
      <c r="F1414" s="1" t="s">
        <v>12</v>
      </c>
      <c r="G1414" s="1">
        <v>85268</v>
      </c>
      <c r="H1414" s="1">
        <v>5032237</v>
      </c>
      <c r="I1414" s="1">
        <v>59.016999999999996</v>
      </c>
      <c r="J1414" s="1">
        <v>0</v>
      </c>
      <c r="K1414" s="1">
        <v>65.5</v>
      </c>
      <c r="L1414" s="1">
        <v>66</v>
      </c>
      <c r="M1414" s="1"/>
      <c r="N1414" s="1">
        <v>0</v>
      </c>
    </row>
    <row r="1415" spans="1:14" x14ac:dyDescent="0.35">
      <c r="A1415" s="1" t="s">
        <v>80</v>
      </c>
      <c r="B1415" s="1">
        <v>202602</v>
      </c>
      <c r="C1415" s="1" t="str">
        <f>MID(analisis_productividad__4[[#This Row],[Periodo]],1,4)</f>
        <v>2026</v>
      </c>
      <c r="D1415" s="1" t="str">
        <f>MID(analisis_productividad__4[[#This Row],[Periodo]],5,2)</f>
        <v>02</v>
      </c>
      <c r="E1415" s="1" t="s">
        <v>16</v>
      </c>
      <c r="F1415" s="1" t="s">
        <v>17</v>
      </c>
      <c r="G1415" s="1">
        <v>85216</v>
      </c>
      <c r="H1415" s="1">
        <v>4566035</v>
      </c>
      <c r="I1415" s="1">
        <v>53.581666666666656</v>
      </c>
      <c r="J1415" s="1">
        <v>78919.725859110127</v>
      </c>
      <c r="K1415" s="1">
        <v>58</v>
      </c>
      <c r="L1415" s="1">
        <v>58.5</v>
      </c>
      <c r="M1415" s="1">
        <v>51.139118040082707</v>
      </c>
      <c r="N1415" s="1">
        <v>4035885</v>
      </c>
    </row>
    <row r="1416" spans="1:14" x14ac:dyDescent="0.35">
      <c r="A1416" s="1" t="s">
        <v>73</v>
      </c>
      <c r="B1416" s="1">
        <v>202602</v>
      </c>
      <c r="C1416" s="1" t="str">
        <f>MID(analisis_productividad__4[[#This Row],[Periodo]],1,4)</f>
        <v>2026</v>
      </c>
      <c r="D1416" s="1" t="str">
        <f>MID(analisis_productividad__4[[#This Row],[Periodo]],5,2)</f>
        <v>02</v>
      </c>
      <c r="E1416" s="1" t="s">
        <v>16</v>
      </c>
      <c r="F1416" s="1" t="s">
        <v>21</v>
      </c>
      <c r="G1416" s="1">
        <v>85216</v>
      </c>
      <c r="H1416" s="1">
        <v>3154591</v>
      </c>
      <c r="I1416" s="1">
        <v>37.018645833333331</v>
      </c>
      <c r="J1416" s="1">
        <v>83887.643432057477</v>
      </c>
      <c r="K1416" s="1">
        <v>43.5</v>
      </c>
      <c r="L1416" s="1">
        <v>41</v>
      </c>
      <c r="M1416" s="1">
        <v>38.914029696684921</v>
      </c>
      <c r="N1416" s="1">
        <v>3264406</v>
      </c>
    </row>
    <row r="1417" spans="1:14" x14ac:dyDescent="0.35">
      <c r="A1417" s="1" t="s">
        <v>20</v>
      </c>
      <c r="B1417" s="1">
        <v>202508</v>
      </c>
      <c r="C1417" s="1" t="str">
        <f>MID(analisis_productividad__4[[#This Row],[Periodo]],1,4)</f>
        <v>2025</v>
      </c>
      <c r="D1417" s="1" t="str">
        <f>MID(analisis_productividad__4[[#This Row],[Periodo]],5,2)</f>
        <v>08</v>
      </c>
      <c r="E1417" s="1" t="s">
        <v>16</v>
      </c>
      <c r="F1417" s="1" t="s">
        <v>21</v>
      </c>
      <c r="G1417" s="1">
        <v>85212</v>
      </c>
      <c r="H1417" s="1">
        <v>7795474</v>
      </c>
      <c r="I1417" s="1">
        <v>91.483366935483872</v>
      </c>
      <c r="J1417" s="1">
        <v>98546.041429934572</v>
      </c>
      <c r="K1417" s="1">
        <v>96.5</v>
      </c>
      <c r="L1417" s="1">
        <v>94</v>
      </c>
      <c r="M1417" s="1">
        <v>79.104890535278543</v>
      </c>
      <c r="N1417" s="1">
        <v>8110563</v>
      </c>
    </row>
    <row r="1418" spans="1:14" x14ac:dyDescent="0.35">
      <c r="A1418" s="1" t="s">
        <v>49</v>
      </c>
      <c r="B1418" s="1">
        <v>202405</v>
      </c>
      <c r="C1418" s="1" t="str">
        <f>MID(analisis_productividad__4[[#This Row],[Periodo]],1,4)</f>
        <v>2024</v>
      </c>
      <c r="D1418" s="1" t="str">
        <f>MID(analisis_productividad__4[[#This Row],[Periodo]],5,2)</f>
        <v>05</v>
      </c>
      <c r="E1418" s="1" t="s">
        <v>16</v>
      </c>
      <c r="F1418" s="1" t="s">
        <v>21</v>
      </c>
      <c r="G1418" s="1">
        <v>85205</v>
      </c>
      <c r="H1418" s="1">
        <v>5572631</v>
      </c>
      <c r="I1418" s="1">
        <v>65.402580645161308</v>
      </c>
      <c r="J1418" s="1">
        <v>0</v>
      </c>
      <c r="K1418" s="1">
        <v>75.5</v>
      </c>
      <c r="L1418" s="1">
        <v>68</v>
      </c>
      <c r="M1418" s="1"/>
      <c r="N1418" s="1">
        <v>0</v>
      </c>
    </row>
    <row r="1419" spans="1:14" x14ac:dyDescent="0.35">
      <c r="A1419" s="1" t="s">
        <v>70</v>
      </c>
      <c r="B1419" s="1">
        <v>202411</v>
      </c>
      <c r="C1419" s="1" t="str">
        <f>MID(analisis_productividad__4[[#This Row],[Periodo]],1,4)</f>
        <v>2024</v>
      </c>
      <c r="D1419" s="1" t="str">
        <f>MID(analisis_productividad__4[[#This Row],[Periodo]],5,2)</f>
        <v>11</v>
      </c>
      <c r="E1419" s="1" t="s">
        <v>11</v>
      </c>
      <c r="F1419" s="1" t="s">
        <v>14</v>
      </c>
      <c r="G1419" s="1">
        <v>85192</v>
      </c>
      <c r="H1419" s="1">
        <v>4882893</v>
      </c>
      <c r="I1419" s="1">
        <v>57.316340277777769</v>
      </c>
      <c r="J1419" s="1">
        <v>0</v>
      </c>
      <c r="K1419" s="1">
        <v>65</v>
      </c>
      <c r="L1419" s="1">
        <v>67.5</v>
      </c>
      <c r="M1419" s="1"/>
      <c r="N1419" s="1">
        <v>0</v>
      </c>
    </row>
    <row r="1420" spans="1:14" x14ac:dyDescent="0.35">
      <c r="A1420" s="1" t="s">
        <v>32</v>
      </c>
      <c r="B1420" s="1">
        <v>202410</v>
      </c>
      <c r="C1420" s="1" t="str">
        <f>MID(analisis_productividad__4[[#This Row],[Periodo]],1,4)</f>
        <v>2024</v>
      </c>
      <c r="D1420" s="1" t="str">
        <f>MID(analisis_productividad__4[[#This Row],[Periodo]],5,2)</f>
        <v>10</v>
      </c>
      <c r="E1420" s="1" t="s">
        <v>11</v>
      </c>
      <c r="F1420" s="1" t="s">
        <v>12</v>
      </c>
      <c r="G1420" s="1">
        <v>85185</v>
      </c>
      <c r="H1420" s="1">
        <v>4996150</v>
      </c>
      <c r="I1420" s="1">
        <v>58.650403225806421</v>
      </c>
      <c r="J1420" s="1">
        <v>0</v>
      </c>
      <c r="K1420" s="1">
        <v>65.5</v>
      </c>
      <c r="L1420" s="1">
        <v>66</v>
      </c>
      <c r="M1420" s="1"/>
      <c r="N1420" s="1">
        <v>0</v>
      </c>
    </row>
    <row r="1421" spans="1:14" x14ac:dyDescent="0.35">
      <c r="A1421" s="1" t="s">
        <v>82</v>
      </c>
      <c r="B1421" s="1">
        <v>202407</v>
      </c>
      <c r="C1421" s="1" t="str">
        <f>MID(analisis_productividad__4[[#This Row],[Periodo]],1,4)</f>
        <v>2024</v>
      </c>
      <c r="D1421" s="1" t="str">
        <f>MID(analisis_productividad__4[[#This Row],[Periodo]],5,2)</f>
        <v>07</v>
      </c>
      <c r="E1421" s="1" t="s">
        <v>11</v>
      </c>
      <c r="F1421" s="1" t="s">
        <v>12</v>
      </c>
      <c r="G1421" s="1">
        <v>85177</v>
      </c>
      <c r="H1421" s="1">
        <v>4646734</v>
      </c>
      <c r="I1421" s="1">
        <v>54.553756720430094</v>
      </c>
      <c r="J1421" s="1">
        <v>0</v>
      </c>
      <c r="K1421" s="1">
        <v>53.5</v>
      </c>
      <c r="L1421" s="1">
        <v>54</v>
      </c>
      <c r="M1421" s="1"/>
      <c r="N1421" s="1">
        <v>0</v>
      </c>
    </row>
    <row r="1422" spans="1:14" x14ac:dyDescent="0.35">
      <c r="A1422" s="1" t="s">
        <v>64</v>
      </c>
      <c r="B1422" s="1">
        <v>202501</v>
      </c>
      <c r="C1422" s="1" t="str">
        <f>MID(analisis_productividad__4[[#This Row],[Periodo]],1,4)</f>
        <v>2025</v>
      </c>
      <c r="D1422" s="1" t="str">
        <f>MID(analisis_productividad__4[[#This Row],[Periodo]],5,2)</f>
        <v>01</v>
      </c>
      <c r="E1422" s="1" t="s">
        <v>16</v>
      </c>
      <c r="F1422" s="1" t="s">
        <v>21</v>
      </c>
      <c r="G1422" s="1">
        <v>85167</v>
      </c>
      <c r="H1422" s="1">
        <v>6602095</v>
      </c>
      <c r="I1422" s="1">
        <v>77.519260752688155</v>
      </c>
      <c r="J1422" s="1">
        <v>91983.971404920347</v>
      </c>
      <c r="K1422" s="1">
        <v>88.5</v>
      </c>
      <c r="L1422" s="1">
        <v>92.5</v>
      </c>
      <c r="M1422" s="1">
        <v>71.774406879401653</v>
      </c>
      <c r="N1422" s="1">
        <v>6656625</v>
      </c>
    </row>
    <row r="1423" spans="1:14" x14ac:dyDescent="0.35">
      <c r="A1423" s="1" t="s">
        <v>70</v>
      </c>
      <c r="B1423" s="1">
        <v>202504</v>
      </c>
      <c r="C1423" s="1" t="str">
        <f>MID(analisis_productividad__4[[#This Row],[Periodo]],1,4)</f>
        <v>2025</v>
      </c>
      <c r="D1423" s="1" t="str">
        <f>MID(analisis_productividad__4[[#This Row],[Periodo]],5,2)</f>
        <v>04</v>
      </c>
      <c r="E1423" s="1" t="s">
        <v>11</v>
      </c>
      <c r="F1423" s="1" t="s">
        <v>14</v>
      </c>
      <c r="G1423" s="1">
        <v>85130</v>
      </c>
      <c r="H1423" s="1">
        <v>4828770</v>
      </c>
      <c r="I1423" s="1">
        <v>56.722604166666663</v>
      </c>
      <c r="J1423" s="1">
        <v>87863.138701619449</v>
      </c>
      <c r="K1423" s="1">
        <v>65</v>
      </c>
      <c r="L1423" s="1">
        <v>67.5</v>
      </c>
      <c r="M1423" s="1">
        <v>54.957859704948113</v>
      </c>
      <c r="N1423" s="1">
        <v>5052109</v>
      </c>
    </row>
    <row r="1424" spans="1:14" x14ac:dyDescent="0.35">
      <c r="A1424" s="1" t="s">
        <v>72</v>
      </c>
      <c r="B1424" s="1">
        <v>202510</v>
      </c>
      <c r="C1424" s="1" t="str">
        <f>MID(analisis_productividad__4[[#This Row],[Periodo]],1,4)</f>
        <v>2025</v>
      </c>
      <c r="D1424" s="1" t="str">
        <f>MID(analisis_productividad__4[[#This Row],[Periodo]],5,2)</f>
        <v>10</v>
      </c>
      <c r="E1424" s="1" t="s">
        <v>11</v>
      </c>
      <c r="F1424" s="1" t="s">
        <v>14</v>
      </c>
      <c r="G1424" s="1">
        <v>85121</v>
      </c>
      <c r="H1424" s="1">
        <v>4377216</v>
      </c>
      <c r="I1424" s="1">
        <v>51.423185483870952</v>
      </c>
      <c r="J1424" s="1">
        <v>88727.21641042296</v>
      </c>
      <c r="K1424" s="1">
        <v>66</v>
      </c>
      <c r="L1424" s="1">
        <v>64.5</v>
      </c>
      <c r="M1424" s="1">
        <v>49.333411743161591</v>
      </c>
      <c r="N1424" s="1">
        <v>5411236</v>
      </c>
    </row>
    <row r="1425" spans="1:14" x14ac:dyDescent="0.35">
      <c r="A1425" s="1" t="s">
        <v>95</v>
      </c>
      <c r="B1425" s="1">
        <v>202606</v>
      </c>
      <c r="C1425" s="1" t="str">
        <f>MID(analisis_productividad__4[[#This Row],[Periodo]],1,4)</f>
        <v>2026</v>
      </c>
      <c r="D1425" s="1" t="str">
        <f>MID(analisis_productividad__4[[#This Row],[Periodo]],5,2)</f>
        <v>06</v>
      </c>
      <c r="E1425" s="1" t="s">
        <v>9</v>
      </c>
      <c r="F1425" s="1" t="s">
        <v>9</v>
      </c>
      <c r="G1425" s="1">
        <v>85114</v>
      </c>
      <c r="H1425" s="1">
        <v>673473</v>
      </c>
      <c r="I1425" s="1">
        <v>7.9126250000000073</v>
      </c>
      <c r="J1425" s="1">
        <v>59220.215998492633</v>
      </c>
      <c r="K1425" s="1">
        <v>11</v>
      </c>
      <c r="L1425" s="1">
        <v>11</v>
      </c>
      <c r="M1425" s="1">
        <v>10.04229432420742</v>
      </c>
      <c r="N1425" s="1">
        <v>594707</v>
      </c>
    </row>
    <row r="1426" spans="1:14" x14ac:dyDescent="0.35">
      <c r="A1426" s="1" t="s">
        <v>25</v>
      </c>
      <c r="B1426" s="1">
        <v>202406</v>
      </c>
      <c r="C1426" s="1" t="str">
        <f>MID(analisis_productividad__4[[#This Row],[Periodo]],1,4)</f>
        <v>2024</v>
      </c>
      <c r="D1426" s="1" t="str">
        <f>MID(analisis_productividad__4[[#This Row],[Periodo]],5,2)</f>
        <v>06</v>
      </c>
      <c r="E1426" s="1" t="s">
        <v>16</v>
      </c>
      <c r="F1426" s="1" t="s">
        <v>19</v>
      </c>
      <c r="G1426" s="1">
        <v>85102</v>
      </c>
      <c r="H1426" s="1">
        <v>7278647</v>
      </c>
      <c r="I1426" s="1">
        <v>85.528673611111117</v>
      </c>
      <c r="J1426" s="1">
        <v>0</v>
      </c>
      <c r="K1426" s="1">
        <v>94</v>
      </c>
      <c r="L1426" s="1">
        <v>92</v>
      </c>
      <c r="M1426" s="1"/>
      <c r="N1426" s="1">
        <v>0</v>
      </c>
    </row>
    <row r="1427" spans="1:14" x14ac:dyDescent="0.35">
      <c r="A1427" s="1" t="s">
        <v>88</v>
      </c>
      <c r="B1427" s="1">
        <v>202605</v>
      </c>
      <c r="C1427" s="1" t="str">
        <f>MID(analisis_productividad__4[[#This Row],[Periodo]],1,4)</f>
        <v>2026</v>
      </c>
      <c r="D1427" s="1" t="str">
        <f>MID(analisis_productividad__4[[#This Row],[Periodo]],5,2)</f>
        <v>05</v>
      </c>
      <c r="E1427" s="1" t="s">
        <v>34</v>
      </c>
      <c r="F1427" s="1" t="s">
        <v>35</v>
      </c>
      <c r="G1427" s="1">
        <v>85039</v>
      </c>
      <c r="H1427" s="1">
        <v>1263592</v>
      </c>
      <c r="I1427" s="1">
        <v>14.859005376344063</v>
      </c>
      <c r="J1427" s="1">
        <v>76118.497816267685</v>
      </c>
      <c r="K1427" s="1">
        <v>15.5</v>
      </c>
      <c r="L1427" s="1">
        <v>14.5</v>
      </c>
      <c r="M1427" s="1">
        <v>13.971887755419019</v>
      </c>
      <c r="N1427" s="1">
        <v>1063519</v>
      </c>
    </row>
    <row r="1428" spans="1:14" x14ac:dyDescent="0.35">
      <c r="A1428" s="1" t="s">
        <v>22</v>
      </c>
      <c r="B1428" s="1">
        <v>202509</v>
      </c>
      <c r="C1428" s="1" t="str">
        <f>MID(analisis_productividad__4[[#This Row],[Periodo]],1,4)</f>
        <v>2025</v>
      </c>
      <c r="D1428" s="1" t="str">
        <f>MID(analisis_productividad__4[[#This Row],[Periodo]],5,2)</f>
        <v>09</v>
      </c>
      <c r="E1428" s="1" t="s">
        <v>16</v>
      </c>
      <c r="F1428" s="1" t="s">
        <v>21</v>
      </c>
      <c r="G1428" s="1">
        <v>85007</v>
      </c>
      <c r="H1428" s="1">
        <v>4410946</v>
      </c>
      <c r="I1428" s="1">
        <v>51.889055555555558</v>
      </c>
      <c r="J1428" s="1">
        <v>90650.819636926724</v>
      </c>
      <c r="K1428" s="1">
        <v>59.5</v>
      </c>
      <c r="L1428" s="1">
        <v>55.5</v>
      </c>
      <c r="M1428" s="1">
        <v>48.658643988732294</v>
      </c>
      <c r="N1428" s="1">
        <v>4713786</v>
      </c>
    </row>
    <row r="1429" spans="1:14" x14ac:dyDescent="0.35">
      <c r="A1429" s="1" t="s">
        <v>79</v>
      </c>
      <c r="B1429" s="1">
        <v>202403</v>
      </c>
      <c r="C1429" s="1" t="str">
        <f>MID(analisis_productividad__4[[#This Row],[Periodo]],1,4)</f>
        <v>2024</v>
      </c>
      <c r="D1429" s="1" t="str">
        <f>MID(analisis_productividad__4[[#This Row],[Periodo]],5,2)</f>
        <v>03</v>
      </c>
      <c r="E1429" s="1" t="s">
        <v>11</v>
      </c>
      <c r="F1429" s="1" t="s">
        <v>12</v>
      </c>
      <c r="G1429" s="1">
        <v>85002</v>
      </c>
      <c r="H1429" s="1">
        <v>5991175</v>
      </c>
      <c r="I1429" s="1">
        <v>70.482755376344059</v>
      </c>
      <c r="J1429" s="1">
        <v>0</v>
      </c>
      <c r="K1429" s="1">
        <v>64.5</v>
      </c>
      <c r="L1429" s="1">
        <v>64</v>
      </c>
      <c r="M1429" s="1"/>
      <c r="N1429" s="1">
        <v>0</v>
      </c>
    </row>
    <row r="1430" spans="1:14" x14ac:dyDescent="0.35">
      <c r="A1430" s="1" t="s">
        <v>65</v>
      </c>
      <c r="B1430" s="1">
        <v>202401</v>
      </c>
      <c r="C1430" s="1" t="str">
        <f>MID(analisis_productividad__4[[#This Row],[Periodo]],1,4)</f>
        <v>2024</v>
      </c>
      <c r="D1430" s="1" t="str">
        <f>MID(analisis_productividad__4[[#This Row],[Periodo]],5,2)</f>
        <v>01</v>
      </c>
      <c r="E1430" s="1" t="s">
        <v>16</v>
      </c>
      <c r="F1430" s="1" t="s">
        <v>19</v>
      </c>
      <c r="G1430" s="1">
        <v>84978</v>
      </c>
      <c r="H1430" s="1">
        <v>4874827</v>
      </c>
      <c r="I1430" s="1">
        <v>57.365940860215062</v>
      </c>
      <c r="J1430" s="1">
        <v>0</v>
      </c>
      <c r="K1430" s="1">
        <v>68</v>
      </c>
      <c r="L1430" s="1">
        <v>68.5</v>
      </c>
      <c r="M1430" s="1"/>
      <c r="N1430" s="1">
        <v>0</v>
      </c>
    </row>
    <row r="1431" spans="1:14" x14ac:dyDescent="0.35">
      <c r="A1431" s="1" t="s">
        <v>90</v>
      </c>
      <c r="B1431" s="1">
        <v>202508</v>
      </c>
      <c r="C1431" s="1" t="str">
        <f>MID(analisis_productividad__4[[#This Row],[Periodo]],1,4)</f>
        <v>2025</v>
      </c>
      <c r="D1431" s="1" t="str">
        <f>MID(analisis_productividad__4[[#This Row],[Periodo]],5,2)</f>
        <v>08</v>
      </c>
      <c r="E1431" s="1" t="s">
        <v>11</v>
      </c>
      <c r="F1431" s="1" t="s">
        <v>14</v>
      </c>
      <c r="G1431" s="1">
        <v>84977</v>
      </c>
      <c r="H1431" s="1">
        <v>5584172</v>
      </c>
      <c r="I1431" s="1">
        <v>65.713629032258112</v>
      </c>
      <c r="J1431" s="1">
        <v>83944.98359334562</v>
      </c>
      <c r="K1431" s="1">
        <v>84.5</v>
      </c>
      <c r="L1431" s="1">
        <v>78.5</v>
      </c>
      <c r="M1431" s="1">
        <v>66.521806080174898</v>
      </c>
      <c r="N1431" s="1">
        <v>6047621</v>
      </c>
    </row>
    <row r="1432" spans="1:14" x14ac:dyDescent="0.35">
      <c r="A1432" s="1" t="s">
        <v>54</v>
      </c>
      <c r="B1432" s="1">
        <v>202409</v>
      </c>
      <c r="C1432" s="1" t="str">
        <f>MID(analisis_productividad__4[[#This Row],[Periodo]],1,4)</f>
        <v>2024</v>
      </c>
      <c r="D1432" s="1" t="str">
        <f>MID(analisis_productividad__4[[#This Row],[Periodo]],5,2)</f>
        <v>09</v>
      </c>
      <c r="E1432" s="1" t="s">
        <v>11</v>
      </c>
      <c r="F1432" s="1" t="s">
        <v>52</v>
      </c>
      <c r="G1432" s="1">
        <v>84966</v>
      </c>
      <c r="H1432" s="1">
        <v>8512318</v>
      </c>
      <c r="I1432" s="1">
        <v>100.18443749999996</v>
      </c>
      <c r="J1432" s="1">
        <v>0</v>
      </c>
      <c r="K1432" s="1">
        <v>106</v>
      </c>
      <c r="L1432" s="1">
        <v>102.5</v>
      </c>
      <c r="M1432" s="1"/>
      <c r="N1432" s="1">
        <v>0</v>
      </c>
    </row>
    <row r="1433" spans="1:14" x14ac:dyDescent="0.35">
      <c r="A1433" s="1" t="s">
        <v>94</v>
      </c>
      <c r="B1433" s="1">
        <v>202604</v>
      </c>
      <c r="C1433" s="1" t="str">
        <f>MID(analisis_productividad__4[[#This Row],[Periodo]],1,4)</f>
        <v>2026</v>
      </c>
      <c r="D1433" s="1" t="str">
        <f>MID(analisis_productividad__4[[#This Row],[Periodo]],5,2)</f>
        <v>04</v>
      </c>
      <c r="E1433" s="1" t="s">
        <v>11</v>
      </c>
      <c r="F1433" s="1" t="s">
        <v>52</v>
      </c>
      <c r="G1433" s="1">
        <v>84966</v>
      </c>
      <c r="H1433" s="1">
        <v>5189960</v>
      </c>
      <c r="I1433" s="1">
        <v>61.082729166667548</v>
      </c>
      <c r="J1433" s="1">
        <v>80374.05681853267</v>
      </c>
      <c r="K1433" s="1">
        <v>75.5</v>
      </c>
      <c r="L1433" s="1">
        <v>70.5</v>
      </c>
      <c r="M1433" s="1">
        <v>63.423114179855602</v>
      </c>
      <c r="N1433" s="1">
        <v>5097573</v>
      </c>
    </row>
    <row r="1434" spans="1:14" x14ac:dyDescent="0.35">
      <c r="A1434" s="1" t="s">
        <v>96</v>
      </c>
      <c r="B1434" s="1">
        <v>202605</v>
      </c>
      <c r="C1434" s="1" t="str">
        <f>MID(analisis_productividad__4[[#This Row],[Periodo]],1,4)</f>
        <v>2026</v>
      </c>
      <c r="D1434" s="1" t="str">
        <f>MID(analisis_productividad__4[[#This Row],[Periodo]],5,2)</f>
        <v>05</v>
      </c>
      <c r="E1434" s="1" t="s">
        <v>16</v>
      </c>
      <c r="F1434" s="1" t="s">
        <v>17</v>
      </c>
      <c r="G1434" s="1">
        <v>84942</v>
      </c>
      <c r="H1434" s="1">
        <v>5822326</v>
      </c>
      <c r="I1434" s="1">
        <v>68.544489247312427</v>
      </c>
      <c r="J1434" s="1">
        <v>63624.533322619056</v>
      </c>
      <c r="K1434" s="1">
        <v>84</v>
      </c>
      <c r="L1434" s="1">
        <v>76.5</v>
      </c>
      <c r="M1434" s="1">
        <v>84</v>
      </c>
      <c r="N1434" s="1">
        <v>5344461</v>
      </c>
    </row>
    <row r="1435" spans="1:14" x14ac:dyDescent="0.35">
      <c r="A1435" s="1" t="s">
        <v>59</v>
      </c>
      <c r="B1435" s="1">
        <v>202411</v>
      </c>
      <c r="C1435" s="1" t="str">
        <f>MID(analisis_productividad__4[[#This Row],[Periodo]],1,4)</f>
        <v>2024</v>
      </c>
      <c r="D1435" s="1" t="str">
        <f>MID(analisis_productividad__4[[#This Row],[Periodo]],5,2)</f>
        <v>11</v>
      </c>
      <c r="E1435" s="1" t="s">
        <v>11</v>
      </c>
      <c r="F1435" s="1" t="s">
        <v>12</v>
      </c>
      <c r="G1435" s="1">
        <v>84895</v>
      </c>
      <c r="H1435" s="1">
        <v>7769904</v>
      </c>
      <c r="I1435" s="1">
        <v>91.523736111111219</v>
      </c>
      <c r="J1435" s="1">
        <v>0</v>
      </c>
      <c r="K1435" s="1">
        <v>94.5</v>
      </c>
      <c r="L1435" s="1">
        <v>97</v>
      </c>
      <c r="M1435" s="1"/>
      <c r="N1435" s="1">
        <v>0</v>
      </c>
    </row>
    <row r="1436" spans="1:14" x14ac:dyDescent="0.35">
      <c r="A1436" s="1" t="s">
        <v>32</v>
      </c>
      <c r="B1436" s="1">
        <v>202506</v>
      </c>
      <c r="C1436" s="1" t="str">
        <f>MID(analisis_productividad__4[[#This Row],[Periodo]],1,4)</f>
        <v>2025</v>
      </c>
      <c r="D1436" s="1" t="str">
        <f>MID(analisis_productividad__4[[#This Row],[Periodo]],5,2)</f>
        <v>06</v>
      </c>
      <c r="E1436" s="1" t="s">
        <v>11</v>
      </c>
      <c r="F1436" s="1" t="s">
        <v>12</v>
      </c>
      <c r="G1436" s="1">
        <v>84892</v>
      </c>
      <c r="H1436" s="1">
        <v>5005931</v>
      </c>
      <c r="I1436" s="1">
        <v>58.968291666666687</v>
      </c>
      <c r="J1436" s="1">
        <v>97165.792200439813</v>
      </c>
      <c r="K1436" s="1">
        <v>65.5</v>
      </c>
      <c r="L1436" s="1">
        <v>66</v>
      </c>
      <c r="M1436" s="1">
        <v>51.519476418958682</v>
      </c>
      <c r="N1436" s="1">
        <v>5651981</v>
      </c>
    </row>
    <row r="1437" spans="1:14" x14ac:dyDescent="0.35">
      <c r="A1437" s="1" t="s">
        <v>75</v>
      </c>
      <c r="B1437" s="1">
        <v>202407</v>
      </c>
      <c r="C1437" s="1" t="str">
        <f>MID(analisis_productividad__4[[#This Row],[Periodo]],1,4)</f>
        <v>2024</v>
      </c>
      <c r="D1437" s="1" t="str">
        <f>MID(analisis_productividad__4[[#This Row],[Periodo]],5,2)</f>
        <v>07</v>
      </c>
      <c r="E1437" s="1" t="s">
        <v>11</v>
      </c>
      <c r="F1437" s="1" t="s">
        <v>52</v>
      </c>
      <c r="G1437" s="1">
        <v>84869</v>
      </c>
      <c r="H1437" s="1">
        <v>9574233</v>
      </c>
      <c r="I1437" s="1">
        <v>112.81252688172042</v>
      </c>
      <c r="J1437" s="1">
        <v>0</v>
      </c>
      <c r="K1437" s="1">
        <v>118</v>
      </c>
      <c r="L1437" s="1">
        <v>106</v>
      </c>
      <c r="M1437" s="1"/>
      <c r="N1437" s="1">
        <v>0</v>
      </c>
    </row>
    <row r="1438" spans="1:14" x14ac:dyDescent="0.35">
      <c r="A1438" s="1" t="s">
        <v>43</v>
      </c>
      <c r="B1438" s="1">
        <v>202401</v>
      </c>
      <c r="C1438" s="1" t="str">
        <f>MID(analisis_productividad__4[[#This Row],[Periodo]],1,4)</f>
        <v>2024</v>
      </c>
      <c r="D1438" s="1" t="str">
        <f>MID(analisis_productividad__4[[#This Row],[Periodo]],5,2)</f>
        <v>01</v>
      </c>
      <c r="E1438" s="1" t="s">
        <v>11</v>
      </c>
      <c r="F1438" s="1" t="s">
        <v>12</v>
      </c>
      <c r="G1438" s="1">
        <v>84860</v>
      </c>
      <c r="H1438" s="1">
        <v>6257670</v>
      </c>
      <c r="I1438" s="1">
        <v>73.741189516129012</v>
      </c>
      <c r="J1438" s="1">
        <v>0</v>
      </c>
      <c r="K1438" s="1">
        <v>84.5</v>
      </c>
      <c r="L1438" s="1">
        <v>86.5</v>
      </c>
      <c r="M1438" s="1"/>
      <c r="N1438" s="1">
        <v>0</v>
      </c>
    </row>
    <row r="1439" spans="1:14" x14ac:dyDescent="0.35">
      <c r="A1439" s="1" t="s">
        <v>96</v>
      </c>
      <c r="B1439" s="1">
        <v>202512</v>
      </c>
      <c r="C1439" s="1" t="str">
        <f>MID(analisis_productividad__4[[#This Row],[Periodo]],1,4)</f>
        <v>2025</v>
      </c>
      <c r="D1439" s="1" t="str">
        <f>MID(analisis_productividad__4[[#This Row],[Periodo]],5,2)</f>
        <v>12</v>
      </c>
      <c r="E1439" s="1" t="s">
        <v>16</v>
      </c>
      <c r="F1439" s="1" t="s">
        <v>17</v>
      </c>
      <c r="G1439" s="1">
        <v>84857</v>
      </c>
      <c r="H1439" s="1">
        <v>8978173</v>
      </c>
      <c r="I1439" s="1">
        <v>105.80302419354831</v>
      </c>
      <c r="J1439" s="1">
        <v>0</v>
      </c>
      <c r="K1439" s="1">
        <v>84</v>
      </c>
      <c r="L1439" s="1">
        <v>76.5</v>
      </c>
      <c r="M1439" s="1"/>
      <c r="N1439" s="1"/>
    </row>
    <row r="1440" spans="1:14" x14ac:dyDescent="0.35">
      <c r="A1440" s="1" t="s">
        <v>84</v>
      </c>
      <c r="B1440" s="1">
        <v>202407</v>
      </c>
      <c r="C1440" s="1" t="str">
        <f>MID(analisis_productividad__4[[#This Row],[Periodo]],1,4)</f>
        <v>2024</v>
      </c>
      <c r="D1440" s="1" t="str">
        <f>MID(analisis_productividad__4[[#This Row],[Periodo]],5,2)</f>
        <v>07</v>
      </c>
      <c r="E1440" s="1" t="s">
        <v>11</v>
      </c>
      <c r="F1440" s="1" t="s">
        <v>52</v>
      </c>
      <c r="G1440" s="1">
        <v>84854</v>
      </c>
      <c r="H1440" s="1">
        <v>9270103</v>
      </c>
      <c r="I1440" s="1">
        <v>109.2475134408602</v>
      </c>
      <c r="J1440" s="1">
        <v>0</v>
      </c>
      <c r="K1440" s="1">
        <v>123</v>
      </c>
      <c r="L1440" s="1">
        <v>115.5</v>
      </c>
      <c r="M1440" s="1"/>
      <c r="N1440" s="1">
        <v>0</v>
      </c>
    </row>
    <row r="1441" spans="1:14" x14ac:dyDescent="0.35">
      <c r="A1441" s="1" t="s">
        <v>40</v>
      </c>
      <c r="B1441" s="1">
        <v>202510</v>
      </c>
      <c r="C1441" s="1" t="str">
        <f>MID(analisis_productividad__4[[#This Row],[Periodo]],1,4)</f>
        <v>2025</v>
      </c>
      <c r="D1441" s="1" t="str">
        <f>MID(analisis_productividad__4[[#This Row],[Periodo]],5,2)</f>
        <v>10</v>
      </c>
      <c r="E1441" s="1" t="s">
        <v>11</v>
      </c>
      <c r="F1441" s="1" t="s">
        <v>14</v>
      </c>
      <c r="G1441" s="1">
        <v>84823</v>
      </c>
      <c r="H1441" s="1">
        <v>5076873</v>
      </c>
      <c r="I1441" s="1">
        <v>59.852728494623655</v>
      </c>
      <c r="J1441" s="1">
        <v>81817.412221505016</v>
      </c>
      <c r="K1441" s="1">
        <v>76.5</v>
      </c>
      <c r="L1441" s="1">
        <v>75.5</v>
      </c>
      <c r="M1441" s="1">
        <v>62.05125317646732</v>
      </c>
      <c r="N1441" s="1">
        <v>6358087</v>
      </c>
    </row>
    <row r="1442" spans="1:14" x14ac:dyDescent="0.35">
      <c r="A1442" s="1" t="s">
        <v>67</v>
      </c>
      <c r="B1442" s="1">
        <v>202508</v>
      </c>
      <c r="C1442" s="1" t="str">
        <f>MID(analisis_productividad__4[[#This Row],[Periodo]],1,4)</f>
        <v>2025</v>
      </c>
      <c r="D1442" s="1" t="str">
        <f>MID(analisis_productividad__4[[#This Row],[Periodo]],5,2)</f>
        <v>08</v>
      </c>
      <c r="E1442" s="1" t="s">
        <v>16</v>
      </c>
      <c r="F1442" s="1" t="s">
        <v>19</v>
      </c>
      <c r="G1442" s="1">
        <v>84817</v>
      </c>
      <c r="H1442" s="1">
        <v>6021073</v>
      </c>
      <c r="I1442" s="1">
        <v>70.989267473118275</v>
      </c>
      <c r="J1442" s="1">
        <v>88337.369544092915</v>
      </c>
      <c r="K1442" s="1">
        <v>79.5</v>
      </c>
      <c r="L1442" s="1">
        <v>81.5</v>
      </c>
      <c r="M1442" s="1">
        <v>68.159981229627022</v>
      </c>
      <c r="N1442" s="1">
        <v>6415387</v>
      </c>
    </row>
    <row r="1443" spans="1:14" x14ac:dyDescent="0.35">
      <c r="A1443" s="1" t="s">
        <v>72</v>
      </c>
      <c r="B1443" s="1">
        <v>202411</v>
      </c>
      <c r="C1443" s="1" t="str">
        <f>MID(analisis_productividad__4[[#This Row],[Periodo]],1,4)</f>
        <v>2024</v>
      </c>
      <c r="D1443" s="1" t="str">
        <f>MID(analisis_productividad__4[[#This Row],[Periodo]],5,2)</f>
        <v>11</v>
      </c>
      <c r="E1443" s="1" t="s">
        <v>11</v>
      </c>
      <c r="F1443" s="1" t="s">
        <v>14</v>
      </c>
      <c r="G1443" s="1">
        <v>84779</v>
      </c>
      <c r="H1443" s="1">
        <v>4892623</v>
      </c>
      <c r="I1443" s="1">
        <v>57.710090277777766</v>
      </c>
      <c r="J1443" s="1">
        <v>0</v>
      </c>
      <c r="K1443" s="1">
        <v>66</v>
      </c>
      <c r="L1443" s="1">
        <v>64.5</v>
      </c>
      <c r="M1443" s="1"/>
      <c r="N1443" s="1">
        <v>0</v>
      </c>
    </row>
    <row r="1444" spans="1:14" x14ac:dyDescent="0.35">
      <c r="A1444" s="1" t="s">
        <v>60</v>
      </c>
      <c r="B1444" s="1">
        <v>202507</v>
      </c>
      <c r="C1444" s="1" t="str">
        <f>MID(analisis_productividad__4[[#This Row],[Periodo]],1,4)</f>
        <v>2025</v>
      </c>
      <c r="D1444" s="1" t="str">
        <f>MID(analisis_productividad__4[[#This Row],[Periodo]],5,2)</f>
        <v>07</v>
      </c>
      <c r="E1444" s="1" t="s">
        <v>11</v>
      </c>
      <c r="F1444" s="1" t="s">
        <v>14</v>
      </c>
      <c r="G1444" s="1">
        <v>84735</v>
      </c>
      <c r="H1444" s="1">
        <v>5559738</v>
      </c>
      <c r="I1444" s="1">
        <v>65.613051075268842</v>
      </c>
      <c r="J1444" s="1">
        <v>94097.902357347761</v>
      </c>
      <c r="K1444" s="1">
        <v>75.5</v>
      </c>
      <c r="L1444" s="1">
        <v>74</v>
      </c>
      <c r="M1444" s="1">
        <v>59.084613266789368</v>
      </c>
      <c r="N1444" s="1">
        <v>6745545</v>
      </c>
    </row>
    <row r="1445" spans="1:14" x14ac:dyDescent="0.35">
      <c r="A1445" s="1" t="s">
        <v>97</v>
      </c>
      <c r="B1445" s="1">
        <v>202603</v>
      </c>
      <c r="C1445" s="1" t="str">
        <f>MID(analisis_productividad__4[[#This Row],[Periodo]],1,4)</f>
        <v>2026</v>
      </c>
      <c r="D1445" s="1" t="str">
        <f>MID(analisis_productividad__4[[#This Row],[Periodo]],5,2)</f>
        <v>03</v>
      </c>
      <c r="E1445" s="1" t="s">
        <v>11</v>
      </c>
      <c r="F1445" s="1" t="s">
        <v>12</v>
      </c>
      <c r="G1445" s="1">
        <v>84718</v>
      </c>
      <c r="H1445" s="1">
        <v>5245370</v>
      </c>
      <c r="I1445" s="1">
        <v>61.915376344086056</v>
      </c>
      <c r="J1445" s="1">
        <v>115249.71206746089</v>
      </c>
      <c r="K1445" s="1">
        <v>66.5</v>
      </c>
      <c r="L1445" s="1">
        <v>63.5</v>
      </c>
      <c r="M1445" s="1">
        <v>54.652141241039438</v>
      </c>
      <c r="N1445" s="1">
        <v>6298644</v>
      </c>
    </row>
    <row r="1446" spans="1:14" x14ac:dyDescent="0.35">
      <c r="A1446" s="1" t="s">
        <v>75</v>
      </c>
      <c r="B1446" s="1">
        <v>202405</v>
      </c>
      <c r="C1446" s="1" t="str">
        <f>MID(analisis_productividad__4[[#This Row],[Periodo]],1,4)</f>
        <v>2024</v>
      </c>
      <c r="D1446" s="1" t="str">
        <f>MID(analisis_productividad__4[[#This Row],[Periodo]],5,2)</f>
        <v>05</v>
      </c>
      <c r="E1446" s="1" t="s">
        <v>11</v>
      </c>
      <c r="F1446" s="1" t="s">
        <v>52</v>
      </c>
      <c r="G1446" s="1">
        <v>84691</v>
      </c>
      <c r="H1446" s="1">
        <v>9366916</v>
      </c>
      <c r="I1446" s="1">
        <v>110.60079973118272</v>
      </c>
      <c r="J1446" s="1">
        <v>0</v>
      </c>
      <c r="K1446" s="1">
        <v>118</v>
      </c>
      <c r="L1446" s="1">
        <v>106</v>
      </c>
      <c r="M1446" s="1"/>
      <c r="N1446" s="1">
        <v>0</v>
      </c>
    </row>
    <row r="1447" spans="1:14" x14ac:dyDescent="0.35">
      <c r="A1447" s="1" t="s">
        <v>56</v>
      </c>
      <c r="B1447" s="1">
        <v>202405</v>
      </c>
      <c r="C1447" s="1" t="str">
        <f>MID(analisis_productividad__4[[#This Row],[Periodo]],1,4)</f>
        <v>2024</v>
      </c>
      <c r="D1447" s="1" t="str">
        <f>MID(analisis_productividad__4[[#This Row],[Periodo]],5,2)</f>
        <v>05</v>
      </c>
      <c r="E1447" s="1" t="s">
        <v>16</v>
      </c>
      <c r="F1447" s="1" t="s">
        <v>21</v>
      </c>
      <c r="G1447" s="1">
        <v>84685</v>
      </c>
      <c r="H1447" s="1">
        <v>5456124</v>
      </c>
      <c r="I1447" s="1">
        <v>64.428555107526876</v>
      </c>
      <c r="J1447" s="1">
        <v>0</v>
      </c>
      <c r="K1447" s="1">
        <v>72.5</v>
      </c>
      <c r="L1447" s="1">
        <v>68.5</v>
      </c>
      <c r="M1447" s="1"/>
      <c r="N1447" s="1">
        <v>0</v>
      </c>
    </row>
    <row r="1448" spans="1:14" x14ac:dyDescent="0.35">
      <c r="A1448" s="1" t="s">
        <v>54</v>
      </c>
      <c r="B1448" s="1">
        <v>202502</v>
      </c>
      <c r="C1448" s="1" t="str">
        <f>MID(analisis_productividad__4[[#This Row],[Periodo]],1,4)</f>
        <v>2025</v>
      </c>
      <c r="D1448" s="1" t="str">
        <f>MID(analisis_productividad__4[[#This Row],[Periodo]],5,2)</f>
        <v>02</v>
      </c>
      <c r="E1448" s="1" t="s">
        <v>11</v>
      </c>
      <c r="F1448" s="1" t="s">
        <v>52</v>
      </c>
      <c r="G1448" s="1">
        <v>84677</v>
      </c>
      <c r="H1448" s="1">
        <v>8443155</v>
      </c>
      <c r="I1448" s="1">
        <v>99.709895833333306</v>
      </c>
      <c r="J1448" s="1">
        <v>83804.933764046975</v>
      </c>
      <c r="K1448" s="1">
        <v>106</v>
      </c>
      <c r="L1448" s="1">
        <v>102.5</v>
      </c>
      <c r="M1448" s="1">
        <v>100.74770458946638</v>
      </c>
      <c r="N1448" s="1">
        <v>8793993</v>
      </c>
    </row>
    <row r="1449" spans="1:14" x14ac:dyDescent="0.35">
      <c r="A1449" s="1" t="s">
        <v>90</v>
      </c>
      <c r="B1449" s="1">
        <v>202503</v>
      </c>
      <c r="C1449" s="1" t="str">
        <f>MID(analisis_productividad__4[[#This Row],[Periodo]],1,4)</f>
        <v>2025</v>
      </c>
      <c r="D1449" s="1" t="str">
        <f>MID(analisis_productividad__4[[#This Row],[Periodo]],5,2)</f>
        <v>03</v>
      </c>
      <c r="E1449" s="1" t="s">
        <v>11</v>
      </c>
      <c r="F1449" s="1" t="s">
        <v>14</v>
      </c>
      <c r="G1449" s="1">
        <v>84663</v>
      </c>
      <c r="H1449" s="1">
        <v>6510177</v>
      </c>
      <c r="I1449" s="1">
        <v>76.894952956989243</v>
      </c>
      <c r="J1449" s="1">
        <v>78823.093919353327</v>
      </c>
      <c r="K1449" s="1">
        <v>84.5</v>
      </c>
      <c r="L1449" s="1">
        <v>78.5</v>
      </c>
      <c r="M1449" s="1">
        <v>82.592260291898583</v>
      </c>
      <c r="N1449" s="1">
        <v>6492837</v>
      </c>
    </row>
    <row r="1450" spans="1:14" x14ac:dyDescent="0.35">
      <c r="A1450" s="1" t="s">
        <v>47</v>
      </c>
      <c r="B1450" s="1">
        <v>202505</v>
      </c>
      <c r="C1450" s="1" t="str">
        <f>MID(analisis_productividad__4[[#This Row],[Periodo]],1,4)</f>
        <v>2025</v>
      </c>
      <c r="D1450" s="1" t="str">
        <f>MID(analisis_productividad__4[[#This Row],[Periodo]],5,2)</f>
        <v>05</v>
      </c>
      <c r="E1450" s="1" t="s">
        <v>11</v>
      </c>
      <c r="F1450" s="1" t="s">
        <v>14</v>
      </c>
      <c r="G1450" s="1">
        <v>84637</v>
      </c>
      <c r="H1450" s="1">
        <v>4542065</v>
      </c>
      <c r="I1450" s="1">
        <v>53.665349462365604</v>
      </c>
      <c r="J1450" s="1">
        <v>75112.829755307568</v>
      </c>
      <c r="K1450" s="1">
        <v>61.5</v>
      </c>
      <c r="L1450" s="1">
        <v>48.5</v>
      </c>
      <c r="M1450" s="1">
        <v>60.469894221753123</v>
      </c>
      <c r="N1450" s="1">
        <v>4769879</v>
      </c>
    </row>
    <row r="1451" spans="1:14" x14ac:dyDescent="0.35">
      <c r="A1451" s="1" t="s">
        <v>73</v>
      </c>
      <c r="B1451" s="1">
        <v>202403</v>
      </c>
      <c r="C1451" s="1" t="str">
        <f>MID(analisis_productividad__4[[#This Row],[Periodo]],1,4)</f>
        <v>2024</v>
      </c>
      <c r="D1451" s="1" t="str">
        <f>MID(analisis_productividad__4[[#This Row],[Periodo]],5,2)</f>
        <v>03</v>
      </c>
      <c r="E1451" s="1" t="s">
        <v>16</v>
      </c>
      <c r="F1451" s="1" t="s">
        <v>21</v>
      </c>
      <c r="G1451" s="1">
        <v>84617</v>
      </c>
      <c r="H1451" s="1">
        <v>3582979</v>
      </c>
      <c r="I1451" s="1">
        <v>42.343649193548373</v>
      </c>
      <c r="J1451" s="1">
        <v>0</v>
      </c>
      <c r="K1451" s="1">
        <v>43.5</v>
      </c>
      <c r="L1451" s="1">
        <v>41</v>
      </c>
      <c r="M1451" s="1"/>
      <c r="N1451" s="1">
        <v>0</v>
      </c>
    </row>
    <row r="1452" spans="1:14" x14ac:dyDescent="0.35">
      <c r="A1452" s="1" t="s">
        <v>67</v>
      </c>
      <c r="B1452" s="1">
        <v>202407</v>
      </c>
      <c r="C1452" s="1" t="str">
        <f>MID(analisis_productividad__4[[#This Row],[Periodo]],1,4)</f>
        <v>2024</v>
      </c>
      <c r="D1452" s="1" t="str">
        <f>MID(analisis_productividad__4[[#This Row],[Periodo]],5,2)</f>
        <v>07</v>
      </c>
      <c r="E1452" s="1" t="s">
        <v>16</v>
      </c>
      <c r="F1452" s="1" t="s">
        <v>19</v>
      </c>
      <c r="G1452" s="1">
        <v>84597</v>
      </c>
      <c r="H1452" s="1">
        <v>6500272</v>
      </c>
      <c r="I1452" s="1">
        <v>76.838407258064478</v>
      </c>
      <c r="J1452" s="1">
        <v>0</v>
      </c>
      <c r="K1452" s="1">
        <v>79.5</v>
      </c>
      <c r="L1452" s="1">
        <v>81.5</v>
      </c>
      <c r="M1452" s="1"/>
      <c r="N1452" s="1">
        <v>0</v>
      </c>
    </row>
    <row r="1453" spans="1:14" x14ac:dyDescent="0.35">
      <c r="A1453" s="1" t="s">
        <v>56</v>
      </c>
      <c r="B1453" s="1">
        <v>202509</v>
      </c>
      <c r="C1453" s="1" t="str">
        <f>MID(analisis_productividad__4[[#This Row],[Periodo]],1,4)</f>
        <v>2025</v>
      </c>
      <c r="D1453" s="1" t="str">
        <f>MID(analisis_productividad__4[[#This Row],[Periodo]],5,2)</f>
        <v>09</v>
      </c>
      <c r="E1453" s="1" t="s">
        <v>16</v>
      </c>
      <c r="F1453" s="1" t="s">
        <v>21</v>
      </c>
      <c r="G1453" s="1">
        <v>84586</v>
      </c>
      <c r="H1453" s="1">
        <v>4868481</v>
      </c>
      <c r="I1453" s="1">
        <v>57.556770833333339</v>
      </c>
      <c r="J1453" s="1">
        <v>95769.418091802159</v>
      </c>
      <c r="K1453" s="1">
        <v>72.5</v>
      </c>
      <c r="L1453" s="1">
        <v>68.5</v>
      </c>
      <c r="M1453" s="1">
        <v>50.83544973963604</v>
      </c>
      <c r="N1453" s="1">
        <v>5095602</v>
      </c>
    </row>
    <row r="1454" spans="1:14" x14ac:dyDescent="0.35">
      <c r="A1454" s="1" t="s">
        <v>62</v>
      </c>
      <c r="B1454" s="1">
        <v>202406</v>
      </c>
      <c r="C1454" s="1" t="str">
        <f>MID(analisis_productividad__4[[#This Row],[Periodo]],1,4)</f>
        <v>2024</v>
      </c>
      <c r="D1454" s="1" t="str">
        <f>MID(analisis_productividad__4[[#This Row],[Periodo]],5,2)</f>
        <v>06</v>
      </c>
      <c r="E1454" s="1" t="s">
        <v>16</v>
      </c>
      <c r="F1454" s="1" t="s">
        <v>17</v>
      </c>
      <c r="G1454" s="1">
        <v>84550</v>
      </c>
      <c r="H1454" s="1">
        <v>2257866</v>
      </c>
      <c r="I1454" s="1">
        <v>26.704659722222228</v>
      </c>
      <c r="J1454" s="1">
        <v>0</v>
      </c>
      <c r="K1454" s="1">
        <v>32.5</v>
      </c>
      <c r="L1454" s="1">
        <v>32</v>
      </c>
      <c r="M1454" s="1"/>
      <c r="N1454" s="1">
        <v>0</v>
      </c>
    </row>
    <row r="1455" spans="1:14" x14ac:dyDescent="0.35">
      <c r="A1455" s="1" t="s">
        <v>81</v>
      </c>
      <c r="B1455" s="1">
        <v>202509</v>
      </c>
      <c r="C1455" s="1" t="str">
        <f>MID(analisis_productividad__4[[#This Row],[Periodo]],1,4)</f>
        <v>2025</v>
      </c>
      <c r="D1455" s="1" t="str">
        <f>MID(analisis_productividad__4[[#This Row],[Periodo]],5,2)</f>
        <v>09</v>
      </c>
      <c r="E1455" s="1" t="s">
        <v>34</v>
      </c>
      <c r="F1455" s="1" t="s">
        <v>35</v>
      </c>
      <c r="G1455" s="1">
        <v>84527</v>
      </c>
      <c r="H1455" s="1">
        <v>7195548</v>
      </c>
      <c r="I1455" s="1">
        <v>85.127486111111082</v>
      </c>
      <c r="J1455" s="1">
        <v>87336.940686409711</v>
      </c>
      <c r="K1455" s="1">
        <v>106</v>
      </c>
      <c r="L1455" s="1">
        <v>94.5</v>
      </c>
      <c r="M1455" s="1">
        <v>82.388363542938734</v>
      </c>
      <c r="N1455" s="1">
        <v>7658667</v>
      </c>
    </row>
    <row r="1456" spans="1:14" x14ac:dyDescent="0.35">
      <c r="A1456" s="1" t="s">
        <v>72</v>
      </c>
      <c r="B1456" s="1">
        <v>202410</v>
      </c>
      <c r="C1456" s="1" t="str">
        <f>MID(analisis_productividad__4[[#This Row],[Periodo]],1,4)</f>
        <v>2024</v>
      </c>
      <c r="D1456" s="1" t="str">
        <f>MID(analisis_productividad__4[[#This Row],[Periodo]],5,2)</f>
        <v>10</v>
      </c>
      <c r="E1456" s="1" t="s">
        <v>11</v>
      </c>
      <c r="F1456" s="1" t="s">
        <v>14</v>
      </c>
      <c r="G1456" s="1">
        <v>84502</v>
      </c>
      <c r="H1456" s="1">
        <v>4797288</v>
      </c>
      <c r="I1456" s="1">
        <v>56.771223118279565</v>
      </c>
      <c r="J1456" s="1">
        <v>0</v>
      </c>
      <c r="K1456" s="1">
        <v>66</v>
      </c>
      <c r="L1456" s="1">
        <v>64.5</v>
      </c>
      <c r="M1456" s="1"/>
      <c r="N1456" s="1">
        <v>0</v>
      </c>
    </row>
    <row r="1457" spans="1:14" x14ac:dyDescent="0.35">
      <c r="A1457" s="1" t="s">
        <v>67</v>
      </c>
      <c r="B1457" s="1">
        <v>202411</v>
      </c>
      <c r="C1457" s="1" t="str">
        <f>MID(analisis_productividad__4[[#This Row],[Periodo]],1,4)</f>
        <v>2024</v>
      </c>
      <c r="D1457" s="1" t="str">
        <f>MID(analisis_productividad__4[[#This Row],[Periodo]],5,2)</f>
        <v>11</v>
      </c>
      <c r="E1457" s="1" t="s">
        <v>16</v>
      </c>
      <c r="F1457" s="1" t="s">
        <v>19</v>
      </c>
      <c r="G1457" s="1">
        <v>84471</v>
      </c>
      <c r="H1457" s="1">
        <v>6074998</v>
      </c>
      <c r="I1457" s="1">
        <v>71.917756944444477</v>
      </c>
      <c r="J1457" s="1">
        <v>0</v>
      </c>
      <c r="K1457" s="1">
        <v>79.5</v>
      </c>
      <c r="L1457" s="1">
        <v>81.5</v>
      </c>
      <c r="M1457" s="1"/>
      <c r="N1457" s="1">
        <v>0</v>
      </c>
    </row>
    <row r="1458" spans="1:14" x14ac:dyDescent="0.35">
      <c r="A1458" s="1" t="s">
        <v>102</v>
      </c>
      <c r="B1458" s="1">
        <v>202512</v>
      </c>
      <c r="C1458" s="1" t="str">
        <f>MID(analisis_productividad__4[[#This Row],[Periodo]],1,4)</f>
        <v>2025</v>
      </c>
      <c r="D1458" s="1" t="str">
        <f>MID(analisis_productividad__4[[#This Row],[Periodo]],5,2)</f>
        <v>12</v>
      </c>
      <c r="E1458" s="1" t="s">
        <v>11</v>
      </c>
      <c r="F1458" s="1" t="s">
        <v>12</v>
      </c>
      <c r="G1458" s="1">
        <v>84468</v>
      </c>
      <c r="H1458" s="1">
        <v>2672423</v>
      </c>
      <c r="I1458" s="1">
        <v>31.638165322580623</v>
      </c>
      <c r="J1458" s="1">
        <v>80358.84754660973</v>
      </c>
      <c r="K1458" s="1">
        <v>34</v>
      </c>
      <c r="L1458" s="1">
        <v>34</v>
      </c>
      <c r="M1458" s="1">
        <v>33.256117920928901</v>
      </c>
      <c r="N1458" s="1">
        <v>2957685</v>
      </c>
    </row>
    <row r="1459" spans="1:14" x14ac:dyDescent="0.35">
      <c r="A1459" s="1" t="s">
        <v>48</v>
      </c>
      <c r="B1459" s="1">
        <v>202601</v>
      </c>
      <c r="C1459" s="1" t="str">
        <f>MID(analisis_productividad__4[[#This Row],[Periodo]],1,4)</f>
        <v>2026</v>
      </c>
      <c r="D1459" s="1" t="str">
        <f>MID(analisis_productividad__4[[#This Row],[Periodo]],5,2)</f>
        <v>01</v>
      </c>
      <c r="E1459" s="1" t="s">
        <v>16</v>
      </c>
      <c r="F1459" s="1" t="s">
        <v>21</v>
      </c>
      <c r="G1459" s="1">
        <v>84445</v>
      </c>
      <c r="H1459" s="1">
        <v>4507405</v>
      </c>
      <c r="I1459" s="1">
        <v>53.376693548387088</v>
      </c>
      <c r="J1459" s="1">
        <v>106820.09593599169</v>
      </c>
      <c r="K1459" s="1">
        <v>56</v>
      </c>
      <c r="L1459" s="1">
        <v>60</v>
      </c>
      <c r="M1459" s="1">
        <v>48.493991244906013</v>
      </c>
      <c r="N1459" s="1">
        <v>5180133</v>
      </c>
    </row>
    <row r="1460" spans="1:14" x14ac:dyDescent="0.35">
      <c r="A1460" s="1" t="s">
        <v>91</v>
      </c>
      <c r="B1460" s="1">
        <v>202503</v>
      </c>
      <c r="C1460" s="1" t="str">
        <f>MID(analisis_productividad__4[[#This Row],[Periodo]],1,4)</f>
        <v>2025</v>
      </c>
      <c r="D1460" s="1" t="str">
        <f>MID(analisis_productividad__4[[#This Row],[Periodo]],5,2)</f>
        <v>03</v>
      </c>
      <c r="E1460" s="1" t="s">
        <v>11</v>
      </c>
      <c r="F1460" s="1" t="s">
        <v>12</v>
      </c>
      <c r="G1460" s="1">
        <v>84438</v>
      </c>
      <c r="H1460" s="1">
        <v>4531729</v>
      </c>
      <c r="I1460" s="1">
        <v>53.669583333333343</v>
      </c>
      <c r="J1460" s="1">
        <v>77226.908339083093</v>
      </c>
      <c r="K1460" s="1">
        <v>55</v>
      </c>
      <c r="L1460" s="1">
        <v>55.5</v>
      </c>
      <c r="M1460" s="1">
        <v>58.680697537474465</v>
      </c>
      <c r="N1460" s="1">
        <v>4478394</v>
      </c>
    </row>
    <row r="1461" spans="1:14" x14ac:dyDescent="0.35">
      <c r="A1461" s="1" t="s">
        <v>87</v>
      </c>
      <c r="B1461" s="1">
        <v>202402</v>
      </c>
      <c r="C1461" s="1" t="str">
        <f>MID(analisis_productividad__4[[#This Row],[Periodo]],1,4)</f>
        <v>2024</v>
      </c>
      <c r="D1461" s="1" t="str">
        <f>MID(analisis_productividad__4[[#This Row],[Periodo]],5,2)</f>
        <v>02</v>
      </c>
      <c r="E1461" s="1" t="s">
        <v>9</v>
      </c>
      <c r="F1461" s="1" t="s">
        <v>9</v>
      </c>
      <c r="G1461" s="1">
        <v>84436</v>
      </c>
      <c r="H1461" s="1">
        <v>998879</v>
      </c>
      <c r="I1461" s="1">
        <v>11.830050287356322</v>
      </c>
      <c r="J1461" s="1">
        <v>0</v>
      </c>
      <c r="K1461" s="1">
        <v>13.5</v>
      </c>
      <c r="L1461" s="1">
        <v>12</v>
      </c>
      <c r="M1461" s="1"/>
      <c r="N1461" s="1">
        <v>0</v>
      </c>
    </row>
    <row r="1462" spans="1:14" x14ac:dyDescent="0.35">
      <c r="A1462" s="1" t="s">
        <v>49</v>
      </c>
      <c r="B1462" s="1">
        <v>202510</v>
      </c>
      <c r="C1462" s="1" t="str">
        <f>MID(analisis_productividad__4[[#This Row],[Periodo]],1,4)</f>
        <v>2025</v>
      </c>
      <c r="D1462" s="1" t="str">
        <f>MID(analisis_productividad__4[[#This Row],[Periodo]],5,2)</f>
        <v>10</v>
      </c>
      <c r="E1462" s="1" t="s">
        <v>16</v>
      </c>
      <c r="F1462" s="1" t="s">
        <v>21</v>
      </c>
      <c r="G1462" s="1">
        <v>84399</v>
      </c>
      <c r="H1462" s="1">
        <v>5115495</v>
      </c>
      <c r="I1462" s="1">
        <v>60.61082661290321</v>
      </c>
      <c r="J1462" s="1">
        <v>88415.469092654239</v>
      </c>
      <c r="K1462" s="1">
        <v>75.5</v>
      </c>
      <c r="L1462" s="1">
        <v>68</v>
      </c>
      <c r="M1462" s="1">
        <v>57.857464677807258</v>
      </c>
      <c r="N1462" s="1">
        <v>6014943</v>
      </c>
    </row>
    <row r="1463" spans="1:14" x14ac:dyDescent="0.35">
      <c r="A1463" s="1" t="s">
        <v>84</v>
      </c>
      <c r="B1463" s="1">
        <v>202505</v>
      </c>
      <c r="C1463" s="1" t="str">
        <f>MID(analisis_productividad__4[[#This Row],[Periodo]],1,4)</f>
        <v>2025</v>
      </c>
      <c r="D1463" s="1" t="str">
        <f>MID(analisis_productividad__4[[#This Row],[Periodo]],5,2)</f>
        <v>05</v>
      </c>
      <c r="E1463" s="1" t="s">
        <v>11</v>
      </c>
      <c r="F1463" s="1" t="s">
        <v>52</v>
      </c>
      <c r="G1463" s="1">
        <v>84392</v>
      </c>
      <c r="H1463" s="1">
        <v>9042337</v>
      </c>
      <c r="I1463" s="1">
        <v>107.14657258064513</v>
      </c>
      <c r="J1463" s="1">
        <v>80539.147445212642</v>
      </c>
      <c r="K1463" s="1">
        <v>123</v>
      </c>
      <c r="L1463" s="1">
        <v>115.5</v>
      </c>
      <c r="M1463" s="1">
        <v>112.27257100220878</v>
      </c>
      <c r="N1463" s="1">
        <v>9459712</v>
      </c>
    </row>
    <row r="1464" spans="1:14" x14ac:dyDescent="0.35">
      <c r="A1464" s="1" t="s">
        <v>97</v>
      </c>
      <c r="B1464" s="1">
        <v>202605</v>
      </c>
      <c r="C1464" s="1" t="str">
        <f>MID(analisis_productividad__4[[#This Row],[Periodo]],1,4)</f>
        <v>2026</v>
      </c>
      <c r="D1464" s="1" t="str">
        <f>MID(analisis_productividad__4[[#This Row],[Periodo]],5,2)</f>
        <v>05</v>
      </c>
      <c r="E1464" s="1" t="s">
        <v>11</v>
      </c>
      <c r="F1464" s="1" t="s">
        <v>12</v>
      </c>
      <c r="G1464" s="1">
        <v>84391</v>
      </c>
      <c r="H1464" s="1">
        <v>4588627</v>
      </c>
      <c r="I1464" s="1">
        <v>54.373205645161192</v>
      </c>
      <c r="J1464" s="1">
        <v>0.89401803644813105</v>
      </c>
      <c r="K1464" s="1">
        <v>66.5</v>
      </c>
      <c r="L1464" s="1">
        <v>63.5</v>
      </c>
      <c r="M1464" s="1">
        <v>54.652141241039438</v>
      </c>
      <c r="N1464" s="1">
        <v>49</v>
      </c>
    </row>
    <row r="1465" spans="1:14" x14ac:dyDescent="0.35">
      <c r="A1465" s="1" t="s">
        <v>44</v>
      </c>
      <c r="B1465" s="1">
        <v>202508</v>
      </c>
      <c r="C1465" s="1" t="str">
        <f>MID(analisis_productividad__4[[#This Row],[Periodo]],1,4)</f>
        <v>2025</v>
      </c>
      <c r="D1465" s="1" t="str">
        <f>MID(analisis_productividad__4[[#This Row],[Periodo]],5,2)</f>
        <v>08</v>
      </c>
      <c r="E1465" s="1" t="s">
        <v>11</v>
      </c>
      <c r="F1465" s="1" t="s">
        <v>12</v>
      </c>
      <c r="G1465" s="1">
        <v>84354</v>
      </c>
      <c r="H1465" s="1">
        <v>5538620</v>
      </c>
      <c r="I1465" s="1">
        <v>65.659435483870979</v>
      </c>
      <c r="J1465" s="1">
        <v>100909.3772828916</v>
      </c>
      <c r="K1465" s="1">
        <v>78</v>
      </c>
      <c r="L1465" s="1">
        <v>74.5</v>
      </c>
      <c r="M1465" s="1">
        <v>54.887066981623626</v>
      </c>
      <c r="N1465" s="1">
        <v>5824418</v>
      </c>
    </row>
    <row r="1466" spans="1:14" x14ac:dyDescent="0.35">
      <c r="A1466" s="1" t="s">
        <v>57</v>
      </c>
      <c r="B1466" s="1">
        <v>202410</v>
      </c>
      <c r="C1466" s="1" t="str">
        <f>MID(analisis_productividad__4[[#This Row],[Periodo]],1,4)</f>
        <v>2024</v>
      </c>
      <c r="D1466" s="1" t="str">
        <f>MID(analisis_productividad__4[[#This Row],[Periodo]],5,2)</f>
        <v>10</v>
      </c>
      <c r="E1466" s="1" t="s">
        <v>16</v>
      </c>
      <c r="F1466" s="1" t="s">
        <v>19</v>
      </c>
      <c r="G1466" s="1">
        <v>84346</v>
      </c>
      <c r="H1466" s="1">
        <v>5547545</v>
      </c>
      <c r="I1466" s="1">
        <v>65.771350806451608</v>
      </c>
      <c r="J1466" s="1">
        <v>0</v>
      </c>
      <c r="K1466" s="1">
        <v>71</v>
      </c>
      <c r="L1466" s="1">
        <v>74.5</v>
      </c>
      <c r="M1466" s="1"/>
      <c r="N1466" s="1">
        <v>0</v>
      </c>
    </row>
    <row r="1467" spans="1:14" x14ac:dyDescent="0.35">
      <c r="A1467" s="1" t="s">
        <v>70</v>
      </c>
      <c r="B1467" s="1">
        <v>202505</v>
      </c>
      <c r="C1467" s="1" t="str">
        <f>MID(analisis_productividad__4[[#This Row],[Periodo]],1,4)</f>
        <v>2025</v>
      </c>
      <c r="D1467" s="1" t="str">
        <f>MID(analisis_productividad__4[[#This Row],[Periodo]],5,2)</f>
        <v>05</v>
      </c>
      <c r="E1467" s="1" t="s">
        <v>11</v>
      </c>
      <c r="F1467" s="1" t="s">
        <v>14</v>
      </c>
      <c r="G1467" s="1">
        <v>84320</v>
      </c>
      <c r="H1467" s="1">
        <v>4904568</v>
      </c>
      <c r="I1467" s="1">
        <v>58.165813172043002</v>
      </c>
      <c r="J1467" s="1">
        <v>88374.525347740608</v>
      </c>
      <c r="K1467" s="1">
        <v>65</v>
      </c>
      <c r="L1467" s="1">
        <v>67.5</v>
      </c>
      <c r="M1467" s="1">
        <v>55.497530885753051</v>
      </c>
      <c r="N1467" s="1">
        <v>5001512</v>
      </c>
    </row>
    <row r="1468" spans="1:14" x14ac:dyDescent="0.35">
      <c r="A1468" s="1" t="s">
        <v>62</v>
      </c>
      <c r="B1468" s="1">
        <v>202401</v>
      </c>
      <c r="C1468" s="1" t="str">
        <f>MID(analisis_productividad__4[[#This Row],[Periodo]],1,4)</f>
        <v>2024</v>
      </c>
      <c r="D1468" s="1" t="str">
        <f>MID(analisis_productividad__4[[#This Row],[Periodo]],5,2)</f>
        <v>01</v>
      </c>
      <c r="E1468" s="1" t="s">
        <v>16</v>
      </c>
      <c r="F1468" s="1" t="s">
        <v>17</v>
      </c>
      <c r="G1468" s="1">
        <v>84320</v>
      </c>
      <c r="H1468" s="1">
        <v>2450372</v>
      </c>
      <c r="I1468" s="1">
        <v>29.060396505376346</v>
      </c>
      <c r="J1468" s="1">
        <v>0</v>
      </c>
      <c r="K1468" s="1">
        <v>32.5</v>
      </c>
      <c r="L1468" s="1">
        <v>32</v>
      </c>
      <c r="M1468" s="1"/>
      <c r="N1468" s="1">
        <v>0</v>
      </c>
    </row>
    <row r="1469" spans="1:14" x14ac:dyDescent="0.35">
      <c r="A1469" s="1" t="s">
        <v>65</v>
      </c>
      <c r="B1469" s="1">
        <v>202509</v>
      </c>
      <c r="C1469" s="1" t="str">
        <f>MID(analisis_productividad__4[[#This Row],[Periodo]],1,4)</f>
        <v>2025</v>
      </c>
      <c r="D1469" s="1" t="str">
        <f>MID(analisis_productividad__4[[#This Row],[Periodo]],5,2)</f>
        <v>09</v>
      </c>
      <c r="E1469" s="1" t="s">
        <v>16</v>
      </c>
      <c r="F1469" s="1" t="s">
        <v>19</v>
      </c>
      <c r="G1469" s="1">
        <v>84237</v>
      </c>
      <c r="H1469" s="1">
        <v>5101105</v>
      </c>
      <c r="I1469" s="1">
        <v>60.556708333333361</v>
      </c>
      <c r="J1469" s="1">
        <v>80932.090177640654</v>
      </c>
      <c r="K1469" s="1">
        <v>68</v>
      </c>
      <c r="L1469" s="1">
        <v>68.5</v>
      </c>
      <c r="M1469" s="1">
        <v>63.029453320721188</v>
      </c>
      <c r="N1469" s="1">
        <v>5124671</v>
      </c>
    </row>
    <row r="1470" spans="1:14" x14ac:dyDescent="0.35">
      <c r="A1470" s="1" t="s">
        <v>76</v>
      </c>
      <c r="B1470" s="1">
        <v>202401</v>
      </c>
      <c r="C1470" s="1" t="str">
        <f>MID(analisis_productividad__4[[#This Row],[Periodo]],1,4)</f>
        <v>2024</v>
      </c>
      <c r="D1470" s="1" t="str">
        <f>MID(analisis_productividad__4[[#This Row],[Periodo]],5,2)</f>
        <v>01</v>
      </c>
      <c r="E1470" s="1" t="s">
        <v>11</v>
      </c>
      <c r="F1470" s="1" t="s">
        <v>14</v>
      </c>
      <c r="G1470" s="1">
        <v>84230</v>
      </c>
      <c r="H1470" s="1">
        <v>6236234</v>
      </c>
      <c r="I1470" s="1">
        <v>74.038548387096768</v>
      </c>
      <c r="J1470" s="1">
        <v>0</v>
      </c>
      <c r="K1470" s="1">
        <v>80</v>
      </c>
      <c r="L1470" s="1">
        <v>78</v>
      </c>
      <c r="M1470" s="1"/>
      <c r="N1470" s="1">
        <v>0</v>
      </c>
    </row>
    <row r="1471" spans="1:14" x14ac:dyDescent="0.35">
      <c r="A1471" s="1" t="s">
        <v>59</v>
      </c>
      <c r="B1471" s="1">
        <v>202510</v>
      </c>
      <c r="C1471" s="1" t="str">
        <f>MID(analisis_productividad__4[[#This Row],[Periodo]],1,4)</f>
        <v>2025</v>
      </c>
      <c r="D1471" s="1" t="str">
        <f>MID(analisis_productividad__4[[#This Row],[Periodo]],5,2)</f>
        <v>10</v>
      </c>
      <c r="E1471" s="1" t="s">
        <v>11</v>
      </c>
      <c r="F1471" s="1" t="s">
        <v>12</v>
      </c>
      <c r="G1471" s="1">
        <v>84227</v>
      </c>
      <c r="H1471" s="1">
        <v>7023880</v>
      </c>
      <c r="I1471" s="1">
        <v>83.392674731182822</v>
      </c>
      <c r="J1471" s="1">
        <v>83093.469953421169</v>
      </c>
      <c r="K1471" s="1">
        <v>94.5</v>
      </c>
      <c r="L1471" s="1">
        <v>97</v>
      </c>
      <c r="M1471" s="1">
        <v>84.529865390593287</v>
      </c>
      <c r="N1471" s="1">
        <v>7194923</v>
      </c>
    </row>
    <row r="1472" spans="1:14" x14ac:dyDescent="0.35">
      <c r="A1472" s="1" t="s">
        <v>84</v>
      </c>
      <c r="B1472" s="1">
        <v>202507</v>
      </c>
      <c r="C1472" s="1" t="str">
        <f>MID(analisis_productividad__4[[#This Row],[Periodo]],1,4)</f>
        <v>2025</v>
      </c>
      <c r="D1472" s="1" t="str">
        <f>MID(analisis_productividad__4[[#This Row],[Periodo]],5,2)</f>
        <v>07</v>
      </c>
      <c r="E1472" s="1" t="s">
        <v>11</v>
      </c>
      <c r="F1472" s="1" t="s">
        <v>52</v>
      </c>
      <c r="G1472" s="1">
        <v>84225</v>
      </c>
      <c r="H1472" s="1">
        <v>8659436</v>
      </c>
      <c r="I1472" s="1">
        <v>102.81273521505378</v>
      </c>
      <c r="J1472" s="1">
        <v>89096.842481171596</v>
      </c>
      <c r="K1472" s="1">
        <v>123</v>
      </c>
      <c r="L1472" s="1">
        <v>115.5</v>
      </c>
      <c r="M1472" s="1">
        <v>97.191277141274171</v>
      </c>
      <c r="N1472" s="1">
        <v>9827263</v>
      </c>
    </row>
    <row r="1473" spans="1:14" x14ac:dyDescent="0.35">
      <c r="A1473" s="1" t="s">
        <v>25</v>
      </c>
      <c r="B1473" s="1">
        <v>202409</v>
      </c>
      <c r="C1473" s="1" t="str">
        <f>MID(analisis_productividad__4[[#This Row],[Periodo]],1,4)</f>
        <v>2024</v>
      </c>
      <c r="D1473" s="1" t="str">
        <f>MID(analisis_productividad__4[[#This Row],[Periodo]],5,2)</f>
        <v>09</v>
      </c>
      <c r="E1473" s="1" t="s">
        <v>16</v>
      </c>
      <c r="F1473" s="1" t="s">
        <v>19</v>
      </c>
      <c r="G1473" s="1">
        <v>84219</v>
      </c>
      <c r="H1473" s="1">
        <v>7446307</v>
      </c>
      <c r="I1473" s="1">
        <v>88.415881944444493</v>
      </c>
      <c r="J1473" s="1">
        <v>0</v>
      </c>
      <c r="K1473" s="1">
        <v>94</v>
      </c>
      <c r="L1473" s="1">
        <v>92</v>
      </c>
      <c r="M1473" s="1"/>
      <c r="N1473" s="1">
        <v>0</v>
      </c>
    </row>
    <row r="1474" spans="1:14" x14ac:dyDescent="0.35">
      <c r="A1474" s="1" t="s">
        <v>49</v>
      </c>
      <c r="B1474" s="1">
        <v>202410</v>
      </c>
      <c r="C1474" s="1" t="str">
        <f>MID(analisis_productividad__4[[#This Row],[Periodo]],1,4)</f>
        <v>2024</v>
      </c>
      <c r="D1474" s="1" t="str">
        <f>MID(analisis_productividad__4[[#This Row],[Periodo]],5,2)</f>
        <v>10</v>
      </c>
      <c r="E1474" s="1" t="s">
        <v>16</v>
      </c>
      <c r="F1474" s="1" t="s">
        <v>21</v>
      </c>
      <c r="G1474" s="1">
        <v>84205</v>
      </c>
      <c r="H1474" s="1">
        <v>5200291</v>
      </c>
      <c r="I1474" s="1">
        <v>61.757358870967707</v>
      </c>
      <c r="J1474" s="1">
        <v>0</v>
      </c>
      <c r="K1474" s="1">
        <v>75.5</v>
      </c>
      <c r="L1474" s="1">
        <v>68</v>
      </c>
      <c r="M1474" s="1"/>
      <c r="N1474" s="1">
        <v>0</v>
      </c>
    </row>
    <row r="1475" spans="1:14" x14ac:dyDescent="0.35">
      <c r="A1475" s="1" t="s">
        <v>24</v>
      </c>
      <c r="B1475" s="1">
        <v>202509</v>
      </c>
      <c r="C1475" s="1" t="str">
        <f>MID(analisis_productividad__4[[#This Row],[Periodo]],1,4)</f>
        <v>2025</v>
      </c>
      <c r="D1475" s="1" t="str">
        <f>MID(analisis_productividad__4[[#This Row],[Periodo]],5,2)</f>
        <v>09</v>
      </c>
      <c r="E1475" s="1" t="s">
        <v>16</v>
      </c>
      <c r="F1475" s="1" t="s">
        <v>21</v>
      </c>
      <c r="G1475" s="1">
        <v>84193</v>
      </c>
      <c r="H1475" s="1">
        <v>8571950</v>
      </c>
      <c r="I1475" s="1">
        <v>101.81310416666672</v>
      </c>
      <c r="J1475" s="1">
        <v>90769.48516038165</v>
      </c>
      <c r="K1475" s="1">
        <v>125</v>
      </c>
      <c r="L1475" s="1">
        <v>118.5</v>
      </c>
      <c r="M1475" s="1">
        <v>94.43647283945829</v>
      </c>
      <c r="N1475" s="1">
        <v>9392897</v>
      </c>
    </row>
    <row r="1476" spans="1:14" x14ac:dyDescent="0.35">
      <c r="A1476" s="1" t="s">
        <v>89</v>
      </c>
      <c r="B1476" s="1">
        <v>202512</v>
      </c>
      <c r="C1476" s="1" t="str">
        <f>MID(analisis_productividad__4[[#This Row],[Periodo]],1,4)</f>
        <v>2025</v>
      </c>
      <c r="D1476" s="1" t="str">
        <f>MID(analisis_productividad__4[[#This Row],[Periodo]],5,2)</f>
        <v>12</v>
      </c>
      <c r="E1476" s="1" t="s">
        <v>9</v>
      </c>
      <c r="F1476" s="1" t="s">
        <v>9</v>
      </c>
      <c r="G1476" s="1">
        <v>84171</v>
      </c>
      <c r="H1476" s="1">
        <v>1262117</v>
      </c>
      <c r="I1476" s="1">
        <v>14.994771505376326</v>
      </c>
      <c r="J1476" s="1">
        <v>96874.096650367792</v>
      </c>
      <c r="K1476" s="1">
        <v>17</v>
      </c>
      <c r="L1476" s="1">
        <v>13.5</v>
      </c>
      <c r="M1476" s="1">
        <v>13.028430546869091</v>
      </c>
      <c r="N1476" s="1">
        <v>1380484</v>
      </c>
    </row>
    <row r="1477" spans="1:14" x14ac:dyDescent="0.35">
      <c r="A1477" s="1" t="s">
        <v>76</v>
      </c>
      <c r="B1477" s="1">
        <v>202509</v>
      </c>
      <c r="C1477" s="1" t="str">
        <f>MID(analisis_productividad__4[[#This Row],[Periodo]],1,4)</f>
        <v>2025</v>
      </c>
      <c r="D1477" s="1" t="str">
        <f>MID(analisis_productividad__4[[#This Row],[Periodo]],5,2)</f>
        <v>09</v>
      </c>
      <c r="E1477" s="1" t="s">
        <v>11</v>
      </c>
      <c r="F1477" s="1" t="s">
        <v>14</v>
      </c>
      <c r="G1477" s="1">
        <v>84167</v>
      </c>
      <c r="H1477" s="1">
        <v>5637850</v>
      </c>
      <c r="I1477" s="1">
        <v>66.984458333333365</v>
      </c>
      <c r="J1477" s="1">
        <v>85950.329099111783</v>
      </c>
      <c r="K1477" s="1">
        <v>80</v>
      </c>
      <c r="L1477" s="1">
        <v>78</v>
      </c>
      <c r="M1477" s="1">
        <v>65.594275194674765</v>
      </c>
      <c r="N1477" s="1">
        <v>6490060</v>
      </c>
    </row>
    <row r="1478" spans="1:14" x14ac:dyDescent="0.35">
      <c r="A1478" s="1" t="s">
        <v>70</v>
      </c>
      <c r="B1478" s="1">
        <v>202405</v>
      </c>
      <c r="C1478" s="1" t="str">
        <f>MID(analisis_productividad__4[[#This Row],[Periodo]],1,4)</f>
        <v>2024</v>
      </c>
      <c r="D1478" s="1" t="str">
        <f>MID(analisis_productividad__4[[#This Row],[Periodo]],5,2)</f>
        <v>05</v>
      </c>
      <c r="E1478" s="1" t="s">
        <v>11</v>
      </c>
      <c r="F1478" s="1" t="s">
        <v>14</v>
      </c>
      <c r="G1478" s="1">
        <v>84166</v>
      </c>
      <c r="H1478" s="1">
        <v>4713019</v>
      </c>
      <c r="I1478" s="1">
        <v>55.996565860215036</v>
      </c>
      <c r="J1478" s="1">
        <v>0</v>
      </c>
      <c r="K1478" s="1">
        <v>65</v>
      </c>
      <c r="L1478" s="1">
        <v>67.5</v>
      </c>
      <c r="M1478" s="1"/>
      <c r="N1478" s="1">
        <v>0</v>
      </c>
    </row>
    <row r="1479" spans="1:14" x14ac:dyDescent="0.35">
      <c r="A1479" s="1" t="s">
        <v>71</v>
      </c>
      <c r="B1479" s="1">
        <v>202508</v>
      </c>
      <c r="C1479" s="1" t="str">
        <f>MID(analisis_productividad__4[[#This Row],[Periodo]],1,4)</f>
        <v>2025</v>
      </c>
      <c r="D1479" s="1" t="str">
        <f>MID(analisis_productividad__4[[#This Row],[Periodo]],5,2)</f>
        <v>08</v>
      </c>
      <c r="E1479" s="1" t="s">
        <v>16</v>
      </c>
      <c r="F1479" s="1" t="s">
        <v>19</v>
      </c>
      <c r="G1479" s="1">
        <v>84165</v>
      </c>
      <c r="H1479" s="1">
        <v>2720054</v>
      </c>
      <c r="I1479" s="1">
        <v>32.318030913978504</v>
      </c>
      <c r="J1479" s="1">
        <v>82704.83823656317</v>
      </c>
      <c r="K1479" s="1">
        <v>41.5</v>
      </c>
      <c r="L1479" s="1">
        <v>35.5</v>
      </c>
      <c r="M1479" s="1">
        <v>32.888695607139034</v>
      </c>
      <c r="N1479" s="1">
        <v>2876928</v>
      </c>
    </row>
    <row r="1480" spans="1:14" x14ac:dyDescent="0.35">
      <c r="A1480" s="1" t="s">
        <v>54</v>
      </c>
      <c r="B1480" s="1">
        <v>202407</v>
      </c>
      <c r="C1480" s="1" t="str">
        <f>MID(analisis_productividad__4[[#This Row],[Periodo]],1,4)</f>
        <v>2024</v>
      </c>
      <c r="D1480" s="1" t="str">
        <f>MID(analisis_productividad__4[[#This Row],[Periodo]],5,2)</f>
        <v>07</v>
      </c>
      <c r="E1480" s="1" t="s">
        <v>11</v>
      </c>
      <c r="F1480" s="1" t="s">
        <v>52</v>
      </c>
      <c r="G1480" s="1">
        <v>84147</v>
      </c>
      <c r="H1480" s="1">
        <v>9075663</v>
      </c>
      <c r="I1480" s="1">
        <v>107.85504032258062</v>
      </c>
      <c r="J1480" s="1">
        <v>0</v>
      </c>
      <c r="K1480" s="1">
        <v>106</v>
      </c>
      <c r="L1480" s="1">
        <v>102.5</v>
      </c>
      <c r="M1480" s="1"/>
      <c r="N1480" s="1">
        <v>0</v>
      </c>
    </row>
    <row r="1481" spans="1:14" x14ac:dyDescent="0.35">
      <c r="A1481" s="1" t="s">
        <v>67</v>
      </c>
      <c r="B1481" s="1">
        <v>202408</v>
      </c>
      <c r="C1481" s="1" t="str">
        <f>MID(analisis_productividad__4[[#This Row],[Periodo]],1,4)</f>
        <v>2024</v>
      </c>
      <c r="D1481" s="1" t="str">
        <f>MID(analisis_productividad__4[[#This Row],[Periodo]],5,2)</f>
        <v>08</v>
      </c>
      <c r="E1481" s="1" t="s">
        <v>16</v>
      </c>
      <c r="F1481" s="1" t="s">
        <v>19</v>
      </c>
      <c r="G1481" s="1">
        <v>84131</v>
      </c>
      <c r="H1481" s="1">
        <v>6067036</v>
      </c>
      <c r="I1481" s="1">
        <v>72.114301075268827</v>
      </c>
      <c r="J1481" s="1">
        <v>0</v>
      </c>
      <c r="K1481" s="1">
        <v>79.5</v>
      </c>
      <c r="L1481" s="1">
        <v>81.5</v>
      </c>
      <c r="M1481" s="1"/>
      <c r="N1481" s="1">
        <v>0</v>
      </c>
    </row>
    <row r="1482" spans="1:14" x14ac:dyDescent="0.35">
      <c r="A1482" s="1" t="s">
        <v>70</v>
      </c>
      <c r="B1482" s="1">
        <v>202511</v>
      </c>
      <c r="C1482" s="1" t="str">
        <f>MID(analisis_productividad__4[[#This Row],[Periodo]],1,4)</f>
        <v>2025</v>
      </c>
      <c r="D1482" s="1" t="str">
        <f>MID(analisis_productividad__4[[#This Row],[Periodo]],5,2)</f>
        <v>11</v>
      </c>
      <c r="E1482" s="1" t="s">
        <v>11</v>
      </c>
      <c r="F1482" s="1" t="s">
        <v>14</v>
      </c>
      <c r="G1482" s="1">
        <v>84126</v>
      </c>
      <c r="H1482" s="1">
        <v>4963985</v>
      </c>
      <c r="I1482" s="1">
        <v>59.00640277777778</v>
      </c>
      <c r="J1482" s="1">
        <v>89451.59063981293</v>
      </c>
      <c r="K1482" s="1">
        <v>65</v>
      </c>
      <c r="L1482" s="1">
        <v>67.5</v>
      </c>
      <c r="M1482" s="1">
        <v>55.493537616206901</v>
      </c>
      <c r="N1482" s="1">
        <v>4870645</v>
      </c>
    </row>
    <row r="1483" spans="1:14" x14ac:dyDescent="0.35">
      <c r="A1483" s="1" t="s">
        <v>8</v>
      </c>
      <c r="B1483" s="1">
        <v>202605</v>
      </c>
      <c r="C1483" s="1" t="str">
        <f>MID(analisis_productividad__4[[#This Row],[Periodo]],1,4)</f>
        <v>2026</v>
      </c>
      <c r="D1483" s="1" t="str">
        <f>MID(analisis_productividad__4[[#This Row],[Periodo]],5,2)</f>
        <v>05</v>
      </c>
      <c r="E1483" s="1" t="s">
        <v>9</v>
      </c>
      <c r="F1483" s="1" t="s">
        <v>9</v>
      </c>
      <c r="G1483" s="1">
        <v>84108</v>
      </c>
      <c r="H1483" s="1">
        <v>990495</v>
      </c>
      <c r="I1483" s="1">
        <v>11.7764180107527</v>
      </c>
      <c r="J1483" s="1">
        <v>99416.536627793932</v>
      </c>
      <c r="K1483" s="1">
        <v>13.5</v>
      </c>
      <c r="L1483" s="1">
        <v>12.5</v>
      </c>
      <c r="M1483" s="1">
        <v>11.712938172043014</v>
      </c>
      <c r="N1483" s="1">
        <v>1164460</v>
      </c>
    </row>
    <row r="1484" spans="1:14" x14ac:dyDescent="0.35">
      <c r="A1484" s="1" t="s">
        <v>57</v>
      </c>
      <c r="B1484" s="1">
        <v>202506</v>
      </c>
      <c r="C1484" s="1" t="str">
        <f>MID(analisis_productividad__4[[#This Row],[Periodo]],1,4)</f>
        <v>2025</v>
      </c>
      <c r="D1484" s="1" t="str">
        <f>MID(analisis_productividad__4[[#This Row],[Periodo]],5,2)</f>
        <v>06</v>
      </c>
      <c r="E1484" s="1" t="s">
        <v>16</v>
      </c>
      <c r="F1484" s="1" t="s">
        <v>19</v>
      </c>
      <c r="G1484" s="1">
        <v>84102</v>
      </c>
      <c r="H1484" s="1">
        <v>5403075</v>
      </c>
      <c r="I1484" s="1">
        <v>64.243958333333367</v>
      </c>
      <c r="J1484" s="1">
        <v>99609.445283505003</v>
      </c>
      <c r="K1484" s="1">
        <v>71</v>
      </c>
      <c r="L1484" s="1">
        <v>74.5</v>
      </c>
      <c r="M1484" s="1">
        <v>54.242598024935816</v>
      </c>
      <c r="N1484" s="1">
        <v>5714107</v>
      </c>
    </row>
    <row r="1485" spans="1:14" x14ac:dyDescent="0.35">
      <c r="A1485" s="1" t="s">
        <v>67</v>
      </c>
      <c r="B1485" s="1">
        <v>202501</v>
      </c>
      <c r="C1485" s="1" t="str">
        <f>MID(analisis_productividad__4[[#This Row],[Periodo]],1,4)</f>
        <v>2025</v>
      </c>
      <c r="D1485" s="1" t="str">
        <f>MID(analisis_productividad__4[[#This Row],[Periodo]],5,2)</f>
        <v>01</v>
      </c>
      <c r="E1485" s="1" t="s">
        <v>16</v>
      </c>
      <c r="F1485" s="1" t="s">
        <v>19</v>
      </c>
      <c r="G1485" s="1">
        <v>84090</v>
      </c>
      <c r="H1485" s="1">
        <v>5863078</v>
      </c>
      <c r="I1485" s="1">
        <v>69.72418682795697</v>
      </c>
      <c r="J1485" s="1">
        <v>91633.131461002253</v>
      </c>
      <c r="K1485" s="1">
        <v>79.5</v>
      </c>
      <c r="L1485" s="1">
        <v>81.5</v>
      </c>
      <c r="M1485" s="1">
        <v>63.984255001644698</v>
      </c>
      <c r="N1485" s="1">
        <v>6068550</v>
      </c>
    </row>
    <row r="1486" spans="1:14" x14ac:dyDescent="0.35">
      <c r="A1486" s="1" t="s">
        <v>33</v>
      </c>
      <c r="B1486" s="1">
        <v>202410</v>
      </c>
      <c r="C1486" s="1" t="str">
        <f>MID(analisis_productividad__4[[#This Row],[Periodo]],1,4)</f>
        <v>2024</v>
      </c>
      <c r="D1486" s="1" t="str">
        <f>MID(analisis_productividad__4[[#This Row],[Periodo]],5,2)</f>
        <v>10</v>
      </c>
      <c r="E1486" s="1" t="s">
        <v>34</v>
      </c>
      <c r="F1486" s="1" t="s">
        <v>35</v>
      </c>
      <c r="G1486" s="1">
        <v>84064</v>
      </c>
      <c r="H1486" s="1">
        <v>992317</v>
      </c>
      <c r="I1486" s="1">
        <v>11.804267473118282</v>
      </c>
      <c r="J1486" s="1">
        <v>0</v>
      </c>
      <c r="K1486" s="1">
        <v>15</v>
      </c>
      <c r="L1486" s="1">
        <v>15</v>
      </c>
      <c r="M1486" s="1"/>
      <c r="N1486" s="1">
        <v>0</v>
      </c>
    </row>
    <row r="1487" spans="1:14" x14ac:dyDescent="0.35">
      <c r="A1487" s="1" t="s">
        <v>80</v>
      </c>
      <c r="B1487" s="1">
        <v>202509</v>
      </c>
      <c r="C1487" s="1" t="str">
        <f>MID(analisis_productividad__4[[#This Row],[Periodo]],1,4)</f>
        <v>2025</v>
      </c>
      <c r="D1487" s="1" t="str">
        <f>MID(analisis_productividad__4[[#This Row],[Periodo]],5,2)</f>
        <v>09</v>
      </c>
      <c r="E1487" s="1" t="s">
        <v>16</v>
      </c>
      <c r="F1487" s="1" t="s">
        <v>17</v>
      </c>
      <c r="G1487" s="1">
        <v>84045</v>
      </c>
      <c r="H1487" s="1">
        <v>4138034</v>
      </c>
      <c r="I1487" s="1">
        <v>49.236104166666678</v>
      </c>
      <c r="J1487" s="1">
        <v>85581.648541806804</v>
      </c>
      <c r="K1487" s="1">
        <v>58</v>
      </c>
      <c r="L1487" s="1">
        <v>58.5</v>
      </c>
      <c r="M1487" s="1">
        <v>48.351882097463481</v>
      </c>
      <c r="N1487" s="1">
        <v>4477539</v>
      </c>
    </row>
    <row r="1488" spans="1:14" x14ac:dyDescent="0.35">
      <c r="A1488" s="1" t="s">
        <v>22</v>
      </c>
      <c r="B1488" s="1">
        <v>202405</v>
      </c>
      <c r="C1488" s="1" t="str">
        <f>MID(analisis_productividad__4[[#This Row],[Periodo]],1,4)</f>
        <v>2024</v>
      </c>
      <c r="D1488" s="1" t="str">
        <f>MID(analisis_productividad__4[[#This Row],[Periodo]],5,2)</f>
        <v>05</v>
      </c>
      <c r="E1488" s="1" t="s">
        <v>16</v>
      </c>
      <c r="F1488" s="1" t="s">
        <v>21</v>
      </c>
      <c r="G1488" s="1">
        <v>84009</v>
      </c>
      <c r="H1488" s="1">
        <v>4861094</v>
      </c>
      <c r="I1488" s="1">
        <v>57.864173387096756</v>
      </c>
      <c r="J1488" s="1">
        <v>0</v>
      </c>
      <c r="K1488" s="1">
        <v>59.5</v>
      </c>
      <c r="L1488" s="1">
        <v>55.5</v>
      </c>
      <c r="M1488" s="1"/>
      <c r="N1488" s="1">
        <v>0</v>
      </c>
    </row>
    <row r="1489" spans="1:14" x14ac:dyDescent="0.35">
      <c r="A1489" s="1" t="s">
        <v>93</v>
      </c>
      <c r="B1489" s="1">
        <v>202604</v>
      </c>
      <c r="C1489" s="1" t="str">
        <f>MID(analisis_productividad__4[[#This Row],[Periodo]],1,4)</f>
        <v>2026</v>
      </c>
      <c r="D1489" s="1" t="str">
        <f>MID(analisis_productividad__4[[#This Row],[Periodo]],5,2)</f>
        <v>04</v>
      </c>
      <c r="E1489" s="1" t="s">
        <v>16</v>
      </c>
      <c r="F1489" s="1" t="s">
        <v>17</v>
      </c>
      <c r="G1489" s="1">
        <v>84003</v>
      </c>
      <c r="H1489" s="1">
        <v>6011149</v>
      </c>
      <c r="I1489" s="1">
        <v>71.558326388889981</v>
      </c>
      <c r="J1489" s="1">
        <v>78786.790186904749</v>
      </c>
      <c r="K1489" s="1">
        <v>84</v>
      </c>
      <c r="L1489" s="1">
        <v>76</v>
      </c>
      <c r="M1489" s="1">
        <v>84</v>
      </c>
      <c r="N1489" s="1">
        <v>6618090</v>
      </c>
    </row>
    <row r="1490" spans="1:14" x14ac:dyDescent="0.35">
      <c r="A1490" s="1" t="s">
        <v>33</v>
      </c>
      <c r="B1490" s="1">
        <v>202511</v>
      </c>
      <c r="C1490" s="1" t="str">
        <f>MID(analisis_productividad__4[[#This Row],[Periodo]],1,4)</f>
        <v>2025</v>
      </c>
      <c r="D1490" s="1" t="str">
        <f>MID(analisis_productividad__4[[#This Row],[Periodo]],5,2)</f>
        <v>11</v>
      </c>
      <c r="E1490" s="1" t="s">
        <v>34</v>
      </c>
      <c r="F1490" s="1" t="s">
        <v>35</v>
      </c>
      <c r="G1490" s="1">
        <v>83977</v>
      </c>
      <c r="H1490" s="1">
        <v>1116659</v>
      </c>
      <c r="I1490" s="1">
        <v>13.297131944444441</v>
      </c>
      <c r="J1490" s="1">
        <v>91568.257658609684</v>
      </c>
      <c r="K1490" s="1">
        <v>15</v>
      </c>
      <c r="L1490" s="1">
        <v>15</v>
      </c>
      <c r="M1490" s="1">
        <v>12.194822950144953</v>
      </c>
      <c r="N1490" s="1">
        <v>1049934</v>
      </c>
    </row>
    <row r="1491" spans="1:14" x14ac:dyDescent="0.35">
      <c r="A1491" s="1" t="s">
        <v>78</v>
      </c>
      <c r="B1491" s="1">
        <v>202602</v>
      </c>
      <c r="C1491" s="1" t="str">
        <f>MID(analisis_productividad__4[[#This Row],[Periodo]],1,4)</f>
        <v>2026</v>
      </c>
      <c r="D1491" s="1" t="str">
        <f>MID(analisis_productividad__4[[#This Row],[Periodo]],5,2)</f>
        <v>02</v>
      </c>
      <c r="E1491" s="1" t="s">
        <v>11</v>
      </c>
      <c r="F1491" s="1" t="s">
        <v>14</v>
      </c>
      <c r="G1491" s="1">
        <v>83968</v>
      </c>
      <c r="H1491" s="1">
        <v>5578523</v>
      </c>
      <c r="I1491" s="1">
        <v>66.43640624999999</v>
      </c>
      <c r="J1491" s="1">
        <v>72539.500661071608</v>
      </c>
      <c r="K1491" s="1">
        <v>79.5</v>
      </c>
      <c r="L1491" s="1">
        <v>67</v>
      </c>
      <c r="M1491" s="1">
        <v>68.682661472657543</v>
      </c>
      <c r="N1491" s="1">
        <v>4982206</v>
      </c>
    </row>
    <row r="1492" spans="1:14" x14ac:dyDescent="0.35">
      <c r="A1492" s="1" t="s">
        <v>22</v>
      </c>
      <c r="B1492" s="1">
        <v>202502</v>
      </c>
      <c r="C1492" s="1" t="str">
        <f>MID(analisis_productividad__4[[#This Row],[Periodo]],1,4)</f>
        <v>2025</v>
      </c>
      <c r="D1492" s="1" t="str">
        <f>MID(analisis_productividad__4[[#This Row],[Periodo]],5,2)</f>
        <v>02</v>
      </c>
      <c r="E1492" s="1" t="s">
        <v>16</v>
      </c>
      <c r="F1492" s="1" t="s">
        <v>21</v>
      </c>
      <c r="G1492" s="1">
        <v>83961</v>
      </c>
      <c r="H1492" s="1">
        <v>4883197</v>
      </c>
      <c r="I1492" s="1">
        <v>58.160052083333333</v>
      </c>
      <c r="J1492" s="1">
        <v>88046.965055600362</v>
      </c>
      <c r="K1492" s="1">
        <v>59.5</v>
      </c>
      <c r="L1492" s="1">
        <v>55.5</v>
      </c>
      <c r="M1492" s="1">
        <v>55.461274978828996</v>
      </c>
      <c r="N1492" s="1">
        <v>4706234</v>
      </c>
    </row>
    <row r="1493" spans="1:14" x14ac:dyDescent="0.35">
      <c r="A1493" s="1" t="s">
        <v>94</v>
      </c>
      <c r="B1493" s="1">
        <v>202505</v>
      </c>
      <c r="C1493" s="1" t="str">
        <f>MID(analisis_productividad__4[[#This Row],[Periodo]],1,4)</f>
        <v>2025</v>
      </c>
      <c r="D1493" s="1" t="str">
        <f>MID(analisis_productividad__4[[#This Row],[Periodo]],5,2)</f>
        <v>05</v>
      </c>
      <c r="E1493" s="1" t="s">
        <v>11</v>
      </c>
      <c r="F1493" s="1" t="s">
        <v>52</v>
      </c>
      <c r="G1493" s="1">
        <v>83948</v>
      </c>
      <c r="H1493" s="1">
        <v>5157024</v>
      </c>
      <c r="I1493" s="1">
        <v>61.431444892473102</v>
      </c>
      <c r="J1493" s="1">
        <v>74348.584377296123</v>
      </c>
      <c r="K1493" s="1">
        <v>75.5</v>
      </c>
      <c r="L1493" s="1">
        <v>70.5</v>
      </c>
      <c r="M1493" s="1">
        <v>69.362777828151962</v>
      </c>
      <c r="N1493" s="1">
        <v>5628473</v>
      </c>
    </row>
    <row r="1494" spans="1:14" x14ac:dyDescent="0.35">
      <c r="A1494" s="1" t="s">
        <v>61</v>
      </c>
      <c r="B1494" s="1">
        <v>202502</v>
      </c>
      <c r="C1494" s="1" t="str">
        <f>MID(analisis_productividad__4[[#This Row],[Periodo]],1,4)</f>
        <v>2025</v>
      </c>
      <c r="D1494" s="1" t="str">
        <f>MID(analisis_productividad__4[[#This Row],[Periodo]],5,2)</f>
        <v>02</v>
      </c>
      <c r="E1494" s="1" t="s">
        <v>11</v>
      </c>
      <c r="F1494" s="1" t="s">
        <v>52</v>
      </c>
      <c r="G1494" s="1">
        <v>83940</v>
      </c>
      <c r="H1494" s="1">
        <v>7402521</v>
      </c>
      <c r="I1494" s="1">
        <v>88.188697916666669</v>
      </c>
      <c r="J1494" s="1">
        <v>86701.253013005742</v>
      </c>
      <c r="K1494" s="1">
        <v>104.5</v>
      </c>
      <c r="L1494" s="1">
        <v>99</v>
      </c>
      <c r="M1494" s="1">
        <v>85.379633197337697</v>
      </c>
      <c r="N1494" s="1">
        <v>8392096</v>
      </c>
    </row>
    <row r="1495" spans="1:14" x14ac:dyDescent="0.35">
      <c r="A1495" s="1" t="s">
        <v>77</v>
      </c>
      <c r="B1495" s="1">
        <v>202510</v>
      </c>
      <c r="C1495" s="1" t="str">
        <f>MID(analisis_productividad__4[[#This Row],[Periodo]],1,4)</f>
        <v>2025</v>
      </c>
      <c r="D1495" s="1" t="str">
        <f>MID(analisis_productividad__4[[#This Row],[Periodo]],5,2)</f>
        <v>10</v>
      </c>
      <c r="E1495" s="1" t="s">
        <v>16</v>
      </c>
      <c r="F1495" s="1" t="s">
        <v>21</v>
      </c>
      <c r="G1495" s="1">
        <v>83927</v>
      </c>
      <c r="H1495" s="1">
        <v>4122597</v>
      </c>
      <c r="I1495" s="1">
        <v>49.121135752688176</v>
      </c>
      <c r="J1495" s="1">
        <v>71246.34385777422</v>
      </c>
      <c r="K1495" s="1">
        <v>60.5</v>
      </c>
      <c r="L1495" s="1">
        <v>60.5</v>
      </c>
      <c r="M1495" s="1">
        <v>57.86398412569423</v>
      </c>
      <c r="N1495" s="1">
        <v>4785139</v>
      </c>
    </row>
    <row r="1496" spans="1:14" x14ac:dyDescent="0.35">
      <c r="A1496" s="1" t="s">
        <v>25</v>
      </c>
      <c r="B1496" s="1">
        <v>202402</v>
      </c>
      <c r="C1496" s="1" t="str">
        <f>MID(analisis_productividad__4[[#This Row],[Periodo]],1,4)</f>
        <v>2024</v>
      </c>
      <c r="D1496" s="1" t="str">
        <f>MID(analisis_productividad__4[[#This Row],[Periodo]],5,2)</f>
        <v>02</v>
      </c>
      <c r="E1496" s="1" t="s">
        <v>16</v>
      </c>
      <c r="F1496" s="1" t="s">
        <v>19</v>
      </c>
      <c r="G1496" s="1">
        <v>83927</v>
      </c>
      <c r="H1496" s="1">
        <v>6940195</v>
      </c>
      <c r="I1496" s="1">
        <v>82.693635057471283</v>
      </c>
      <c r="J1496" s="1">
        <v>0</v>
      </c>
      <c r="K1496" s="1">
        <v>94</v>
      </c>
      <c r="L1496" s="1">
        <v>92</v>
      </c>
      <c r="M1496" s="1"/>
      <c r="N1496" s="1">
        <v>0</v>
      </c>
    </row>
    <row r="1497" spans="1:14" x14ac:dyDescent="0.35">
      <c r="A1497" s="1" t="s">
        <v>77</v>
      </c>
      <c r="B1497" s="1">
        <v>202407</v>
      </c>
      <c r="C1497" s="1" t="str">
        <f>MID(analisis_productividad__4[[#This Row],[Periodo]],1,4)</f>
        <v>2024</v>
      </c>
      <c r="D1497" s="1" t="str">
        <f>MID(analisis_productividad__4[[#This Row],[Periodo]],5,2)</f>
        <v>07</v>
      </c>
      <c r="E1497" s="1" t="s">
        <v>16</v>
      </c>
      <c r="F1497" s="1" t="s">
        <v>21</v>
      </c>
      <c r="G1497" s="1">
        <v>83881</v>
      </c>
      <c r="H1497" s="1">
        <v>5464249</v>
      </c>
      <c r="I1497" s="1">
        <v>65.142715053763439</v>
      </c>
      <c r="J1497" s="1">
        <v>0</v>
      </c>
      <c r="K1497" s="1">
        <v>60.5</v>
      </c>
      <c r="L1497" s="1">
        <v>60.5</v>
      </c>
      <c r="M1497" s="1"/>
      <c r="N1497" s="1">
        <v>0</v>
      </c>
    </row>
    <row r="1498" spans="1:14" x14ac:dyDescent="0.35">
      <c r="A1498" s="1" t="s">
        <v>22</v>
      </c>
      <c r="B1498" s="1">
        <v>202402</v>
      </c>
      <c r="C1498" s="1" t="str">
        <f>MID(analisis_productividad__4[[#This Row],[Periodo]],1,4)</f>
        <v>2024</v>
      </c>
      <c r="D1498" s="1" t="str">
        <f>MID(analisis_productividad__4[[#This Row],[Periodo]],5,2)</f>
        <v>02</v>
      </c>
      <c r="E1498" s="1" t="s">
        <v>16</v>
      </c>
      <c r="F1498" s="1" t="s">
        <v>21</v>
      </c>
      <c r="G1498" s="1">
        <v>83854</v>
      </c>
      <c r="H1498" s="1">
        <v>5117021</v>
      </c>
      <c r="I1498" s="1">
        <v>61.022801724137921</v>
      </c>
      <c r="J1498" s="1">
        <v>0</v>
      </c>
      <c r="K1498" s="1">
        <v>59.5</v>
      </c>
      <c r="L1498" s="1">
        <v>55.5</v>
      </c>
      <c r="M1498" s="1"/>
      <c r="N1498" s="1">
        <v>0</v>
      </c>
    </row>
    <row r="1499" spans="1:14" x14ac:dyDescent="0.35">
      <c r="A1499" s="1" t="s">
        <v>60</v>
      </c>
      <c r="B1499" s="1">
        <v>202405</v>
      </c>
      <c r="C1499" s="1" t="str">
        <f>MID(analisis_productividad__4[[#This Row],[Periodo]],1,4)</f>
        <v>2024</v>
      </c>
      <c r="D1499" s="1" t="str">
        <f>MID(analisis_productividad__4[[#This Row],[Periodo]],5,2)</f>
        <v>05</v>
      </c>
      <c r="E1499" s="1" t="s">
        <v>11</v>
      </c>
      <c r="F1499" s="1" t="s">
        <v>14</v>
      </c>
      <c r="G1499" s="1">
        <v>83826</v>
      </c>
      <c r="H1499" s="1">
        <v>6404637</v>
      </c>
      <c r="I1499" s="1">
        <v>76.403541666666698</v>
      </c>
      <c r="J1499" s="1">
        <v>0</v>
      </c>
      <c r="K1499" s="1">
        <v>75.5</v>
      </c>
      <c r="L1499" s="1">
        <v>74</v>
      </c>
      <c r="M1499" s="1"/>
      <c r="N1499" s="1">
        <v>0</v>
      </c>
    </row>
    <row r="1500" spans="1:14" x14ac:dyDescent="0.35">
      <c r="A1500" s="1" t="s">
        <v>49</v>
      </c>
      <c r="B1500" s="1">
        <v>202501</v>
      </c>
      <c r="C1500" s="1" t="str">
        <f>MID(analisis_productividad__4[[#This Row],[Periodo]],1,4)</f>
        <v>2025</v>
      </c>
      <c r="D1500" s="1" t="str">
        <f>MID(analisis_productividad__4[[#This Row],[Periodo]],5,2)</f>
        <v>01</v>
      </c>
      <c r="E1500" s="1" t="s">
        <v>16</v>
      </c>
      <c r="F1500" s="1" t="s">
        <v>21</v>
      </c>
      <c r="G1500" s="1">
        <v>83798</v>
      </c>
      <c r="H1500" s="1">
        <v>5500316</v>
      </c>
      <c r="I1500" s="1">
        <v>65.637607526881695</v>
      </c>
      <c r="J1500" s="1">
        <v>92712.928140308853</v>
      </c>
      <c r="K1500" s="1">
        <v>75.5</v>
      </c>
      <c r="L1500" s="1">
        <v>68</v>
      </c>
      <c r="M1500" s="1">
        <v>59.326311231115405</v>
      </c>
      <c r="N1500" s="1">
        <v>6033033</v>
      </c>
    </row>
    <row r="1501" spans="1:14" x14ac:dyDescent="0.35">
      <c r="A1501" s="1" t="s">
        <v>70</v>
      </c>
      <c r="B1501" s="1">
        <v>202406</v>
      </c>
      <c r="C1501" s="1" t="str">
        <f>MID(analisis_productividad__4[[#This Row],[Periodo]],1,4)</f>
        <v>2024</v>
      </c>
      <c r="D1501" s="1" t="str">
        <f>MID(analisis_productividad__4[[#This Row],[Periodo]],5,2)</f>
        <v>06</v>
      </c>
      <c r="E1501" s="1" t="s">
        <v>11</v>
      </c>
      <c r="F1501" s="1" t="s">
        <v>14</v>
      </c>
      <c r="G1501" s="1">
        <v>83762</v>
      </c>
      <c r="H1501" s="1">
        <v>4816981</v>
      </c>
      <c r="I1501" s="1">
        <v>57.507819444444472</v>
      </c>
      <c r="J1501" s="1">
        <v>0</v>
      </c>
      <c r="K1501" s="1">
        <v>65</v>
      </c>
      <c r="L1501" s="1">
        <v>67.5</v>
      </c>
      <c r="M1501" s="1"/>
      <c r="N1501" s="1">
        <v>0</v>
      </c>
    </row>
    <row r="1502" spans="1:14" x14ac:dyDescent="0.35">
      <c r="A1502" s="1" t="s">
        <v>65</v>
      </c>
      <c r="B1502" s="1">
        <v>202507</v>
      </c>
      <c r="C1502" s="1" t="str">
        <f>MID(analisis_productividad__4[[#This Row],[Periodo]],1,4)</f>
        <v>2025</v>
      </c>
      <c r="D1502" s="1" t="str">
        <f>MID(analisis_productividad__4[[#This Row],[Periodo]],5,2)</f>
        <v>07</v>
      </c>
      <c r="E1502" s="1" t="s">
        <v>16</v>
      </c>
      <c r="F1502" s="1" t="s">
        <v>19</v>
      </c>
      <c r="G1502" s="1">
        <v>83753</v>
      </c>
      <c r="H1502" s="1">
        <v>5577281</v>
      </c>
      <c r="I1502" s="1">
        <v>66.592392473118309</v>
      </c>
      <c r="J1502" s="1">
        <v>96013.290942260413</v>
      </c>
      <c r="K1502" s="1">
        <v>68</v>
      </c>
      <c r="L1502" s="1">
        <v>68.5</v>
      </c>
      <c r="M1502" s="1">
        <v>58.088634867791519</v>
      </c>
      <c r="N1502" s="1">
        <v>5648055</v>
      </c>
    </row>
    <row r="1503" spans="1:14" x14ac:dyDescent="0.35">
      <c r="A1503" s="1" t="s">
        <v>89</v>
      </c>
      <c r="B1503" s="1">
        <v>202604</v>
      </c>
      <c r="C1503" s="1" t="str">
        <f>MID(analisis_productividad__4[[#This Row],[Periodo]],1,4)</f>
        <v>2026</v>
      </c>
      <c r="D1503" s="1" t="str">
        <f>MID(analisis_productividad__4[[#This Row],[Periodo]],5,2)</f>
        <v>04</v>
      </c>
      <c r="E1503" s="1" t="s">
        <v>9</v>
      </c>
      <c r="F1503" s="1" t="s">
        <v>9</v>
      </c>
      <c r="G1503" s="1">
        <v>83744</v>
      </c>
      <c r="H1503" s="1">
        <v>998781</v>
      </c>
      <c r="I1503" s="1">
        <v>11.92663888888889</v>
      </c>
      <c r="J1503" s="1">
        <v>70382.088160084459</v>
      </c>
      <c r="K1503" s="1">
        <v>17</v>
      </c>
      <c r="L1503" s="1">
        <v>13.5</v>
      </c>
      <c r="M1503" s="1">
        <v>14.845130740132706</v>
      </c>
      <c r="N1503" s="1">
        <v>1044831</v>
      </c>
    </row>
    <row r="1504" spans="1:14" x14ac:dyDescent="0.35">
      <c r="A1504" s="1" t="s">
        <v>75</v>
      </c>
      <c r="B1504" s="1">
        <v>202509</v>
      </c>
      <c r="C1504" s="1" t="str">
        <f>MID(analisis_productividad__4[[#This Row],[Periodo]],1,4)</f>
        <v>2025</v>
      </c>
      <c r="D1504" s="1" t="str">
        <f>MID(analisis_productividad__4[[#This Row],[Periodo]],5,2)</f>
        <v>09</v>
      </c>
      <c r="E1504" s="1" t="s">
        <v>11</v>
      </c>
      <c r="F1504" s="1" t="s">
        <v>52</v>
      </c>
      <c r="G1504" s="1">
        <v>83742</v>
      </c>
      <c r="H1504" s="1">
        <v>8482124</v>
      </c>
      <c r="I1504" s="1">
        <v>101.2888333333334</v>
      </c>
      <c r="J1504" s="1">
        <v>91930.287062444811</v>
      </c>
      <c r="K1504" s="1">
        <v>118</v>
      </c>
      <c r="L1504" s="1">
        <v>106</v>
      </c>
      <c r="M1504" s="1">
        <v>92.266918455703404</v>
      </c>
      <c r="N1504" s="1">
        <v>9768815</v>
      </c>
    </row>
    <row r="1505" spans="1:14" x14ac:dyDescent="0.35">
      <c r="A1505" s="1" t="s">
        <v>79</v>
      </c>
      <c r="B1505" s="1">
        <v>202406</v>
      </c>
      <c r="C1505" s="1" t="str">
        <f>MID(analisis_productividad__4[[#This Row],[Periodo]],1,4)</f>
        <v>2024</v>
      </c>
      <c r="D1505" s="1" t="str">
        <f>MID(analisis_productividad__4[[#This Row],[Periodo]],5,2)</f>
        <v>06</v>
      </c>
      <c r="E1505" s="1" t="s">
        <v>11</v>
      </c>
      <c r="F1505" s="1" t="s">
        <v>12</v>
      </c>
      <c r="G1505" s="1">
        <v>83724</v>
      </c>
      <c r="H1505" s="1">
        <v>5387389</v>
      </c>
      <c r="I1505" s="1">
        <v>64.34701388888891</v>
      </c>
      <c r="J1505" s="1">
        <v>0</v>
      </c>
      <c r="K1505" s="1">
        <v>64.5</v>
      </c>
      <c r="L1505" s="1">
        <v>64</v>
      </c>
      <c r="M1505" s="1"/>
      <c r="N1505" s="1">
        <v>0</v>
      </c>
    </row>
    <row r="1506" spans="1:14" x14ac:dyDescent="0.35">
      <c r="A1506" s="1" t="s">
        <v>81</v>
      </c>
      <c r="B1506" s="1">
        <v>202504</v>
      </c>
      <c r="C1506" s="1" t="str">
        <f>MID(analisis_productividad__4[[#This Row],[Periodo]],1,4)</f>
        <v>2025</v>
      </c>
      <c r="D1506" s="1" t="str">
        <f>MID(analisis_productividad__4[[#This Row],[Periodo]],5,2)</f>
        <v>04</v>
      </c>
      <c r="E1506" s="1" t="s">
        <v>34</v>
      </c>
      <c r="F1506" s="1" t="s">
        <v>35</v>
      </c>
      <c r="G1506" s="1">
        <v>83716</v>
      </c>
      <c r="H1506" s="1">
        <v>7379575</v>
      </c>
      <c r="I1506" s="1">
        <v>88.149638888888902</v>
      </c>
      <c r="J1506" s="1">
        <v>86927.199603515342</v>
      </c>
      <c r="K1506" s="1">
        <v>106</v>
      </c>
      <c r="L1506" s="1">
        <v>94.5</v>
      </c>
      <c r="M1506" s="1">
        <v>84.893744577750908</v>
      </c>
      <c r="N1506" s="1">
        <v>7920347</v>
      </c>
    </row>
    <row r="1507" spans="1:14" x14ac:dyDescent="0.35">
      <c r="A1507" s="1" t="s">
        <v>82</v>
      </c>
      <c r="B1507" s="1">
        <v>202502</v>
      </c>
      <c r="C1507" s="1" t="str">
        <f>MID(analisis_productividad__4[[#This Row],[Periodo]],1,4)</f>
        <v>2025</v>
      </c>
      <c r="D1507" s="1" t="str">
        <f>MID(analisis_productividad__4[[#This Row],[Periodo]],5,2)</f>
        <v>02</v>
      </c>
      <c r="E1507" s="1" t="s">
        <v>11</v>
      </c>
      <c r="F1507" s="1" t="s">
        <v>12</v>
      </c>
      <c r="G1507" s="1">
        <v>83693</v>
      </c>
      <c r="H1507" s="1">
        <v>4369312</v>
      </c>
      <c r="I1507" s="1">
        <v>52.206718750000007</v>
      </c>
      <c r="J1507" s="1">
        <v>66996.5188634972</v>
      </c>
      <c r="K1507" s="1">
        <v>53.5</v>
      </c>
      <c r="L1507" s="1">
        <v>54</v>
      </c>
      <c r="M1507" s="1">
        <v>65.216993123214394</v>
      </c>
      <c r="N1507" s="1">
        <v>3609392</v>
      </c>
    </row>
    <row r="1508" spans="1:14" x14ac:dyDescent="0.35">
      <c r="A1508" s="1" t="s">
        <v>77</v>
      </c>
      <c r="B1508" s="1">
        <v>202505</v>
      </c>
      <c r="C1508" s="1" t="str">
        <f>MID(analisis_productividad__4[[#This Row],[Periodo]],1,4)</f>
        <v>2025</v>
      </c>
      <c r="D1508" s="1" t="str">
        <f>MID(analisis_productividad__4[[#This Row],[Periodo]],5,2)</f>
        <v>05</v>
      </c>
      <c r="E1508" s="1" t="s">
        <v>16</v>
      </c>
      <c r="F1508" s="1" t="s">
        <v>21</v>
      </c>
      <c r="G1508" s="1">
        <v>83680</v>
      </c>
      <c r="H1508" s="1">
        <v>4730881</v>
      </c>
      <c r="I1508" s="1">
        <v>56.535490591397839</v>
      </c>
      <c r="J1508" s="1">
        <v>74692.639583243552</v>
      </c>
      <c r="K1508" s="1">
        <v>60.5</v>
      </c>
      <c r="L1508" s="1">
        <v>60.5</v>
      </c>
      <c r="M1508" s="1">
        <v>63.337986130849231</v>
      </c>
      <c r="N1508" s="1">
        <v>4855369</v>
      </c>
    </row>
    <row r="1509" spans="1:14" x14ac:dyDescent="0.35">
      <c r="A1509" s="1" t="s">
        <v>70</v>
      </c>
      <c r="B1509" s="1">
        <v>202404</v>
      </c>
      <c r="C1509" s="1" t="str">
        <f>MID(analisis_productividad__4[[#This Row],[Periodo]],1,4)</f>
        <v>2024</v>
      </c>
      <c r="D1509" s="1" t="str">
        <f>MID(analisis_productividad__4[[#This Row],[Periodo]],5,2)</f>
        <v>04</v>
      </c>
      <c r="E1509" s="1" t="s">
        <v>11</v>
      </c>
      <c r="F1509" s="1" t="s">
        <v>14</v>
      </c>
      <c r="G1509" s="1">
        <v>83679</v>
      </c>
      <c r="H1509" s="1">
        <v>4704473</v>
      </c>
      <c r="I1509" s="1">
        <v>56.220354166666652</v>
      </c>
      <c r="J1509" s="1">
        <v>0</v>
      </c>
      <c r="K1509" s="1">
        <v>65</v>
      </c>
      <c r="L1509" s="1">
        <v>67.5</v>
      </c>
      <c r="M1509" s="1"/>
      <c r="N1509" s="1">
        <v>0</v>
      </c>
    </row>
    <row r="1510" spans="1:14" x14ac:dyDescent="0.35">
      <c r="A1510" s="1" t="s">
        <v>41</v>
      </c>
      <c r="B1510" s="1">
        <v>202405</v>
      </c>
      <c r="C1510" s="1" t="str">
        <f>MID(analisis_productividad__4[[#This Row],[Periodo]],1,4)</f>
        <v>2024</v>
      </c>
      <c r="D1510" s="1" t="str">
        <f>MID(analisis_productividad__4[[#This Row],[Periodo]],5,2)</f>
        <v>05</v>
      </c>
      <c r="E1510" s="1" t="s">
        <v>16</v>
      </c>
      <c r="F1510" s="1" t="s">
        <v>19</v>
      </c>
      <c r="G1510" s="1">
        <v>83666</v>
      </c>
      <c r="H1510" s="1">
        <v>4240836</v>
      </c>
      <c r="I1510" s="1">
        <v>50.687526881720409</v>
      </c>
      <c r="J1510" s="1">
        <v>0</v>
      </c>
      <c r="K1510" s="1">
        <v>57.5</v>
      </c>
      <c r="L1510" s="1">
        <v>56.5</v>
      </c>
      <c r="M1510" s="1"/>
      <c r="N1510" s="1">
        <v>0</v>
      </c>
    </row>
    <row r="1511" spans="1:14" x14ac:dyDescent="0.35">
      <c r="A1511" s="1" t="s">
        <v>54</v>
      </c>
      <c r="B1511" s="1">
        <v>202405</v>
      </c>
      <c r="C1511" s="1" t="str">
        <f>MID(analisis_productividad__4[[#This Row],[Periodo]],1,4)</f>
        <v>2024</v>
      </c>
      <c r="D1511" s="1" t="str">
        <f>MID(analisis_productividad__4[[#This Row],[Periodo]],5,2)</f>
        <v>05</v>
      </c>
      <c r="E1511" s="1" t="s">
        <v>11</v>
      </c>
      <c r="F1511" s="1" t="s">
        <v>52</v>
      </c>
      <c r="G1511" s="1">
        <v>83651</v>
      </c>
      <c r="H1511" s="1">
        <v>9055426</v>
      </c>
      <c r="I1511" s="1">
        <v>108.25198924731184</v>
      </c>
      <c r="J1511" s="1">
        <v>0</v>
      </c>
      <c r="K1511" s="1">
        <v>106</v>
      </c>
      <c r="L1511" s="1">
        <v>102.5</v>
      </c>
      <c r="M1511" s="1"/>
      <c r="N1511" s="1">
        <v>0</v>
      </c>
    </row>
    <row r="1512" spans="1:14" x14ac:dyDescent="0.35">
      <c r="A1512" s="1" t="s">
        <v>18</v>
      </c>
      <c r="B1512" s="1">
        <v>202507</v>
      </c>
      <c r="C1512" s="1" t="str">
        <f>MID(analisis_productividad__4[[#This Row],[Periodo]],1,4)</f>
        <v>2025</v>
      </c>
      <c r="D1512" s="1" t="str">
        <f>MID(analisis_productividad__4[[#This Row],[Periodo]],5,2)</f>
        <v>07</v>
      </c>
      <c r="E1512" s="1" t="s">
        <v>16</v>
      </c>
      <c r="F1512" s="1" t="s">
        <v>19</v>
      </c>
      <c r="G1512" s="1">
        <v>83630</v>
      </c>
      <c r="H1512" s="1">
        <v>5459845</v>
      </c>
      <c r="I1512" s="1">
        <v>65.286055107526877</v>
      </c>
      <c r="J1512" s="1">
        <v>97391.092342918913</v>
      </c>
      <c r="K1512" s="1">
        <v>70.5</v>
      </c>
      <c r="L1512" s="1">
        <v>69.5</v>
      </c>
      <c r="M1512" s="1">
        <v>56.061031852642259</v>
      </c>
      <c r="N1512" s="1">
        <v>5773022</v>
      </c>
    </row>
    <row r="1513" spans="1:14" x14ac:dyDescent="0.35">
      <c r="A1513" s="1" t="s">
        <v>71</v>
      </c>
      <c r="B1513" s="1">
        <v>202407</v>
      </c>
      <c r="C1513" s="1" t="str">
        <f>MID(analisis_productividad__4[[#This Row],[Periodo]],1,4)</f>
        <v>2024</v>
      </c>
      <c r="D1513" s="1" t="str">
        <f>MID(analisis_productividad__4[[#This Row],[Periodo]],5,2)</f>
        <v>07</v>
      </c>
      <c r="E1513" s="1" t="s">
        <v>16</v>
      </c>
      <c r="F1513" s="1" t="s">
        <v>19</v>
      </c>
      <c r="G1513" s="1">
        <v>83623</v>
      </c>
      <c r="H1513" s="1">
        <v>2662927</v>
      </c>
      <c r="I1513" s="1">
        <v>31.844543010752684</v>
      </c>
      <c r="J1513" s="1">
        <v>0</v>
      </c>
      <c r="K1513" s="1">
        <v>41.5</v>
      </c>
      <c r="L1513" s="1">
        <v>35.5</v>
      </c>
      <c r="M1513" s="1"/>
      <c r="N1513" s="1">
        <v>0</v>
      </c>
    </row>
    <row r="1514" spans="1:14" x14ac:dyDescent="0.35">
      <c r="A1514" s="1" t="s">
        <v>87</v>
      </c>
      <c r="B1514" s="1">
        <v>202408</v>
      </c>
      <c r="C1514" s="1" t="str">
        <f>MID(analisis_productividad__4[[#This Row],[Periodo]],1,4)</f>
        <v>2024</v>
      </c>
      <c r="D1514" s="1" t="str">
        <f>MID(analisis_productividad__4[[#This Row],[Periodo]],5,2)</f>
        <v>08</v>
      </c>
      <c r="E1514" s="1" t="s">
        <v>9</v>
      </c>
      <c r="F1514" s="1" t="s">
        <v>9</v>
      </c>
      <c r="G1514" s="1">
        <v>83622</v>
      </c>
      <c r="H1514" s="1">
        <v>995305</v>
      </c>
      <c r="I1514" s="1">
        <v>11.902399193548387</v>
      </c>
      <c r="J1514" s="1">
        <v>0</v>
      </c>
      <c r="K1514" s="1">
        <v>13.5</v>
      </c>
      <c r="L1514" s="1">
        <v>12</v>
      </c>
      <c r="M1514" s="1"/>
      <c r="N1514" s="1">
        <v>0</v>
      </c>
    </row>
    <row r="1515" spans="1:14" x14ac:dyDescent="0.35">
      <c r="A1515" s="1" t="s">
        <v>44</v>
      </c>
      <c r="B1515" s="1">
        <v>202509</v>
      </c>
      <c r="C1515" s="1" t="str">
        <f>MID(analisis_productividad__4[[#This Row],[Periodo]],1,4)</f>
        <v>2025</v>
      </c>
      <c r="D1515" s="1" t="str">
        <f>MID(analisis_productividad__4[[#This Row],[Periodo]],5,2)</f>
        <v>09</v>
      </c>
      <c r="E1515" s="1" t="s">
        <v>11</v>
      </c>
      <c r="F1515" s="1" t="s">
        <v>12</v>
      </c>
      <c r="G1515" s="1">
        <v>83618</v>
      </c>
      <c r="H1515" s="1">
        <v>5043713</v>
      </c>
      <c r="I1515" s="1">
        <v>60.318416666666693</v>
      </c>
      <c r="J1515" s="1">
        <v>81267.06156466523</v>
      </c>
      <c r="K1515" s="1">
        <v>78</v>
      </c>
      <c r="L1515" s="1">
        <v>74.5</v>
      </c>
      <c r="M1515" s="1">
        <v>62.063436808117558</v>
      </c>
      <c r="N1515" s="1">
        <v>5453078</v>
      </c>
    </row>
    <row r="1516" spans="1:14" x14ac:dyDescent="0.35">
      <c r="A1516" s="1" t="s">
        <v>106</v>
      </c>
      <c r="B1516" s="1">
        <v>202504</v>
      </c>
      <c r="C1516" s="1" t="str">
        <f>MID(analisis_productividad__4[[#This Row],[Periodo]],1,4)</f>
        <v>2025</v>
      </c>
      <c r="D1516" s="1" t="str">
        <f>MID(analisis_productividad__4[[#This Row],[Periodo]],5,2)</f>
        <v>04</v>
      </c>
      <c r="E1516" s="1" t="s">
        <v>34</v>
      </c>
      <c r="F1516" s="1" t="s">
        <v>35</v>
      </c>
      <c r="G1516" s="1">
        <v>83616</v>
      </c>
      <c r="H1516" s="1">
        <v>3347309</v>
      </c>
      <c r="I1516" s="1">
        <v>40.031784722222227</v>
      </c>
      <c r="J1516" s="1">
        <v>72247.864010093064</v>
      </c>
      <c r="K1516" s="1">
        <v>51</v>
      </c>
      <c r="L1516" s="1">
        <v>49</v>
      </c>
      <c r="M1516" s="1">
        <v>46.330900101522431</v>
      </c>
      <c r="N1516" s="1">
        <v>3603619</v>
      </c>
    </row>
    <row r="1517" spans="1:14" x14ac:dyDescent="0.35">
      <c r="A1517" s="1" t="s">
        <v>84</v>
      </c>
      <c r="B1517" s="1">
        <v>202409</v>
      </c>
      <c r="C1517" s="1" t="str">
        <f>MID(analisis_productividad__4[[#This Row],[Periodo]],1,4)</f>
        <v>2024</v>
      </c>
      <c r="D1517" s="1" t="str">
        <f>MID(analisis_productividad__4[[#This Row],[Periodo]],5,2)</f>
        <v>09</v>
      </c>
      <c r="E1517" s="1" t="s">
        <v>11</v>
      </c>
      <c r="F1517" s="1" t="s">
        <v>52</v>
      </c>
      <c r="G1517" s="1">
        <v>83558</v>
      </c>
      <c r="H1517" s="1">
        <v>8376053</v>
      </c>
      <c r="I1517" s="1">
        <v>100.24238194444446</v>
      </c>
      <c r="J1517" s="1">
        <v>0</v>
      </c>
      <c r="K1517" s="1">
        <v>123</v>
      </c>
      <c r="L1517" s="1">
        <v>115.5</v>
      </c>
      <c r="M1517" s="1"/>
      <c r="N1517" s="1">
        <v>0</v>
      </c>
    </row>
    <row r="1518" spans="1:14" x14ac:dyDescent="0.35">
      <c r="A1518" s="1" t="s">
        <v>62</v>
      </c>
      <c r="B1518" s="1">
        <v>202505</v>
      </c>
      <c r="C1518" s="1" t="str">
        <f>MID(analisis_productividad__4[[#This Row],[Periodo]],1,4)</f>
        <v>2025</v>
      </c>
      <c r="D1518" s="1" t="str">
        <f>MID(analisis_productividad__4[[#This Row],[Periodo]],5,2)</f>
        <v>05</v>
      </c>
      <c r="E1518" s="1" t="s">
        <v>16</v>
      </c>
      <c r="F1518" s="1" t="s">
        <v>17</v>
      </c>
      <c r="G1518" s="1">
        <v>83544</v>
      </c>
      <c r="H1518" s="1">
        <v>2531584</v>
      </c>
      <c r="I1518" s="1">
        <v>30.302473118279575</v>
      </c>
      <c r="J1518" s="1">
        <v>81931.44772072116</v>
      </c>
      <c r="K1518" s="1">
        <v>32.5</v>
      </c>
      <c r="L1518" s="1">
        <v>32</v>
      </c>
      <c r="M1518" s="1">
        <v>30.898803089985439</v>
      </c>
      <c r="N1518" s="1">
        <v>2313521</v>
      </c>
    </row>
    <row r="1519" spans="1:14" x14ac:dyDescent="0.35">
      <c r="A1519" s="1" t="s">
        <v>78</v>
      </c>
      <c r="B1519" s="1">
        <v>202511</v>
      </c>
      <c r="C1519" s="1" t="str">
        <f>MID(analisis_productividad__4[[#This Row],[Periodo]],1,4)</f>
        <v>2025</v>
      </c>
      <c r="D1519" s="1" t="str">
        <f>MID(analisis_productividad__4[[#This Row],[Periodo]],5,2)</f>
        <v>11</v>
      </c>
      <c r="E1519" s="1" t="s">
        <v>11</v>
      </c>
      <c r="F1519" s="1" t="s">
        <v>14</v>
      </c>
      <c r="G1519" s="1">
        <v>83453</v>
      </c>
      <c r="H1519" s="1">
        <v>5785599</v>
      </c>
      <c r="I1519" s="1">
        <v>69.327756944444474</v>
      </c>
      <c r="J1519" s="1">
        <v>81267.163621597516</v>
      </c>
      <c r="K1519" s="1">
        <v>79.5</v>
      </c>
      <c r="L1519" s="1">
        <v>67</v>
      </c>
      <c r="M1519" s="1">
        <v>71.192339220049035</v>
      </c>
      <c r="N1519" s="1">
        <v>5478116</v>
      </c>
    </row>
    <row r="1520" spans="1:14" x14ac:dyDescent="0.35">
      <c r="A1520" s="1" t="s">
        <v>88</v>
      </c>
      <c r="B1520" s="1">
        <v>202504</v>
      </c>
      <c r="C1520" s="1" t="str">
        <f>MID(analisis_productividad__4[[#This Row],[Periodo]],1,4)</f>
        <v>2025</v>
      </c>
      <c r="D1520" s="1" t="str">
        <f>MID(analisis_productividad__4[[#This Row],[Periodo]],5,2)</f>
        <v>04</v>
      </c>
      <c r="E1520" s="1" t="s">
        <v>34</v>
      </c>
      <c r="F1520" s="1" t="s">
        <v>35</v>
      </c>
      <c r="G1520" s="1">
        <v>83437</v>
      </c>
      <c r="H1520" s="1">
        <v>1067306</v>
      </c>
      <c r="I1520" s="1">
        <v>12.791770833333338</v>
      </c>
      <c r="J1520" s="1">
        <v>75319.781652543796</v>
      </c>
      <c r="K1520" s="1">
        <v>15.5</v>
      </c>
      <c r="L1520" s="1">
        <v>14.5</v>
      </c>
      <c r="M1520" s="1">
        <v>14.17033037779596</v>
      </c>
      <c r="N1520" s="1">
        <v>1103430</v>
      </c>
    </row>
    <row r="1521" spans="1:14" x14ac:dyDescent="0.35">
      <c r="A1521" s="1" t="s">
        <v>47</v>
      </c>
      <c r="B1521" s="1">
        <v>202507</v>
      </c>
      <c r="C1521" s="1" t="str">
        <f>MID(analisis_productividad__4[[#This Row],[Periodo]],1,4)</f>
        <v>2025</v>
      </c>
      <c r="D1521" s="1" t="str">
        <f>MID(analisis_productividad__4[[#This Row],[Periodo]],5,2)</f>
        <v>07</v>
      </c>
      <c r="E1521" s="1" t="s">
        <v>11</v>
      </c>
      <c r="F1521" s="1" t="s">
        <v>14</v>
      </c>
      <c r="G1521" s="1">
        <v>83429</v>
      </c>
      <c r="H1521" s="1">
        <v>4351436</v>
      </c>
      <c r="I1521" s="1">
        <v>52.157432795698938</v>
      </c>
      <c r="J1521" s="1">
        <v>81883.782471539904</v>
      </c>
      <c r="K1521" s="1">
        <v>61.5</v>
      </c>
      <c r="L1521" s="1">
        <v>48.5</v>
      </c>
      <c r="M1521" s="1">
        <v>53.141609103272877</v>
      </c>
      <c r="N1521" s="1">
        <v>5021707</v>
      </c>
    </row>
    <row r="1522" spans="1:14" x14ac:dyDescent="0.35">
      <c r="A1522" s="1" t="s">
        <v>90</v>
      </c>
      <c r="B1522" s="1">
        <v>202606</v>
      </c>
      <c r="C1522" s="1" t="str">
        <f>MID(analisis_productividad__4[[#This Row],[Periodo]],1,4)</f>
        <v>2026</v>
      </c>
      <c r="D1522" s="1" t="str">
        <f>MID(analisis_productividad__4[[#This Row],[Periodo]],5,2)</f>
        <v>06</v>
      </c>
      <c r="E1522" s="1" t="s">
        <v>11</v>
      </c>
      <c r="F1522" s="1" t="s">
        <v>14</v>
      </c>
      <c r="G1522" s="1">
        <v>83423</v>
      </c>
      <c r="H1522" s="1">
        <v>5600587</v>
      </c>
      <c r="I1522" s="1">
        <v>67.134423611113036</v>
      </c>
      <c r="J1522" s="1">
        <v>78218.877983555023</v>
      </c>
      <c r="K1522" s="1">
        <v>84.5</v>
      </c>
      <c r="L1522" s="1">
        <v>78.5</v>
      </c>
      <c r="M1522" s="1">
        <v>72.494656792343278</v>
      </c>
      <c r="N1522" s="1">
        <v>5670451</v>
      </c>
    </row>
    <row r="1523" spans="1:14" x14ac:dyDescent="0.35">
      <c r="A1523" s="1" t="s">
        <v>80</v>
      </c>
      <c r="B1523" s="1">
        <v>202505</v>
      </c>
      <c r="C1523" s="1" t="str">
        <f>MID(analisis_productividad__4[[#This Row],[Periodo]],1,4)</f>
        <v>2025</v>
      </c>
      <c r="D1523" s="1" t="str">
        <f>MID(analisis_productividad__4[[#This Row],[Periodo]],5,2)</f>
        <v>05</v>
      </c>
      <c r="E1523" s="1" t="s">
        <v>16</v>
      </c>
      <c r="F1523" s="1" t="s">
        <v>17</v>
      </c>
      <c r="G1523" s="1">
        <v>83413</v>
      </c>
      <c r="H1523" s="1">
        <v>4525870</v>
      </c>
      <c r="I1523" s="1">
        <v>54.258514784946222</v>
      </c>
      <c r="J1523" s="1">
        <v>81219.438779492397</v>
      </c>
      <c r="K1523" s="1">
        <v>58</v>
      </c>
      <c r="L1523" s="1">
        <v>58.5</v>
      </c>
      <c r="M1523" s="1">
        <v>55.72396938481144</v>
      </c>
      <c r="N1523" s="1">
        <v>4567169</v>
      </c>
    </row>
    <row r="1524" spans="1:14" x14ac:dyDescent="0.35">
      <c r="A1524" s="1" t="s">
        <v>64</v>
      </c>
      <c r="B1524" s="1">
        <v>202408</v>
      </c>
      <c r="C1524" s="1" t="str">
        <f>MID(analisis_productividad__4[[#This Row],[Periodo]],1,4)</f>
        <v>2024</v>
      </c>
      <c r="D1524" s="1" t="str">
        <f>MID(analisis_productividad__4[[#This Row],[Periodo]],5,2)</f>
        <v>08</v>
      </c>
      <c r="E1524" s="1" t="s">
        <v>16</v>
      </c>
      <c r="F1524" s="1" t="s">
        <v>21</v>
      </c>
      <c r="G1524" s="1">
        <v>83403</v>
      </c>
      <c r="H1524" s="1">
        <v>6353841</v>
      </c>
      <c r="I1524" s="1">
        <v>76.182439516129079</v>
      </c>
      <c r="J1524" s="1">
        <v>0</v>
      </c>
      <c r="K1524" s="1">
        <v>88.5</v>
      </c>
      <c r="L1524" s="1">
        <v>92.5</v>
      </c>
      <c r="M1524" s="1"/>
      <c r="N1524" s="1">
        <v>0</v>
      </c>
    </row>
    <row r="1525" spans="1:14" x14ac:dyDescent="0.35">
      <c r="A1525" s="1" t="s">
        <v>84</v>
      </c>
      <c r="B1525" s="1">
        <v>202601</v>
      </c>
      <c r="C1525" s="1" t="str">
        <f>MID(analisis_productividad__4[[#This Row],[Periodo]],1,4)</f>
        <v>2026</v>
      </c>
      <c r="D1525" s="1" t="str">
        <f>MID(analisis_productividad__4[[#This Row],[Periodo]],5,2)</f>
        <v>01</v>
      </c>
      <c r="E1525" s="1" t="s">
        <v>11</v>
      </c>
      <c r="F1525" s="1" t="s">
        <v>52</v>
      </c>
      <c r="G1525" s="1">
        <v>83388</v>
      </c>
      <c r="H1525" s="1">
        <v>8650247</v>
      </c>
      <c r="I1525" s="1">
        <v>103.73444892473121</v>
      </c>
      <c r="J1525" s="1">
        <v>90924.202243357999</v>
      </c>
      <c r="K1525" s="1">
        <v>123</v>
      </c>
      <c r="L1525" s="1">
        <v>115.5</v>
      </c>
      <c r="M1525" s="1">
        <v>102.59248347357834</v>
      </c>
      <c r="N1525" s="1">
        <v>9328140</v>
      </c>
    </row>
    <row r="1526" spans="1:14" x14ac:dyDescent="0.35">
      <c r="A1526" s="1" t="s">
        <v>49</v>
      </c>
      <c r="B1526" s="1">
        <v>202411</v>
      </c>
      <c r="C1526" s="1" t="str">
        <f>MID(analisis_productividad__4[[#This Row],[Periodo]],1,4)</f>
        <v>2024</v>
      </c>
      <c r="D1526" s="1" t="str">
        <f>MID(analisis_productividad__4[[#This Row],[Periodo]],5,2)</f>
        <v>11</v>
      </c>
      <c r="E1526" s="1" t="s">
        <v>16</v>
      </c>
      <c r="F1526" s="1" t="s">
        <v>21</v>
      </c>
      <c r="G1526" s="1">
        <v>83385</v>
      </c>
      <c r="H1526" s="1">
        <v>5500090</v>
      </c>
      <c r="I1526" s="1">
        <v>65.960125000000019</v>
      </c>
      <c r="J1526" s="1">
        <v>0</v>
      </c>
      <c r="K1526" s="1">
        <v>75.5</v>
      </c>
      <c r="L1526" s="1">
        <v>68</v>
      </c>
      <c r="M1526" s="1"/>
      <c r="N1526" s="1">
        <v>0</v>
      </c>
    </row>
    <row r="1527" spans="1:14" x14ac:dyDescent="0.35">
      <c r="A1527" s="1" t="s">
        <v>43</v>
      </c>
      <c r="B1527" s="1">
        <v>202402</v>
      </c>
      <c r="C1527" s="1" t="str">
        <f>MID(analisis_productividad__4[[#This Row],[Periodo]],1,4)</f>
        <v>2024</v>
      </c>
      <c r="D1527" s="1" t="str">
        <f>MID(analisis_productividad__4[[#This Row],[Periodo]],5,2)</f>
        <v>02</v>
      </c>
      <c r="E1527" s="1" t="s">
        <v>11</v>
      </c>
      <c r="F1527" s="1" t="s">
        <v>12</v>
      </c>
      <c r="G1527" s="1">
        <v>83364</v>
      </c>
      <c r="H1527" s="1">
        <v>6422747</v>
      </c>
      <c r="I1527" s="1">
        <v>77.044554597701193</v>
      </c>
      <c r="J1527" s="1">
        <v>0</v>
      </c>
      <c r="K1527" s="1">
        <v>84.5</v>
      </c>
      <c r="L1527" s="1">
        <v>86.5</v>
      </c>
      <c r="M1527" s="1"/>
      <c r="N1527" s="1">
        <v>0</v>
      </c>
    </row>
    <row r="1528" spans="1:14" x14ac:dyDescent="0.35">
      <c r="A1528" s="1" t="s">
        <v>87</v>
      </c>
      <c r="B1528" s="1">
        <v>202410</v>
      </c>
      <c r="C1528" s="1" t="str">
        <f>MID(analisis_productividad__4[[#This Row],[Periodo]],1,4)</f>
        <v>2024</v>
      </c>
      <c r="D1528" s="1" t="str">
        <f>MID(analisis_productividad__4[[#This Row],[Periodo]],5,2)</f>
        <v>10</v>
      </c>
      <c r="E1528" s="1" t="s">
        <v>9</v>
      </c>
      <c r="F1528" s="1" t="s">
        <v>9</v>
      </c>
      <c r="G1528" s="1">
        <v>83361</v>
      </c>
      <c r="H1528" s="1">
        <v>947365</v>
      </c>
      <c r="I1528" s="1">
        <v>11.364556451612906</v>
      </c>
      <c r="J1528" s="1">
        <v>0</v>
      </c>
      <c r="K1528" s="1">
        <v>13.5</v>
      </c>
      <c r="L1528" s="1">
        <v>12</v>
      </c>
      <c r="M1528" s="1"/>
      <c r="N1528" s="1">
        <v>0</v>
      </c>
    </row>
    <row r="1529" spans="1:14" x14ac:dyDescent="0.35">
      <c r="A1529" s="1" t="s">
        <v>60</v>
      </c>
      <c r="B1529" s="1">
        <v>202511</v>
      </c>
      <c r="C1529" s="1" t="str">
        <f>MID(analisis_productividad__4[[#This Row],[Periodo]],1,4)</f>
        <v>2025</v>
      </c>
      <c r="D1529" s="1" t="str">
        <f>MID(analisis_productividad__4[[#This Row],[Periodo]],5,2)</f>
        <v>11</v>
      </c>
      <c r="E1529" s="1" t="s">
        <v>11</v>
      </c>
      <c r="F1529" s="1" t="s">
        <v>14</v>
      </c>
      <c r="G1529" s="1">
        <v>83352</v>
      </c>
      <c r="H1529" s="1">
        <v>5352897</v>
      </c>
      <c r="I1529" s="1">
        <v>64.220625000000041</v>
      </c>
      <c r="J1529" s="1">
        <v>83111.323801670878</v>
      </c>
      <c r="K1529" s="1">
        <v>75.5</v>
      </c>
      <c r="L1529" s="1">
        <v>74</v>
      </c>
      <c r="M1529" s="1">
        <v>64.406353733140591</v>
      </c>
      <c r="N1529" s="1">
        <v>6568616</v>
      </c>
    </row>
    <row r="1530" spans="1:14" x14ac:dyDescent="0.35">
      <c r="A1530" s="1" t="s">
        <v>75</v>
      </c>
      <c r="B1530" s="1">
        <v>202404</v>
      </c>
      <c r="C1530" s="1" t="str">
        <f>MID(analisis_productividad__4[[#This Row],[Periodo]],1,4)</f>
        <v>2024</v>
      </c>
      <c r="D1530" s="1" t="str">
        <f>MID(analisis_productividad__4[[#This Row],[Periodo]],5,2)</f>
        <v>04</v>
      </c>
      <c r="E1530" s="1" t="s">
        <v>11</v>
      </c>
      <c r="F1530" s="1" t="s">
        <v>52</v>
      </c>
      <c r="G1530" s="1">
        <v>83350</v>
      </c>
      <c r="H1530" s="1">
        <v>9258741</v>
      </c>
      <c r="I1530" s="1">
        <v>111.0826597222222</v>
      </c>
      <c r="J1530" s="1">
        <v>0</v>
      </c>
      <c r="K1530" s="1">
        <v>118</v>
      </c>
      <c r="L1530" s="1">
        <v>106</v>
      </c>
      <c r="M1530" s="1"/>
      <c r="N1530" s="1">
        <v>0</v>
      </c>
    </row>
    <row r="1531" spans="1:14" x14ac:dyDescent="0.35">
      <c r="A1531" s="1" t="s">
        <v>78</v>
      </c>
      <c r="B1531" s="1">
        <v>202407</v>
      </c>
      <c r="C1531" s="1" t="str">
        <f>MID(analisis_productividad__4[[#This Row],[Periodo]],1,4)</f>
        <v>2024</v>
      </c>
      <c r="D1531" s="1" t="str">
        <f>MID(analisis_productividad__4[[#This Row],[Periodo]],5,2)</f>
        <v>07</v>
      </c>
      <c r="E1531" s="1" t="s">
        <v>11</v>
      </c>
      <c r="F1531" s="1" t="s">
        <v>14</v>
      </c>
      <c r="G1531" s="1">
        <v>83349</v>
      </c>
      <c r="H1531" s="1">
        <v>5919367</v>
      </c>
      <c r="I1531" s="1">
        <v>71.018857526881689</v>
      </c>
      <c r="J1531" s="1">
        <v>0</v>
      </c>
      <c r="K1531" s="1">
        <v>79.5</v>
      </c>
      <c r="L1531" s="1">
        <v>67</v>
      </c>
      <c r="M1531" s="1"/>
      <c r="N1531" s="1">
        <v>0</v>
      </c>
    </row>
    <row r="1532" spans="1:14" x14ac:dyDescent="0.35">
      <c r="A1532" s="1" t="s">
        <v>47</v>
      </c>
      <c r="B1532" s="1">
        <v>202403</v>
      </c>
      <c r="C1532" s="1" t="str">
        <f>MID(analisis_productividad__4[[#This Row],[Periodo]],1,4)</f>
        <v>2024</v>
      </c>
      <c r="D1532" s="1" t="str">
        <f>MID(analisis_productividad__4[[#This Row],[Periodo]],5,2)</f>
        <v>03</v>
      </c>
      <c r="E1532" s="1" t="s">
        <v>11</v>
      </c>
      <c r="F1532" s="1" t="s">
        <v>14</v>
      </c>
      <c r="G1532" s="1">
        <v>83338</v>
      </c>
      <c r="H1532" s="1">
        <v>5179219</v>
      </c>
      <c r="I1532" s="1">
        <v>62.147063172043026</v>
      </c>
      <c r="J1532" s="1">
        <v>0</v>
      </c>
      <c r="K1532" s="1">
        <v>61.5</v>
      </c>
      <c r="L1532" s="1">
        <v>48.5</v>
      </c>
      <c r="M1532" s="1"/>
      <c r="N1532" s="1">
        <v>0</v>
      </c>
    </row>
    <row r="1533" spans="1:14" x14ac:dyDescent="0.35">
      <c r="A1533" s="1" t="s">
        <v>79</v>
      </c>
      <c r="B1533" s="1">
        <v>202604</v>
      </c>
      <c r="C1533" s="1" t="str">
        <f>MID(analisis_productividad__4[[#This Row],[Periodo]],1,4)</f>
        <v>2026</v>
      </c>
      <c r="D1533" s="1" t="str">
        <f>MID(analisis_productividad__4[[#This Row],[Periodo]],5,2)</f>
        <v>04</v>
      </c>
      <c r="E1533" s="1" t="s">
        <v>11</v>
      </c>
      <c r="F1533" s="1" t="s">
        <v>12</v>
      </c>
      <c r="G1533" s="1">
        <v>83337</v>
      </c>
      <c r="H1533" s="1">
        <v>4981514</v>
      </c>
      <c r="I1533" s="1">
        <v>59.775868055556003</v>
      </c>
      <c r="J1533" s="1">
        <v>91886.337945352978</v>
      </c>
      <c r="K1533" s="1">
        <v>64.5</v>
      </c>
      <c r="L1533" s="1">
        <v>64</v>
      </c>
      <c r="M1533" s="1">
        <v>54.966698955874868</v>
      </c>
      <c r="N1533" s="1">
        <v>5050689</v>
      </c>
    </row>
    <row r="1534" spans="1:14" x14ac:dyDescent="0.35">
      <c r="A1534" s="1" t="s">
        <v>59</v>
      </c>
      <c r="B1534" s="1">
        <v>202501</v>
      </c>
      <c r="C1534" s="1" t="str">
        <f>MID(analisis_productividad__4[[#This Row],[Periodo]],1,4)</f>
        <v>2025</v>
      </c>
      <c r="D1534" s="1" t="str">
        <f>MID(analisis_productividad__4[[#This Row],[Periodo]],5,2)</f>
        <v>01</v>
      </c>
      <c r="E1534" s="1" t="s">
        <v>11</v>
      </c>
      <c r="F1534" s="1" t="s">
        <v>12</v>
      </c>
      <c r="G1534" s="1">
        <v>83327</v>
      </c>
      <c r="H1534" s="1">
        <v>7348758</v>
      </c>
      <c r="I1534" s="1">
        <v>88.192237903225745</v>
      </c>
      <c r="J1534" s="1">
        <v>77578.849470206114</v>
      </c>
      <c r="K1534" s="1">
        <v>94.5</v>
      </c>
      <c r="L1534" s="1">
        <v>97</v>
      </c>
      <c r="M1534" s="1">
        <v>94.726309170417181</v>
      </c>
      <c r="N1534" s="1">
        <v>7071595</v>
      </c>
    </row>
    <row r="1535" spans="1:14" x14ac:dyDescent="0.35">
      <c r="A1535" s="1" t="s">
        <v>58</v>
      </c>
      <c r="B1535" s="1">
        <v>202511</v>
      </c>
      <c r="C1535" s="1" t="str">
        <f>MID(analisis_productividad__4[[#This Row],[Periodo]],1,4)</f>
        <v>2025</v>
      </c>
      <c r="D1535" s="1" t="str">
        <f>MID(analisis_productividad__4[[#This Row],[Periodo]],5,2)</f>
        <v>11</v>
      </c>
      <c r="E1535" s="1" t="s">
        <v>34</v>
      </c>
      <c r="F1535" s="1" t="s">
        <v>35</v>
      </c>
      <c r="G1535" s="1">
        <v>83321</v>
      </c>
      <c r="H1535" s="1">
        <v>3340989</v>
      </c>
      <c r="I1535" s="1">
        <v>40.097652777777775</v>
      </c>
      <c r="J1535" s="1">
        <v>77701.260130593335</v>
      </c>
      <c r="K1535" s="1">
        <v>53.5</v>
      </c>
      <c r="L1535" s="1">
        <v>52</v>
      </c>
      <c r="M1535" s="1">
        <v>42.997876924837065</v>
      </c>
      <c r="N1535" s="1">
        <v>3310494</v>
      </c>
    </row>
    <row r="1536" spans="1:14" x14ac:dyDescent="0.35">
      <c r="A1536" s="1" t="s">
        <v>93</v>
      </c>
      <c r="B1536" s="1">
        <v>202603</v>
      </c>
      <c r="C1536" s="1" t="str">
        <f>MID(analisis_productividad__4[[#This Row],[Periodo]],1,4)</f>
        <v>2026</v>
      </c>
      <c r="D1536" s="1" t="str">
        <f>MID(analisis_productividad__4[[#This Row],[Periodo]],5,2)</f>
        <v>03</v>
      </c>
      <c r="E1536" s="1" t="s">
        <v>16</v>
      </c>
      <c r="F1536" s="1" t="s">
        <v>17</v>
      </c>
      <c r="G1536" s="1">
        <v>83320</v>
      </c>
      <c r="H1536" s="1">
        <v>6998675</v>
      </c>
      <c r="I1536" s="1">
        <v>83.997130376344103</v>
      </c>
      <c r="J1536" s="1">
        <v>109173.94922738092</v>
      </c>
      <c r="K1536" s="1">
        <v>84</v>
      </c>
      <c r="L1536" s="1">
        <v>76</v>
      </c>
      <c r="M1536" s="1">
        <v>84</v>
      </c>
      <c r="N1536" s="1">
        <v>9170612</v>
      </c>
    </row>
    <row r="1537" spans="1:14" x14ac:dyDescent="0.35">
      <c r="A1537" s="1" t="s">
        <v>78</v>
      </c>
      <c r="B1537" s="1">
        <v>202507</v>
      </c>
      <c r="C1537" s="1" t="str">
        <f>MID(analisis_productividad__4[[#This Row],[Periodo]],1,4)</f>
        <v>2025</v>
      </c>
      <c r="D1537" s="1" t="str">
        <f>MID(analisis_productividad__4[[#This Row],[Periodo]],5,2)</f>
        <v>07</v>
      </c>
      <c r="E1537" s="1" t="s">
        <v>11</v>
      </c>
      <c r="F1537" s="1" t="s">
        <v>14</v>
      </c>
      <c r="G1537" s="1">
        <v>83320</v>
      </c>
      <c r="H1537" s="1">
        <v>5814139</v>
      </c>
      <c r="I1537" s="1">
        <v>69.780685483870968</v>
      </c>
      <c r="J1537" s="1">
        <v>87516.693269071577</v>
      </c>
      <c r="K1537" s="1">
        <v>79.5</v>
      </c>
      <c r="L1537" s="1">
        <v>67</v>
      </c>
      <c r="M1537" s="1">
        <v>66.434626044705894</v>
      </c>
      <c r="N1537" s="1">
        <v>6432024</v>
      </c>
    </row>
    <row r="1538" spans="1:14" x14ac:dyDescent="0.35">
      <c r="A1538" s="1" t="s">
        <v>24</v>
      </c>
      <c r="B1538" s="1">
        <v>202502</v>
      </c>
      <c r="C1538" s="1" t="str">
        <f>MID(analisis_productividad__4[[#This Row],[Periodo]],1,4)</f>
        <v>2025</v>
      </c>
      <c r="D1538" s="1" t="str">
        <f>MID(analisis_productividad__4[[#This Row],[Periodo]],5,2)</f>
        <v>02</v>
      </c>
      <c r="E1538" s="1" t="s">
        <v>16</v>
      </c>
      <c r="F1538" s="1" t="s">
        <v>21</v>
      </c>
      <c r="G1538" s="1">
        <v>83319</v>
      </c>
      <c r="H1538" s="1">
        <v>8959163</v>
      </c>
      <c r="I1538" s="1">
        <v>107.52843749999994</v>
      </c>
      <c r="J1538" s="1">
        <v>97871.097572226834</v>
      </c>
      <c r="K1538" s="1">
        <v>125</v>
      </c>
      <c r="L1538" s="1">
        <v>118.5</v>
      </c>
      <c r="M1538" s="1">
        <v>91.540435452747644</v>
      </c>
      <c r="N1538" s="1">
        <v>9793410</v>
      </c>
    </row>
    <row r="1539" spans="1:14" x14ac:dyDescent="0.35">
      <c r="A1539" s="1" t="s">
        <v>66</v>
      </c>
      <c r="B1539" s="1">
        <v>202408</v>
      </c>
      <c r="C1539" s="1" t="str">
        <f>MID(analisis_productividad__4[[#This Row],[Periodo]],1,4)</f>
        <v>2024</v>
      </c>
      <c r="D1539" s="1" t="str">
        <f>MID(analisis_productividad__4[[#This Row],[Periodo]],5,2)</f>
        <v>08</v>
      </c>
      <c r="E1539" s="1" t="s">
        <v>11</v>
      </c>
      <c r="F1539" s="1" t="s">
        <v>12</v>
      </c>
      <c r="G1539" s="1">
        <v>83288</v>
      </c>
      <c r="H1539" s="1">
        <v>6001845</v>
      </c>
      <c r="I1539" s="1">
        <v>72.0612365591398</v>
      </c>
      <c r="J1539" s="1">
        <v>0</v>
      </c>
      <c r="K1539" s="1">
        <v>80</v>
      </c>
      <c r="L1539" s="1">
        <v>80.5</v>
      </c>
      <c r="M1539" s="1"/>
      <c r="N1539" s="1">
        <v>0</v>
      </c>
    </row>
    <row r="1540" spans="1:14" x14ac:dyDescent="0.35">
      <c r="A1540" s="1" t="s">
        <v>65</v>
      </c>
      <c r="B1540" s="1">
        <v>202602</v>
      </c>
      <c r="C1540" s="1" t="str">
        <f>MID(analisis_productividad__4[[#This Row],[Periodo]],1,4)</f>
        <v>2026</v>
      </c>
      <c r="D1540" s="1" t="str">
        <f>MID(analisis_productividad__4[[#This Row],[Periodo]],5,2)</f>
        <v>02</v>
      </c>
      <c r="E1540" s="1" t="s">
        <v>16</v>
      </c>
      <c r="F1540" s="1" t="s">
        <v>19</v>
      </c>
      <c r="G1540" s="1">
        <v>83272</v>
      </c>
      <c r="H1540" s="1">
        <v>5364219</v>
      </c>
      <c r="I1540" s="1">
        <v>64.418281250000007</v>
      </c>
      <c r="J1540" s="1">
        <v>81713.429644091666</v>
      </c>
      <c r="K1540" s="1">
        <v>68</v>
      </c>
      <c r="L1540" s="1">
        <v>68.5</v>
      </c>
      <c r="M1540" s="1">
        <v>60.397061823201135</v>
      </c>
      <c r="N1540" s="1">
        <v>4935251</v>
      </c>
    </row>
    <row r="1541" spans="1:14" x14ac:dyDescent="0.35">
      <c r="A1541" s="1" t="s">
        <v>88</v>
      </c>
      <c r="B1541" s="1">
        <v>202503</v>
      </c>
      <c r="C1541" s="1" t="str">
        <f>MID(analisis_productividad__4[[#This Row],[Periodo]],1,4)</f>
        <v>2025</v>
      </c>
      <c r="D1541" s="1" t="str">
        <f>MID(analisis_productividad__4[[#This Row],[Periodo]],5,2)</f>
        <v>03</v>
      </c>
      <c r="E1541" s="1" t="s">
        <v>34</v>
      </c>
      <c r="F1541" s="1" t="s">
        <v>35</v>
      </c>
      <c r="G1541" s="1">
        <v>83243</v>
      </c>
      <c r="H1541" s="1">
        <v>1183693</v>
      </c>
      <c r="I1541" s="1">
        <v>14.219737903225809</v>
      </c>
      <c r="J1541" s="1">
        <v>92980.813698111684</v>
      </c>
      <c r="K1541" s="1">
        <v>15.5</v>
      </c>
      <c r="L1541" s="1">
        <v>14.5</v>
      </c>
      <c r="M1541" s="1">
        <v>12.730509154750912</v>
      </c>
      <c r="N1541" s="1">
        <v>1225194</v>
      </c>
    </row>
    <row r="1542" spans="1:14" x14ac:dyDescent="0.35">
      <c r="A1542" s="1" t="s">
        <v>69</v>
      </c>
      <c r="B1542" s="1">
        <v>202409</v>
      </c>
      <c r="C1542" s="1" t="str">
        <f>MID(analisis_productividad__4[[#This Row],[Periodo]],1,4)</f>
        <v>2024</v>
      </c>
      <c r="D1542" s="1" t="str">
        <f>MID(analisis_productividad__4[[#This Row],[Periodo]],5,2)</f>
        <v>09</v>
      </c>
      <c r="E1542" s="1" t="s">
        <v>11</v>
      </c>
      <c r="F1542" s="1" t="s">
        <v>52</v>
      </c>
      <c r="G1542" s="1">
        <v>83214</v>
      </c>
      <c r="H1542" s="1">
        <v>4751858</v>
      </c>
      <c r="I1542" s="1">
        <v>57.103812500000018</v>
      </c>
      <c r="J1542" s="1">
        <v>0</v>
      </c>
      <c r="K1542" s="1">
        <v>68</v>
      </c>
      <c r="L1542" s="1">
        <v>60.5</v>
      </c>
      <c r="M1542" s="1"/>
      <c r="N1542" s="1">
        <v>0</v>
      </c>
    </row>
    <row r="1543" spans="1:14" x14ac:dyDescent="0.35">
      <c r="A1543" s="1" t="s">
        <v>26</v>
      </c>
      <c r="B1543" s="1">
        <v>202403</v>
      </c>
      <c r="C1543" s="1" t="str">
        <f>MID(analisis_productividad__4[[#This Row],[Periodo]],1,4)</f>
        <v>2024</v>
      </c>
      <c r="D1543" s="1" t="str">
        <f>MID(analisis_productividad__4[[#This Row],[Periodo]],5,2)</f>
        <v>03</v>
      </c>
      <c r="E1543" s="1" t="s">
        <v>11</v>
      </c>
      <c r="F1543" s="1" t="s">
        <v>12</v>
      </c>
      <c r="G1543" s="1">
        <v>83214</v>
      </c>
      <c r="H1543" s="1">
        <v>5991172</v>
      </c>
      <c r="I1543" s="1">
        <v>71.997163978494612</v>
      </c>
      <c r="J1543" s="1">
        <v>0</v>
      </c>
      <c r="K1543" s="1">
        <v>65.5</v>
      </c>
      <c r="L1543" s="1">
        <v>63</v>
      </c>
      <c r="M1543" s="1"/>
      <c r="N1543" s="1">
        <v>0</v>
      </c>
    </row>
    <row r="1544" spans="1:14" x14ac:dyDescent="0.35">
      <c r="A1544" s="1" t="s">
        <v>47</v>
      </c>
      <c r="B1544" s="1">
        <v>202506</v>
      </c>
      <c r="C1544" s="1" t="str">
        <f>MID(analisis_productividad__4[[#This Row],[Periodo]],1,4)</f>
        <v>2025</v>
      </c>
      <c r="D1544" s="1" t="str">
        <f>MID(analisis_productividad__4[[#This Row],[Periodo]],5,2)</f>
        <v>06</v>
      </c>
      <c r="E1544" s="1" t="s">
        <v>11</v>
      </c>
      <c r="F1544" s="1" t="s">
        <v>14</v>
      </c>
      <c r="G1544" s="1">
        <v>83205</v>
      </c>
      <c r="H1544" s="1">
        <v>4249639</v>
      </c>
      <c r="I1544" s="1">
        <v>51.074187499999994</v>
      </c>
      <c r="J1544" s="1">
        <v>77212.09073406519</v>
      </c>
      <c r="K1544" s="1">
        <v>61.5</v>
      </c>
      <c r="L1544" s="1">
        <v>48.5</v>
      </c>
      <c r="M1544" s="1">
        <v>55.038513652436336</v>
      </c>
      <c r="N1544" s="1">
        <v>4697127</v>
      </c>
    </row>
    <row r="1545" spans="1:14" x14ac:dyDescent="0.35">
      <c r="A1545" s="1" t="s">
        <v>10</v>
      </c>
      <c r="B1545" s="1">
        <v>202401</v>
      </c>
      <c r="C1545" s="1" t="str">
        <f>MID(analisis_productividad__4[[#This Row],[Periodo]],1,4)</f>
        <v>2024</v>
      </c>
      <c r="D1545" s="1" t="str">
        <f>MID(analisis_productividad__4[[#This Row],[Periodo]],5,2)</f>
        <v>01</v>
      </c>
      <c r="E1545" s="1" t="s">
        <v>11</v>
      </c>
      <c r="F1545" s="1" t="s">
        <v>12</v>
      </c>
      <c r="G1545" s="1">
        <v>83191</v>
      </c>
      <c r="H1545" s="1">
        <v>7832898</v>
      </c>
      <c r="I1545" s="1">
        <v>94.155598118279556</v>
      </c>
      <c r="J1545" s="1">
        <v>0</v>
      </c>
      <c r="K1545" s="1">
        <v>98.5</v>
      </c>
      <c r="L1545" s="1">
        <v>96.5</v>
      </c>
      <c r="M1545" s="1"/>
      <c r="N1545" s="1">
        <v>0</v>
      </c>
    </row>
    <row r="1546" spans="1:14" x14ac:dyDescent="0.35">
      <c r="A1546" s="1" t="s">
        <v>81</v>
      </c>
      <c r="B1546" s="1">
        <v>202409</v>
      </c>
      <c r="C1546" s="1" t="str">
        <f>MID(analisis_productividad__4[[#This Row],[Periodo]],1,4)</f>
        <v>2024</v>
      </c>
      <c r="D1546" s="1" t="str">
        <f>MID(analisis_productividad__4[[#This Row],[Periodo]],5,2)</f>
        <v>09</v>
      </c>
      <c r="E1546" s="1" t="s">
        <v>34</v>
      </c>
      <c r="F1546" s="1" t="s">
        <v>35</v>
      </c>
      <c r="G1546" s="1">
        <v>83178</v>
      </c>
      <c r="H1546" s="1">
        <v>7183019</v>
      </c>
      <c r="I1546" s="1">
        <v>86.357152777777785</v>
      </c>
      <c r="J1546" s="1">
        <v>0</v>
      </c>
      <c r="K1546" s="1">
        <v>106</v>
      </c>
      <c r="L1546" s="1">
        <v>94.5</v>
      </c>
      <c r="M1546" s="1"/>
      <c r="N1546" s="1">
        <v>0</v>
      </c>
    </row>
    <row r="1547" spans="1:14" x14ac:dyDescent="0.35">
      <c r="A1547" s="1" t="s">
        <v>98</v>
      </c>
      <c r="B1547" s="1">
        <v>202603</v>
      </c>
      <c r="C1547" s="1" t="str">
        <f>MID(analisis_productividad__4[[#This Row],[Periodo]],1,4)</f>
        <v>2026</v>
      </c>
      <c r="D1547" s="1" t="str">
        <f>MID(analisis_productividad__4[[#This Row],[Periodo]],5,2)</f>
        <v>03</v>
      </c>
      <c r="E1547" s="1" t="s">
        <v>11</v>
      </c>
      <c r="F1547" s="1" t="s">
        <v>14</v>
      </c>
      <c r="G1547" s="1">
        <v>83164</v>
      </c>
      <c r="H1547" s="1">
        <v>4709095</v>
      </c>
      <c r="I1547" s="1">
        <v>56.624213709677413</v>
      </c>
      <c r="J1547" s="1">
        <v>83035.19119245281</v>
      </c>
      <c r="K1547" s="1">
        <v>61.5</v>
      </c>
      <c r="L1547" s="1">
        <v>56</v>
      </c>
      <c r="M1547" s="1">
        <v>52.842490794418893</v>
      </c>
      <c r="N1547" s="1">
        <v>4387786</v>
      </c>
    </row>
    <row r="1548" spans="1:14" x14ac:dyDescent="0.35">
      <c r="A1548" s="1" t="s">
        <v>72</v>
      </c>
      <c r="B1548" s="1">
        <v>202602</v>
      </c>
      <c r="C1548" s="1" t="str">
        <f>MID(analisis_productividad__4[[#This Row],[Periodo]],1,4)</f>
        <v>2026</v>
      </c>
      <c r="D1548" s="1" t="str">
        <f>MID(analisis_productividad__4[[#This Row],[Periodo]],5,2)</f>
        <v>02</v>
      </c>
      <c r="E1548" s="1" t="s">
        <v>11</v>
      </c>
      <c r="F1548" s="1" t="s">
        <v>14</v>
      </c>
      <c r="G1548" s="1">
        <v>83153</v>
      </c>
      <c r="H1548" s="1">
        <v>5167632</v>
      </c>
      <c r="I1548" s="1">
        <v>62.145833333333314</v>
      </c>
      <c r="J1548" s="1">
        <v>94243.151393173015</v>
      </c>
      <c r="K1548" s="1">
        <v>66</v>
      </c>
      <c r="L1548" s="1">
        <v>64.5</v>
      </c>
      <c r="M1548" s="1">
        <v>56.772923994003754</v>
      </c>
      <c r="N1548" s="1">
        <v>5350459</v>
      </c>
    </row>
    <row r="1549" spans="1:14" x14ac:dyDescent="0.35">
      <c r="A1549" s="1" t="s">
        <v>84</v>
      </c>
      <c r="B1549" s="1">
        <v>202604</v>
      </c>
      <c r="C1549" s="1" t="str">
        <f>MID(analisis_productividad__4[[#This Row],[Periodo]],1,4)</f>
        <v>2026</v>
      </c>
      <c r="D1549" s="1" t="str">
        <f>MID(analisis_productividad__4[[#This Row],[Periodo]],5,2)</f>
        <v>04</v>
      </c>
      <c r="E1549" s="1" t="s">
        <v>11</v>
      </c>
      <c r="F1549" s="1" t="s">
        <v>52</v>
      </c>
      <c r="G1549" s="1">
        <v>83121</v>
      </c>
      <c r="H1549" s="1">
        <v>9083748</v>
      </c>
      <c r="I1549" s="1">
        <v>109.2834166666689</v>
      </c>
      <c r="J1549" s="1">
        <v>87640.210678939271</v>
      </c>
      <c r="K1549" s="1">
        <v>123</v>
      </c>
      <c r="L1549" s="1">
        <v>115.5</v>
      </c>
      <c r="M1549" s="1">
        <v>102.59248347357834</v>
      </c>
      <c r="N1549" s="1">
        <v>8991227</v>
      </c>
    </row>
    <row r="1550" spans="1:14" x14ac:dyDescent="0.35">
      <c r="A1550" s="1" t="s">
        <v>66</v>
      </c>
      <c r="B1550" s="1">
        <v>202507</v>
      </c>
      <c r="C1550" s="1" t="str">
        <f>MID(analisis_productividad__4[[#This Row],[Periodo]],1,4)</f>
        <v>2025</v>
      </c>
      <c r="D1550" s="1" t="str">
        <f>MID(analisis_productividad__4[[#This Row],[Periodo]],5,2)</f>
        <v>07</v>
      </c>
      <c r="E1550" s="1" t="s">
        <v>11</v>
      </c>
      <c r="F1550" s="1" t="s">
        <v>12</v>
      </c>
      <c r="G1550" s="1">
        <v>83089</v>
      </c>
      <c r="H1550" s="1">
        <v>5782490</v>
      </c>
      <c r="I1550" s="1">
        <v>69.594301075268831</v>
      </c>
      <c r="J1550" s="1">
        <v>80493.869488451732</v>
      </c>
      <c r="K1550" s="1">
        <v>80</v>
      </c>
      <c r="L1550" s="1">
        <v>80.5</v>
      </c>
      <c r="M1550" s="1">
        <v>71.837643248466279</v>
      </c>
      <c r="N1550" s="1">
        <v>6458121</v>
      </c>
    </row>
    <row r="1551" spans="1:14" x14ac:dyDescent="0.35">
      <c r="A1551" s="1" t="s">
        <v>108</v>
      </c>
      <c r="B1551" s="1">
        <v>202412</v>
      </c>
      <c r="C1551" s="1" t="str">
        <f>MID(analisis_productividad__4[[#This Row],[Periodo]],1,4)</f>
        <v>2024</v>
      </c>
      <c r="D1551" s="1" t="str">
        <f>MID(analisis_productividad__4[[#This Row],[Periodo]],5,2)</f>
        <v>12</v>
      </c>
      <c r="E1551" s="1" t="s">
        <v>11</v>
      </c>
      <c r="F1551" s="1" t="s">
        <v>14</v>
      </c>
      <c r="G1551" s="1">
        <v>83086</v>
      </c>
      <c r="H1551" s="1">
        <v>4248272</v>
      </c>
      <c r="I1551" s="1">
        <v>51.131048387096776</v>
      </c>
      <c r="J1551" s="1">
        <v>0</v>
      </c>
      <c r="K1551" s="1">
        <v>47.5</v>
      </c>
      <c r="L1551" s="1">
        <v>43</v>
      </c>
      <c r="M1551" s="1"/>
      <c r="N1551" s="1">
        <v>0</v>
      </c>
    </row>
    <row r="1552" spans="1:14" x14ac:dyDescent="0.35">
      <c r="A1552" s="1" t="s">
        <v>33</v>
      </c>
      <c r="B1552" s="1">
        <v>202503</v>
      </c>
      <c r="C1552" s="1" t="str">
        <f>MID(analisis_productividad__4[[#This Row],[Periodo]],1,4)</f>
        <v>2025</v>
      </c>
      <c r="D1552" s="1" t="str">
        <f>MID(analisis_productividad__4[[#This Row],[Periodo]],5,2)</f>
        <v>03</v>
      </c>
      <c r="E1552" s="1" t="s">
        <v>34</v>
      </c>
      <c r="F1552" s="1" t="s">
        <v>35</v>
      </c>
      <c r="G1552" s="1">
        <v>83055</v>
      </c>
      <c r="H1552" s="1">
        <v>1158814</v>
      </c>
      <c r="I1552" s="1">
        <v>13.952298387096777</v>
      </c>
      <c r="J1552" s="1">
        <v>91742.544638066582</v>
      </c>
      <c r="K1552" s="1">
        <v>15</v>
      </c>
      <c r="L1552" s="1">
        <v>15</v>
      </c>
      <c r="M1552" s="1">
        <v>12.631150188515434</v>
      </c>
      <c r="N1552" s="1">
        <v>1214725</v>
      </c>
    </row>
    <row r="1553" spans="1:14" x14ac:dyDescent="0.35">
      <c r="A1553" s="1" t="s">
        <v>47</v>
      </c>
      <c r="B1553" s="1">
        <v>202410</v>
      </c>
      <c r="C1553" s="1" t="str">
        <f>MID(analisis_productividad__4[[#This Row],[Periodo]],1,4)</f>
        <v>2024</v>
      </c>
      <c r="D1553" s="1" t="str">
        <f>MID(analisis_productividad__4[[#This Row],[Periodo]],5,2)</f>
        <v>10</v>
      </c>
      <c r="E1553" s="1" t="s">
        <v>11</v>
      </c>
      <c r="F1553" s="1" t="s">
        <v>14</v>
      </c>
      <c r="G1553" s="1">
        <v>83055</v>
      </c>
      <c r="H1553" s="1">
        <v>4347679</v>
      </c>
      <c r="I1553" s="1">
        <v>52.346969086021502</v>
      </c>
      <c r="J1553" s="1">
        <v>0</v>
      </c>
      <c r="K1553" s="1">
        <v>61.5</v>
      </c>
      <c r="L1553" s="1">
        <v>48.5</v>
      </c>
      <c r="M1553" s="1"/>
      <c r="N1553" s="1">
        <v>0</v>
      </c>
    </row>
    <row r="1554" spans="1:14" x14ac:dyDescent="0.35">
      <c r="A1554" s="1" t="s">
        <v>67</v>
      </c>
      <c r="B1554" s="1">
        <v>202409</v>
      </c>
      <c r="C1554" s="1" t="str">
        <f>MID(analisis_productividad__4[[#This Row],[Periodo]],1,4)</f>
        <v>2024</v>
      </c>
      <c r="D1554" s="1" t="str">
        <f>MID(analisis_productividad__4[[#This Row],[Periodo]],5,2)</f>
        <v>09</v>
      </c>
      <c r="E1554" s="1" t="s">
        <v>16</v>
      </c>
      <c r="F1554" s="1" t="s">
        <v>19</v>
      </c>
      <c r="G1554" s="1">
        <v>83011</v>
      </c>
      <c r="H1554" s="1">
        <v>5919038</v>
      </c>
      <c r="I1554" s="1">
        <v>71.304138888888886</v>
      </c>
      <c r="J1554" s="1">
        <v>0</v>
      </c>
      <c r="K1554" s="1">
        <v>79.5</v>
      </c>
      <c r="L1554" s="1">
        <v>81.5</v>
      </c>
      <c r="M1554" s="1"/>
      <c r="N1554" s="1">
        <v>0</v>
      </c>
    </row>
    <row r="1555" spans="1:14" x14ac:dyDescent="0.35">
      <c r="A1555" s="1" t="s">
        <v>83</v>
      </c>
      <c r="B1555" s="1">
        <v>202507</v>
      </c>
      <c r="C1555" s="1" t="str">
        <f>MID(analisis_productividad__4[[#This Row],[Periodo]],1,4)</f>
        <v>2025</v>
      </c>
      <c r="D1555" s="1" t="str">
        <f>MID(analisis_productividad__4[[#This Row],[Periodo]],5,2)</f>
        <v>07</v>
      </c>
      <c r="E1555" s="1" t="s">
        <v>16</v>
      </c>
      <c r="F1555" s="1" t="s">
        <v>17</v>
      </c>
      <c r="G1555" s="1">
        <v>83005</v>
      </c>
      <c r="H1555" s="1">
        <v>3625685</v>
      </c>
      <c r="I1555" s="1">
        <v>43.680094086021519</v>
      </c>
      <c r="J1555" s="1">
        <v>81774.644073545671</v>
      </c>
      <c r="K1555" s="1">
        <v>52</v>
      </c>
      <c r="L1555" s="1">
        <v>52</v>
      </c>
      <c r="M1555" s="1">
        <v>44.337525293771591</v>
      </c>
      <c r="N1555" s="1">
        <v>3668121</v>
      </c>
    </row>
    <row r="1556" spans="1:14" x14ac:dyDescent="0.35">
      <c r="A1556" s="1" t="s">
        <v>47</v>
      </c>
      <c r="B1556" s="1">
        <v>202401</v>
      </c>
      <c r="C1556" s="1" t="str">
        <f>MID(analisis_productividad__4[[#This Row],[Periodo]],1,4)</f>
        <v>2024</v>
      </c>
      <c r="D1556" s="1" t="str">
        <f>MID(analisis_productividad__4[[#This Row],[Periodo]],5,2)</f>
        <v>01</v>
      </c>
      <c r="E1556" s="1" t="s">
        <v>11</v>
      </c>
      <c r="F1556" s="1" t="s">
        <v>14</v>
      </c>
      <c r="G1556" s="1">
        <v>82999</v>
      </c>
      <c r="H1556" s="1">
        <v>4512361</v>
      </c>
      <c r="I1556" s="1">
        <v>54.366619623655914</v>
      </c>
      <c r="J1556" s="1">
        <v>0</v>
      </c>
      <c r="K1556" s="1">
        <v>61.5</v>
      </c>
      <c r="L1556" s="1">
        <v>48.5</v>
      </c>
      <c r="M1556" s="1"/>
      <c r="N1556" s="1">
        <v>0</v>
      </c>
    </row>
    <row r="1557" spans="1:14" x14ac:dyDescent="0.35">
      <c r="A1557" s="1" t="s">
        <v>20</v>
      </c>
      <c r="B1557" s="1">
        <v>202510</v>
      </c>
      <c r="C1557" s="1" t="str">
        <f>MID(analisis_productividad__4[[#This Row],[Periodo]],1,4)</f>
        <v>2025</v>
      </c>
      <c r="D1557" s="1" t="str">
        <f>MID(analisis_productividad__4[[#This Row],[Periodo]],5,2)</f>
        <v>10</v>
      </c>
      <c r="E1557" s="1" t="s">
        <v>16</v>
      </c>
      <c r="F1557" s="1" t="s">
        <v>21</v>
      </c>
      <c r="G1557" s="1">
        <v>82968</v>
      </c>
      <c r="H1557" s="1">
        <v>7357129</v>
      </c>
      <c r="I1557" s="1">
        <v>88.674287634408628</v>
      </c>
      <c r="J1557" s="1">
        <v>94220.193369613713</v>
      </c>
      <c r="K1557" s="1">
        <v>96.5</v>
      </c>
      <c r="L1557" s="1">
        <v>94</v>
      </c>
      <c r="M1557" s="1">
        <v>78.084416693340131</v>
      </c>
      <c r="N1557" s="1">
        <v>8568750</v>
      </c>
    </row>
    <row r="1558" spans="1:14" x14ac:dyDescent="0.35">
      <c r="A1558" s="1" t="s">
        <v>80</v>
      </c>
      <c r="B1558" s="1">
        <v>202410</v>
      </c>
      <c r="C1558" s="1" t="str">
        <f>MID(analisis_productividad__4[[#This Row],[Periodo]],1,4)</f>
        <v>2024</v>
      </c>
      <c r="D1558" s="1" t="str">
        <f>MID(analisis_productividad__4[[#This Row],[Periodo]],5,2)</f>
        <v>10</v>
      </c>
      <c r="E1558" s="1" t="s">
        <v>16</v>
      </c>
      <c r="F1558" s="1" t="s">
        <v>17</v>
      </c>
      <c r="G1558" s="1">
        <v>82962</v>
      </c>
      <c r="H1558" s="1">
        <v>4105187</v>
      </c>
      <c r="I1558" s="1">
        <v>49.482520161290324</v>
      </c>
      <c r="J1558" s="1">
        <v>0</v>
      </c>
      <c r="K1558" s="1">
        <v>58</v>
      </c>
      <c r="L1558" s="1">
        <v>58.5</v>
      </c>
      <c r="M1558" s="1"/>
      <c r="N1558" s="1">
        <v>0</v>
      </c>
    </row>
    <row r="1559" spans="1:14" x14ac:dyDescent="0.35">
      <c r="A1559" s="1" t="s">
        <v>106</v>
      </c>
      <c r="B1559" s="1">
        <v>202505</v>
      </c>
      <c r="C1559" s="1" t="str">
        <f>MID(analisis_productividad__4[[#This Row],[Periodo]],1,4)</f>
        <v>2025</v>
      </c>
      <c r="D1559" s="1" t="str">
        <f>MID(analisis_productividad__4[[#This Row],[Periodo]],5,2)</f>
        <v>05</v>
      </c>
      <c r="E1559" s="1" t="s">
        <v>34</v>
      </c>
      <c r="F1559" s="1" t="s">
        <v>35</v>
      </c>
      <c r="G1559" s="1">
        <v>82954</v>
      </c>
      <c r="H1559" s="1">
        <v>3356932</v>
      </c>
      <c r="I1559" s="1">
        <v>40.467244623655901</v>
      </c>
      <c r="J1559" s="1">
        <v>76563.636448859557</v>
      </c>
      <c r="K1559" s="1">
        <v>51</v>
      </c>
      <c r="L1559" s="1">
        <v>49</v>
      </c>
      <c r="M1559" s="1">
        <v>43.844992162072295</v>
      </c>
      <c r="N1559" s="1">
        <v>3592786</v>
      </c>
    </row>
    <row r="1560" spans="1:14" x14ac:dyDescent="0.35">
      <c r="A1560" s="1" t="s">
        <v>81</v>
      </c>
      <c r="B1560" s="1">
        <v>202503</v>
      </c>
      <c r="C1560" s="1" t="str">
        <f>MID(analisis_productividad__4[[#This Row],[Periodo]],1,4)</f>
        <v>2025</v>
      </c>
      <c r="D1560" s="1" t="str">
        <f>MID(analisis_productividad__4[[#This Row],[Periodo]],5,2)</f>
        <v>03</v>
      </c>
      <c r="E1560" s="1" t="s">
        <v>34</v>
      </c>
      <c r="F1560" s="1" t="s">
        <v>35</v>
      </c>
      <c r="G1560" s="1">
        <v>82909</v>
      </c>
      <c r="H1560" s="1">
        <v>8049567</v>
      </c>
      <c r="I1560" s="1">
        <v>97.089059139784879</v>
      </c>
      <c r="J1560" s="1">
        <v>93563.884366873011</v>
      </c>
      <c r="K1560" s="1">
        <v>106</v>
      </c>
      <c r="L1560" s="1">
        <v>94.5</v>
      </c>
      <c r="M1560" s="1">
        <v>86.032846054540329</v>
      </c>
      <c r="N1560" s="1">
        <v>7987725</v>
      </c>
    </row>
    <row r="1561" spans="1:14" x14ac:dyDescent="0.35">
      <c r="A1561" s="1" t="s">
        <v>73</v>
      </c>
      <c r="B1561" s="1">
        <v>202511</v>
      </c>
      <c r="C1561" s="1" t="str">
        <f>MID(analisis_productividad__4[[#This Row],[Periodo]],1,4)</f>
        <v>2025</v>
      </c>
      <c r="D1561" s="1" t="str">
        <f>MID(analisis_productividad__4[[#This Row],[Periodo]],5,2)</f>
        <v>11</v>
      </c>
      <c r="E1561" s="1" t="s">
        <v>16</v>
      </c>
      <c r="F1561" s="1" t="s">
        <v>21</v>
      </c>
      <c r="G1561" s="1">
        <v>82900</v>
      </c>
      <c r="H1561" s="1">
        <v>2866358</v>
      </c>
      <c r="I1561" s="1">
        <v>34.576159722222222</v>
      </c>
      <c r="J1561" s="1">
        <v>74818.750965332845</v>
      </c>
      <c r="K1561" s="1">
        <v>43.5</v>
      </c>
      <c r="L1561" s="1">
        <v>41</v>
      </c>
      <c r="M1561" s="1">
        <v>38.310696623739716</v>
      </c>
      <c r="N1561" s="1">
        <v>2992590</v>
      </c>
    </row>
    <row r="1562" spans="1:14" x14ac:dyDescent="0.35">
      <c r="A1562" s="1" t="s">
        <v>67</v>
      </c>
      <c r="B1562" s="1">
        <v>202404</v>
      </c>
      <c r="C1562" s="1" t="str">
        <f>MID(analisis_productividad__4[[#This Row],[Periodo]],1,4)</f>
        <v>2024</v>
      </c>
      <c r="D1562" s="1" t="str">
        <f>MID(analisis_productividad__4[[#This Row],[Periodo]],5,2)</f>
        <v>04</v>
      </c>
      <c r="E1562" s="1" t="s">
        <v>16</v>
      </c>
      <c r="F1562" s="1" t="s">
        <v>19</v>
      </c>
      <c r="G1562" s="1">
        <v>82870</v>
      </c>
      <c r="H1562" s="1">
        <v>6103388</v>
      </c>
      <c r="I1562" s="1">
        <v>73.65054861111112</v>
      </c>
      <c r="J1562" s="1">
        <v>0</v>
      </c>
      <c r="K1562" s="1">
        <v>79.5</v>
      </c>
      <c r="L1562" s="1">
        <v>81.5</v>
      </c>
      <c r="M1562" s="1"/>
      <c r="N1562" s="1">
        <v>0</v>
      </c>
    </row>
    <row r="1563" spans="1:14" x14ac:dyDescent="0.35">
      <c r="A1563" s="1" t="s">
        <v>82</v>
      </c>
      <c r="B1563" s="1">
        <v>202511</v>
      </c>
      <c r="C1563" s="1" t="str">
        <f>MID(analisis_productividad__4[[#This Row],[Periodo]],1,4)</f>
        <v>2025</v>
      </c>
      <c r="D1563" s="1" t="str">
        <f>MID(analisis_productividad__4[[#This Row],[Periodo]],5,2)</f>
        <v>11</v>
      </c>
      <c r="E1563" s="1" t="s">
        <v>11</v>
      </c>
      <c r="F1563" s="1" t="s">
        <v>12</v>
      </c>
      <c r="G1563" s="1">
        <v>82810</v>
      </c>
      <c r="H1563" s="1">
        <v>4063942</v>
      </c>
      <c r="I1563" s="1">
        <v>49.075541666666673</v>
      </c>
      <c r="J1563" s="1">
        <v>78546.549505573799</v>
      </c>
      <c r="K1563" s="1">
        <v>53.5</v>
      </c>
      <c r="L1563" s="1">
        <v>54</v>
      </c>
      <c r="M1563" s="1">
        <v>51.73928333683984</v>
      </c>
      <c r="N1563" s="1">
        <v>4018926</v>
      </c>
    </row>
    <row r="1564" spans="1:14" x14ac:dyDescent="0.35">
      <c r="A1564" s="1" t="s">
        <v>53</v>
      </c>
      <c r="B1564" s="1">
        <v>202404</v>
      </c>
      <c r="C1564" s="1" t="str">
        <f>MID(analisis_productividad__4[[#This Row],[Periodo]],1,4)</f>
        <v>2024</v>
      </c>
      <c r="D1564" s="1" t="str">
        <f>MID(analisis_productividad__4[[#This Row],[Periodo]],5,2)</f>
        <v>04</v>
      </c>
      <c r="E1564" s="1" t="s">
        <v>11</v>
      </c>
      <c r="F1564" s="1" t="s">
        <v>12</v>
      </c>
      <c r="G1564" s="1">
        <v>82795</v>
      </c>
      <c r="H1564" s="1">
        <v>6129607</v>
      </c>
      <c r="I1564" s="1">
        <v>74.033798611111152</v>
      </c>
      <c r="J1564" s="1">
        <v>0</v>
      </c>
      <c r="K1564" s="1">
        <v>81</v>
      </c>
      <c r="L1564" s="1">
        <v>77</v>
      </c>
      <c r="M1564" s="1"/>
      <c r="N1564" s="1">
        <v>0</v>
      </c>
    </row>
    <row r="1565" spans="1:14" x14ac:dyDescent="0.35">
      <c r="A1565" s="1" t="s">
        <v>33</v>
      </c>
      <c r="B1565" s="1">
        <v>202507</v>
      </c>
      <c r="C1565" s="1" t="str">
        <f>MID(analisis_productividad__4[[#This Row],[Periodo]],1,4)</f>
        <v>2025</v>
      </c>
      <c r="D1565" s="1" t="str">
        <f>MID(analisis_productividad__4[[#This Row],[Periodo]],5,2)</f>
        <v>07</v>
      </c>
      <c r="E1565" s="1" t="s">
        <v>34</v>
      </c>
      <c r="F1565" s="1" t="s">
        <v>35</v>
      </c>
      <c r="G1565" s="1">
        <v>82792</v>
      </c>
      <c r="H1565" s="1">
        <v>1138983</v>
      </c>
      <c r="I1565" s="1">
        <v>13.757163978494619</v>
      </c>
      <c r="J1565" s="1">
        <v>80605.230916687156</v>
      </c>
      <c r="K1565" s="1">
        <v>15</v>
      </c>
      <c r="L1565" s="1">
        <v>15</v>
      </c>
      <c r="M1565" s="1">
        <v>14.130384555032693</v>
      </c>
      <c r="N1565" s="1">
        <v>1106615</v>
      </c>
    </row>
    <row r="1566" spans="1:14" x14ac:dyDescent="0.35">
      <c r="A1566" s="1" t="s">
        <v>81</v>
      </c>
      <c r="B1566" s="1">
        <v>202404</v>
      </c>
      <c r="C1566" s="1" t="str">
        <f>MID(analisis_productividad__4[[#This Row],[Periodo]],1,4)</f>
        <v>2024</v>
      </c>
      <c r="D1566" s="1" t="str">
        <f>MID(analisis_productividad__4[[#This Row],[Periodo]],5,2)</f>
        <v>04</v>
      </c>
      <c r="E1566" s="1" t="s">
        <v>34</v>
      </c>
      <c r="F1566" s="1" t="s">
        <v>35</v>
      </c>
      <c r="G1566" s="1">
        <v>82788</v>
      </c>
      <c r="H1566" s="1">
        <v>7559886</v>
      </c>
      <c r="I1566" s="1">
        <v>91.316409722222261</v>
      </c>
      <c r="J1566" s="1">
        <v>0</v>
      </c>
      <c r="K1566" s="1">
        <v>106</v>
      </c>
      <c r="L1566" s="1">
        <v>94.5</v>
      </c>
      <c r="M1566" s="1"/>
      <c r="N1566" s="1">
        <v>0</v>
      </c>
    </row>
    <row r="1567" spans="1:14" x14ac:dyDescent="0.35">
      <c r="A1567" s="1" t="s">
        <v>55</v>
      </c>
      <c r="B1567" s="1">
        <v>202404</v>
      </c>
      <c r="C1567" s="1" t="str">
        <f>MID(analisis_productividad__4[[#This Row],[Periodo]],1,4)</f>
        <v>2024</v>
      </c>
      <c r="D1567" s="1" t="str">
        <f>MID(analisis_productividad__4[[#This Row],[Periodo]],5,2)</f>
        <v>04</v>
      </c>
      <c r="E1567" s="1" t="s">
        <v>16</v>
      </c>
      <c r="F1567" s="1" t="s">
        <v>21</v>
      </c>
      <c r="G1567" s="1">
        <v>82785</v>
      </c>
      <c r="H1567" s="1">
        <v>4323405</v>
      </c>
      <c r="I1567" s="1">
        <v>52.224229166666667</v>
      </c>
      <c r="J1567" s="1">
        <v>0</v>
      </c>
      <c r="K1567" s="1">
        <v>55</v>
      </c>
      <c r="L1567" s="1">
        <v>50.5</v>
      </c>
      <c r="M1567" s="1"/>
      <c r="N1567" s="1">
        <v>0</v>
      </c>
    </row>
    <row r="1568" spans="1:14" x14ac:dyDescent="0.35">
      <c r="A1568" s="1" t="s">
        <v>69</v>
      </c>
      <c r="B1568" s="1">
        <v>202406</v>
      </c>
      <c r="C1568" s="1" t="str">
        <f>MID(analisis_productividad__4[[#This Row],[Periodo]],1,4)</f>
        <v>2024</v>
      </c>
      <c r="D1568" s="1" t="str">
        <f>MID(analisis_productividad__4[[#This Row],[Periodo]],5,2)</f>
        <v>06</v>
      </c>
      <c r="E1568" s="1" t="s">
        <v>11</v>
      </c>
      <c r="F1568" s="1" t="s">
        <v>52</v>
      </c>
      <c r="G1568" s="1">
        <v>82783</v>
      </c>
      <c r="H1568" s="1">
        <v>4902840</v>
      </c>
      <c r="I1568" s="1">
        <v>59.225104166666675</v>
      </c>
      <c r="J1568" s="1">
        <v>0</v>
      </c>
      <c r="K1568" s="1">
        <v>68</v>
      </c>
      <c r="L1568" s="1">
        <v>60.5</v>
      </c>
      <c r="M1568" s="1"/>
      <c r="N1568" s="1">
        <v>0</v>
      </c>
    </row>
    <row r="1569" spans="1:14" x14ac:dyDescent="0.35">
      <c r="A1569" s="1" t="s">
        <v>81</v>
      </c>
      <c r="B1569" s="1">
        <v>202412</v>
      </c>
      <c r="C1569" s="1" t="str">
        <f>MID(analisis_productividad__4[[#This Row],[Periodo]],1,4)</f>
        <v>2024</v>
      </c>
      <c r="D1569" s="1" t="str">
        <f>MID(analisis_productividad__4[[#This Row],[Periodo]],5,2)</f>
        <v>12</v>
      </c>
      <c r="E1569" s="1" t="s">
        <v>34</v>
      </c>
      <c r="F1569" s="1" t="s">
        <v>35</v>
      </c>
      <c r="G1569" s="1">
        <v>82774</v>
      </c>
      <c r="H1569" s="1">
        <v>8836998</v>
      </c>
      <c r="I1569" s="1">
        <v>106.76053763440856</v>
      </c>
      <c r="J1569" s="1">
        <v>0</v>
      </c>
      <c r="K1569" s="1">
        <v>106</v>
      </c>
      <c r="L1569" s="1">
        <v>94.5</v>
      </c>
      <c r="M1569" s="1"/>
      <c r="N1569" s="1">
        <v>0</v>
      </c>
    </row>
    <row r="1570" spans="1:14" x14ac:dyDescent="0.35">
      <c r="A1570" s="1" t="s">
        <v>119</v>
      </c>
      <c r="B1570" s="1">
        <v>202412</v>
      </c>
      <c r="C1570" s="1" t="str">
        <f>MID(analisis_productividad__4[[#This Row],[Periodo]],1,4)</f>
        <v>2024</v>
      </c>
      <c r="D1570" s="1" t="str">
        <f>MID(analisis_productividad__4[[#This Row],[Periodo]],5,2)</f>
        <v>12</v>
      </c>
      <c r="E1570" s="1" t="s">
        <v>16</v>
      </c>
      <c r="F1570" s="1" t="s">
        <v>21</v>
      </c>
      <c r="G1570" s="1">
        <v>82760</v>
      </c>
      <c r="H1570" s="1">
        <v>4421295</v>
      </c>
      <c r="I1570" s="1">
        <v>53.422983870967734</v>
      </c>
      <c r="J1570" s="1">
        <v>0</v>
      </c>
      <c r="K1570" s="1">
        <v>52.5</v>
      </c>
      <c r="L1570" s="1">
        <v>52.5</v>
      </c>
      <c r="M1570" s="1"/>
      <c r="N1570" s="1">
        <v>0</v>
      </c>
    </row>
    <row r="1571" spans="1:14" x14ac:dyDescent="0.35">
      <c r="A1571" s="1" t="s">
        <v>88</v>
      </c>
      <c r="B1571" s="1">
        <v>202601</v>
      </c>
      <c r="C1571" s="1" t="str">
        <f>MID(analisis_productividad__4[[#This Row],[Periodo]],1,4)</f>
        <v>2026</v>
      </c>
      <c r="D1571" s="1" t="str">
        <f>MID(analisis_productividad__4[[#This Row],[Periodo]],5,2)</f>
        <v>01</v>
      </c>
      <c r="E1571" s="1" t="s">
        <v>34</v>
      </c>
      <c r="F1571" s="1" t="s">
        <v>35</v>
      </c>
      <c r="G1571" s="1">
        <v>82734</v>
      </c>
      <c r="H1571" s="1">
        <v>1059777</v>
      </c>
      <c r="I1571" s="1">
        <v>12.809388440860216</v>
      </c>
      <c r="J1571" s="1">
        <v>83871.148953762575</v>
      </c>
      <c r="K1571" s="1">
        <v>15.5</v>
      </c>
      <c r="L1571" s="1">
        <v>14.5</v>
      </c>
      <c r="M1571" s="1">
        <v>13.971887755419019</v>
      </c>
      <c r="N1571" s="1">
        <v>1171838</v>
      </c>
    </row>
    <row r="1572" spans="1:14" x14ac:dyDescent="0.35">
      <c r="A1572" s="1" t="s">
        <v>47</v>
      </c>
      <c r="B1572" s="1">
        <v>202501</v>
      </c>
      <c r="C1572" s="1" t="str">
        <f>MID(analisis_productividad__4[[#This Row],[Periodo]],1,4)</f>
        <v>2025</v>
      </c>
      <c r="D1572" s="1" t="str">
        <f>MID(analisis_productividad__4[[#This Row],[Periodo]],5,2)</f>
        <v>01</v>
      </c>
      <c r="E1572" s="1" t="s">
        <v>11</v>
      </c>
      <c r="F1572" s="1" t="s">
        <v>14</v>
      </c>
      <c r="G1572" s="1">
        <v>82734</v>
      </c>
      <c r="H1572" s="1">
        <v>4451525</v>
      </c>
      <c r="I1572" s="1">
        <v>53.805067204301032</v>
      </c>
      <c r="J1572" s="1">
        <v>87148.685752358608</v>
      </c>
      <c r="K1572" s="1">
        <v>61.5</v>
      </c>
      <c r="L1572" s="1">
        <v>48.5</v>
      </c>
      <c r="M1572" s="1">
        <v>51.079661862594669</v>
      </c>
      <c r="N1572" s="1">
        <v>4604822</v>
      </c>
    </row>
    <row r="1573" spans="1:14" x14ac:dyDescent="0.35">
      <c r="A1573" s="1" t="s">
        <v>70</v>
      </c>
      <c r="B1573" s="1">
        <v>202408</v>
      </c>
      <c r="C1573" s="1" t="str">
        <f>MID(analisis_productividad__4[[#This Row],[Periodo]],1,4)</f>
        <v>2024</v>
      </c>
      <c r="D1573" s="1" t="str">
        <f>MID(analisis_productividad__4[[#This Row],[Periodo]],5,2)</f>
        <v>08</v>
      </c>
      <c r="E1573" s="1" t="s">
        <v>11</v>
      </c>
      <c r="F1573" s="1" t="s">
        <v>14</v>
      </c>
      <c r="G1573" s="1">
        <v>82732</v>
      </c>
      <c r="H1573" s="1">
        <v>4880347</v>
      </c>
      <c r="I1573" s="1">
        <v>58.989818548387099</v>
      </c>
      <c r="J1573" s="1">
        <v>0</v>
      </c>
      <c r="K1573" s="1">
        <v>65</v>
      </c>
      <c r="L1573" s="1">
        <v>67.5</v>
      </c>
      <c r="M1573" s="1"/>
      <c r="N1573" s="1">
        <v>0</v>
      </c>
    </row>
    <row r="1574" spans="1:14" x14ac:dyDescent="0.35">
      <c r="A1574" s="1" t="s">
        <v>88</v>
      </c>
      <c r="B1574" s="1">
        <v>202408</v>
      </c>
      <c r="C1574" s="1" t="str">
        <f>MID(analisis_productividad__4[[#This Row],[Periodo]],1,4)</f>
        <v>2024</v>
      </c>
      <c r="D1574" s="1" t="str">
        <f>MID(analisis_productividad__4[[#This Row],[Periodo]],5,2)</f>
        <v>08</v>
      </c>
      <c r="E1574" s="1" t="s">
        <v>34</v>
      </c>
      <c r="F1574" s="1" t="s">
        <v>35</v>
      </c>
      <c r="G1574" s="1">
        <v>82705</v>
      </c>
      <c r="H1574" s="1">
        <v>1061839</v>
      </c>
      <c r="I1574" s="1">
        <v>12.838931451612906</v>
      </c>
      <c r="J1574" s="1">
        <v>0</v>
      </c>
      <c r="K1574" s="1">
        <v>15.5</v>
      </c>
      <c r="L1574" s="1">
        <v>14.5</v>
      </c>
      <c r="M1574" s="1"/>
      <c r="N1574" s="1">
        <v>0</v>
      </c>
    </row>
    <row r="1575" spans="1:14" x14ac:dyDescent="0.35">
      <c r="A1575" s="1" t="s">
        <v>47</v>
      </c>
      <c r="B1575" s="1">
        <v>202408</v>
      </c>
      <c r="C1575" s="1" t="str">
        <f>MID(analisis_productividad__4[[#This Row],[Periodo]],1,4)</f>
        <v>2024</v>
      </c>
      <c r="D1575" s="1" t="str">
        <f>MID(analisis_productividad__4[[#This Row],[Periodo]],5,2)</f>
        <v>08</v>
      </c>
      <c r="E1575" s="1" t="s">
        <v>11</v>
      </c>
      <c r="F1575" s="1" t="s">
        <v>14</v>
      </c>
      <c r="G1575" s="1">
        <v>82704</v>
      </c>
      <c r="H1575" s="1">
        <v>4726187</v>
      </c>
      <c r="I1575" s="1">
        <v>57.145544354838698</v>
      </c>
      <c r="J1575" s="1">
        <v>0</v>
      </c>
      <c r="K1575" s="1">
        <v>61.5</v>
      </c>
      <c r="L1575" s="1">
        <v>48.5</v>
      </c>
      <c r="M1575" s="1"/>
      <c r="N1575" s="1">
        <v>0</v>
      </c>
    </row>
    <row r="1576" spans="1:14" x14ac:dyDescent="0.35">
      <c r="A1576" s="1" t="s">
        <v>74</v>
      </c>
      <c r="B1576" s="1">
        <v>202408</v>
      </c>
      <c r="C1576" s="1" t="str">
        <f>MID(analisis_productividad__4[[#This Row],[Periodo]],1,4)</f>
        <v>2024</v>
      </c>
      <c r="D1576" s="1" t="str">
        <f>MID(analisis_productividad__4[[#This Row],[Periodo]],5,2)</f>
        <v>08</v>
      </c>
      <c r="E1576" s="1" t="s">
        <v>16</v>
      </c>
      <c r="F1576" s="1" t="s">
        <v>19</v>
      </c>
      <c r="G1576" s="1">
        <v>82667</v>
      </c>
      <c r="H1576" s="1">
        <v>4025000</v>
      </c>
      <c r="I1576" s="1">
        <v>48.689516129032256</v>
      </c>
      <c r="J1576" s="1">
        <v>0</v>
      </c>
      <c r="K1576" s="1">
        <v>50.5</v>
      </c>
      <c r="L1576" s="1">
        <v>51.5</v>
      </c>
      <c r="M1576" s="1"/>
      <c r="N1576" s="1">
        <v>0</v>
      </c>
    </row>
    <row r="1577" spans="1:14" x14ac:dyDescent="0.35">
      <c r="A1577" s="1" t="s">
        <v>26</v>
      </c>
      <c r="B1577" s="1">
        <v>202409</v>
      </c>
      <c r="C1577" s="1" t="str">
        <f>MID(analisis_productividad__4[[#This Row],[Periodo]],1,4)</f>
        <v>2024</v>
      </c>
      <c r="D1577" s="1" t="str">
        <f>MID(analisis_productividad__4[[#This Row],[Periodo]],5,2)</f>
        <v>09</v>
      </c>
      <c r="E1577" s="1" t="s">
        <v>11</v>
      </c>
      <c r="F1577" s="1" t="s">
        <v>12</v>
      </c>
      <c r="G1577" s="1">
        <v>82629</v>
      </c>
      <c r="H1577" s="1">
        <v>4890619</v>
      </c>
      <c r="I1577" s="1">
        <v>59.187819444444436</v>
      </c>
      <c r="J1577" s="1">
        <v>0</v>
      </c>
      <c r="K1577" s="1">
        <v>65.5</v>
      </c>
      <c r="L1577" s="1">
        <v>63</v>
      </c>
      <c r="M1577" s="1"/>
      <c r="N1577" s="1">
        <v>0</v>
      </c>
    </row>
    <row r="1578" spans="1:14" x14ac:dyDescent="0.35">
      <c r="A1578" s="1" t="s">
        <v>74</v>
      </c>
      <c r="B1578" s="1">
        <v>202504</v>
      </c>
      <c r="C1578" s="1" t="str">
        <f>MID(analisis_productividad__4[[#This Row],[Periodo]],1,4)</f>
        <v>2025</v>
      </c>
      <c r="D1578" s="1" t="str">
        <f>MID(analisis_productividad__4[[#This Row],[Periodo]],5,2)</f>
        <v>04</v>
      </c>
      <c r="E1578" s="1" t="s">
        <v>16</v>
      </c>
      <c r="F1578" s="1" t="s">
        <v>19</v>
      </c>
      <c r="G1578" s="1">
        <v>82618</v>
      </c>
      <c r="H1578" s="1">
        <v>3876235</v>
      </c>
      <c r="I1578" s="1">
        <v>46.917840277777778</v>
      </c>
      <c r="J1578" s="1">
        <v>74600.822083449326</v>
      </c>
      <c r="K1578" s="1">
        <v>50.5</v>
      </c>
      <c r="L1578" s="1">
        <v>51.5</v>
      </c>
      <c r="M1578" s="1">
        <v>51.959687865959424</v>
      </c>
      <c r="N1578" s="1">
        <v>3930808</v>
      </c>
    </row>
    <row r="1579" spans="1:14" x14ac:dyDescent="0.35">
      <c r="A1579" s="1" t="s">
        <v>88</v>
      </c>
      <c r="B1579" s="1">
        <v>202401</v>
      </c>
      <c r="C1579" s="1" t="str">
        <f>MID(analisis_productividad__4[[#This Row],[Periodo]],1,4)</f>
        <v>2024</v>
      </c>
      <c r="D1579" s="1" t="str">
        <f>MID(analisis_productividad__4[[#This Row],[Periodo]],5,2)</f>
        <v>01</v>
      </c>
      <c r="E1579" s="1" t="s">
        <v>34</v>
      </c>
      <c r="F1579" s="1" t="s">
        <v>35</v>
      </c>
      <c r="G1579" s="1">
        <v>82607</v>
      </c>
      <c r="H1579" s="1">
        <v>1083018</v>
      </c>
      <c r="I1579" s="1">
        <v>13.110416666666667</v>
      </c>
      <c r="J1579" s="1">
        <v>0</v>
      </c>
      <c r="K1579" s="1">
        <v>15.5</v>
      </c>
      <c r="L1579" s="1">
        <v>14.5</v>
      </c>
      <c r="M1579" s="1"/>
      <c r="N1579" s="1">
        <v>0</v>
      </c>
    </row>
    <row r="1580" spans="1:14" x14ac:dyDescent="0.35">
      <c r="A1580" s="1" t="s">
        <v>79</v>
      </c>
      <c r="B1580" s="1">
        <v>202505</v>
      </c>
      <c r="C1580" s="1" t="str">
        <f>MID(analisis_productividad__4[[#This Row],[Periodo]],1,4)</f>
        <v>2025</v>
      </c>
      <c r="D1580" s="1" t="str">
        <f>MID(analisis_productividad__4[[#This Row],[Periodo]],5,2)</f>
        <v>05</v>
      </c>
      <c r="E1580" s="1" t="s">
        <v>11</v>
      </c>
      <c r="F1580" s="1" t="s">
        <v>12</v>
      </c>
      <c r="G1580" s="1">
        <v>82591</v>
      </c>
      <c r="H1580" s="1">
        <v>5100384</v>
      </c>
      <c r="I1580" s="1">
        <v>61.754912634408598</v>
      </c>
      <c r="J1580" s="1">
        <v>79434.317707487804</v>
      </c>
      <c r="K1580" s="1">
        <v>64.5</v>
      </c>
      <c r="L1580" s="1">
        <v>64</v>
      </c>
      <c r="M1580" s="1">
        <v>64.208826577725077</v>
      </c>
      <c r="N1580" s="1">
        <v>5411686</v>
      </c>
    </row>
    <row r="1581" spans="1:14" x14ac:dyDescent="0.35">
      <c r="A1581" s="1" t="s">
        <v>91</v>
      </c>
      <c r="B1581" s="1">
        <v>202604</v>
      </c>
      <c r="C1581" s="1" t="str">
        <f>MID(analisis_productividad__4[[#This Row],[Periodo]],1,4)</f>
        <v>2026</v>
      </c>
      <c r="D1581" s="1" t="str">
        <f>MID(analisis_productividad__4[[#This Row],[Periodo]],5,2)</f>
        <v>04</v>
      </c>
      <c r="E1581" s="1" t="s">
        <v>11</v>
      </c>
      <c r="F1581" s="1" t="s">
        <v>12</v>
      </c>
      <c r="G1581" s="1">
        <v>82588</v>
      </c>
      <c r="H1581" s="1">
        <v>4232125</v>
      </c>
      <c r="I1581" s="1">
        <v>51.24369444444423</v>
      </c>
      <c r="J1581" s="1">
        <v>80289.308193298624</v>
      </c>
      <c r="K1581" s="1">
        <v>55</v>
      </c>
      <c r="L1581" s="1">
        <v>55.5</v>
      </c>
      <c r="M1581" s="1">
        <v>48.91205759483401</v>
      </c>
      <c r="N1581" s="1">
        <v>3927115</v>
      </c>
    </row>
    <row r="1582" spans="1:14" x14ac:dyDescent="0.35">
      <c r="A1582" s="1" t="s">
        <v>61</v>
      </c>
      <c r="B1582" s="1">
        <v>202402</v>
      </c>
      <c r="C1582" s="1" t="str">
        <f>MID(analisis_productividad__4[[#This Row],[Periodo]],1,4)</f>
        <v>2024</v>
      </c>
      <c r="D1582" s="1" t="str">
        <f>MID(analisis_productividad__4[[#This Row],[Periodo]],5,2)</f>
        <v>02</v>
      </c>
      <c r="E1582" s="1" t="s">
        <v>11</v>
      </c>
      <c r="F1582" s="1" t="s">
        <v>52</v>
      </c>
      <c r="G1582" s="1">
        <v>82573</v>
      </c>
      <c r="H1582" s="1">
        <v>8526445</v>
      </c>
      <c r="I1582" s="1">
        <v>103.25995689655176</v>
      </c>
      <c r="J1582" s="1">
        <v>0</v>
      </c>
      <c r="K1582" s="1">
        <v>104.5</v>
      </c>
      <c r="L1582" s="1">
        <v>99</v>
      </c>
      <c r="M1582" s="1"/>
      <c r="N1582" s="1">
        <v>0</v>
      </c>
    </row>
    <row r="1583" spans="1:14" x14ac:dyDescent="0.35">
      <c r="A1583" s="1" t="s">
        <v>98</v>
      </c>
      <c r="B1583" s="1">
        <v>202512</v>
      </c>
      <c r="C1583" s="1" t="str">
        <f>MID(analisis_productividad__4[[#This Row],[Periodo]],1,4)</f>
        <v>2025</v>
      </c>
      <c r="D1583" s="1" t="str">
        <f>MID(analisis_productividad__4[[#This Row],[Periodo]],5,2)</f>
        <v>12</v>
      </c>
      <c r="E1583" s="1" t="s">
        <v>11</v>
      </c>
      <c r="F1583" s="1" t="s">
        <v>14</v>
      </c>
      <c r="G1583" s="1">
        <v>82547</v>
      </c>
      <c r="H1583" s="1">
        <v>4945108</v>
      </c>
      <c r="I1583" s="1">
        <v>59.906733870967727</v>
      </c>
      <c r="J1583" s="1">
        <v>92376.837034625118</v>
      </c>
      <c r="K1583" s="1">
        <v>61.5</v>
      </c>
      <c r="L1583" s="1">
        <v>56</v>
      </c>
      <c r="M1583" s="1">
        <v>53.531905819057783</v>
      </c>
      <c r="N1583" s="1">
        <v>5240448</v>
      </c>
    </row>
    <row r="1584" spans="1:14" x14ac:dyDescent="0.35">
      <c r="A1584" s="1" t="s">
        <v>51</v>
      </c>
      <c r="B1584" s="1">
        <v>202502</v>
      </c>
      <c r="C1584" s="1" t="str">
        <f>MID(analisis_productividad__4[[#This Row],[Periodo]],1,4)</f>
        <v>2025</v>
      </c>
      <c r="D1584" s="1" t="str">
        <f>MID(analisis_productividad__4[[#This Row],[Periodo]],5,2)</f>
        <v>02</v>
      </c>
      <c r="E1584" s="1" t="s">
        <v>11</v>
      </c>
      <c r="F1584" s="1" t="s">
        <v>52</v>
      </c>
      <c r="G1584" s="1">
        <v>82545</v>
      </c>
      <c r="H1584" s="1">
        <v>9052197</v>
      </c>
      <c r="I1584" s="1">
        <v>109.66369791666669</v>
      </c>
      <c r="J1584" s="1">
        <v>98608.318261243156</v>
      </c>
      <c r="K1584" s="1">
        <v>117.5</v>
      </c>
      <c r="L1584" s="1">
        <v>99</v>
      </c>
      <c r="M1584" s="1">
        <v>91.799531820611719</v>
      </c>
      <c r="N1584" s="1">
        <v>8834998</v>
      </c>
    </row>
    <row r="1585" spans="1:14" x14ac:dyDescent="0.35">
      <c r="A1585" s="1" t="s">
        <v>84</v>
      </c>
      <c r="B1585" s="1">
        <v>202403</v>
      </c>
      <c r="C1585" s="1" t="str">
        <f>MID(analisis_productividad__4[[#This Row],[Periodo]],1,4)</f>
        <v>2024</v>
      </c>
      <c r="D1585" s="1" t="str">
        <f>MID(analisis_productividad__4[[#This Row],[Periodo]],5,2)</f>
        <v>03</v>
      </c>
      <c r="E1585" s="1" t="s">
        <v>11</v>
      </c>
      <c r="F1585" s="1" t="s">
        <v>52</v>
      </c>
      <c r="G1585" s="1">
        <v>82539</v>
      </c>
      <c r="H1585" s="1">
        <v>10379742</v>
      </c>
      <c r="I1585" s="1">
        <v>125.75518817204305</v>
      </c>
      <c r="J1585" s="1">
        <v>0</v>
      </c>
      <c r="K1585" s="1">
        <v>123</v>
      </c>
      <c r="L1585" s="1">
        <v>115.5</v>
      </c>
      <c r="M1585" s="1"/>
      <c r="N1585" s="1">
        <v>0</v>
      </c>
    </row>
    <row r="1586" spans="1:14" x14ac:dyDescent="0.35">
      <c r="A1586" s="1" t="s">
        <v>79</v>
      </c>
      <c r="B1586" s="1">
        <v>202408</v>
      </c>
      <c r="C1586" s="1" t="str">
        <f>MID(analisis_productividad__4[[#This Row],[Periodo]],1,4)</f>
        <v>2024</v>
      </c>
      <c r="D1586" s="1" t="str">
        <f>MID(analisis_productividad__4[[#This Row],[Periodo]],5,2)</f>
        <v>08</v>
      </c>
      <c r="E1586" s="1" t="s">
        <v>11</v>
      </c>
      <c r="F1586" s="1" t="s">
        <v>12</v>
      </c>
      <c r="G1586" s="1">
        <v>82539</v>
      </c>
      <c r="H1586" s="1">
        <v>5043007</v>
      </c>
      <c r="I1586" s="1">
        <v>61.098615591397859</v>
      </c>
      <c r="J1586" s="1">
        <v>0</v>
      </c>
      <c r="K1586" s="1">
        <v>64.5</v>
      </c>
      <c r="L1586" s="1">
        <v>64</v>
      </c>
      <c r="M1586" s="1"/>
      <c r="N1586" s="1">
        <v>0</v>
      </c>
    </row>
    <row r="1587" spans="1:14" x14ac:dyDescent="0.35">
      <c r="A1587" s="1" t="s">
        <v>42</v>
      </c>
      <c r="B1587" s="1">
        <v>202505</v>
      </c>
      <c r="C1587" s="1" t="str">
        <f>MID(analisis_productividad__4[[#This Row],[Periodo]],1,4)</f>
        <v>2025</v>
      </c>
      <c r="D1587" s="1" t="str">
        <f>MID(analisis_productividad__4[[#This Row],[Periodo]],5,2)</f>
        <v>05</v>
      </c>
      <c r="E1587" s="1" t="s">
        <v>16</v>
      </c>
      <c r="F1587" s="1" t="s">
        <v>19</v>
      </c>
      <c r="G1587" s="1">
        <v>82521</v>
      </c>
      <c r="H1587" s="1">
        <v>4774168</v>
      </c>
      <c r="I1587" s="1">
        <v>57.853776881720421</v>
      </c>
      <c r="J1587" s="1">
        <v>80838.667346788628</v>
      </c>
      <c r="K1587" s="1">
        <v>62</v>
      </c>
      <c r="L1587" s="1">
        <v>58</v>
      </c>
      <c r="M1587" s="1">
        <v>59.057975801597109</v>
      </c>
      <c r="N1587" s="1">
        <v>4913941</v>
      </c>
    </row>
    <row r="1588" spans="1:14" x14ac:dyDescent="0.35">
      <c r="A1588" s="1" t="s">
        <v>78</v>
      </c>
      <c r="B1588" s="1">
        <v>202403</v>
      </c>
      <c r="C1588" s="1" t="str">
        <f>MID(analisis_productividad__4[[#This Row],[Periodo]],1,4)</f>
        <v>2024</v>
      </c>
      <c r="D1588" s="1" t="str">
        <f>MID(analisis_productividad__4[[#This Row],[Periodo]],5,2)</f>
        <v>03</v>
      </c>
      <c r="E1588" s="1" t="s">
        <v>11</v>
      </c>
      <c r="F1588" s="1" t="s">
        <v>14</v>
      </c>
      <c r="G1588" s="1">
        <v>82514</v>
      </c>
      <c r="H1588" s="1">
        <v>6000433</v>
      </c>
      <c r="I1588" s="1">
        <v>72.72040322580645</v>
      </c>
      <c r="J1588" s="1">
        <v>0</v>
      </c>
      <c r="K1588" s="1">
        <v>79.5</v>
      </c>
      <c r="L1588" s="1">
        <v>67</v>
      </c>
      <c r="M1588" s="1"/>
      <c r="N1588" s="1">
        <v>0</v>
      </c>
    </row>
    <row r="1589" spans="1:14" x14ac:dyDescent="0.35">
      <c r="A1589" s="1" t="s">
        <v>33</v>
      </c>
      <c r="B1589" s="1">
        <v>202402</v>
      </c>
      <c r="C1589" s="1" t="str">
        <f>MID(analisis_productividad__4[[#This Row],[Periodo]],1,4)</f>
        <v>2024</v>
      </c>
      <c r="D1589" s="1" t="str">
        <f>MID(analisis_productividad__4[[#This Row],[Periodo]],5,2)</f>
        <v>02</v>
      </c>
      <c r="E1589" s="1" t="s">
        <v>34</v>
      </c>
      <c r="F1589" s="1" t="s">
        <v>35</v>
      </c>
      <c r="G1589" s="1">
        <v>82459</v>
      </c>
      <c r="H1589" s="1">
        <v>1154601</v>
      </c>
      <c r="I1589" s="1">
        <v>14.002162356321842</v>
      </c>
      <c r="J1589" s="1">
        <v>0</v>
      </c>
      <c r="K1589" s="1">
        <v>15</v>
      </c>
      <c r="L1589" s="1">
        <v>15</v>
      </c>
      <c r="M1589" s="1"/>
      <c r="N1589" s="1">
        <v>0</v>
      </c>
    </row>
    <row r="1590" spans="1:14" x14ac:dyDescent="0.35">
      <c r="A1590" s="1" t="s">
        <v>80</v>
      </c>
      <c r="B1590" s="1">
        <v>202403</v>
      </c>
      <c r="C1590" s="1" t="str">
        <f>MID(analisis_productividad__4[[#This Row],[Periodo]],1,4)</f>
        <v>2024</v>
      </c>
      <c r="D1590" s="1" t="str">
        <f>MID(analisis_productividad__4[[#This Row],[Periodo]],5,2)</f>
        <v>03</v>
      </c>
      <c r="E1590" s="1" t="s">
        <v>16</v>
      </c>
      <c r="F1590" s="1" t="s">
        <v>17</v>
      </c>
      <c r="G1590" s="1">
        <v>82453</v>
      </c>
      <c r="H1590" s="1">
        <v>4962226</v>
      </c>
      <c r="I1590" s="1">
        <v>60.182170698924701</v>
      </c>
      <c r="J1590" s="1">
        <v>0</v>
      </c>
      <c r="K1590" s="1">
        <v>58</v>
      </c>
      <c r="L1590" s="1">
        <v>58.5</v>
      </c>
      <c r="M1590" s="1"/>
      <c r="N1590" s="1">
        <v>0</v>
      </c>
    </row>
    <row r="1591" spans="1:14" x14ac:dyDescent="0.35">
      <c r="A1591" s="1" t="s">
        <v>81</v>
      </c>
      <c r="B1591" s="1">
        <v>202408</v>
      </c>
      <c r="C1591" s="1" t="str">
        <f>MID(analisis_productividad__4[[#This Row],[Periodo]],1,4)</f>
        <v>2024</v>
      </c>
      <c r="D1591" s="1" t="str">
        <f>MID(analisis_productividad__4[[#This Row],[Periodo]],5,2)</f>
        <v>08</v>
      </c>
      <c r="E1591" s="1" t="s">
        <v>34</v>
      </c>
      <c r="F1591" s="1" t="s">
        <v>35</v>
      </c>
      <c r="G1591" s="1">
        <v>82450</v>
      </c>
      <c r="H1591" s="1">
        <v>7278753</v>
      </c>
      <c r="I1591" s="1">
        <v>88.280584677419284</v>
      </c>
      <c r="J1591" s="1">
        <v>0</v>
      </c>
      <c r="K1591" s="1">
        <v>106</v>
      </c>
      <c r="L1591" s="1">
        <v>94.5</v>
      </c>
      <c r="M1591" s="1"/>
      <c r="N1591" s="1">
        <v>0</v>
      </c>
    </row>
    <row r="1592" spans="1:14" x14ac:dyDescent="0.35">
      <c r="A1592" s="1" t="s">
        <v>73</v>
      </c>
      <c r="B1592" s="1">
        <v>202407</v>
      </c>
      <c r="C1592" s="1" t="str">
        <f>MID(analisis_productividad__4[[#This Row],[Periodo]],1,4)</f>
        <v>2024</v>
      </c>
      <c r="D1592" s="1" t="str">
        <f>MID(analisis_productividad__4[[#This Row],[Periodo]],5,2)</f>
        <v>07</v>
      </c>
      <c r="E1592" s="1" t="s">
        <v>16</v>
      </c>
      <c r="F1592" s="1" t="s">
        <v>21</v>
      </c>
      <c r="G1592" s="1">
        <v>82447</v>
      </c>
      <c r="H1592" s="1">
        <v>3262373</v>
      </c>
      <c r="I1592" s="1">
        <v>39.569193548387105</v>
      </c>
      <c r="J1592" s="1">
        <v>0</v>
      </c>
      <c r="K1592" s="1">
        <v>43.5</v>
      </c>
      <c r="L1592" s="1">
        <v>41</v>
      </c>
      <c r="M1592" s="1"/>
      <c r="N1592" s="1">
        <v>0</v>
      </c>
    </row>
    <row r="1593" spans="1:14" x14ac:dyDescent="0.35">
      <c r="A1593" s="1" t="s">
        <v>24</v>
      </c>
      <c r="B1593" s="1">
        <v>202401</v>
      </c>
      <c r="C1593" s="1" t="str">
        <f>MID(analisis_productividad__4[[#This Row],[Periodo]],1,4)</f>
        <v>2024</v>
      </c>
      <c r="D1593" s="1" t="str">
        <f>MID(analisis_productividad__4[[#This Row],[Periodo]],5,2)</f>
        <v>01</v>
      </c>
      <c r="E1593" s="1" t="s">
        <v>16</v>
      </c>
      <c r="F1593" s="1" t="s">
        <v>21</v>
      </c>
      <c r="G1593" s="1">
        <v>82418</v>
      </c>
      <c r="H1593" s="1">
        <v>8994815</v>
      </c>
      <c r="I1593" s="1">
        <v>109.13691532258068</v>
      </c>
      <c r="J1593" s="1">
        <v>0</v>
      </c>
      <c r="K1593" s="1">
        <v>125</v>
      </c>
      <c r="L1593" s="1">
        <v>118.5</v>
      </c>
      <c r="M1593" s="1"/>
      <c r="N1593" s="1">
        <v>0</v>
      </c>
    </row>
    <row r="1594" spans="1:14" x14ac:dyDescent="0.35">
      <c r="A1594" s="1" t="s">
        <v>60</v>
      </c>
      <c r="B1594" s="1">
        <v>202404</v>
      </c>
      <c r="C1594" s="1" t="str">
        <f>MID(analisis_productividad__4[[#This Row],[Periodo]],1,4)</f>
        <v>2024</v>
      </c>
      <c r="D1594" s="1" t="str">
        <f>MID(analisis_productividad__4[[#This Row],[Periodo]],5,2)</f>
        <v>04</v>
      </c>
      <c r="E1594" s="1" t="s">
        <v>11</v>
      </c>
      <c r="F1594" s="1" t="s">
        <v>14</v>
      </c>
      <c r="G1594" s="1">
        <v>82382</v>
      </c>
      <c r="H1594" s="1">
        <v>6128055</v>
      </c>
      <c r="I1594" s="1">
        <v>74.38608333333336</v>
      </c>
      <c r="J1594" s="1">
        <v>0</v>
      </c>
      <c r="K1594" s="1">
        <v>75.5</v>
      </c>
      <c r="L1594" s="1">
        <v>74</v>
      </c>
      <c r="M1594" s="1"/>
      <c r="N1594" s="1">
        <v>0</v>
      </c>
    </row>
    <row r="1595" spans="1:14" x14ac:dyDescent="0.35">
      <c r="A1595" s="1" t="s">
        <v>43</v>
      </c>
      <c r="B1595" s="1">
        <v>202404</v>
      </c>
      <c r="C1595" s="1" t="str">
        <f>MID(analisis_productividad__4[[#This Row],[Periodo]],1,4)</f>
        <v>2024</v>
      </c>
      <c r="D1595" s="1" t="str">
        <f>MID(analisis_productividad__4[[#This Row],[Periodo]],5,2)</f>
        <v>04</v>
      </c>
      <c r="E1595" s="1" t="s">
        <v>11</v>
      </c>
      <c r="F1595" s="1" t="s">
        <v>12</v>
      </c>
      <c r="G1595" s="1">
        <v>82319</v>
      </c>
      <c r="H1595" s="1">
        <v>6179626</v>
      </c>
      <c r="I1595" s="1">
        <v>75.069361111111121</v>
      </c>
      <c r="J1595" s="1">
        <v>0</v>
      </c>
      <c r="K1595" s="1">
        <v>84.5</v>
      </c>
      <c r="L1595" s="1">
        <v>86.5</v>
      </c>
      <c r="M1595" s="1"/>
      <c r="N1595" s="1">
        <v>0</v>
      </c>
    </row>
    <row r="1596" spans="1:14" x14ac:dyDescent="0.35">
      <c r="A1596" s="1" t="s">
        <v>33</v>
      </c>
      <c r="B1596" s="1">
        <v>202602</v>
      </c>
      <c r="C1596" s="1" t="str">
        <f>MID(analisis_productividad__4[[#This Row],[Periodo]],1,4)</f>
        <v>2026</v>
      </c>
      <c r="D1596" s="1" t="str">
        <f>MID(analisis_productividad__4[[#This Row],[Periodo]],5,2)</f>
        <v>02</v>
      </c>
      <c r="E1596" s="1" t="s">
        <v>34</v>
      </c>
      <c r="F1596" s="1" t="s">
        <v>35</v>
      </c>
      <c r="G1596" s="1">
        <v>82298</v>
      </c>
      <c r="H1596" s="1">
        <v>1053961</v>
      </c>
      <c r="I1596" s="1">
        <v>12.806666666666667</v>
      </c>
      <c r="J1596" s="1">
        <v>82599.217865344879</v>
      </c>
      <c r="K1596" s="1">
        <v>15</v>
      </c>
      <c r="L1596" s="1">
        <v>15</v>
      </c>
      <c r="M1596" s="1">
        <v>13.971887755419019</v>
      </c>
      <c r="N1596" s="1">
        <v>1154067</v>
      </c>
    </row>
    <row r="1597" spans="1:14" x14ac:dyDescent="0.35">
      <c r="A1597" s="1" t="s">
        <v>48</v>
      </c>
      <c r="B1597" s="1">
        <v>202407</v>
      </c>
      <c r="C1597" s="1" t="str">
        <f>MID(analisis_productividad__4[[#This Row],[Periodo]],1,4)</f>
        <v>2024</v>
      </c>
      <c r="D1597" s="1" t="str">
        <f>MID(analisis_productividad__4[[#This Row],[Periodo]],5,2)</f>
        <v>07</v>
      </c>
      <c r="E1597" s="1" t="s">
        <v>16</v>
      </c>
      <c r="F1597" s="1" t="s">
        <v>21</v>
      </c>
      <c r="G1597" s="1">
        <v>82296</v>
      </c>
      <c r="H1597" s="1">
        <v>4936832</v>
      </c>
      <c r="I1597" s="1">
        <v>59.988776881720433</v>
      </c>
      <c r="J1597" s="1">
        <v>0</v>
      </c>
      <c r="K1597" s="1">
        <v>56</v>
      </c>
      <c r="L1597" s="1">
        <v>60</v>
      </c>
      <c r="M1597" s="1"/>
      <c r="N1597" s="1">
        <v>0</v>
      </c>
    </row>
    <row r="1598" spans="1:14" x14ac:dyDescent="0.35">
      <c r="A1598" s="1" t="s">
        <v>59</v>
      </c>
      <c r="B1598" s="1">
        <v>202405</v>
      </c>
      <c r="C1598" s="1" t="str">
        <f>MID(analisis_productividad__4[[#This Row],[Periodo]],1,4)</f>
        <v>2024</v>
      </c>
      <c r="D1598" s="1" t="str">
        <f>MID(analisis_productividad__4[[#This Row],[Periodo]],5,2)</f>
        <v>05</v>
      </c>
      <c r="E1598" s="1" t="s">
        <v>11</v>
      </c>
      <c r="F1598" s="1" t="s">
        <v>12</v>
      </c>
      <c r="G1598" s="1">
        <v>82275</v>
      </c>
      <c r="H1598" s="1">
        <v>7214286</v>
      </c>
      <c r="I1598" s="1">
        <v>87.685020161290325</v>
      </c>
      <c r="J1598" s="1">
        <v>0</v>
      </c>
      <c r="K1598" s="1">
        <v>94.5</v>
      </c>
      <c r="L1598" s="1">
        <v>97</v>
      </c>
      <c r="M1598" s="1"/>
      <c r="N1598" s="1">
        <v>0</v>
      </c>
    </row>
    <row r="1599" spans="1:14" x14ac:dyDescent="0.35">
      <c r="A1599" s="1" t="s">
        <v>55</v>
      </c>
      <c r="B1599" s="1">
        <v>202409</v>
      </c>
      <c r="C1599" s="1" t="str">
        <f>MID(analisis_productividad__4[[#This Row],[Periodo]],1,4)</f>
        <v>2024</v>
      </c>
      <c r="D1599" s="1" t="str">
        <f>MID(analisis_productividad__4[[#This Row],[Periodo]],5,2)</f>
        <v>09</v>
      </c>
      <c r="E1599" s="1" t="s">
        <v>16</v>
      </c>
      <c r="F1599" s="1" t="s">
        <v>21</v>
      </c>
      <c r="G1599" s="1">
        <v>82265</v>
      </c>
      <c r="H1599" s="1">
        <v>4295324</v>
      </c>
      <c r="I1599" s="1">
        <v>52.213097222222217</v>
      </c>
      <c r="J1599" s="1">
        <v>0</v>
      </c>
      <c r="K1599" s="1">
        <v>55</v>
      </c>
      <c r="L1599" s="1">
        <v>50.5</v>
      </c>
      <c r="M1599" s="1"/>
      <c r="N1599" s="1">
        <v>0</v>
      </c>
    </row>
    <row r="1600" spans="1:14" x14ac:dyDescent="0.35">
      <c r="A1600" s="1" t="s">
        <v>67</v>
      </c>
      <c r="B1600" s="1">
        <v>202602</v>
      </c>
      <c r="C1600" s="1" t="str">
        <f>MID(analisis_productividad__4[[#This Row],[Periodo]],1,4)</f>
        <v>2026</v>
      </c>
      <c r="D1600" s="1" t="str">
        <f>MID(analisis_productividad__4[[#This Row],[Periodo]],5,2)</f>
        <v>02</v>
      </c>
      <c r="E1600" s="1" t="s">
        <v>16</v>
      </c>
      <c r="F1600" s="1" t="s">
        <v>19</v>
      </c>
      <c r="G1600" s="1">
        <v>82251</v>
      </c>
      <c r="H1600" s="1">
        <v>6336945</v>
      </c>
      <c r="I1600" s="1">
        <v>77.043750000000031</v>
      </c>
      <c r="J1600" s="1">
        <v>95951.801709074556</v>
      </c>
      <c r="K1600" s="1">
        <v>79.5</v>
      </c>
      <c r="L1600" s="1">
        <v>81.5</v>
      </c>
      <c r="M1600" s="1">
        <v>68.773296674593993</v>
      </c>
      <c r="N1600" s="1">
        <v>6598922</v>
      </c>
    </row>
    <row r="1601" spans="1:14" x14ac:dyDescent="0.35">
      <c r="A1601" s="1" t="s">
        <v>24</v>
      </c>
      <c r="B1601" s="1">
        <v>202504</v>
      </c>
      <c r="C1601" s="1" t="str">
        <f>MID(analisis_productividad__4[[#This Row],[Periodo]],1,4)</f>
        <v>2025</v>
      </c>
      <c r="D1601" s="1" t="str">
        <f>MID(analisis_productividad__4[[#This Row],[Periodo]],5,2)</f>
        <v>04</v>
      </c>
      <c r="E1601" s="1" t="s">
        <v>16</v>
      </c>
      <c r="F1601" s="1" t="s">
        <v>21</v>
      </c>
      <c r="G1601" s="1">
        <v>82244</v>
      </c>
      <c r="H1601" s="1">
        <v>9701844</v>
      </c>
      <c r="I1601" s="1">
        <v>117.96380555555555</v>
      </c>
      <c r="J1601" s="1">
        <v>85314.461565372039</v>
      </c>
      <c r="K1601" s="1">
        <v>125</v>
      </c>
      <c r="L1601" s="1">
        <v>118.5</v>
      </c>
      <c r="M1601" s="1">
        <v>113.71863459005689</v>
      </c>
      <c r="N1601" s="1">
        <v>9567477</v>
      </c>
    </row>
    <row r="1602" spans="1:14" x14ac:dyDescent="0.35">
      <c r="A1602" s="1" t="s">
        <v>87</v>
      </c>
      <c r="B1602" s="1">
        <v>202406</v>
      </c>
      <c r="C1602" s="1" t="str">
        <f>MID(analisis_productividad__4[[#This Row],[Periodo]],1,4)</f>
        <v>2024</v>
      </c>
      <c r="D1602" s="1" t="str">
        <f>MID(analisis_productividad__4[[#This Row],[Periodo]],5,2)</f>
        <v>06</v>
      </c>
      <c r="E1602" s="1" t="s">
        <v>9</v>
      </c>
      <c r="F1602" s="1" t="s">
        <v>9</v>
      </c>
      <c r="G1602" s="1">
        <v>82244</v>
      </c>
      <c r="H1602" s="1">
        <v>1000913</v>
      </c>
      <c r="I1602" s="1">
        <v>12.170083333333336</v>
      </c>
      <c r="J1602" s="1">
        <v>0</v>
      </c>
      <c r="K1602" s="1">
        <v>13.5</v>
      </c>
      <c r="L1602" s="1">
        <v>12</v>
      </c>
      <c r="M1602" s="1"/>
      <c r="N1602" s="1">
        <v>0</v>
      </c>
    </row>
    <row r="1603" spans="1:14" x14ac:dyDescent="0.35">
      <c r="A1603" s="1" t="s">
        <v>97</v>
      </c>
      <c r="B1603" s="1">
        <v>202401</v>
      </c>
      <c r="C1603" s="1" t="str">
        <f>MID(analisis_productividad__4[[#This Row],[Periodo]],1,4)</f>
        <v>2024</v>
      </c>
      <c r="D1603" s="1" t="str">
        <f>MID(analisis_productividad__4[[#This Row],[Periodo]],5,2)</f>
        <v>01</v>
      </c>
      <c r="E1603" s="1" t="s">
        <v>11</v>
      </c>
      <c r="F1603" s="1" t="s">
        <v>12</v>
      </c>
      <c r="G1603" s="1">
        <v>82243</v>
      </c>
      <c r="H1603" s="1">
        <v>4964654</v>
      </c>
      <c r="I1603" s="1">
        <v>60.365544354838725</v>
      </c>
      <c r="J1603" s="1">
        <v>0</v>
      </c>
      <c r="K1603" s="1">
        <v>66.5</v>
      </c>
      <c r="L1603" s="1">
        <v>63.5</v>
      </c>
      <c r="M1603" s="1"/>
      <c r="N1603" s="1">
        <v>0</v>
      </c>
    </row>
    <row r="1604" spans="1:14" x14ac:dyDescent="0.35">
      <c r="A1604" s="1" t="s">
        <v>79</v>
      </c>
      <c r="B1604" s="1">
        <v>202507</v>
      </c>
      <c r="C1604" s="1" t="str">
        <f>MID(analisis_productividad__4[[#This Row],[Periodo]],1,4)</f>
        <v>2025</v>
      </c>
      <c r="D1604" s="1" t="str">
        <f>MID(analisis_productividad__4[[#This Row],[Periodo]],5,2)</f>
        <v>07</v>
      </c>
      <c r="E1604" s="1" t="s">
        <v>11</v>
      </c>
      <c r="F1604" s="1" t="s">
        <v>12</v>
      </c>
      <c r="G1604" s="1">
        <v>82233</v>
      </c>
      <c r="H1604" s="1">
        <v>5183123</v>
      </c>
      <c r="I1604" s="1">
        <v>63.029448924731177</v>
      </c>
      <c r="J1604" s="1">
        <v>97816.394627348607</v>
      </c>
      <c r="K1604" s="1">
        <v>64.5</v>
      </c>
      <c r="L1604" s="1">
        <v>64</v>
      </c>
      <c r="M1604" s="1">
        <v>52.988289332745886</v>
      </c>
      <c r="N1604" s="1">
        <v>6296121</v>
      </c>
    </row>
    <row r="1605" spans="1:14" x14ac:dyDescent="0.35">
      <c r="A1605" s="1" t="s">
        <v>94</v>
      </c>
      <c r="B1605" s="1">
        <v>202511</v>
      </c>
      <c r="C1605" s="1" t="str">
        <f>MID(analisis_productividad__4[[#This Row],[Periodo]],1,4)</f>
        <v>2025</v>
      </c>
      <c r="D1605" s="1" t="str">
        <f>MID(analisis_productividad__4[[#This Row],[Periodo]],5,2)</f>
        <v>11</v>
      </c>
      <c r="E1605" s="1" t="s">
        <v>11</v>
      </c>
      <c r="F1605" s="1" t="s">
        <v>52</v>
      </c>
      <c r="G1605" s="1">
        <v>82211</v>
      </c>
      <c r="H1605" s="1">
        <v>5166606</v>
      </c>
      <c r="I1605" s="1">
        <v>62.845416666666686</v>
      </c>
      <c r="J1605" s="1">
        <v>72018.532339733109</v>
      </c>
      <c r="K1605" s="1">
        <v>75.5</v>
      </c>
      <c r="L1605" s="1">
        <v>70.5</v>
      </c>
      <c r="M1605" s="1">
        <v>71.739955149704556</v>
      </c>
      <c r="N1605" s="1">
        <v>5641899</v>
      </c>
    </row>
    <row r="1606" spans="1:14" x14ac:dyDescent="0.35">
      <c r="A1606" s="1" t="s">
        <v>80</v>
      </c>
      <c r="B1606" s="1">
        <v>202508</v>
      </c>
      <c r="C1606" s="1" t="str">
        <f>MID(analisis_productividad__4[[#This Row],[Periodo]],1,4)</f>
        <v>2025</v>
      </c>
      <c r="D1606" s="1" t="str">
        <f>MID(analisis_productividad__4[[#This Row],[Periodo]],5,2)</f>
        <v>08</v>
      </c>
      <c r="E1606" s="1" t="s">
        <v>16</v>
      </c>
      <c r="F1606" s="1" t="s">
        <v>17</v>
      </c>
      <c r="G1606" s="1">
        <v>82197</v>
      </c>
      <c r="H1606" s="1">
        <v>4381088</v>
      </c>
      <c r="I1606" s="1">
        <v>53.299825268817209</v>
      </c>
      <c r="J1606" s="1">
        <v>91945.047084396836</v>
      </c>
      <c r="K1606" s="1">
        <v>58</v>
      </c>
      <c r="L1606" s="1">
        <v>58.5</v>
      </c>
      <c r="M1606" s="1">
        <v>47.648980547898098</v>
      </c>
      <c r="N1606" s="1">
        <v>4757212</v>
      </c>
    </row>
    <row r="1607" spans="1:14" x14ac:dyDescent="0.35">
      <c r="A1607" s="1" t="s">
        <v>56</v>
      </c>
      <c r="B1607" s="1">
        <v>202404</v>
      </c>
      <c r="C1607" s="1" t="str">
        <f>MID(analisis_productividad__4[[#This Row],[Periodo]],1,4)</f>
        <v>2024</v>
      </c>
      <c r="D1607" s="1" t="str">
        <f>MID(analisis_productividad__4[[#This Row],[Periodo]],5,2)</f>
        <v>04</v>
      </c>
      <c r="E1607" s="1" t="s">
        <v>16</v>
      </c>
      <c r="F1607" s="1" t="s">
        <v>21</v>
      </c>
      <c r="G1607" s="1">
        <v>82171</v>
      </c>
      <c r="H1607" s="1">
        <v>5196522</v>
      </c>
      <c r="I1607" s="1">
        <v>63.240479166666688</v>
      </c>
      <c r="J1607" s="1">
        <v>0</v>
      </c>
      <c r="K1607" s="1">
        <v>72.5</v>
      </c>
      <c r="L1607" s="1">
        <v>68.5</v>
      </c>
      <c r="M1607" s="1"/>
      <c r="N1607" s="1">
        <v>0</v>
      </c>
    </row>
    <row r="1608" spans="1:14" x14ac:dyDescent="0.35">
      <c r="A1608" s="1" t="s">
        <v>79</v>
      </c>
      <c r="B1608" s="1">
        <v>202502</v>
      </c>
      <c r="C1608" s="1" t="str">
        <f>MID(analisis_productividad__4[[#This Row],[Periodo]],1,4)</f>
        <v>2025</v>
      </c>
      <c r="D1608" s="1" t="str">
        <f>MID(analisis_productividad__4[[#This Row],[Periodo]],5,2)</f>
        <v>02</v>
      </c>
      <c r="E1608" s="1" t="s">
        <v>11</v>
      </c>
      <c r="F1608" s="1" t="s">
        <v>12</v>
      </c>
      <c r="G1608" s="1">
        <v>82168</v>
      </c>
      <c r="H1608" s="1">
        <v>5079732</v>
      </c>
      <c r="I1608" s="1">
        <v>61.820937499999992</v>
      </c>
      <c r="J1608" s="1">
        <v>67996.538071405215</v>
      </c>
      <c r="K1608" s="1">
        <v>64.5</v>
      </c>
      <c r="L1608" s="1">
        <v>64</v>
      </c>
      <c r="M1608" s="1">
        <v>74.705747293569871</v>
      </c>
      <c r="N1608" s="1">
        <v>5260289</v>
      </c>
    </row>
    <row r="1609" spans="1:14" x14ac:dyDescent="0.35">
      <c r="A1609" s="1" t="s">
        <v>79</v>
      </c>
      <c r="B1609" s="1">
        <v>202411</v>
      </c>
      <c r="C1609" s="1" t="str">
        <f>MID(analisis_productividad__4[[#This Row],[Periodo]],1,4)</f>
        <v>2024</v>
      </c>
      <c r="D1609" s="1" t="str">
        <f>MID(analisis_productividad__4[[#This Row],[Periodo]],5,2)</f>
        <v>11</v>
      </c>
      <c r="E1609" s="1" t="s">
        <v>11</v>
      </c>
      <c r="F1609" s="1" t="s">
        <v>12</v>
      </c>
      <c r="G1609" s="1">
        <v>82141</v>
      </c>
      <c r="H1609" s="1">
        <v>4944206</v>
      </c>
      <c r="I1609" s="1">
        <v>60.191493055555554</v>
      </c>
      <c r="J1609" s="1">
        <v>0</v>
      </c>
      <c r="K1609" s="1">
        <v>64.5</v>
      </c>
      <c r="L1609" s="1">
        <v>64</v>
      </c>
      <c r="M1609" s="1"/>
      <c r="N1609" s="1">
        <v>0</v>
      </c>
    </row>
    <row r="1610" spans="1:14" x14ac:dyDescent="0.35">
      <c r="A1610" s="1" t="s">
        <v>82</v>
      </c>
      <c r="B1610" s="1">
        <v>202501</v>
      </c>
      <c r="C1610" s="1" t="str">
        <f>MID(analisis_productividad__4[[#This Row],[Periodo]],1,4)</f>
        <v>2025</v>
      </c>
      <c r="D1610" s="1" t="str">
        <f>MID(analisis_productividad__4[[#This Row],[Periodo]],5,2)</f>
        <v>01</v>
      </c>
      <c r="E1610" s="1" t="s">
        <v>11</v>
      </c>
      <c r="F1610" s="1" t="s">
        <v>12</v>
      </c>
      <c r="G1610" s="1">
        <v>82131</v>
      </c>
      <c r="H1610" s="1">
        <v>3996396</v>
      </c>
      <c r="I1610" s="1">
        <v>48.658655913978492</v>
      </c>
      <c r="J1610" s="1">
        <v>73656.967833588133</v>
      </c>
      <c r="K1610" s="1">
        <v>53.5</v>
      </c>
      <c r="L1610" s="1">
        <v>54</v>
      </c>
      <c r="M1610" s="1">
        <v>54.256862555474534</v>
      </c>
      <c r="N1610" s="1">
        <v>3749118</v>
      </c>
    </row>
    <row r="1611" spans="1:14" x14ac:dyDescent="0.35">
      <c r="A1611" s="1" t="s">
        <v>57</v>
      </c>
      <c r="B1611" s="1">
        <v>202409</v>
      </c>
      <c r="C1611" s="1" t="str">
        <f>MID(analisis_productividad__4[[#This Row],[Periodo]],1,4)</f>
        <v>2024</v>
      </c>
      <c r="D1611" s="1" t="str">
        <f>MID(analisis_productividad__4[[#This Row],[Periodo]],5,2)</f>
        <v>09</v>
      </c>
      <c r="E1611" s="1" t="s">
        <v>16</v>
      </c>
      <c r="F1611" s="1" t="s">
        <v>19</v>
      </c>
      <c r="G1611" s="1">
        <v>82097</v>
      </c>
      <c r="H1611" s="1">
        <v>5435511</v>
      </c>
      <c r="I1611" s="1">
        <v>66.208479166666663</v>
      </c>
      <c r="J1611" s="1">
        <v>0</v>
      </c>
      <c r="K1611" s="1">
        <v>71</v>
      </c>
      <c r="L1611" s="1">
        <v>74.5</v>
      </c>
      <c r="M1611" s="1"/>
      <c r="N1611" s="1">
        <v>0</v>
      </c>
    </row>
    <row r="1612" spans="1:14" x14ac:dyDescent="0.35">
      <c r="A1612" s="1" t="s">
        <v>90</v>
      </c>
      <c r="B1612" s="1">
        <v>202509</v>
      </c>
      <c r="C1612" s="1" t="str">
        <f>MID(analisis_productividad__4[[#This Row],[Periodo]],1,4)</f>
        <v>2025</v>
      </c>
      <c r="D1612" s="1" t="str">
        <f>MID(analisis_productividad__4[[#This Row],[Periodo]],5,2)</f>
        <v>09</v>
      </c>
      <c r="E1612" s="1" t="s">
        <v>11</v>
      </c>
      <c r="F1612" s="1" t="s">
        <v>14</v>
      </c>
      <c r="G1612" s="1">
        <v>82071</v>
      </c>
      <c r="H1612" s="1">
        <v>4990089</v>
      </c>
      <c r="I1612" s="1">
        <v>60.801756944444477</v>
      </c>
      <c r="J1612" s="1">
        <v>73835.114871549915</v>
      </c>
      <c r="K1612" s="1">
        <v>84.5</v>
      </c>
      <c r="L1612" s="1">
        <v>78.5</v>
      </c>
      <c r="M1612" s="1">
        <v>67.584221933983557</v>
      </c>
      <c r="N1612" s="1">
        <v>5521506</v>
      </c>
    </row>
    <row r="1613" spans="1:14" x14ac:dyDescent="0.35">
      <c r="A1613" s="1" t="s">
        <v>81</v>
      </c>
      <c r="B1613" s="1">
        <v>202406</v>
      </c>
      <c r="C1613" s="1" t="str">
        <f>MID(analisis_productividad__4[[#This Row],[Periodo]],1,4)</f>
        <v>2024</v>
      </c>
      <c r="D1613" s="1" t="str">
        <f>MID(analisis_productividad__4[[#This Row],[Periodo]],5,2)</f>
        <v>06</v>
      </c>
      <c r="E1613" s="1" t="s">
        <v>34</v>
      </c>
      <c r="F1613" s="1" t="s">
        <v>35</v>
      </c>
      <c r="G1613" s="1">
        <v>82066</v>
      </c>
      <c r="H1613" s="1">
        <v>7444901</v>
      </c>
      <c r="I1613" s="1">
        <v>90.71844444444443</v>
      </c>
      <c r="J1613" s="1">
        <v>0</v>
      </c>
      <c r="K1613" s="1">
        <v>106</v>
      </c>
      <c r="L1613" s="1">
        <v>94.5</v>
      </c>
      <c r="M1613" s="1"/>
      <c r="N1613" s="1">
        <v>0</v>
      </c>
    </row>
    <row r="1614" spans="1:14" x14ac:dyDescent="0.35">
      <c r="A1614" s="1" t="s">
        <v>70</v>
      </c>
      <c r="B1614" s="1">
        <v>202506</v>
      </c>
      <c r="C1614" s="1" t="str">
        <f>MID(analisis_productividad__4[[#This Row],[Periodo]],1,4)</f>
        <v>2025</v>
      </c>
      <c r="D1614" s="1" t="str">
        <f>MID(analisis_productividad__4[[#This Row],[Periodo]],5,2)</f>
        <v>06</v>
      </c>
      <c r="E1614" s="1" t="s">
        <v>11</v>
      </c>
      <c r="F1614" s="1" t="s">
        <v>14</v>
      </c>
      <c r="G1614" s="1">
        <v>82064</v>
      </c>
      <c r="H1614" s="1">
        <v>4608563</v>
      </c>
      <c r="I1614" s="1">
        <v>56.158375000000014</v>
      </c>
      <c r="J1614" s="1">
        <v>87950.296418144091</v>
      </c>
      <c r="K1614" s="1">
        <v>65</v>
      </c>
      <c r="L1614" s="1">
        <v>67.5</v>
      </c>
      <c r="M1614" s="1">
        <v>52.399628741322324</v>
      </c>
      <c r="N1614" s="1">
        <v>4924211</v>
      </c>
    </row>
    <row r="1615" spans="1:14" x14ac:dyDescent="0.35">
      <c r="A1615" s="1" t="s">
        <v>82</v>
      </c>
      <c r="B1615" s="1">
        <v>202403</v>
      </c>
      <c r="C1615" s="1" t="str">
        <f>MID(analisis_productividad__4[[#This Row],[Periodo]],1,4)</f>
        <v>2024</v>
      </c>
      <c r="D1615" s="1" t="str">
        <f>MID(analisis_productividad__4[[#This Row],[Periodo]],5,2)</f>
        <v>03</v>
      </c>
      <c r="E1615" s="1" t="s">
        <v>11</v>
      </c>
      <c r="F1615" s="1" t="s">
        <v>12</v>
      </c>
      <c r="G1615" s="1">
        <v>82052</v>
      </c>
      <c r="H1615" s="1">
        <v>4702289</v>
      </c>
      <c r="I1615" s="1">
        <v>57.308642473118269</v>
      </c>
      <c r="J1615" s="1">
        <v>0</v>
      </c>
      <c r="K1615" s="1">
        <v>53.5</v>
      </c>
      <c r="L1615" s="1">
        <v>54</v>
      </c>
      <c r="M1615" s="1"/>
      <c r="N1615" s="1">
        <v>0</v>
      </c>
    </row>
    <row r="1616" spans="1:14" x14ac:dyDescent="0.35">
      <c r="A1616" s="1" t="s">
        <v>40</v>
      </c>
      <c r="B1616" s="1">
        <v>202505</v>
      </c>
      <c r="C1616" s="1" t="str">
        <f>MID(analisis_productividad__4[[#This Row],[Periodo]],1,4)</f>
        <v>2025</v>
      </c>
      <c r="D1616" s="1" t="str">
        <f>MID(analisis_productividad__4[[#This Row],[Periodo]],5,2)</f>
        <v>05</v>
      </c>
      <c r="E1616" s="1" t="s">
        <v>11</v>
      </c>
      <c r="F1616" s="1" t="s">
        <v>14</v>
      </c>
      <c r="G1616" s="1">
        <v>82036</v>
      </c>
      <c r="H1616" s="1">
        <v>5899066</v>
      </c>
      <c r="I1616" s="1">
        <v>71.908487903225776</v>
      </c>
      <c r="J1616" s="1">
        <v>93633.904142161569</v>
      </c>
      <c r="K1616" s="1">
        <v>76.5</v>
      </c>
      <c r="L1616" s="1">
        <v>75.5</v>
      </c>
      <c r="M1616" s="1">
        <v>63.001383997014834</v>
      </c>
      <c r="N1616" s="1">
        <v>6525525</v>
      </c>
    </row>
    <row r="1617" spans="1:14" x14ac:dyDescent="0.35">
      <c r="A1617" s="1" t="s">
        <v>72</v>
      </c>
      <c r="B1617" s="1">
        <v>202507</v>
      </c>
      <c r="C1617" s="1" t="str">
        <f>MID(analisis_productividad__4[[#This Row],[Periodo]],1,4)</f>
        <v>2025</v>
      </c>
      <c r="D1617" s="1" t="str">
        <f>MID(analisis_productividad__4[[#This Row],[Periodo]],5,2)</f>
        <v>07</v>
      </c>
      <c r="E1617" s="1" t="s">
        <v>11</v>
      </c>
      <c r="F1617" s="1" t="s">
        <v>14</v>
      </c>
      <c r="G1617" s="1">
        <v>81982</v>
      </c>
      <c r="H1617" s="1">
        <v>4718569</v>
      </c>
      <c r="I1617" s="1">
        <v>57.555806451612924</v>
      </c>
      <c r="J1617" s="1">
        <v>90871.288561249341</v>
      </c>
      <c r="K1617" s="1">
        <v>66</v>
      </c>
      <c r="L1617" s="1">
        <v>64.5</v>
      </c>
      <c r="M1617" s="1">
        <v>51.925846488019978</v>
      </c>
      <c r="N1617" s="1">
        <v>5470467</v>
      </c>
    </row>
    <row r="1618" spans="1:14" x14ac:dyDescent="0.35">
      <c r="A1618" s="1" t="s">
        <v>120</v>
      </c>
      <c r="B1618" s="1">
        <v>202412</v>
      </c>
      <c r="C1618" s="1" t="str">
        <f>MID(analisis_productividad__4[[#This Row],[Periodo]],1,4)</f>
        <v>2024</v>
      </c>
      <c r="D1618" s="1" t="str">
        <f>MID(analisis_productividad__4[[#This Row],[Periodo]],5,2)</f>
        <v>12</v>
      </c>
      <c r="E1618" s="1" t="s">
        <v>9</v>
      </c>
      <c r="F1618" s="1" t="s">
        <v>9</v>
      </c>
      <c r="G1618" s="1">
        <v>81981</v>
      </c>
      <c r="H1618" s="1">
        <v>996614</v>
      </c>
      <c r="I1618" s="1">
        <v>12.156713709677421</v>
      </c>
      <c r="J1618" s="1">
        <v>0</v>
      </c>
      <c r="K1618" s="1">
        <v>11.5</v>
      </c>
      <c r="L1618" s="1">
        <v>12</v>
      </c>
      <c r="M1618" s="1"/>
      <c r="N1618" s="1">
        <v>0</v>
      </c>
    </row>
    <row r="1619" spans="1:14" x14ac:dyDescent="0.35">
      <c r="A1619" s="1" t="s">
        <v>43</v>
      </c>
      <c r="B1619" s="1">
        <v>202409</v>
      </c>
      <c r="C1619" s="1" t="str">
        <f>MID(analisis_productividad__4[[#This Row],[Periodo]],1,4)</f>
        <v>2024</v>
      </c>
      <c r="D1619" s="1" t="str">
        <f>MID(analisis_productividad__4[[#This Row],[Periodo]],5,2)</f>
        <v>09</v>
      </c>
      <c r="E1619" s="1" t="s">
        <v>11</v>
      </c>
      <c r="F1619" s="1" t="s">
        <v>12</v>
      </c>
      <c r="G1619" s="1">
        <v>81978</v>
      </c>
      <c r="H1619" s="1">
        <v>6313045</v>
      </c>
      <c r="I1619" s="1">
        <v>77.008604166666657</v>
      </c>
      <c r="J1619" s="1">
        <v>0</v>
      </c>
      <c r="K1619" s="1">
        <v>84.5</v>
      </c>
      <c r="L1619" s="1">
        <v>86.5</v>
      </c>
      <c r="M1619" s="1"/>
      <c r="N1619" s="1">
        <v>0</v>
      </c>
    </row>
    <row r="1620" spans="1:14" x14ac:dyDescent="0.35">
      <c r="A1620" s="1" t="s">
        <v>70</v>
      </c>
      <c r="B1620" s="1">
        <v>202510</v>
      </c>
      <c r="C1620" s="1" t="str">
        <f>MID(analisis_productividad__4[[#This Row],[Periodo]],1,4)</f>
        <v>2025</v>
      </c>
      <c r="D1620" s="1" t="str">
        <f>MID(analisis_productividad__4[[#This Row],[Periodo]],5,2)</f>
        <v>10</v>
      </c>
      <c r="E1620" s="1" t="s">
        <v>11</v>
      </c>
      <c r="F1620" s="1" t="s">
        <v>14</v>
      </c>
      <c r="G1620" s="1">
        <v>81966</v>
      </c>
      <c r="H1620" s="1">
        <v>4647427</v>
      </c>
      <c r="I1620" s="1">
        <v>56.699529569892498</v>
      </c>
      <c r="J1620" s="1">
        <v>91127.224072556113</v>
      </c>
      <c r="K1620" s="1">
        <v>65</v>
      </c>
      <c r="L1620" s="1">
        <v>67.5</v>
      </c>
      <c r="M1620" s="1">
        <v>50.999328985372003</v>
      </c>
      <c r="N1620" s="1">
        <v>5027557</v>
      </c>
    </row>
    <row r="1621" spans="1:14" x14ac:dyDescent="0.35">
      <c r="A1621" s="1" t="s">
        <v>86</v>
      </c>
      <c r="B1621" s="1">
        <v>202511</v>
      </c>
      <c r="C1621" s="1" t="str">
        <f>MID(analisis_productividad__4[[#This Row],[Periodo]],1,4)</f>
        <v>2025</v>
      </c>
      <c r="D1621" s="1" t="str">
        <f>MID(analisis_productividad__4[[#This Row],[Periodo]],5,2)</f>
        <v>11</v>
      </c>
      <c r="E1621" s="1" t="s">
        <v>11</v>
      </c>
      <c r="F1621" s="1" t="s">
        <v>14</v>
      </c>
      <c r="G1621" s="1">
        <v>81923</v>
      </c>
      <c r="H1621" s="1">
        <v>4127605</v>
      </c>
      <c r="I1621" s="1">
        <v>50.383958333333325</v>
      </c>
      <c r="J1621" s="1">
        <v>79023.598011527691</v>
      </c>
      <c r="K1621" s="1">
        <v>69.5</v>
      </c>
      <c r="L1621" s="1">
        <v>59</v>
      </c>
      <c r="M1621" s="1">
        <v>52.232565636885809</v>
      </c>
      <c r="N1621" s="1">
        <v>4991885</v>
      </c>
    </row>
    <row r="1622" spans="1:14" x14ac:dyDescent="0.35">
      <c r="A1622" s="1" t="s">
        <v>106</v>
      </c>
      <c r="B1622" s="1">
        <v>202403</v>
      </c>
      <c r="C1622" s="1" t="str">
        <f>MID(analisis_productividad__4[[#This Row],[Periodo]],1,4)</f>
        <v>2024</v>
      </c>
      <c r="D1622" s="1" t="str">
        <f>MID(analisis_productividad__4[[#This Row],[Periodo]],5,2)</f>
        <v>03</v>
      </c>
      <c r="E1622" s="1" t="s">
        <v>34</v>
      </c>
      <c r="F1622" s="1" t="s">
        <v>35</v>
      </c>
      <c r="G1622" s="1">
        <v>81901</v>
      </c>
      <c r="H1622" s="1">
        <v>3706439</v>
      </c>
      <c r="I1622" s="1">
        <v>45.255235215053766</v>
      </c>
      <c r="J1622" s="1">
        <v>0</v>
      </c>
      <c r="K1622" s="1">
        <v>51</v>
      </c>
      <c r="L1622" s="1">
        <v>49</v>
      </c>
      <c r="M1622" s="1"/>
      <c r="N1622" s="1">
        <v>0</v>
      </c>
    </row>
    <row r="1623" spans="1:14" x14ac:dyDescent="0.35">
      <c r="A1623" s="1" t="s">
        <v>65</v>
      </c>
      <c r="B1623" s="1">
        <v>202411</v>
      </c>
      <c r="C1623" s="1" t="str">
        <f>MID(analisis_productividad__4[[#This Row],[Periodo]],1,4)</f>
        <v>2024</v>
      </c>
      <c r="D1623" s="1" t="str">
        <f>MID(analisis_productividad__4[[#This Row],[Periodo]],5,2)</f>
        <v>11</v>
      </c>
      <c r="E1623" s="1" t="s">
        <v>16</v>
      </c>
      <c r="F1623" s="1" t="s">
        <v>19</v>
      </c>
      <c r="G1623" s="1">
        <v>81900</v>
      </c>
      <c r="H1623" s="1">
        <v>5380279</v>
      </c>
      <c r="I1623" s="1">
        <v>65.69320138888888</v>
      </c>
      <c r="J1623" s="1">
        <v>0</v>
      </c>
      <c r="K1623" s="1">
        <v>68</v>
      </c>
      <c r="L1623" s="1">
        <v>68.5</v>
      </c>
      <c r="M1623" s="1"/>
      <c r="N1623" s="1">
        <v>0</v>
      </c>
    </row>
    <row r="1624" spans="1:14" x14ac:dyDescent="0.35">
      <c r="A1624" s="1" t="s">
        <v>66</v>
      </c>
      <c r="B1624" s="1">
        <v>202508</v>
      </c>
      <c r="C1624" s="1" t="str">
        <f>MID(analisis_productividad__4[[#This Row],[Periodo]],1,4)</f>
        <v>2025</v>
      </c>
      <c r="D1624" s="1" t="str">
        <f>MID(analisis_productividad__4[[#This Row],[Periodo]],5,2)</f>
        <v>08</v>
      </c>
      <c r="E1624" s="1" t="s">
        <v>11</v>
      </c>
      <c r="F1624" s="1" t="s">
        <v>12</v>
      </c>
      <c r="G1624" s="1">
        <v>81885</v>
      </c>
      <c r="H1624" s="1">
        <v>5378399</v>
      </c>
      <c r="I1624" s="1">
        <v>65.682627688172047</v>
      </c>
      <c r="J1624" s="1">
        <v>87452.522533776879</v>
      </c>
      <c r="K1624" s="1">
        <v>80</v>
      </c>
      <c r="L1624" s="1">
        <v>80.5</v>
      </c>
      <c r="M1624" s="1">
        <v>61.500785502473022</v>
      </c>
      <c r="N1624" s="1">
        <v>6198845</v>
      </c>
    </row>
    <row r="1625" spans="1:14" x14ac:dyDescent="0.35">
      <c r="A1625" s="1" t="s">
        <v>76</v>
      </c>
      <c r="B1625" s="1">
        <v>202409</v>
      </c>
      <c r="C1625" s="1" t="str">
        <f>MID(analisis_productividad__4[[#This Row],[Periodo]],1,4)</f>
        <v>2024</v>
      </c>
      <c r="D1625" s="1" t="str">
        <f>MID(analisis_productividad__4[[#This Row],[Periodo]],5,2)</f>
        <v>09</v>
      </c>
      <c r="E1625" s="1" t="s">
        <v>11</v>
      </c>
      <c r="F1625" s="1" t="s">
        <v>14</v>
      </c>
      <c r="G1625" s="1">
        <v>81857</v>
      </c>
      <c r="H1625" s="1">
        <v>6066510</v>
      </c>
      <c r="I1625" s="1">
        <v>74.110652777777759</v>
      </c>
      <c r="J1625" s="1">
        <v>0</v>
      </c>
      <c r="K1625" s="1">
        <v>80</v>
      </c>
      <c r="L1625" s="1">
        <v>78</v>
      </c>
      <c r="M1625" s="1"/>
      <c r="N1625" s="1">
        <v>0</v>
      </c>
    </row>
    <row r="1626" spans="1:14" x14ac:dyDescent="0.35">
      <c r="A1626" s="1" t="s">
        <v>99</v>
      </c>
      <c r="B1626" s="1">
        <v>202603</v>
      </c>
      <c r="C1626" s="1" t="str">
        <f>MID(analisis_productividad__4[[#This Row],[Periodo]],1,4)</f>
        <v>2026</v>
      </c>
      <c r="D1626" s="1" t="str">
        <f>MID(analisis_productividad__4[[#This Row],[Periodo]],5,2)</f>
        <v>03</v>
      </c>
      <c r="E1626" s="1" t="s">
        <v>11</v>
      </c>
      <c r="F1626" s="1" t="s">
        <v>12</v>
      </c>
      <c r="G1626" s="1">
        <v>81828</v>
      </c>
      <c r="H1626" s="1">
        <v>2026405</v>
      </c>
      <c r="I1626" s="1">
        <v>24.764193548387091</v>
      </c>
      <c r="J1626" s="1">
        <v>87952.153879588732</v>
      </c>
      <c r="K1626" s="1">
        <v>27</v>
      </c>
      <c r="L1626" s="1">
        <v>27</v>
      </c>
      <c r="M1626" s="1">
        <v>23.582599197509253</v>
      </c>
      <c r="N1626" s="1">
        <v>2074140</v>
      </c>
    </row>
    <row r="1627" spans="1:14" x14ac:dyDescent="0.35">
      <c r="A1627" s="1" t="s">
        <v>40</v>
      </c>
      <c r="B1627" s="1">
        <v>202509</v>
      </c>
      <c r="C1627" s="1" t="str">
        <f>MID(analisis_productividad__4[[#This Row],[Periodo]],1,4)</f>
        <v>2025</v>
      </c>
      <c r="D1627" s="1" t="str">
        <f>MID(analisis_productividad__4[[#This Row],[Periodo]],5,2)</f>
        <v>09</v>
      </c>
      <c r="E1627" s="1" t="s">
        <v>11</v>
      </c>
      <c r="F1627" s="1" t="s">
        <v>14</v>
      </c>
      <c r="G1627" s="1">
        <v>81826</v>
      </c>
      <c r="H1627" s="1">
        <v>5108339</v>
      </c>
      <c r="I1627" s="1">
        <v>62.429256944444482</v>
      </c>
      <c r="J1627" s="1">
        <v>79566.617428393176</v>
      </c>
      <c r="K1627" s="1">
        <v>76.5</v>
      </c>
      <c r="L1627" s="1">
        <v>75.5</v>
      </c>
      <c r="M1627" s="1">
        <v>64.202033152877235</v>
      </c>
      <c r="N1627" s="1">
        <v>6022803</v>
      </c>
    </row>
    <row r="1628" spans="1:14" x14ac:dyDescent="0.35">
      <c r="A1628" s="1" t="s">
        <v>69</v>
      </c>
      <c r="B1628" s="1">
        <v>202503</v>
      </c>
      <c r="C1628" s="1" t="str">
        <f>MID(analisis_productividad__4[[#This Row],[Periodo]],1,4)</f>
        <v>2025</v>
      </c>
      <c r="D1628" s="1" t="str">
        <f>MID(analisis_productividad__4[[#This Row],[Periodo]],5,2)</f>
        <v>03</v>
      </c>
      <c r="E1628" s="1" t="s">
        <v>11</v>
      </c>
      <c r="F1628" s="1" t="s">
        <v>52</v>
      </c>
      <c r="G1628" s="1">
        <v>81791</v>
      </c>
      <c r="H1628" s="1">
        <v>5205947</v>
      </c>
      <c r="I1628" s="1">
        <v>63.649193548387068</v>
      </c>
      <c r="J1628" s="1">
        <v>84502.305693324117</v>
      </c>
      <c r="K1628" s="1">
        <v>68</v>
      </c>
      <c r="L1628" s="1">
        <v>60.5</v>
      </c>
      <c r="M1628" s="1">
        <v>61.607164884866371</v>
      </c>
      <c r="N1628" s="1">
        <v>5415755</v>
      </c>
    </row>
    <row r="1629" spans="1:14" x14ac:dyDescent="0.35">
      <c r="A1629" s="1" t="s">
        <v>79</v>
      </c>
      <c r="B1629" s="1">
        <v>202510</v>
      </c>
      <c r="C1629" s="1" t="str">
        <f>MID(analisis_productividad__4[[#This Row],[Periodo]],1,4)</f>
        <v>2025</v>
      </c>
      <c r="D1629" s="1" t="str">
        <f>MID(analisis_productividad__4[[#This Row],[Periodo]],5,2)</f>
        <v>10</v>
      </c>
      <c r="E1629" s="1" t="s">
        <v>11</v>
      </c>
      <c r="F1629" s="1" t="s">
        <v>12</v>
      </c>
      <c r="G1629" s="1">
        <v>81786</v>
      </c>
      <c r="H1629" s="1">
        <v>4522139</v>
      </c>
      <c r="I1629" s="1">
        <v>55.292096774193553</v>
      </c>
      <c r="J1629" s="1">
        <v>79149.315494010414</v>
      </c>
      <c r="K1629" s="1">
        <v>64.5</v>
      </c>
      <c r="L1629" s="1">
        <v>64</v>
      </c>
      <c r="M1629" s="1">
        <v>57.134280717086057</v>
      </c>
      <c r="N1629" s="1">
        <v>5558554</v>
      </c>
    </row>
    <row r="1630" spans="1:14" x14ac:dyDescent="0.35">
      <c r="A1630" s="1" t="s">
        <v>91</v>
      </c>
      <c r="B1630" s="1">
        <v>202511</v>
      </c>
      <c r="C1630" s="1" t="str">
        <f>MID(analisis_productividad__4[[#This Row],[Periodo]],1,4)</f>
        <v>2025</v>
      </c>
      <c r="D1630" s="1" t="str">
        <f>MID(analisis_productividad__4[[#This Row],[Periodo]],5,2)</f>
        <v>11</v>
      </c>
      <c r="E1630" s="1" t="s">
        <v>11</v>
      </c>
      <c r="F1630" s="1" t="s">
        <v>12</v>
      </c>
      <c r="G1630" s="1">
        <v>81770</v>
      </c>
      <c r="H1630" s="1">
        <v>4121437</v>
      </c>
      <c r="I1630" s="1">
        <v>50.402819444444454</v>
      </c>
      <c r="J1630" s="1">
        <v>74077.284674683659</v>
      </c>
      <c r="K1630" s="1">
        <v>55</v>
      </c>
      <c r="L1630" s="1">
        <v>55.5</v>
      </c>
      <c r="M1630" s="1">
        <v>55.636994094743393</v>
      </c>
      <c r="N1630" s="1">
        <v>3664020</v>
      </c>
    </row>
    <row r="1631" spans="1:14" x14ac:dyDescent="0.35">
      <c r="A1631" s="1" t="s">
        <v>60</v>
      </c>
      <c r="B1631" s="1">
        <v>202504</v>
      </c>
      <c r="C1631" s="1" t="str">
        <f>MID(analisis_productividad__4[[#This Row],[Periodo]],1,4)</f>
        <v>2025</v>
      </c>
      <c r="D1631" s="1" t="str">
        <f>MID(analisis_productividad__4[[#This Row],[Periodo]],5,2)</f>
        <v>04</v>
      </c>
      <c r="E1631" s="1" t="s">
        <v>11</v>
      </c>
      <c r="F1631" s="1" t="s">
        <v>14</v>
      </c>
      <c r="G1631" s="1">
        <v>81761</v>
      </c>
      <c r="H1631" s="1">
        <v>5596179</v>
      </c>
      <c r="I1631" s="1">
        <v>68.445465277777785</v>
      </c>
      <c r="J1631" s="1">
        <v>86500.821258008567</v>
      </c>
      <c r="K1631" s="1">
        <v>75.5</v>
      </c>
      <c r="L1631" s="1">
        <v>74</v>
      </c>
      <c r="M1631" s="1">
        <v>64.695098943721135</v>
      </c>
      <c r="N1631" s="1">
        <v>6448998</v>
      </c>
    </row>
    <row r="1632" spans="1:14" x14ac:dyDescent="0.35">
      <c r="A1632" s="1" t="s">
        <v>82</v>
      </c>
      <c r="B1632" s="1">
        <v>202605</v>
      </c>
      <c r="C1632" s="1" t="str">
        <f>MID(analisis_productividad__4[[#This Row],[Periodo]],1,4)</f>
        <v>2026</v>
      </c>
      <c r="D1632" s="1" t="str">
        <f>MID(analisis_productividad__4[[#This Row],[Periodo]],5,2)</f>
        <v>05</v>
      </c>
      <c r="E1632" s="1" t="s">
        <v>11</v>
      </c>
      <c r="F1632" s="1" t="s">
        <v>12</v>
      </c>
      <c r="G1632" s="1">
        <v>81749</v>
      </c>
      <c r="H1632" s="1">
        <v>4127750</v>
      </c>
      <c r="I1632" s="1">
        <v>50.492768817205032</v>
      </c>
      <c r="J1632" s="1">
        <v>91509.49289245125</v>
      </c>
      <c r="K1632" s="1">
        <v>53.5</v>
      </c>
      <c r="L1632" s="1">
        <v>54</v>
      </c>
      <c r="M1632" s="1">
        <v>47.165198395018514</v>
      </c>
      <c r="N1632" s="1">
        <v>4316063</v>
      </c>
    </row>
    <row r="1633" spans="1:14" x14ac:dyDescent="0.35">
      <c r="A1633" s="1" t="s">
        <v>44</v>
      </c>
      <c r="B1633" s="1">
        <v>202502</v>
      </c>
      <c r="C1633" s="1" t="str">
        <f>MID(analisis_productividad__4[[#This Row],[Periodo]],1,4)</f>
        <v>2025</v>
      </c>
      <c r="D1633" s="1" t="str">
        <f>MID(analisis_productividad__4[[#This Row],[Periodo]],5,2)</f>
        <v>02</v>
      </c>
      <c r="E1633" s="1" t="s">
        <v>11</v>
      </c>
      <c r="F1633" s="1" t="s">
        <v>12</v>
      </c>
      <c r="G1633" s="1">
        <v>81714</v>
      </c>
      <c r="H1633" s="1">
        <v>5512561</v>
      </c>
      <c r="I1633" s="1">
        <v>67.461874999999978</v>
      </c>
      <c r="J1633" s="1">
        <v>92776.425129646726</v>
      </c>
      <c r="K1633" s="1">
        <v>78</v>
      </c>
      <c r="L1633" s="1">
        <v>74.5</v>
      </c>
      <c r="M1633" s="1">
        <v>59.417690240777112</v>
      </c>
      <c r="N1633" s="1">
        <v>5877591</v>
      </c>
    </row>
    <row r="1634" spans="1:14" x14ac:dyDescent="0.35">
      <c r="A1634" s="1" t="s">
        <v>118</v>
      </c>
      <c r="B1634" s="1">
        <v>202512</v>
      </c>
      <c r="C1634" s="1" t="str">
        <f>MID(analisis_productividad__4[[#This Row],[Periodo]],1,4)</f>
        <v>2025</v>
      </c>
      <c r="D1634" s="1" t="str">
        <f>MID(analisis_productividad__4[[#This Row],[Periodo]],5,2)</f>
        <v>12</v>
      </c>
      <c r="E1634" s="1" t="s">
        <v>34</v>
      </c>
      <c r="F1634" s="1" t="s">
        <v>35</v>
      </c>
      <c r="G1634" s="1">
        <v>81694</v>
      </c>
      <c r="H1634" s="1">
        <v>1490427</v>
      </c>
      <c r="I1634" s="1">
        <v>18.244126344086006</v>
      </c>
      <c r="J1634" s="1">
        <v>76192.543310360532</v>
      </c>
      <c r="K1634" s="1">
        <v>19</v>
      </c>
      <c r="L1634" s="1">
        <v>21.5</v>
      </c>
      <c r="M1634" s="1">
        <v>19.561329432578926</v>
      </c>
      <c r="N1634" s="1">
        <v>1696594</v>
      </c>
    </row>
    <row r="1635" spans="1:14" x14ac:dyDescent="0.35">
      <c r="A1635" s="1" t="s">
        <v>18</v>
      </c>
      <c r="B1635" s="1">
        <v>202606</v>
      </c>
      <c r="C1635" s="1" t="str">
        <f>MID(analisis_productividad__4[[#This Row],[Periodo]],1,4)</f>
        <v>2026</v>
      </c>
      <c r="D1635" s="1" t="str">
        <f>MID(analisis_productividad__4[[#This Row],[Periodo]],5,2)</f>
        <v>06</v>
      </c>
      <c r="E1635" s="1" t="s">
        <v>16</v>
      </c>
      <c r="F1635" s="1" t="s">
        <v>19</v>
      </c>
      <c r="G1635" s="1">
        <v>81687</v>
      </c>
      <c r="H1635" s="1">
        <v>4958196</v>
      </c>
      <c r="I1635" s="1">
        <v>60.697388888889805</v>
      </c>
      <c r="J1635" s="1">
        <v>76926.953668943737</v>
      </c>
      <c r="K1635" s="1">
        <v>70.5</v>
      </c>
      <c r="L1635" s="1">
        <v>69.5</v>
      </c>
      <c r="M1635" s="1">
        <v>63.576561684054447</v>
      </c>
      <c r="N1635" s="1">
        <v>4890751</v>
      </c>
    </row>
    <row r="1636" spans="1:14" x14ac:dyDescent="0.35">
      <c r="A1636" s="1" t="s">
        <v>113</v>
      </c>
      <c r="B1636" s="1">
        <v>202512</v>
      </c>
      <c r="C1636" s="1" t="str">
        <f>MID(analisis_productividad__4[[#This Row],[Periodo]],1,4)</f>
        <v>2025</v>
      </c>
      <c r="D1636" s="1" t="str">
        <f>MID(analisis_productividad__4[[#This Row],[Periodo]],5,2)</f>
        <v>12</v>
      </c>
      <c r="E1636" s="1" t="s">
        <v>9</v>
      </c>
      <c r="F1636" s="1" t="s">
        <v>9</v>
      </c>
      <c r="G1636" s="1">
        <v>81614</v>
      </c>
      <c r="H1636" s="1">
        <v>740337</v>
      </c>
      <c r="I1636" s="1">
        <v>9.0712567204300996</v>
      </c>
      <c r="J1636" s="1">
        <v>66578.078651046002</v>
      </c>
      <c r="K1636" s="1">
        <v>11.5</v>
      </c>
      <c r="L1636" s="1">
        <v>10</v>
      </c>
      <c r="M1636" s="1">
        <v>11.119837264759644</v>
      </c>
      <c r="N1636" s="1">
        <v>811179</v>
      </c>
    </row>
    <row r="1637" spans="1:14" x14ac:dyDescent="0.35">
      <c r="A1637" s="1" t="s">
        <v>92</v>
      </c>
      <c r="B1637" s="1">
        <v>202604</v>
      </c>
      <c r="C1637" s="1" t="str">
        <f>MID(analisis_productividad__4[[#This Row],[Periodo]],1,4)</f>
        <v>2026</v>
      </c>
      <c r="D1637" s="1" t="str">
        <f>MID(analisis_productividad__4[[#This Row],[Periodo]],5,2)</f>
        <v>04</v>
      </c>
      <c r="E1637" s="1" t="s">
        <v>11</v>
      </c>
      <c r="F1637" s="1" t="s">
        <v>14</v>
      </c>
      <c r="G1637" s="1">
        <v>81604</v>
      </c>
      <c r="H1637" s="1">
        <v>3916169</v>
      </c>
      <c r="I1637" s="1">
        <v>47.989861111111679</v>
      </c>
      <c r="J1637" s="1">
        <v>71710.071795226089</v>
      </c>
      <c r="K1637" s="1">
        <v>63</v>
      </c>
      <c r="L1637" s="1">
        <v>59</v>
      </c>
      <c r="M1637" s="1">
        <v>55.026064794188251</v>
      </c>
      <c r="N1637" s="1">
        <v>3945923</v>
      </c>
    </row>
    <row r="1638" spans="1:14" x14ac:dyDescent="0.35">
      <c r="A1638" s="1" t="s">
        <v>41</v>
      </c>
      <c r="B1638" s="1">
        <v>202406</v>
      </c>
      <c r="C1638" s="1" t="str">
        <f>MID(analisis_productividad__4[[#This Row],[Periodo]],1,4)</f>
        <v>2024</v>
      </c>
      <c r="D1638" s="1" t="str">
        <f>MID(analisis_productividad__4[[#This Row],[Periodo]],5,2)</f>
        <v>06</v>
      </c>
      <c r="E1638" s="1" t="s">
        <v>16</v>
      </c>
      <c r="F1638" s="1" t="s">
        <v>19</v>
      </c>
      <c r="G1638" s="1">
        <v>81581</v>
      </c>
      <c r="H1638" s="1">
        <v>4349227</v>
      </c>
      <c r="I1638" s="1">
        <v>53.311659722222224</v>
      </c>
      <c r="J1638" s="1">
        <v>0</v>
      </c>
      <c r="K1638" s="1">
        <v>57.5</v>
      </c>
      <c r="L1638" s="1">
        <v>56.5</v>
      </c>
      <c r="M1638" s="1"/>
      <c r="N1638" s="1">
        <v>0</v>
      </c>
    </row>
    <row r="1639" spans="1:14" x14ac:dyDescent="0.35">
      <c r="A1639" s="1" t="s">
        <v>42</v>
      </c>
      <c r="B1639" s="1">
        <v>202407</v>
      </c>
      <c r="C1639" s="1" t="str">
        <f>MID(analisis_productividad__4[[#This Row],[Periodo]],1,4)</f>
        <v>2024</v>
      </c>
      <c r="D1639" s="1" t="str">
        <f>MID(analisis_productividad__4[[#This Row],[Periodo]],5,2)</f>
        <v>07</v>
      </c>
      <c r="E1639" s="1" t="s">
        <v>16</v>
      </c>
      <c r="F1639" s="1" t="s">
        <v>19</v>
      </c>
      <c r="G1639" s="1">
        <v>81575</v>
      </c>
      <c r="H1639" s="1">
        <v>5207660</v>
      </c>
      <c r="I1639" s="1">
        <v>63.838541666666657</v>
      </c>
      <c r="J1639" s="1">
        <v>0</v>
      </c>
      <c r="K1639" s="1">
        <v>62</v>
      </c>
      <c r="L1639" s="1">
        <v>58</v>
      </c>
      <c r="M1639" s="1"/>
      <c r="N1639" s="1">
        <v>0</v>
      </c>
    </row>
    <row r="1640" spans="1:14" x14ac:dyDescent="0.35">
      <c r="A1640" s="1" t="s">
        <v>64</v>
      </c>
      <c r="B1640" s="1">
        <v>202503</v>
      </c>
      <c r="C1640" s="1" t="str">
        <f>MID(analisis_productividad__4[[#This Row],[Periodo]],1,4)</f>
        <v>2025</v>
      </c>
      <c r="D1640" s="1" t="str">
        <f>MID(analisis_productividad__4[[#This Row],[Periodo]],5,2)</f>
        <v>03</v>
      </c>
      <c r="E1640" s="1" t="s">
        <v>16</v>
      </c>
      <c r="F1640" s="1" t="s">
        <v>21</v>
      </c>
      <c r="G1640" s="1">
        <v>81573</v>
      </c>
      <c r="H1640" s="1">
        <v>10163236</v>
      </c>
      <c r="I1640" s="1">
        <v>124.59134408602141</v>
      </c>
      <c r="J1640" s="1">
        <v>98666.539930854196</v>
      </c>
      <c r="K1640" s="1">
        <v>88.5</v>
      </c>
      <c r="L1640" s="1">
        <v>92.5</v>
      </c>
      <c r="M1640" s="1">
        <v>103.00589751219029</v>
      </c>
      <c r="N1640" s="1">
        <v>7789830</v>
      </c>
    </row>
    <row r="1641" spans="1:14" x14ac:dyDescent="0.35">
      <c r="A1641" s="1" t="s">
        <v>69</v>
      </c>
      <c r="B1641" s="1">
        <v>202407</v>
      </c>
      <c r="C1641" s="1" t="str">
        <f>MID(analisis_productividad__4[[#This Row],[Periodo]],1,4)</f>
        <v>2024</v>
      </c>
      <c r="D1641" s="1" t="str">
        <f>MID(analisis_productividad__4[[#This Row],[Periodo]],5,2)</f>
        <v>07</v>
      </c>
      <c r="E1641" s="1" t="s">
        <v>11</v>
      </c>
      <c r="F1641" s="1" t="s">
        <v>52</v>
      </c>
      <c r="G1641" s="1">
        <v>81519</v>
      </c>
      <c r="H1641" s="1">
        <v>5074911</v>
      </c>
      <c r="I1641" s="1">
        <v>62.254274193548397</v>
      </c>
      <c r="J1641" s="1">
        <v>0</v>
      </c>
      <c r="K1641" s="1">
        <v>68</v>
      </c>
      <c r="L1641" s="1">
        <v>60.5</v>
      </c>
      <c r="M1641" s="1"/>
      <c r="N1641" s="1">
        <v>0</v>
      </c>
    </row>
    <row r="1642" spans="1:14" x14ac:dyDescent="0.35">
      <c r="A1642" s="1" t="s">
        <v>96</v>
      </c>
      <c r="B1642" s="1">
        <v>202606</v>
      </c>
      <c r="C1642" s="1" t="str">
        <f>MID(analisis_productividad__4[[#This Row],[Periodo]],1,4)</f>
        <v>2026</v>
      </c>
      <c r="D1642" s="1" t="str">
        <f>MID(analisis_productividad__4[[#This Row],[Periodo]],5,2)</f>
        <v>06</v>
      </c>
      <c r="E1642" s="1" t="s">
        <v>16</v>
      </c>
      <c r="F1642" s="1" t="s">
        <v>17</v>
      </c>
      <c r="G1642" s="1">
        <v>81510</v>
      </c>
      <c r="H1642" s="1">
        <v>5287608</v>
      </c>
      <c r="I1642" s="1">
        <v>64.87050694444595</v>
      </c>
      <c r="J1642" s="1">
        <v>59033.789454761907</v>
      </c>
      <c r="K1642" s="1">
        <v>84</v>
      </c>
      <c r="L1642" s="1">
        <v>76.5</v>
      </c>
      <c r="M1642" s="1">
        <v>84</v>
      </c>
      <c r="N1642" s="1">
        <v>4958838</v>
      </c>
    </row>
    <row r="1643" spans="1:14" x14ac:dyDescent="0.35">
      <c r="A1643" s="1" t="s">
        <v>100</v>
      </c>
      <c r="B1643" s="1">
        <v>202605</v>
      </c>
      <c r="C1643" s="1" t="str">
        <f>MID(analisis_productividad__4[[#This Row],[Periodo]],1,4)</f>
        <v>2026</v>
      </c>
      <c r="D1643" s="1" t="str">
        <f>MID(analisis_productividad__4[[#This Row],[Periodo]],5,2)</f>
        <v>05</v>
      </c>
      <c r="E1643" s="1" t="s">
        <v>34</v>
      </c>
      <c r="F1643" s="1" t="s">
        <v>35</v>
      </c>
      <c r="G1643" s="1">
        <v>81508</v>
      </c>
      <c r="H1643" s="1">
        <v>2717231</v>
      </c>
      <c r="I1643" s="1">
        <v>33.337170698925114</v>
      </c>
      <c r="J1643" s="1">
        <v>75386.969307890002</v>
      </c>
      <c r="K1643" s="1">
        <v>44</v>
      </c>
      <c r="L1643" s="1">
        <v>40.5</v>
      </c>
      <c r="M1643" s="1">
        <v>35.762421795855829</v>
      </c>
      <c r="N1643" s="1">
        <v>2696021</v>
      </c>
    </row>
    <row r="1644" spans="1:14" x14ac:dyDescent="0.35">
      <c r="A1644" s="1" t="s">
        <v>80</v>
      </c>
      <c r="B1644" s="1">
        <v>202409</v>
      </c>
      <c r="C1644" s="1" t="str">
        <f>MID(analisis_productividad__4[[#This Row],[Periodo]],1,4)</f>
        <v>2024</v>
      </c>
      <c r="D1644" s="1" t="str">
        <f>MID(analisis_productividad__4[[#This Row],[Periodo]],5,2)</f>
        <v>09</v>
      </c>
      <c r="E1644" s="1" t="s">
        <v>16</v>
      </c>
      <c r="F1644" s="1" t="s">
        <v>17</v>
      </c>
      <c r="G1644" s="1">
        <v>81506</v>
      </c>
      <c r="H1644" s="1">
        <v>4323783</v>
      </c>
      <c r="I1644" s="1">
        <v>53.048430555555555</v>
      </c>
      <c r="J1644" s="1">
        <v>0</v>
      </c>
      <c r="K1644" s="1">
        <v>58</v>
      </c>
      <c r="L1644" s="1">
        <v>58.5</v>
      </c>
      <c r="M1644" s="1"/>
      <c r="N1644" s="1">
        <v>0</v>
      </c>
    </row>
    <row r="1645" spans="1:14" x14ac:dyDescent="0.35">
      <c r="A1645" s="1" t="s">
        <v>66</v>
      </c>
      <c r="B1645" s="1">
        <v>202604</v>
      </c>
      <c r="C1645" s="1" t="str">
        <f>MID(analisis_productividad__4[[#This Row],[Periodo]],1,4)</f>
        <v>2026</v>
      </c>
      <c r="D1645" s="1" t="str">
        <f>MID(analisis_productividad__4[[#This Row],[Periodo]],5,2)</f>
        <v>04</v>
      </c>
      <c r="E1645" s="1" t="s">
        <v>11</v>
      </c>
      <c r="F1645" s="1" t="s">
        <v>12</v>
      </c>
      <c r="G1645" s="1">
        <v>81489</v>
      </c>
      <c r="H1645" s="1">
        <v>5640661</v>
      </c>
      <c r="I1645" s="1">
        <v>69.219694444446191</v>
      </c>
      <c r="J1645" s="1">
        <v>83564.59103037641</v>
      </c>
      <c r="K1645" s="1">
        <v>80</v>
      </c>
      <c r="L1645" s="1">
        <v>80.5</v>
      </c>
      <c r="M1645" s="1">
        <v>67.651321791845987</v>
      </c>
      <c r="N1645" s="1">
        <v>5653255</v>
      </c>
    </row>
    <row r="1646" spans="1:14" x14ac:dyDescent="0.35">
      <c r="A1646" s="1" t="s">
        <v>80</v>
      </c>
      <c r="B1646" s="1">
        <v>202510</v>
      </c>
      <c r="C1646" s="1" t="str">
        <f>MID(analisis_productividad__4[[#This Row],[Periodo]],1,4)</f>
        <v>2025</v>
      </c>
      <c r="D1646" s="1" t="str">
        <f>MID(analisis_productividad__4[[#This Row],[Periodo]],5,2)</f>
        <v>10</v>
      </c>
      <c r="E1646" s="1" t="s">
        <v>16</v>
      </c>
      <c r="F1646" s="1" t="s">
        <v>17</v>
      </c>
      <c r="G1646" s="1">
        <v>81477</v>
      </c>
      <c r="H1646" s="1">
        <v>4036320</v>
      </c>
      <c r="I1646" s="1">
        <v>49.539442204301082</v>
      </c>
      <c r="J1646" s="1">
        <v>87110.47860840401</v>
      </c>
      <c r="K1646" s="1">
        <v>58</v>
      </c>
      <c r="L1646" s="1">
        <v>58.5</v>
      </c>
      <c r="M1646" s="1">
        <v>46.335641067303179</v>
      </c>
      <c r="N1646" s="1">
        <v>4546736</v>
      </c>
    </row>
    <row r="1647" spans="1:14" x14ac:dyDescent="0.35">
      <c r="A1647" s="1" t="s">
        <v>69</v>
      </c>
      <c r="B1647" s="1">
        <v>202507</v>
      </c>
      <c r="C1647" s="1" t="str">
        <f>MID(analisis_productividad__4[[#This Row],[Periodo]],1,4)</f>
        <v>2025</v>
      </c>
      <c r="D1647" s="1" t="str">
        <f>MID(analisis_productividad__4[[#This Row],[Periodo]],5,2)</f>
        <v>07</v>
      </c>
      <c r="E1647" s="1" t="s">
        <v>11</v>
      </c>
      <c r="F1647" s="1" t="s">
        <v>52</v>
      </c>
      <c r="G1647" s="1">
        <v>81466</v>
      </c>
      <c r="H1647" s="1">
        <v>4616224</v>
      </c>
      <c r="I1647" s="1">
        <v>56.664247311827964</v>
      </c>
      <c r="J1647" s="1">
        <v>85595.029811659508</v>
      </c>
      <c r="K1647" s="1">
        <v>68</v>
      </c>
      <c r="L1647" s="1">
        <v>60.5</v>
      </c>
      <c r="M1647" s="1">
        <v>53.930979172007845</v>
      </c>
      <c r="N1647" s="1">
        <v>5308384</v>
      </c>
    </row>
    <row r="1648" spans="1:14" x14ac:dyDescent="0.35">
      <c r="A1648" s="1" t="s">
        <v>80</v>
      </c>
      <c r="B1648" s="1">
        <v>202606</v>
      </c>
      <c r="C1648" s="1" t="str">
        <f>MID(analisis_productividad__4[[#This Row],[Periodo]],1,4)</f>
        <v>2026</v>
      </c>
      <c r="D1648" s="1" t="str">
        <f>MID(analisis_productividad__4[[#This Row],[Periodo]],5,2)</f>
        <v>06</v>
      </c>
      <c r="E1648" s="1" t="s">
        <v>16</v>
      </c>
      <c r="F1648" s="1" t="s">
        <v>17</v>
      </c>
      <c r="G1648" s="1">
        <v>81464</v>
      </c>
      <c r="H1648" s="1">
        <v>4208188</v>
      </c>
      <c r="I1648" s="1">
        <v>51.65688888888878</v>
      </c>
      <c r="J1648" s="1">
        <v>91650.577626825645</v>
      </c>
      <c r="K1648" s="1">
        <v>58</v>
      </c>
      <c r="L1648" s="1">
        <v>58.5</v>
      </c>
      <c r="M1648" s="1">
        <v>51.139118040082707</v>
      </c>
      <c r="N1648" s="1">
        <v>4686930</v>
      </c>
    </row>
    <row r="1649" spans="1:14" x14ac:dyDescent="0.35">
      <c r="A1649" s="1" t="s">
        <v>111</v>
      </c>
      <c r="B1649" s="1">
        <v>202512</v>
      </c>
      <c r="C1649" s="1" t="str">
        <f>MID(analisis_productividad__4[[#This Row],[Periodo]],1,4)</f>
        <v>2025</v>
      </c>
      <c r="D1649" s="1" t="str">
        <f>MID(analisis_productividad__4[[#This Row],[Periodo]],5,2)</f>
        <v>12</v>
      </c>
      <c r="E1649" s="1" t="s">
        <v>34</v>
      </c>
      <c r="F1649" s="1" t="s">
        <v>35</v>
      </c>
      <c r="G1649" s="1">
        <v>81462</v>
      </c>
      <c r="H1649" s="1">
        <v>3609348</v>
      </c>
      <c r="I1649" s="1">
        <v>44.306895161290285</v>
      </c>
      <c r="J1649" s="1">
        <v>78313.634233294826</v>
      </c>
      <c r="K1649" s="1">
        <v>45.5</v>
      </c>
      <c r="L1649" s="1">
        <v>42.5</v>
      </c>
      <c r="M1649" s="1">
        <v>46.088372674007459</v>
      </c>
      <c r="N1649" s="1">
        <v>3796190</v>
      </c>
    </row>
    <row r="1650" spans="1:14" x14ac:dyDescent="0.35">
      <c r="A1650" s="1" t="s">
        <v>84</v>
      </c>
      <c r="B1650" s="1">
        <v>202501</v>
      </c>
      <c r="C1650" s="1" t="str">
        <f>MID(analisis_productividad__4[[#This Row],[Periodo]],1,4)</f>
        <v>2025</v>
      </c>
      <c r="D1650" s="1" t="str">
        <f>MID(analisis_productividad__4[[#This Row],[Periodo]],5,2)</f>
        <v>01</v>
      </c>
      <c r="E1650" s="1" t="s">
        <v>11</v>
      </c>
      <c r="F1650" s="1" t="s">
        <v>52</v>
      </c>
      <c r="G1650" s="1">
        <v>81457</v>
      </c>
      <c r="H1650" s="1">
        <v>8642735</v>
      </c>
      <c r="I1650" s="1">
        <v>106.10226478494614</v>
      </c>
      <c r="J1650" s="1">
        <v>85021.227737521171</v>
      </c>
      <c r="K1650" s="1">
        <v>123</v>
      </c>
      <c r="L1650" s="1">
        <v>115.5</v>
      </c>
      <c r="M1650" s="1">
        <v>101.65384410446276</v>
      </c>
      <c r="N1650" s="1">
        <v>9236594</v>
      </c>
    </row>
    <row r="1651" spans="1:14" x14ac:dyDescent="0.35">
      <c r="A1651" s="1" t="s">
        <v>97</v>
      </c>
      <c r="B1651" s="1">
        <v>202509</v>
      </c>
      <c r="C1651" s="1" t="str">
        <f>MID(analisis_productividad__4[[#This Row],[Periodo]],1,4)</f>
        <v>2025</v>
      </c>
      <c r="D1651" s="1" t="str">
        <f>MID(analisis_productividad__4[[#This Row],[Periodo]],5,2)</f>
        <v>09</v>
      </c>
      <c r="E1651" s="1" t="s">
        <v>11</v>
      </c>
      <c r="F1651" s="1" t="s">
        <v>12</v>
      </c>
      <c r="G1651" s="1">
        <v>81452</v>
      </c>
      <c r="H1651" s="1">
        <v>4124233</v>
      </c>
      <c r="I1651" s="1">
        <v>50.633625000000009</v>
      </c>
      <c r="J1651" s="1">
        <v>79715.819204288753</v>
      </c>
      <c r="K1651" s="1">
        <v>66.5</v>
      </c>
      <c r="L1651" s="1">
        <v>63.5</v>
      </c>
      <c r="M1651" s="1">
        <v>51.736691552159492</v>
      </c>
      <c r="N1651" s="1">
        <v>4831481</v>
      </c>
    </row>
    <row r="1652" spans="1:14" x14ac:dyDescent="0.35">
      <c r="A1652" s="1" t="s">
        <v>60</v>
      </c>
      <c r="B1652" s="1">
        <v>202502</v>
      </c>
      <c r="C1652" s="1" t="str">
        <f>MID(analisis_productividad__4[[#This Row],[Periodo]],1,4)</f>
        <v>2025</v>
      </c>
      <c r="D1652" s="1" t="str">
        <f>MID(analisis_productividad__4[[#This Row],[Periodo]],5,2)</f>
        <v>02</v>
      </c>
      <c r="E1652" s="1" t="s">
        <v>11</v>
      </c>
      <c r="F1652" s="1" t="s">
        <v>14</v>
      </c>
      <c r="G1652" s="1">
        <v>81442</v>
      </c>
      <c r="H1652" s="1">
        <v>5597847</v>
      </c>
      <c r="I1652" s="1">
        <v>68.733750000000001</v>
      </c>
      <c r="J1652" s="1">
        <v>77270.044549340411</v>
      </c>
      <c r="K1652" s="1">
        <v>75.5</v>
      </c>
      <c r="L1652" s="1">
        <v>74</v>
      </c>
      <c r="M1652" s="1">
        <v>72.44523867752558</v>
      </c>
      <c r="N1652" s="1">
        <v>6188071</v>
      </c>
    </row>
    <row r="1653" spans="1:14" x14ac:dyDescent="0.35">
      <c r="A1653" s="1" t="s">
        <v>48</v>
      </c>
      <c r="B1653" s="1">
        <v>202403</v>
      </c>
      <c r="C1653" s="1" t="str">
        <f>MID(analisis_productividad__4[[#This Row],[Periodo]],1,4)</f>
        <v>2024</v>
      </c>
      <c r="D1653" s="1" t="str">
        <f>MID(analisis_productividad__4[[#This Row],[Periodo]],5,2)</f>
        <v>03</v>
      </c>
      <c r="E1653" s="1" t="s">
        <v>16</v>
      </c>
      <c r="F1653" s="1" t="s">
        <v>21</v>
      </c>
      <c r="G1653" s="1">
        <v>81434</v>
      </c>
      <c r="H1653" s="1">
        <v>5138725</v>
      </c>
      <c r="I1653" s="1">
        <v>63.103071236559131</v>
      </c>
      <c r="J1653" s="1">
        <v>0</v>
      </c>
      <c r="K1653" s="1">
        <v>56</v>
      </c>
      <c r="L1653" s="1">
        <v>60</v>
      </c>
      <c r="M1653" s="1"/>
      <c r="N1653" s="1">
        <v>0</v>
      </c>
    </row>
    <row r="1654" spans="1:14" x14ac:dyDescent="0.35">
      <c r="A1654" s="1" t="s">
        <v>66</v>
      </c>
      <c r="B1654" s="1">
        <v>202605</v>
      </c>
      <c r="C1654" s="1" t="str">
        <f>MID(analisis_productividad__4[[#This Row],[Periodo]],1,4)</f>
        <v>2026</v>
      </c>
      <c r="D1654" s="1" t="str">
        <f>MID(analisis_productividad__4[[#This Row],[Periodo]],5,2)</f>
        <v>05</v>
      </c>
      <c r="E1654" s="1" t="s">
        <v>11</v>
      </c>
      <c r="F1654" s="1" t="s">
        <v>12</v>
      </c>
      <c r="G1654" s="1">
        <v>81432</v>
      </c>
      <c r="H1654" s="1">
        <v>5820338</v>
      </c>
      <c r="I1654" s="1">
        <v>71.474704301075079</v>
      </c>
      <c r="J1654" s="1">
        <v>85501.00919975189</v>
      </c>
      <c r="K1654" s="1">
        <v>80</v>
      </c>
      <c r="L1654" s="1">
        <v>80.5</v>
      </c>
      <c r="M1654" s="1">
        <v>67.651321791845987</v>
      </c>
      <c r="N1654" s="1">
        <v>5784256</v>
      </c>
    </row>
    <row r="1655" spans="1:14" x14ac:dyDescent="0.35">
      <c r="A1655" s="1" t="s">
        <v>62</v>
      </c>
      <c r="B1655" s="1">
        <v>202502</v>
      </c>
      <c r="C1655" s="1" t="str">
        <f>MID(analisis_productividad__4[[#This Row],[Periodo]],1,4)</f>
        <v>2025</v>
      </c>
      <c r="D1655" s="1" t="str">
        <f>MID(analisis_productividad__4[[#This Row],[Periodo]],5,2)</f>
        <v>02</v>
      </c>
      <c r="E1655" s="1" t="s">
        <v>16</v>
      </c>
      <c r="F1655" s="1" t="s">
        <v>17</v>
      </c>
      <c r="G1655" s="1">
        <v>81423</v>
      </c>
      <c r="H1655" s="1">
        <v>2554723</v>
      </c>
      <c r="I1655" s="1">
        <v>31.37598958333334</v>
      </c>
      <c r="J1655" s="1">
        <v>80167.817785656182</v>
      </c>
      <c r="K1655" s="1">
        <v>32.5</v>
      </c>
      <c r="L1655" s="1">
        <v>32</v>
      </c>
      <c r="M1655" s="1">
        <v>31.867186865813601</v>
      </c>
      <c r="N1655" s="1">
        <v>2376789</v>
      </c>
    </row>
    <row r="1656" spans="1:14" x14ac:dyDescent="0.35">
      <c r="A1656" s="1" t="s">
        <v>41</v>
      </c>
      <c r="B1656" s="1">
        <v>202506</v>
      </c>
      <c r="C1656" s="1" t="str">
        <f>MID(analisis_productividad__4[[#This Row],[Periodo]],1,4)</f>
        <v>2025</v>
      </c>
      <c r="D1656" s="1" t="str">
        <f>MID(analisis_productividad__4[[#This Row],[Periodo]],5,2)</f>
        <v>06</v>
      </c>
      <c r="E1656" s="1" t="s">
        <v>16</v>
      </c>
      <c r="F1656" s="1" t="s">
        <v>19</v>
      </c>
      <c r="G1656" s="1">
        <v>81409</v>
      </c>
      <c r="H1656" s="1">
        <v>4237215</v>
      </c>
      <c r="I1656" s="1">
        <v>52.048256944444447</v>
      </c>
      <c r="J1656" s="1">
        <v>85660.22033068382</v>
      </c>
      <c r="K1656" s="1">
        <v>57.5</v>
      </c>
      <c r="L1656" s="1">
        <v>56.5</v>
      </c>
      <c r="M1656" s="1">
        <v>49.465371950277529</v>
      </c>
      <c r="N1656" s="1">
        <v>4223065</v>
      </c>
    </row>
    <row r="1657" spans="1:14" x14ac:dyDescent="0.35">
      <c r="A1657" s="1" t="s">
        <v>67</v>
      </c>
      <c r="B1657" s="1">
        <v>202406</v>
      </c>
      <c r="C1657" s="1" t="str">
        <f>MID(analisis_productividad__4[[#This Row],[Periodo]],1,4)</f>
        <v>2024</v>
      </c>
      <c r="D1657" s="1" t="str">
        <f>MID(analisis_productividad__4[[#This Row],[Periodo]],5,2)</f>
        <v>06</v>
      </c>
      <c r="E1657" s="1" t="s">
        <v>16</v>
      </c>
      <c r="F1657" s="1" t="s">
        <v>19</v>
      </c>
      <c r="G1657" s="1">
        <v>81403</v>
      </c>
      <c r="H1657" s="1">
        <v>5859897</v>
      </c>
      <c r="I1657" s="1">
        <v>71.98649305555557</v>
      </c>
      <c r="J1657" s="1">
        <v>0</v>
      </c>
      <c r="K1657" s="1">
        <v>79.5</v>
      </c>
      <c r="L1657" s="1">
        <v>81.5</v>
      </c>
      <c r="M1657" s="1"/>
      <c r="N1657" s="1">
        <v>0</v>
      </c>
    </row>
    <row r="1658" spans="1:14" x14ac:dyDescent="0.35">
      <c r="A1658" s="1" t="s">
        <v>66</v>
      </c>
      <c r="B1658" s="1">
        <v>202505</v>
      </c>
      <c r="C1658" s="1" t="str">
        <f>MID(analisis_productividad__4[[#This Row],[Periodo]],1,4)</f>
        <v>2025</v>
      </c>
      <c r="D1658" s="1" t="str">
        <f>MID(analisis_productividad__4[[#This Row],[Periodo]],5,2)</f>
        <v>05</v>
      </c>
      <c r="E1658" s="1" t="s">
        <v>11</v>
      </c>
      <c r="F1658" s="1" t="s">
        <v>12</v>
      </c>
      <c r="G1658" s="1">
        <v>81399</v>
      </c>
      <c r="H1658" s="1">
        <v>5694757</v>
      </c>
      <c r="I1658" s="1">
        <v>69.960625000000022</v>
      </c>
      <c r="J1658" s="1">
        <v>78727.688865439137</v>
      </c>
      <c r="K1658" s="1">
        <v>80</v>
      </c>
      <c r="L1658" s="1">
        <v>80.5</v>
      </c>
      <c r="M1658" s="1">
        <v>72.334872928042415</v>
      </c>
      <c r="N1658" s="1">
        <v>6244975</v>
      </c>
    </row>
    <row r="1659" spans="1:14" x14ac:dyDescent="0.35">
      <c r="A1659" s="1" t="s">
        <v>82</v>
      </c>
      <c r="B1659" s="1">
        <v>202408</v>
      </c>
      <c r="C1659" s="1" t="str">
        <f>MID(analisis_productividad__4[[#This Row],[Periodo]],1,4)</f>
        <v>2024</v>
      </c>
      <c r="D1659" s="1" t="str">
        <f>MID(analisis_productividad__4[[#This Row],[Periodo]],5,2)</f>
        <v>08</v>
      </c>
      <c r="E1659" s="1" t="s">
        <v>11</v>
      </c>
      <c r="F1659" s="1" t="s">
        <v>12</v>
      </c>
      <c r="G1659" s="1">
        <v>81381</v>
      </c>
      <c r="H1659" s="1">
        <v>4193908</v>
      </c>
      <c r="I1659" s="1">
        <v>51.53434811827956</v>
      </c>
      <c r="J1659" s="1">
        <v>0</v>
      </c>
      <c r="K1659" s="1">
        <v>53.5</v>
      </c>
      <c r="L1659" s="1">
        <v>54</v>
      </c>
      <c r="M1659" s="1"/>
      <c r="N1659" s="1">
        <v>0</v>
      </c>
    </row>
    <row r="1660" spans="1:14" x14ac:dyDescent="0.35">
      <c r="A1660" s="1" t="s">
        <v>90</v>
      </c>
      <c r="B1660" s="1">
        <v>202510</v>
      </c>
      <c r="C1660" s="1" t="str">
        <f>MID(analisis_productividad__4[[#This Row],[Periodo]],1,4)</f>
        <v>2025</v>
      </c>
      <c r="D1660" s="1" t="str">
        <f>MID(analisis_productividad__4[[#This Row],[Periodo]],5,2)</f>
        <v>10</v>
      </c>
      <c r="E1660" s="1" t="s">
        <v>11</v>
      </c>
      <c r="F1660" s="1" t="s">
        <v>14</v>
      </c>
      <c r="G1660" s="1">
        <v>81377</v>
      </c>
      <c r="H1660" s="1">
        <v>5189123</v>
      </c>
      <c r="I1660" s="1">
        <v>63.766330645161268</v>
      </c>
      <c r="J1660" s="1">
        <v>74437.600939492462</v>
      </c>
      <c r="K1660" s="1">
        <v>84.5</v>
      </c>
      <c r="L1660" s="1">
        <v>78.5</v>
      </c>
      <c r="M1660" s="1">
        <v>69.711040851760416</v>
      </c>
      <c r="N1660" s="1">
        <v>5761698</v>
      </c>
    </row>
    <row r="1661" spans="1:14" x14ac:dyDescent="0.35">
      <c r="A1661" s="1" t="s">
        <v>88</v>
      </c>
      <c r="B1661" s="1">
        <v>202604</v>
      </c>
      <c r="C1661" s="1" t="str">
        <f>MID(analisis_productividad__4[[#This Row],[Periodo]],1,4)</f>
        <v>2026</v>
      </c>
      <c r="D1661" s="1" t="str">
        <f>MID(analisis_productividad__4[[#This Row],[Periodo]],5,2)</f>
        <v>04</v>
      </c>
      <c r="E1661" s="1" t="s">
        <v>34</v>
      </c>
      <c r="F1661" s="1" t="s">
        <v>35</v>
      </c>
      <c r="G1661" s="1">
        <v>81376</v>
      </c>
      <c r="H1661" s="1">
        <v>1148081</v>
      </c>
      <c r="I1661" s="1">
        <v>14.108402777777787</v>
      </c>
      <c r="J1661" s="1">
        <v>73824.87633426211</v>
      </c>
      <c r="K1661" s="1">
        <v>15.5</v>
      </c>
      <c r="L1661" s="1">
        <v>14.5</v>
      </c>
      <c r="M1661" s="1">
        <v>13.971887755419019</v>
      </c>
      <c r="N1661" s="1">
        <v>1031473</v>
      </c>
    </row>
    <row r="1662" spans="1:14" x14ac:dyDescent="0.35">
      <c r="A1662" s="1" t="s">
        <v>84</v>
      </c>
      <c r="B1662" s="1">
        <v>202406</v>
      </c>
      <c r="C1662" s="1" t="str">
        <f>MID(analisis_productividad__4[[#This Row],[Periodo]],1,4)</f>
        <v>2024</v>
      </c>
      <c r="D1662" s="1" t="str">
        <f>MID(analisis_productividad__4[[#This Row],[Periodo]],5,2)</f>
        <v>06</v>
      </c>
      <c r="E1662" s="1" t="s">
        <v>11</v>
      </c>
      <c r="F1662" s="1" t="s">
        <v>52</v>
      </c>
      <c r="G1662" s="1">
        <v>81369</v>
      </c>
      <c r="H1662" s="1">
        <v>9154834</v>
      </c>
      <c r="I1662" s="1">
        <v>112.50997916666672</v>
      </c>
      <c r="J1662" s="1">
        <v>0</v>
      </c>
      <c r="K1662" s="1">
        <v>123</v>
      </c>
      <c r="L1662" s="1">
        <v>115.5</v>
      </c>
      <c r="M1662" s="1"/>
      <c r="N1662" s="1">
        <v>0</v>
      </c>
    </row>
    <row r="1663" spans="1:14" x14ac:dyDescent="0.35">
      <c r="A1663" s="1" t="s">
        <v>87</v>
      </c>
      <c r="B1663" s="1">
        <v>202602</v>
      </c>
      <c r="C1663" s="1" t="str">
        <f>MID(analisis_productividad__4[[#This Row],[Periodo]],1,4)</f>
        <v>2026</v>
      </c>
      <c r="D1663" s="1" t="str">
        <f>MID(analisis_productividad__4[[#This Row],[Periodo]],5,2)</f>
        <v>02</v>
      </c>
      <c r="E1663" s="1" t="s">
        <v>9</v>
      </c>
      <c r="F1663" s="1" t="s">
        <v>9</v>
      </c>
      <c r="G1663" s="1">
        <v>81351</v>
      </c>
      <c r="H1663" s="1">
        <v>842265</v>
      </c>
      <c r="I1663" s="1">
        <v>10.3534375</v>
      </c>
      <c r="J1663" s="1">
        <v>81269.881678709324</v>
      </c>
      <c r="K1663" s="1">
        <v>13.5</v>
      </c>
      <c r="L1663" s="1">
        <v>12</v>
      </c>
      <c r="M1663" s="1">
        <v>11.788780293634797</v>
      </c>
      <c r="N1663" s="1">
        <v>958073</v>
      </c>
    </row>
    <row r="1664" spans="1:14" x14ac:dyDescent="0.35">
      <c r="A1664" s="1" t="s">
        <v>65</v>
      </c>
      <c r="B1664" s="1">
        <v>202405</v>
      </c>
      <c r="C1664" s="1" t="str">
        <f>MID(analisis_productividad__4[[#This Row],[Periodo]],1,4)</f>
        <v>2024</v>
      </c>
      <c r="D1664" s="1" t="str">
        <f>MID(analisis_productividad__4[[#This Row],[Periodo]],5,2)</f>
        <v>05</v>
      </c>
      <c r="E1664" s="1" t="s">
        <v>16</v>
      </c>
      <c r="F1664" s="1" t="s">
        <v>19</v>
      </c>
      <c r="G1664" s="1">
        <v>81349</v>
      </c>
      <c r="H1664" s="1">
        <v>4923225</v>
      </c>
      <c r="I1664" s="1">
        <v>60.520080645161329</v>
      </c>
      <c r="J1664" s="1">
        <v>0</v>
      </c>
      <c r="K1664" s="1">
        <v>68</v>
      </c>
      <c r="L1664" s="1">
        <v>68.5</v>
      </c>
      <c r="M1664" s="1"/>
      <c r="N1664" s="1">
        <v>0</v>
      </c>
    </row>
    <row r="1665" spans="1:14" x14ac:dyDescent="0.35">
      <c r="A1665" s="1" t="s">
        <v>86</v>
      </c>
      <c r="B1665" s="1">
        <v>202605</v>
      </c>
      <c r="C1665" s="1" t="str">
        <f>MID(analisis_productividad__4[[#This Row],[Periodo]],1,4)</f>
        <v>2026</v>
      </c>
      <c r="D1665" s="1" t="str">
        <f>MID(analisis_productividad__4[[#This Row],[Periodo]],5,2)</f>
        <v>05</v>
      </c>
      <c r="E1665" s="1" t="s">
        <v>11</v>
      </c>
      <c r="F1665" s="1" t="s">
        <v>14</v>
      </c>
      <c r="G1665" s="1">
        <v>81319</v>
      </c>
      <c r="H1665" s="1">
        <v>4156942</v>
      </c>
      <c r="I1665" s="1">
        <v>51.119005376344312</v>
      </c>
      <c r="J1665" s="1">
        <v>80311.940048829449</v>
      </c>
      <c r="K1665" s="1">
        <v>69.5</v>
      </c>
      <c r="L1665" s="1">
        <v>59</v>
      </c>
      <c r="M1665" s="1">
        <v>57.926444284268129</v>
      </c>
      <c r="N1665" s="1">
        <v>4652185</v>
      </c>
    </row>
    <row r="1666" spans="1:14" x14ac:dyDescent="0.35">
      <c r="A1666" s="1" t="s">
        <v>91</v>
      </c>
      <c r="B1666" s="1">
        <v>202408</v>
      </c>
      <c r="C1666" s="1" t="str">
        <f>MID(analisis_productividad__4[[#This Row],[Periodo]],1,4)</f>
        <v>2024</v>
      </c>
      <c r="D1666" s="1" t="str">
        <f>MID(analisis_productividad__4[[#This Row],[Periodo]],5,2)</f>
        <v>08</v>
      </c>
      <c r="E1666" s="1" t="s">
        <v>11</v>
      </c>
      <c r="F1666" s="1" t="s">
        <v>12</v>
      </c>
      <c r="G1666" s="1">
        <v>81295</v>
      </c>
      <c r="H1666" s="1">
        <v>3935062</v>
      </c>
      <c r="I1666" s="1">
        <v>48.404670698924733</v>
      </c>
      <c r="J1666" s="1">
        <v>0</v>
      </c>
      <c r="K1666" s="1">
        <v>55</v>
      </c>
      <c r="L1666" s="1">
        <v>55.5</v>
      </c>
      <c r="M1666" s="1"/>
      <c r="N1666" s="1">
        <v>0</v>
      </c>
    </row>
    <row r="1667" spans="1:14" x14ac:dyDescent="0.35">
      <c r="A1667" s="1" t="s">
        <v>67</v>
      </c>
      <c r="B1667" s="1">
        <v>202410</v>
      </c>
      <c r="C1667" s="1" t="str">
        <f>MID(analisis_productividad__4[[#This Row],[Periodo]],1,4)</f>
        <v>2024</v>
      </c>
      <c r="D1667" s="1" t="str">
        <f>MID(analisis_productividad__4[[#This Row],[Periodo]],5,2)</f>
        <v>10</v>
      </c>
      <c r="E1667" s="1" t="s">
        <v>16</v>
      </c>
      <c r="F1667" s="1" t="s">
        <v>19</v>
      </c>
      <c r="G1667" s="1">
        <v>81254</v>
      </c>
      <c r="H1667" s="1">
        <v>5687338</v>
      </c>
      <c r="I1667" s="1">
        <v>69.994260752688191</v>
      </c>
      <c r="J1667" s="1">
        <v>0</v>
      </c>
      <c r="K1667" s="1">
        <v>79.5</v>
      </c>
      <c r="L1667" s="1">
        <v>81.5</v>
      </c>
      <c r="M1667" s="1"/>
      <c r="N1667" s="1">
        <v>0</v>
      </c>
    </row>
    <row r="1668" spans="1:14" x14ac:dyDescent="0.35">
      <c r="A1668" s="1" t="s">
        <v>24</v>
      </c>
      <c r="B1668" s="1">
        <v>202404</v>
      </c>
      <c r="C1668" s="1" t="str">
        <f>MID(analisis_productividad__4[[#This Row],[Periodo]],1,4)</f>
        <v>2024</v>
      </c>
      <c r="D1668" s="1" t="str">
        <f>MID(analisis_productividad__4[[#This Row],[Periodo]],5,2)</f>
        <v>04</v>
      </c>
      <c r="E1668" s="1" t="s">
        <v>16</v>
      </c>
      <c r="F1668" s="1" t="s">
        <v>21</v>
      </c>
      <c r="G1668" s="1">
        <v>81252</v>
      </c>
      <c r="H1668" s="1">
        <v>8941911</v>
      </c>
      <c r="I1668" s="1">
        <v>110.05176388888883</v>
      </c>
      <c r="J1668" s="1">
        <v>0</v>
      </c>
      <c r="K1668" s="1">
        <v>125</v>
      </c>
      <c r="L1668" s="1">
        <v>118.5</v>
      </c>
      <c r="M1668" s="1"/>
      <c r="N1668" s="1">
        <v>0</v>
      </c>
    </row>
    <row r="1669" spans="1:14" x14ac:dyDescent="0.35">
      <c r="A1669" s="1" t="s">
        <v>64</v>
      </c>
      <c r="B1669" s="1">
        <v>202411</v>
      </c>
      <c r="C1669" s="1" t="str">
        <f>MID(analisis_productividad__4[[#This Row],[Periodo]],1,4)</f>
        <v>2024</v>
      </c>
      <c r="D1669" s="1" t="str">
        <f>MID(analisis_productividad__4[[#This Row],[Periodo]],5,2)</f>
        <v>11</v>
      </c>
      <c r="E1669" s="1" t="s">
        <v>16</v>
      </c>
      <c r="F1669" s="1" t="s">
        <v>21</v>
      </c>
      <c r="G1669" s="1">
        <v>81251</v>
      </c>
      <c r="H1669" s="1">
        <v>6339592</v>
      </c>
      <c r="I1669" s="1">
        <v>78.024965277777767</v>
      </c>
      <c r="J1669" s="1">
        <v>0</v>
      </c>
      <c r="K1669" s="1">
        <v>88.5</v>
      </c>
      <c r="L1669" s="1">
        <v>92.5</v>
      </c>
      <c r="M1669" s="1"/>
      <c r="N1669" s="1">
        <v>0</v>
      </c>
    </row>
    <row r="1670" spans="1:14" x14ac:dyDescent="0.35">
      <c r="A1670" s="1" t="s">
        <v>88</v>
      </c>
      <c r="B1670" s="1">
        <v>202501</v>
      </c>
      <c r="C1670" s="1" t="str">
        <f>MID(analisis_productividad__4[[#This Row],[Periodo]],1,4)</f>
        <v>2025</v>
      </c>
      <c r="D1670" s="1" t="str">
        <f>MID(analisis_productividad__4[[#This Row],[Periodo]],5,2)</f>
        <v>01</v>
      </c>
      <c r="E1670" s="1" t="s">
        <v>34</v>
      </c>
      <c r="F1670" s="1" t="s">
        <v>35</v>
      </c>
      <c r="G1670" s="1">
        <v>81243</v>
      </c>
      <c r="H1670" s="1">
        <v>995607</v>
      </c>
      <c r="I1670" s="1">
        <v>12.254610215053766</v>
      </c>
      <c r="J1670" s="1">
        <v>86737.8297664071</v>
      </c>
      <c r="K1670" s="1">
        <v>15.5</v>
      </c>
      <c r="L1670" s="1">
        <v>14.5</v>
      </c>
      <c r="M1670" s="1">
        <v>11.478348751418622</v>
      </c>
      <c r="N1670" s="1">
        <v>1114787</v>
      </c>
    </row>
    <row r="1671" spans="1:14" x14ac:dyDescent="0.35">
      <c r="A1671" s="1" t="s">
        <v>57</v>
      </c>
      <c r="B1671" s="1">
        <v>202606</v>
      </c>
      <c r="C1671" s="1" t="str">
        <f>MID(analisis_productividad__4[[#This Row],[Periodo]],1,4)</f>
        <v>2026</v>
      </c>
      <c r="D1671" s="1" t="str">
        <f>MID(analisis_productividad__4[[#This Row],[Periodo]],5,2)</f>
        <v>06</v>
      </c>
      <c r="E1671" s="1" t="s">
        <v>16</v>
      </c>
      <c r="F1671" s="1" t="s">
        <v>19</v>
      </c>
      <c r="G1671" s="1">
        <v>81223</v>
      </c>
      <c r="H1671" s="1">
        <v>5233390</v>
      </c>
      <c r="I1671" s="1">
        <v>64.432083333335086</v>
      </c>
      <c r="J1671" s="1">
        <v>88730.347228787374</v>
      </c>
      <c r="K1671" s="1">
        <v>71</v>
      </c>
      <c r="L1671" s="1">
        <v>74.5</v>
      </c>
      <c r="M1671" s="1">
        <v>62.681117153293116</v>
      </c>
      <c r="N1671" s="1">
        <v>5561717</v>
      </c>
    </row>
    <row r="1672" spans="1:14" x14ac:dyDescent="0.35">
      <c r="A1672" s="1" t="s">
        <v>22</v>
      </c>
      <c r="B1672" s="1">
        <v>202404</v>
      </c>
      <c r="C1672" s="1" t="str">
        <f>MID(analisis_productividad__4[[#This Row],[Periodo]],1,4)</f>
        <v>2024</v>
      </c>
      <c r="D1672" s="1" t="str">
        <f>MID(analisis_productividad__4[[#This Row],[Periodo]],5,2)</f>
        <v>04</v>
      </c>
      <c r="E1672" s="1" t="s">
        <v>16</v>
      </c>
      <c r="F1672" s="1" t="s">
        <v>21</v>
      </c>
      <c r="G1672" s="1">
        <v>81221</v>
      </c>
      <c r="H1672" s="1">
        <v>4743050</v>
      </c>
      <c r="I1672" s="1">
        <v>58.396770833333363</v>
      </c>
      <c r="J1672" s="1">
        <v>0</v>
      </c>
      <c r="K1672" s="1">
        <v>59.5</v>
      </c>
      <c r="L1672" s="1">
        <v>55.5</v>
      </c>
      <c r="M1672" s="1"/>
      <c r="N1672" s="1">
        <v>0</v>
      </c>
    </row>
    <row r="1673" spans="1:14" x14ac:dyDescent="0.35">
      <c r="A1673" s="1" t="s">
        <v>97</v>
      </c>
      <c r="B1673" s="1">
        <v>202403</v>
      </c>
      <c r="C1673" s="1" t="str">
        <f>MID(analisis_productividad__4[[#This Row],[Periodo]],1,4)</f>
        <v>2024</v>
      </c>
      <c r="D1673" s="1" t="str">
        <f>MID(analisis_productividad__4[[#This Row],[Periodo]],5,2)</f>
        <v>03</v>
      </c>
      <c r="E1673" s="1" t="s">
        <v>11</v>
      </c>
      <c r="F1673" s="1" t="s">
        <v>12</v>
      </c>
      <c r="G1673" s="1">
        <v>81216</v>
      </c>
      <c r="H1673" s="1">
        <v>5439675</v>
      </c>
      <c r="I1673" s="1">
        <v>66.977580645161325</v>
      </c>
      <c r="J1673" s="1">
        <v>0</v>
      </c>
      <c r="K1673" s="1">
        <v>66.5</v>
      </c>
      <c r="L1673" s="1">
        <v>63.5</v>
      </c>
      <c r="M1673" s="1"/>
      <c r="N1673" s="1">
        <v>0</v>
      </c>
    </row>
    <row r="1674" spans="1:14" x14ac:dyDescent="0.35">
      <c r="A1674" s="1" t="s">
        <v>49</v>
      </c>
      <c r="B1674" s="1">
        <v>202409</v>
      </c>
      <c r="C1674" s="1" t="str">
        <f>MID(analisis_productividad__4[[#This Row],[Periodo]],1,4)</f>
        <v>2024</v>
      </c>
      <c r="D1674" s="1" t="str">
        <f>MID(analisis_productividad__4[[#This Row],[Periodo]],5,2)</f>
        <v>09</v>
      </c>
      <c r="E1674" s="1" t="s">
        <v>16</v>
      </c>
      <c r="F1674" s="1" t="s">
        <v>21</v>
      </c>
      <c r="G1674" s="1">
        <v>81195</v>
      </c>
      <c r="H1674" s="1">
        <v>5003757</v>
      </c>
      <c r="I1674" s="1">
        <v>61.626250000000027</v>
      </c>
      <c r="J1674" s="1">
        <v>0</v>
      </c>
      <c r="K1674" s="1">
        <v>75.5</v>
      </c>
      <c r="L1674" s="1">
        <v>68</v>
      </c>
      <c r="M1674" s="1"/>
      <c r="N1674" s="1">
        <v>0</v>
      </c>
    </row>
    <row r="1675" spans="1:14" x14ac:dyDescent="0.35">
      <c r="A1675" s="1" t="s">
        <v>87</v>
      </c>
      <c r="B1675" s="1">
        <v>202509</v>
      </c>
      <c r="C1675" s="1" t="str">
        <f>MID(analisis_productividad__4[[#This Row],[Periodo]],1,4)</f>
        <v>2025</v>
      </c>
      <c r="D1675" s="1" t="str">
        <f>MID(analisis_productividad__4[[#This Row],[Periodo]],5,2)</f>
        <v>09</v>
      </c>
      <c r="E1675" s="1" t="s">
        <v>9</v>
      </c>
      <c r="F1675" s="1" t="s">
        <v>9</v>
      </c>
      <c r="G1675" s="1">
        <v>81176</v>
      </c>
      <c r="H1675" s="1">
        <v>848948</v>
      </c>
      <c r="I1675" s="1">
        <v>10.458145833333331</v>
      </c>
      <c r="J1675" s="1">
        <v>90447.337344018684</v>
      </c>
      <c r="K1675" s="1">
        <v>13.5</v>
      </c>
      <c r="L1675" s="1">
        <v>12</v>
      </c>
      <c r="M1675" s="1">
        <v>9.3860988607216438</v>
      </c>
      <c r="N1675" s="1">
        <v>1057553</v>
      </c>
    </row>
    <row r="1676" spans="1:14" x14ac:dyDescent="0.35">
      <c r="A1676" s="1" t="s">
        <v>33</v>
      </c>
      <c r="B1676" s="1">
        <v>202409</v>
      </c>
      <c r="C1676" s="1" t="str">
        <f>MID(analisis_productividad__4[[#This Row],[Periodo]],1,4)</f>
        <v>2024</v>
      </c>
      <c r="D1676" s="1" t="str">
        <f>MID(analisis_productividad__4[[#This Row],[Periodo]],5,2)</f>
        <v>09</v>
      </c>
      <c r="E1676" s="1" t="s">
        <v>34</v>
      </c>
      <c r="F1676" s="1" t="s">
        <v>35</v>
      </c>
      <c r="G1676" s="1">
        <v>81140</v>
      </c>
      <c r="H1676" s="1">
        <v>986090</v>
      </c>
      <c r="I1676" s="1">
        <v>12.153020833333336</v>
      </c>
      <c r="J1676" s="1">
        <v>0</v>
      </c>
      <c r="K1676" s="1">
        <v>15</v>
      </c>
      <c r="L1676" s="1">
        <v>15</v>
      </c>
      <c r="M1676" s="1"/>
      <c r="N1676" s="1">
        <v>0</v>
      </c>
    </row>
    <row r="1677" spans="1:14" x14ac:dyDescent="0.35">
      <c r="A1677" s="1" t="s">
        <v>94</v>
      </c>
      <c r="B1677" s="1">
        <v>202507</v>
      </c>
      <c r="C1677" s="1" t="str">
        <f>MID(analisis_productividad__4[[#This Row],[Periodo]],1,4)</f>
        <v>2025</v>
      </c>
      <c r="D1677" s="1" t="str">
        <f>MID(analisis_productividad__4[[#This Row],[Periodo]],5,2)</f>
        <v>07</v>
      </c>
      <c r="E1677" s="1" t="s">
        <v>11</v>
      </c>
      <c r="F1677" s="1" t="s">
        <v>52</v>
      </c>
      <c r="G1677" s="1">
        <v>81137</v>
      </c>
      <c r="H1677" s="1">
        <v>4925661</v>
      </c>
      <c r="I1677" s="1">
        <v>60.708252688172053</v>
      </c>
      <c r="J1677" s="1">
        <v>74033.598825743931</v>
      </c>
      <c r="K1677" s="1">
        <v>75.5</v>
      </c>
      <c r="L1677" s="1">
        <v>70.5</v>
      </c>
      <c r="M1677" s="1">
        <v>66.532783602668601</v>
      </c>
      <c r="N1677" s="1">
        <v>5694801</v>
      </c>
    </row>
    <row r="1678" spans="1:14" x14ac:dyDescent="0.35">
      <c r="A1678" s="1" t="s">
        <v>74</v>
      </c>
      <c r="B1678" s="1">
        <v>202505</v>
      </c>
      <c r="C1678" s="1" t="str">
        <f>MID(analisis_productividad__4[[#This Row],[Periodo]],1,4)</f>
        <v>2025</v>
      </c>
      <c r="D1678" s="1" t="str">
        <f>MID(analisis_productividad__4[[#This Row],[Periodo]],5,2)</f>
        <v>05</v>
      </c>
      <c r="E1678" s="1" t="s">
        <v>16</v>
      </c>
      <c r="F1678" s="1" t="s">
        <v>19</v>
      </c>
      <c r="G1678" s="1">
        <v>81125</v>
      </c>
      <c r="H1678" s="1">
        <v>3887723</v>
      </c>
      <c r="I1678" s="1">
        <v>47.922526881720422</v>
      </c>
      <c r="J1678" s="1">
        <v>77433.949758027622</v>
      </c>
      <c r="K1678" s="1">
        <v>50.5</v>
      </c>
      <c r="L1678" s="1">
        <v>51.5</v>
      </c>
      <c r="M1678" s="1">
        <v>50.206955891423547</v>
      </c>
      <c r="N1678" s="1">
        <v>3866132</v>
      </c>
    </row>
    <row r="1679" spans="1:14" x14ac:dyDescent="0.35">
      <c r="A1679" s="1" t="s">
        <v>88</v>
      </c>
      <c r="B1679" s="1">
        <v>202510</v>
      </c>
      <c r="C1679" s="1" t="str">
        <f>MID(analisis_productividad__4[[#This Row],[Periodo]],1,4)</f>
        <v>2025</v>
      </c>
      <c r="D1679" s="1" t="str">
        <f>MID(analisis_productividad__4[[#This Row],[Periodo]],5,2)</f>
        <v>10</v>
      </c>
      <c r="E1679" s="1" t="s">
        <v>34</v>
      </c>
      <c r="F1679" s="1" t="s">
        <v>35</v>
      </c>
      <c r="G1679" s="1">
        <v>81106</v>
      </c>
      <c r="H1679" s="1">
        <v>1038177</v>
      </c>
      <c r="I1679" s="1">
        <v>12.80021505376344</v>
      </c>
      <c r="J1679" s="1">
        <v>78011.507803041328</v>
      </c>
      <c r="K1679" s="1">
        <v>15.5</v>
      </c>
      <c r="L1679" s="1">
        <v>14.5</v>
      </c>
      <c r="M1679" s="1">
        <v>13.307996207702143</v>
      </c>
      <c r="N1679" s="1">
        <v>1225300</v>
      </c>
    </row>
    <row r="1680" spans="1:14" x14ac:dyDescent="0.35">
      <c r="A1680" s="1" t="s">
        <v>44</v>
      </c>
      <c r="B1680" s="1">
        <v>202507</v>
      </c>
      <c r="C1680" s="1" t="str">
        <f>MID(analisis_productividad__4[[#This Row],[Periodo]],1,4)</f>
        <v>2025</v>
      </c>
      <c r="D1680" s="1" t="str">
        <f>MID(analisis_productividad__4[[#This Row],[Periodo]],5,2)</f>
        <v>07</v>
      </c>
      <c r="E1680" s="1" t="s">
        <v>11</v>
      </c>
      <c r="F1680" s="1" t="s">
        <v>12</v>
      </c>
      <c r="G1680" s="1">
        <v>81105</v>
      </c>
      <c r="H1680" s="1">
        <v>5779519</v>
      </c>
      <c r="I1680" s="1">
        <v>71.260047043010772</v>
      </c>
      <c r="J1680" s="1">
        <v>103473.74660360924</v>
      </c>
      <c r="K1680" s="1">
        <v>78</v>
      </c>
      <c r="L1680" s="1">
        <v>74.5</v>
      </c>
      <c r="M1680" s="1">
        <v>55.854929967312174</v>
      </c>
      <c r="N1680" s="1">
        <v>6256489</v>
      </c>
    </row>
    <row r="1681" spans="1:14" x14ac:dyDescent="0.35">
      <c r="A1681" s="1" t="s">
        <v>72</v>
      </c>
      <c r="B1681" s="1">
        <v>202408</v>
      </c>
      <c r="C1681" s="1" t="str">
        <f>MID(analisis_productividad__4[[#This Row],[Periodo]],1,4)</f>
        <v>2024</v>
      </c>
      <c r="D1681" s="1" t="str">
        <f>MID(analisis_productividad__4[[#This Row],[Periodo]],5,2)</f>
        <v>08</v>
      </c>
      <c r="E1681" s="1" t="s">
        <v>11</v>
      </c>
      <c r="F1681" s="1" t="s">
        <v>14</v>
      </c>
      <c r="G1681" s="1">
        <v>81090</v>
      </c>
      <c r="H1681" s="1">
        <v>5031017</v>
      </c>
      <c r="I1681" s="1">
        <v>62.042251344086033</v>
      </c>
      <c r="J1681" s="1">
        <v>0</v>
      </c>
      <c r="K1681" s="1">
        <v>66</v>
      </c>
      <c r="L1681" s="1">
        <v>64.5</v>
      </c>
      <c r="M1681" s="1"/>
      <c r="N1681" s="1">
        <v>0</v>
      </c>
    </row>
    <row r="1682" spans="1:14" x14ac:dyDescent="0.35">
      <c r="A1682" s="1" t="s">
        <v>84</v>
      </c>
      <c r="B1682" s="1">
        <v>202411</v>
      </c>
      <c r="C1682" s="1" t="str">
        <f>MID(analisis_productividad__4[[#This Row],[Periodo]],1,4)</f>
        <v>2024</v>
      </c>
      <c r="D1682" s="1" t="str">
        <f>MID(analisis_productividad__4[[#This Row],[Periodo]],5,2)</f>
        <v>11</v>
      </c>
      <c r="E1682" s="1" t="s">
        <v>11</v>
      </c>
      <c r="F1682" s="1" t="s">
        <v>52</v>
      </c>
      <c r="G1682" s="1">
        <v>81089</v>
      </c>
      <c r="H1682" s="1">
        <v>8425041</v>
      </c>
      <c r="I1682" s="1">
        <v>103.89837499999999</v>
      </c>
      <c r="J1682" s="1">
        <v>0</v>
      </c>
      <c r="K1682" s="1">
        <v>123</v>
      </c>
      <c r="L1682" s="1">
        <v>115.5</v>
      </c>
      <c r="M1682" s="1"/>
      <c r="N1682" s="1">
        <v>0</v>
      </c>
    </row>
    <row r="1683" spans="1:14" x14ac:dyDescent="0.35">
      <c r="A1683" s="1" t="s">
        <v>97</v>
      </c>
      <c r="B1683" s="1">
        <v>202604</v>
      </c>
      <c r="C1683" s="1" t="str">
        <f>MID(analisis_productividad__4[[#This Row],[Periodo]],1,4)</f>
        <v>2026</v>
      </c>
      <c r="D1683" s="1" t="str">
        <f>MID(analisis_productividad__4[[#This Row],[Periodo]],5,2)</f>
        <v>04</v>
      </c>
      <c r="E1683" s="1" t="s">
        <v>11</v>
      </c>
      <c r="F1683" s="1" t="s">
        <v>12</v>
      </c>
      <c r="G1683" s="1">
        <v>81081</v>
      </c>
      <c r="H1683" s="1">
        <v>4520291</v>
      </c>
      <c r="I1683" s="1">
        <v>55.750430555556157</v>
      </c>
      <c r="J1683" s="1">
        <v>0.72659550199253531</v>
      </c>
      <c r="K1683" s="1">
        <v>66.5</v>
      </c>
      <c r="L1683" s="1">
        <v>63.5</v>
      </c>
      <c r="M1683" s="1">
        <v>54.652141241039438</v>
      </c>
      <c r="N1683" s="1">
        <v>40</v>
      </c>
    </row>
    <row r="1684" spans="1:14" x14ac:dyDescent="0.35">
      <c r="A1684" s="1" t="s">
        <v>33</v>
      </c>
      <c r="B1684" s="1">
        <v>202601</v>
      </c>
      <c r="C1684" s="1" t="str">
        <f>MID(analisis_productividad__4[[#This Row],[Periodo]],1,4)</f>
        <v>2026</v>
      </c>
      <c r="D1684" s="1" t="str">
        <f>MID(analisis_productividad__4[[#This Row],[Periodo]],5,2)</f>
        <v>01</v>
      </c>
      <c r="E1684" s="1" t="s">
        <v>34</v>
      </c>
      <c r="F1684" s="1" t="s">
        <v>35</v>
      </c>
      <c r="G1684" s="1">
        <v>81075</v>
      </c>
      <c r="H1684" s="1">
        <v>1082863</v>
      </c>
      <c r="I1684" s="1">
        <v>13.356310483870963</v>
      </c>
      <c r="J1684" s="1">
        <v>77960.377335376979</v>
      </c>
      <c r="K1684" s="1">
        <v>15</v>
      </c>
      <c r="L1684" s="1">
        <v>15</v>
      </c>
      <c r="M1684" s="1">
        <v>13.971887755419019</v>
      </c>
      <c r="N1684" s="1">
        <v>1089254</v>
      </c>
    </row>
    <row r="1685" spans="1:14" x14ac:dyDescent="0.35">
      <c r="A1685" s="1" t="s">
        <v>81</v>
      </c>
      <c r="B1685" s="1">
        <v>202501</v>
      </c>
      <c r="C1685" s="1" t="str">
        <f>MID(analisis_productividad__4[[#This Row],[Periodo]],1,4)</f>
        <v>2025</v>
      </c>
      <c r="D1685" s="1" t="str">
        <f>MID(analisis_productividad__4[[#This Row],[Periodo]],5,2)</f>
        <v>01</v>
      </c>
      <c r="E1685" s="1" t="s">
        <v>34</v>
      </c>
      <c r="F1685" s="1" t="s">
        <v>35</v>
      </c>
      <c r="G1685" s="1">
        <v>81047</v>
      </c>
      <c r="H1685" s="1">
        <v>7228036</v>
      </c>
      <c r="I1685" s="1">
        <v>89.183057795698829</v>
      </c>
      <c r="J1685" s="1">
        <v>93218.193621724087</v>
      </c>
      <c r="K1685" s="1">
        <v>106</v>
      </c>
      <c r="L1685" s="1">
        <v>94.5</v>
      </c>
      <c r="M1685" s="1">
        <v>77.538901465212888</v>
      </c>
      <c r="N1685" s="1">
        <v>7587102</v>
      </c>
    </row>
    <row r="1686" spans="1:14" x14ac:dyDescent="0.35">
      <c r="A1686" s="1" t="s">
        <v>97</v>
      </c>
      <c r="B1686" s="1">
        <v>202411</v>
      </c>
      <c r="C1686" s="1" t="str">
        <f>MID(analisis_productividad__4[[#This Row],[Periodo]],1,4)</f>
        <v>2024</v>
      </c>
      <c r="D1686" s="1" t="str">
        <f>MID(analisis_productividad__4[[#This Row],[Periodo]],5,2)</f>
        <v>11</v>
      </c>
      <c r="E1686" s="1" t="s">
        <v>11</v>
      </c>
      <c r="F1686" s="1" t="s">
        <v>12</v>
      </c>
      <c r="G1686" s="1">
        <v>81031</v>
      </c>
      <c r="H1686" s="1">
        <v>5061736</v>
      </c>
      <c r="I1686" s="1">
        <v>62.466347222222225</v>
      </c>
      <c r="J1686" s="1">
        <v>0</v>
      </c>
      <c r="K1686" s="1">
        <v>66.5</v>
      </c>
      <c r="L1686" s="1">
        <v>63.5</v>
      </c>
      <c r="M1686" s="1"/>
      <c r="N1686" s="1">
        <v>0</v>
      </c>
    </row>
    <row r="1687" spans="1:14" x14ac:dyDescent="0.35">
      <c r="A1687" s="1" t="s">
        <v>50</v>
      </c>
      <c r="B1687" s="1">
        <v>202402</v>
      </c>
      <c r="C1687" s="1" t="str">
        <f>MID(analisis_productividad__4[[#This Row],[Periodo]],1,4)</f>
        <v>2024</v>
      </c>
      <c r="D1687" s="1" t="str">
        <f>MID(analisis_productividad__4[[#This Row],[Periodo]],5,2)</f>
        <v>02</v>
      </c>
      <c r="E1687" s="1" t="s">
        <v>34</v>
      </c>
      <c r="F1687" s="1" t="s">
        <v>35</v>
      </c>
      <c r="G1687" s="1">
        <v>80992</v>
      </c>
      <c r="H1687" s="1">
        <v>5619169</v>
      </c>
      <c r="I1687" s="1">
        <v>69.379655172413763</v>
      </c>
      <c r="J1687" s="1">
        <v>0</v>
      </c>
      <c r="K1687" s="1">
        <v>79.5</v>
      </c>
      <c r="L1687" s="1">
        <v>72.5</v>
      </c>
      <c r="M1687" s="1"/>
      <c r="N1687" s="1">
        <v>0</v>
      </c>
    </row>
    <row r="1688" spans="1:14" x14ac:dyDescent="0.35">
      <c r="A1688" s="1" t="s">
        <v>26</v>
      </c>
      <c r="B1688" s="1">
        <v>202406</v>
      </c>
      <c r="C1688" s="1" t="str">
        <f>MID(analisis_productividad__4[[#This Row],[Periodo]],1,4)</f>
        <v>2024</v>
      </c>
      <c r="D1688" s="1" t="str">
        <f>MID(analisis_productividad__4[[#This Row],[Periodo]],5,2)</f>
        <v>06</v>
      </c>
      <c r="E1688" s="1" t="s">
        <v>11</v>
      </c>
      <c r="F1688" s="1" t="s">
        <v>12</v>
      </c>
      <c r="G1688" s="1">
        <v>80990</v>
      </c>
      <c r="H1688" s="1">
        <v>5331749</v>
      </c>
      <c r="I1688" s="1">
        <v>65.832083333333344</v>
      </c>
      <c r="J1688" s="1">
        <v>0</v>
      </c>
      <c r="K1688" s="1">
        <v>65.5</v>
      </c>
      <c r="L1688" s="1">
        <v>63</v>
      </c>
      <c r="M1688" s="1"/>
      <c r="N1688" s="1">
        <v>0</v>
      </c>
    </row>
    <row r="1689" spans="1:14" x14ac:dyDescent="0.35">
      <c r="A1689" s="1" t="s">
        <v>84</v>
      </c>
      <c r="B1689" s="1">
        <v>202401</v>
      </c>
      <c r="C1689" s="1" t="str">
        <f>MID(analisis_productividad__4[[#This Row],[Periodo]],1,4)</f>
        <v>2024</v>
      </c>
      <c r="D1689" s="1" t="str">
        <f>MID(analisis_productividad__4[[#This Row],[Periodo]],5,2)</f>
        <v>01</v>
      </c>
      <c r="E1689" s="1" t="s">
        <v>11</v>
      </c>
      <c r="F1689" s="1" t="s">
        <v>52</v>
      </c>
      <c r="G1689" s="1">
        <v>80973</v>
      </c>
      <c r="H1689" s="1">
        <v>8786266</v>
      </c>
      <c r="I1689" s="1">
        <v>108.50912634408603</v>
      </c>
      <c r="J1689" s="1">
        <v>0</v>
      </c>
      <c r="K1689" s="1">
        <v>123</v>
      </c>
      <c r="L1689" s="1">
        <v>115.5</v>
      </c>
      <c r="M1689" s="1"/>
      <c r="N1689" s="1">
        <v>0</v>
      </c>
    </row>
    <row r="1690" spans="1:14" x14ac:dyDescent="0.35">
      <c r="A1690" s="1" t="s">
        <v>20</v>
      </c>
      <c r="B1690" s="1">
        <v>202509</v>
      </c>
      <c r="C1690" s="1" t="str">
        <f>MID(analisis_productividad__4[[#This Row],[Periodo]],1,4)</f>
        <v>2025</v>
      </c>
      <c r="D1690" s="1" t="str">
        <f>MID(analisis_productividad__4[[#This Row],[Periodo]],5,2)</f>
        <v>09</v>
      </c>
      <c r="E1690" s="1" t="s">
        <v>16</v>
      </c>
      <c r="F1690" s="1" t="s">
        <v>21</v>
      </c>
      <c r="G1690" s="1">
        <v>80970</v>
      </c>
      <c r="H1690" s="1">
        <v>7045983</v>
      </c>
      <c r="I1690" s="1">
        <v>87.01952777777781</v>
      </c>
      <c r="J1690" s="1">
        <v>93056.923370737757</v>
      </c>
      <c r="K1690" s="1">
        <v>96.5</v>
      </c>
      <c r="L1690" s="1">
        <v>94</v>
      </c>
      <c r="M1690" s="1">
        <v>75.716908154473174</v>
      </c>
      <c r="N1690" s="1">
        <v>8175093</v>
      </c>
    </row>
    <row r="1691" spans="1:14" x14ac:dyDescent="0.35">
      <c r="A1691" s="1" t="s">
        <v>39</v>
      </c>
      <c r="B1691" s="1">
        <v>202502</v>
      </c>
      <c r="C1691" s="1" t="str">
        <f>MID(analisis_productividad__4[[#This Row],[Periodo]],1,4)</f>
        <v>2025</v>
      </c>
      <c r="D1691" s="1" t="str">
        <f>MID(analisis_productividad__4[[#This Row],[Periodo]],5,2)</f>
        <v>02</v>
      </c>
      <c r="E1691" s="1" t="s">
        <v>16</v>
      </c>
      <c r="F1691" s="1" t="s">
        <v>17</v>
      </c>
      <c r="G1691" s="1">
        <v>80936</v>
      </c>
      <c r="H1691" s="1">
        <v>7016319</v>
      </c>
      <c r="I1691" s="1">
        <v>86.689322916666669</v>
      </c>
      <c r="J1691" s="1">
        <v>95300.420678713504</v>
      </c>
      <c r="K1691" s="1">
        <v>93.5</v>
      </c>
      <c r="L1691" s="1">
        <v>94</v>
      </c>
      <c r="M1691" s="1">
        <v>73.623165879342025</v>
      </c>
      <c r="N1691" s="1">
        <v>7351554</v>
      </c>
    </row>
    <row r="1692" spans="1:14" x14ac:dyDescent="0.35">
      <c r="A1692" s="1" t="s">
        <v>100</v>
      </c>
      <c r="B1692" s="1">
        <v>202412</v>
      </c>
      <c r="C1692" s="1" t="str">
        <f>MID(analisis_productividad__4[[#This Row],[Periodo]],1,4)</f>
        <v>2024</v>
      </c>
      <c r="D1692" s="1" t="str">
        <f>MID(analisis_productividad__4[[#This Row],[Periodo]],5,2)</f>
        <v>12</v>
      </c>
      <c r="E1692" s="1" t="s">
        <v>34</v>
      </c>
      <c r="F1692" s="1" t="s">
        <v>35</v>
      </c>
      <c r="G1692" s="1">
        <v>80905</v>
      </c>
      <c r="H1692" s="1">
        <v>3518328</v>
      </c>
      <c r="I1692" s="1">
        <v>43.487311827956972</v>
      </c>
      <c r="J1692" s="1">
        <v>0</v>
      </c>
      <c r="K1692" s="1">
        <v>44</v>
      </c>
      <c r="L1692" s="1">
        <v>40.5</v>
      </c>
      <c r="M1692" s="1"/>
      <c r="N1692" s="1">
        <v>0</v>
      </c>
    </row>
    <row r="1693" spans="1:14" x14ac:dyDescent="0.35">
      <c r="A1693" s="1" t="s">
        <v>44</v>
      </c>
      <c r="B1693" s="1">
        <v>202505</v>
      </c>
      <c r="C1693" s="1" t="str">
        <f>MID(analisis_productividad__4[[#This Row],[Periodo]],1,4)</f>
        <v>2025</v>
      </c>
      <c r="D1693" s="1" t="str">
        <f>MID(analisis_productividad__4[[#This Row],[Periodo]],5,2)</f>
        <v>05</v>
      </c>
      <c r="E1693" s="1" t="s">
        <v>11</v>
      </c>
      <c r="F1693" s="1" t="s">
        <v>12</v>
      </c>
      <c r="G1693" s="1">
        <v>80898</v>
      </c>
      <c r="H1693" s="1">
        <v>5883356</v>
      </c>
      <c r="I1693" s="1">
        <v>72.725813172043019</v>
      </c>
      <c r="J1693" s="1">
        <v>91146.985161531993</v>
      </c>
      <c r="K1693" s="1">
        <v>78</v>
      </c>
      <c r="L1693" s="1">
        <v>74.5</v>
      </c>
      <c r="M1693" s="1">
        <v>64.54799980025048</v>
      </c>
      <c r="N1693" s="1">
        <v>5856529</v>
      </c>
    </row>
    <row r="1694" spans="1:14" x14ac:dyDescent="0.35">
      <c r="A1694" s="1" t="s">
        <v>54</v>
      </c>
      <c r="B1694" s="1">
        <v>202404</v>
      </c>
      <c r="C1694" s="1" t="str">
        <f>MID(analisis_productividad__4[[#This Row],[Periodo]],1,4)</f>
        <v>2024</v>
      </c>
      <c r="D1694" s="1" t="str">
        <f>MID(analisis_productividad__4[[#This Row],[Periodo]],5,2)</f>
        <v>04</v>
      </c>
      <c r="E1694" s="1" t="s">
        <v>11</v>
      </c>
      <c r="F1694" s="1" t="s">
        <v>52</v>
      </c>
      <c r="G1694" s="1">
        <v>80855</v>
      </c>
      <c r="H1694" s="1">
        <v>8865639</v>
      </c>
      <c r="I1694" s="1">
        <v>109.64921527777783</v>
      </c>
      <c r="J1694" s="1">
        <v>0</v>
      </c>
      <c r="K1694" s="1">
        <v>106</v>
      </c>
      <c r="L1694" s="1">
        <v>102.5</v>
      </c>
      <c r="M1694" s="1"/>
      <c r="N1694" s="1">
        <v>0</v>
      </c>
    </row>
    <row r="1695" spans="1:14" x14ac:dyDescent="0.35">
      <c r="A1695" s="1" t="s">
        <v>100</v>
      </c>
      <c r="B1695" s="1">
        <v>202604</v>
      </c>
      <c r="C1695" s="1" t="str">
        <f>MID(analisis_productividad__4[[#This Row],[Periodo]],1,4)</f>
        <v>2026</v>
      </c>
      <c r="D1695" s="1" t="str">
        <f>MID(analisis_productividad__4[[#This Row],[Periodo]],5,2)</f>
        <v>04</v>
      </c>
      <c r="E1695" s="1" t="s">
        <v>34</v>
      </c>
      <c r="F1695" s="1" t="s">
        <v>35</v>
      </c>
      <c r="G1695" s="1">
        <v>80841</v>
      </c>
      <c r="H1695" s="1">
        <v>2621415</v>
      </c>
      <c r="I1695" s="1">
        <v>32.426916666666344</v>
      </c>
      <c r="J1695" s="1">
        <v>72670.309288202552</v>
      </c>
      <c r="K1695" s="1">
        <v>44</v>
      </c>
      <c r="L1695" s="1">
        <v>40.5</v>
      </c>
      <c r="M1695" s="1">
        <v>35.762421795855829</v>
      </c>
      <c r="N1695" s="1">
        <v>2598866</v>
      </c>
    </row>
    <row r="1696" spans="1:14" x14ac:dyDescent="0.35">
      <c r="A1696" s="1" t="s">
        <v>89</v>
      </c>
      <c r="B1696" s="1">
        <v>202603</v>
      </c>
      <c r="C1696" s="1" t="str">
        <f>MID(analisis_productividad__4[[#This Row],[Periodo]],1,4)</f>
        <v>2026</v>
      </c>
      <c r="D1696" s="1" t="str">
        <f>MID(analisis_productividad__4[[#This Row],[Periodo]],5,2)</f>
        <v>03</v>
      </c>
      <c r="E1696" s="1" t="s">
        <v>9</v>
      </c>
      <c r="F1696" s="1" t="s">
        <v>9</v>
      </c>
      <c r="G1696" s="1">
        <v>80805</v>
      </c>
      <c r="H1696" s="1">
        <v>1065936</v>
      </c>
      <c r="I1696" s="1">
        <v>13.191471774193545</v>
      </c>
      <c r="J1696" s="1">
        <v>75184.089641100916</v>
      </c>
      <c r="K1696" s="1">
        <v>17</v>
      </c>
      <c r="L1696" s="1">
        <v>13.5</v>
      </c>
      <c r="M1696" s="1">
        <v>14.845130740132706</v>
      </c>
      <c r="N1696" s="1">
        <v>1116118</v>
      </c>
    </row>
    <row r="1697" spans="1:14" x14ac:dyDescent="0.35">
      <c r="A1697" s="1" t="s">
        <v>59</v>
      </c>
      <c r="B1697" s="1">
        <v>202409</v>
      </c>
      <c r="C1697" s="1" t="str">
        <f>MID(analisis_productividad__4[[#This Row],[Periodo]],1,4)</f>
        <v>2024</v>
      </c>
      <c r="D1697" s="1" t="str">
        <f>MID(analisis_productividad__4[[#This Row],[Periodo]],5,2)</f>
        <v>09</v>
      </c>
      <c r="E1697" s="1" t="s">
        <v>11</v>
      </c>
      <c r="F1697" s="1" t="s">
        <v>12</v>
      </c>
      <c r="G1697" s="1">
        <v>80790</v>
      </c>
      <c r="H1697" s="1">
        <v>7013200</v>
      </c>
      <c r="I1697" s="1">
        <v>86.807583333333341</v>
      </c>
      <c r="J1697" s="1">
        <v>0</v>
      </c>
      <c r="K1697" s="1">
        <v>94.5</v>
      </c>
      <c r="L1697" s="1">
        <v>97</v>
      </c>
      <c r="M1697" s="1"/>
      <c r="N1697" s="1">
        <v>0</v>
      </c>
    </row>
    <row r="1698" spans="1:14" x14ac:dyDescent="0.35">
      <c r="A1698" s="1" t="s">
        <v>48</v>
      </c>
      <c r="B1698" s="1">
        <v>202502</v>
      </c>
      <c r="C1698" s="1" t="str">
        <f>MID(analisis_productividad__4[[#This Row],[Periodo]],1,4)</f>
        <v>2025</v>
      </c>
      <c r="D1698" s="1" t="str">
        <f>MID(analisis_productividad__4[[#This Row],[Periodo]],5,2)</f>
        <v>02</v>
      </c>
      <c r="E1698" s="1" t="s">
        <v>16</v>
      </c>
      <c r="F1698" s="1" t="s">
        <v>21</v>
      </c>
      <c r="G1698" s="1">
        <v>80787</v>
      </c>
      <c r="H1698" s="1">
        <v>4488193</v>
      </c>
      <c r="I1698" s="1">
        <v>55.556041666666658</v>
      </c>
      <c r="J1698" s="1">
        <v>77810.029985158166</v>
      </c>
      <c r="K1698" s="1">
        <v>56</v>
      </c>
      <c r="L1698" s="1">
        <v>60</v>
      </c>
      <c r="M1698" s="1">
        <v>57.681417946453656</v>
      </c>
      <c r="N1698" s="1">
        <v>4358399</v>
      </c>
    </row>
    <row r="1699" spans="1:14" x14ac:dyDescent="0.35">
      <c r="A1699" s="1" t="s">
        <v>91</v>
      </c>
      <c r="B1699" s="1">
        <v>202601</v>
      </c>
      <c r="C1699" s="1" t="str">
        <f>MID(analisis_productividad__4[[#This Row],[Periodo]],1,4)</f>
        <v>2026</v>
      </c>
      <c r="D1699" s="1" t="str">
        <f>MID(analisis_productividad__4[[#This Row],[Periodo]],5,2)</f>
        <v>01</v>
      </c>
      <c r="E1699" s="1" t="s">
        <v>11</v>
      </c>
      <c r="F1699" s="1" t="s">
        <v>12</v>
      </c>
      <c r="G1699" s="1">
        <v>80779</v>
      </c>
      <c r="H1699" s="1">
        <v>4115539</v>
      </c>
      <c r="I1699" s="1">
        <v>50.948051075268829</v>
      </c>
      <c r="J1699" s="1">
        <v>77607.061447787404</v>
      </c>
      <c r="K1699" s="1">
        <v>55</v>
      </c>
      <c r="L1699" s="1">
        <v>55.5</v>
      </c>
      <c r="M1699" s="1">
        <v>48.91205759483401</v>
      </c>
      <c r="N1699" s="1">
        <v>3795921</v>
      </c>
    </row>
    <row r="1700" spans="1:14" x14ac:dyDescent="0.35">
      <c r="A1700" s="1" t="s">
        <v>60</v>
      </c>
      <c r="B1700" s="1">
        <v>202508</v>
      </c>
      <c r="C1700" s="1" t="str">
        <f>MID(analisis_productividad__4[[#This Row],[Periodo]],1,4)</f>
        <v>2025</v>
      </c>
      <c r="D1700" s="1" t="str">
        <f>MID(analisis_productividad__4[[#This Row],[Periodo]],5,2)</f>
        <v>08</v>
      </c>
      <c r="E1700" s="1" t="s">
        <v>11</v>
      </c>
      <c r="F1700" s="1" t="s">
        <v>14</v>
      </c>
      <c r="G1700" s="1">
        <v>80753</v>
      </c>
      <c r="H1700" s="1">
        <v>4926099</v>
      </c>
      <c r="I1700" s="1">
        <v>61.002412634408614</v>
      </c>
      <c r="J1700" s="1">
        <v>89709.399790351497</v>
      </c>
      <c r="K1700" s="1">
        <v>75.5</v>
      </c>
      <c r="L1700" s="1">
        <v>74</v>
      </c>
      <c r="M1700" s="1">
        <v>54.911733569861816</v>
      </c>
      <c r="N1700" s="1">
        <v>5888809</v>
      </c>
    </row>
    <row r="1701" spans="1:14" x14ac:dyDescent="0.35">
      <c r="A1701" s="1" t="s">
        <v>33</v>
      </c>
      <c r="B1701" s="1">
        <v>202408</v>
      </c>
      <c r="C1701" s="1" t="str">
        <f>MID(analisis_productividad__4[[#This Row],[Periodo]],1,4)</f>
        <v>2024</v>
      </c>
      <c r="D1701" s="1" t="str">
        <f>MID(analisis_productividad__4[[#This Row],[Periodo]],5,2)</f>
        <v>08</v>
      </c>
      <c r="E1701" s="1" t="s">
        <v>34</v>
      </c>
      <c r="F1701" s="1" t="s">
        <v>35</v>
      </c>
      <c r="G1701" s="1">
        <v>80711</v>
      </c>
      <c r="H1701" s="1">
        <v>1061406</v>
      </c>
      <c r="I1701" s="1">
        <v>13.150685483870969</v>
      </c>
      <c r="J1701" s="1">
        <v>0</v>
      </c>
      <c r="K1701" s="1">
        <v>15</v>
      </c>
      <c r="L1701" s="1">
        <v>15</v>
      </c>
      <c r="M1701" s="1"/>
      <c r="N1701" s="1">
        <v>0</v>
      </c>
    </row>
    <row r="1702" spans="1:14" x14ac:dyDescent="0.35">
      <c r="A1702" s="1" t="s">
        <v>57</v>
      </c>
      <c r="B1702" s="1">
        <v>202509</v>
      </c>
      <c r="C1702" s="1" t="str">
        <f>MID(analisis_productividad__4[[#This Row],[Periodo]],1,4)</f>
        <v>2025</v>
      </c>
      <c r="D1702" s="1" t="str">
        <f>MID(analisis_productividad__4[[#This Row],[Periodo]],5,2)</f>
        <v>09</v>
      </c>
      <c r="E1702" s="1" t="s">
        <v>16</v>
      </c>
      <c r="F1702" s="1" t="s">
        <v>19</v>
      </c>
      <c r="G1702" s="1">
        <v>80690</v>
      </c>
      <c r="H1702" s="1">
        <v>5084173</v>
      </c>
      <c r="I1702" s="1">
        <v>63.009041666666711</v>
      </c>
      <c r="J1702" s="1">
        <v>86201.753670146092</v>
      </c>
      <c r="K1702" s="1">
        <v>71</v>
      </c>
      <c r="L1702" s="1">
        <v>74.5</v>
      </c>
      <c r="M1702" s="1">
        <v>58.979924230483292</v>
      </c>
      <c r="N1702" s="1">
        <v>5697628</v>
      </c>
    </row>
    <row r="1703" spans="1:14" x14ac:dyDescent="0.35">
      <c r="A1703" s="1" t="s">
        <v>65</v>
      </c>
      <c r="B1703" s="1">
        <v>202504</v>
      </c>
      <c r="C1703" s="1" t="str">
        <f>MID(analisis_productividad__4[[#This Row],[Periodo]],1,4)</f>
        <v>2025</v>
      </c>
      <c r="D1703" s="1" t="str">
        <f>MID(analisis_productividad__4[[#This Row],[Periodo]],5,2)</f>
        <v>04</v>
      </c>
      <c r="E1703" s="1" t="s">
        <v>16</v>
      </c>
      <c r="F1703" s="1" t="s">
        <v>19</v>
      </c>
      <c r="G1703" s="1">
        <v>80689</v>
      </c>
      <c r="H1703" s="1">
        <v>5208389</v>
      </c>
      <c r="I1703" s="1">
        <v>64.548604166666678</v>
      </c>
      <c r="J1703" s="1">
        <v>81922.097432170194</v>
      </c>
      <c r="K1703" s="1">
        <v>68</v>
      </c>
      <c r="L1703" s="1">
        <v>68.5</v>
      </c>
      <c r="M1703" s="1">
        <v>63.577334971341998</v>
      </c>
      <c r="N1703" s="1">
        <v>5195908</v>
      </c>
    </row>
    <row r="1704" spans="1:14" x14ac:dyDescent="0.35">
      <c r="A1704" s="1" t="s">
        <v>88</v>
      </c>
      <c r="B1704" s="1">
        <v>202511</v>
      </c>
      <c r="C1704" s="1" t="str">
        <f>MID(analisis_productividad__4[[#This Row],[Periodo]],1,4)</f>
        <v>2025</v>
      </c>
      <c r="D1704" s="1" t="str">
        <f>MID(analisis_productividad__4[[#This Row],[Periodo]],5,2)</f>
        <v>11</v>
      </c>
      <c r="E1704" s="1" t="s">
        <v>34</v>
      </c>
      <c r="F1704" s="1" t="s">
        <v>35</v>
      </c>
      <c r="G1704" s="1">
        <v>80689</v>
      </c>
      <c r="H1704" s="1">
        <v>1083715</v>
      </c>
      <c r="I1704" s="1">
        <v>13.430763888888887</v>
      </c>
      <c r="J1704" s="1">
        <v>93385.176145521516</v>
      </c>
      <c r="K1704" s="1">
        <v>15.5</v>
      </c>
      <c r="L1704" s="1">
        <v>14.5</v>
      </c>
      <c r="M1704" s="1">
        <v>11.604783914646735</v>
      </c>
      <c r="N1704" s="1">
        <v>1173083</v>
      </c>
    </row>
    <row r="1705" spans="1:14" x14ac:dyDescent="0.35">
      <c r="A1705" s="1" t="s">
        <v>78</v>
      </c>
      <c r="B1705" s="1">
        <v>202601</v>
      </c>
      <c r="C1705" s="1" t="str">
        <f>MID(analisis_productividad__4[[#This Row],[Periodo]],1,4)</f>
        <v>2026</v>
      </c>
      <c r="D1705" s="1" t="str">
        <f>MID(analisis_productividad__4[[#This Row],[Periodo]],5,2)</f>
        <v>01</v>
      </c>
      <c r="E1705" s="1" t="s">
        <v>11</v>
      </c>
      <c r="F1705" s="1" t="s">
        <v>14</v>
      </c>
      <c r="G1705" s="1">
        <v>80688</v>
      </c>
      <c r="H1705" s="1">
        <v>5251866</v>
      </c>
      <c r="I1705" s="1">
        <v>65.088380376344119</v>
      </c>
      <c r="J1705" s="1">
        <v>74553.798546937265</v>
      </c>
      <c r="K1705" s="1">
        <v>79.5</v>
      </c>
      <c r="L1705" s="1">
        <v>67</v>
      </c>
      <c r="M1705" s="1">
        <v>68.682661472657543</v>
      </c>
      <c r="N1705" s="1">
        <v>5120553</v>
      </c>
    </row>
    <row r="1706" spans="1:14" x14ac:dyDescent="0.35">
      <c r="A1706" s="1" t="s">
        <v>73</v>
      </c>
      <c r="B1706" s="1">
        <v>202509</v>
      </c>
      <c r="C1706" s="1" t="str">
        <f>MID(analisis_productividad__4[[#This Row],[Periodo]],1,4)</f>
        <v>2025</v>
      </c>
      <c r="D1706" s="1" t="str">
        <f>MID(analisis_productividad__4[[#This Row],[Periodo]],5,2)</f>
        <v>09</v>
      </c>
      <c r="E1706" s="1" t="s">
        <v>16</v>
      </c>
      <c r="F1706" s="1" t="s">
        <v>21</v>
      </c>
      <c r="G1706" s="1">
        <v>80664</v>
      </c>
      <c r="H1706" s="1">
        <v>2449280</v>
      </c>
      <c r="I1706" s="1">
        <v>30.363909722222228</v>
      </c>
      <c r="J1706" s="1">
        <v>72039.14306591262</v>
      </c>
      <c r="K1706" s="1">
        <v>43.5</v>
      </c>
      <c r="L1706" s="1">
        <v>41</v>
      </c>
      <c r="M1706" s="1">
        <v>33.99929435250246</v>
      </c>
      <c r="N1706" s="1">
        <v>3032705</v>
      </c>
    </row>
    <row r="1707" spans="1:14" x14ac:dyDescent="0.35">
      <c r="A1707" s="1" t="s">
        <v>69</v>
      </c>
      <c r="B1707" s="1">
        <v>202410</v>
      </c>
      <c r="C1707" s="1" t="str">
        <f>MID(analisis_productividad__4[[#This Row],[Periodo]],1,4)</f>
        <v>2024</v>
      </c>
      <c r="D1707" s="1" t="str">
        <f>MID(analisis_productividad__4[[#This Row],[Periodo]],5,2)</f>
        <v>10</v>
      </c>
      <c r="E1707" s="1" t="s">
        <v>11</v>
      </c>
      <c r="F1707" s="1" t="s">
        <v>52</v>
      </c>
      <c r="G1707" s="1">
        <v>80651</v>
      </c>
      <c r="H1707" s="1">
        <v>4383693</v>
      </c>
      <c r="I1707" s="1">
        <v>54.354153225806463</v>
      </c>
      <c r="J1707" s="1">
        <v>0</v>
      </c>
      <c r="K1707" s="1">
        <v>68</v>
      </c>
      <c r="L1707" s="1">
        <v>60.5</v>
      </c>
      <c r="M1707" s="1"/>
      <c r="N1707" s="1">
        <v>0</v>
      </c>
    </row>
    <row r="1708" spans="1:14" x14ac:dyDescent="0.35">
      <c r="A1708" s="1" t="s">
        <v>22</v>
      </c>
      <c r="B1708" s="1">
        <v>202501</v>
      </c>
      <c r="C1708" s="1" t="str">
        <f>MID(analisis_productividad__4[[#This Row],[Periodo]],1,4)</f>
        <v>2025</v>
      </c>
      <c r="D1708" s="1" t="str">
        <f>MID(analisis_productividad__4[[#This Row],[Periodo]],5,2)</f>
        <v>01</v>
      </c>
      <c r="E1708" s="1" t="s">
        <v>16</v>
      </c>
      <c r="F1708" s="1" t="s">
        <v>21</v>
      </c>
      <c r="G1708" s="1">
        <v>80642</v>
      </c>
      <c r="H1708" s="1">
        <v>4628856</v>
      </c>
      <c r="I1708" s="1">
        <v>57.399811827956981</v>
      </c>
      <c r="J1708" s="1">
        <v>91257.943548469368</v>
      </c>
      <c r="K1708" s="1">
        <v>59.5</v>
      </c>
      <c r="L1708" s="1">
        <v>55.5</v>
      </c>
      <c r="M1708" s="1">
        <v>50.722769438054456</v>
      </c>
      <c r="N1708" s="1">
        <v>4589469</v>
      </c>
    </row>
    <row r="1709" spans="1:14" x14ac:dyDescent="0.35">
      <c r="A1709" s="1" t="s">
        <v>85</v>
      </c>
      <c r="B1709" s="1">
        <v>202403</v>
      </c>
      <c r="C1709" s="1" t="str">
        <f>MID(analisis_productividad__4[[#This Row],[Periodo]],1,4)</f>
        <v>2024</v>
      </c>
      <c r="D1709" s="1" t="str">
        <f>MID(analisis_productividad__4[[#This Row],[Periodo]],5,2)</f>
        <v>03</v>
      </c>
      <c r="E1709" s="1" t="s">
        <v>11</v>
      </c>
      <c r="F1709" s="1" t="s">
        <v>14</v>
      </c>
      <c r="G1709" s="1">
        <v>80642</v>
      </c>
      <c r="H1709" s="1">
        <v>4649128</v>
      </c>
      <c r="I1709" s="1">
        <v>57.651538978494628</v>
      </c>
      <c r="J1709" s="1">
        <v>0</v>
      </c>
      <c r="K1709" s="1">
        <v>60.5</v>
      </c>
      <c r="L1709" s="1">
        <v>57.5</v>
      </c>
      <c r="M1709" s="1"/>
      <c r="N1709" s="1">
        <v>0</v>
      </c>
    </row>
    <row r="1710" spans="1:14" x14ac:dyDescent="0.35">
      <c r="A1710" s="1" t="s">
        <v>94</v>
      </c>
      <c r="B1710" s="1">
        <v>202603</v>
      </c>
      <c r="C1710" s="1" t="str">
        <f>MID(analisis_productividad__4[[#This Row],[Periodo]],1,4)</f>
        <v>2026</v>
      </c>
      <c r="D1710" s="1" t="str">
        <f>MID(analisis_productividad__4[[#This Row],[Periodo]],5,2)</f>
        <v>03</v>
      </c>
      <c r="E1710" s="1" t="s">
        <v>11</v>
      </c>
      <c r="F1710" s="1" t="s">
        <v>52</v>
      </c>
      <c r="G1710" s="1">
        <v>80606</v>
      </c>
      <c r="H1710" s="1">
        <v>5415183</v>
      </c>
      <c r="I1710" s="1">
        <v>67.18113575268822</v>
      </c>
      <c r="J1710" s="1">
        <v>94289.943897132296</v>
      </c>
      <c r="K1710" s="1">
        <v>75.5</v>
      </c>
      <c r="L1710" s="1">
        <v>70.5</v>
      </c>
      <c r="M1710" s="1">
        <v>63.423114179855602</v>
      </c>
      <c r="N1710" s="1">
        <v>5980162</v>
      </c>
    </row>
    <row r="1711" spans="1:14" x14ac:dyDescent="0.35">
      <c r="A1711" s="1" t="s">
        <v>44</v>
      </c>
      <c r="B1711" s="1">
        <v>202410</v>
      </c>
      <c r="C1711" s="1" t="str">
        <f>MID(analisis_productividad__4[[#This Row],[Periodo]],1,4)</f>
        <v>2024</v>
      </c>
      <c r="D1711" s="1" t="str">
        <f>MID(analisis_productividad__4[[#This Row],[Periodo]],5,2)</f>
        <v>10</v>
      </c>
      <c r="E1711" s="1" t="s">
        <v>11</v>
      </c>
      <c r="F1711" s="1" t="s">
        <v>12</v>
      </c>
      <c r="G1711" s="1">
        <v>80600</v>
      </c>
      <c r="H1711" s="1">
        <v>5660171</v>
      </c>
      <c r="I1711" s="1">
        <v>70.225430107526876</v>
      </c>
      <c r="J1711" s="1">
        <v>0</v>
      </c>
      <c r="K1711" s="1">
        <v>78</v>
      </c>
      <c r="L1711" s="1">
        <v>74.5</v>
      </c>
      <c r="M1711" s="1"/>
      <c r="N1711" s="1">
        <v>0</v>
      </c>
    </row>
    <row r="1712" spans="1:14" x14ac:dyDescent="0.35">
      <c r="A1712" s="1" t="s">
        <v>66</v>
      </c>
      <c r="B1712" s="1">
        <v>202401</v>
      </c>
      <c r="C1712" s="1" t="str">
        <f>MID(analisis_productividad__4[[#This Row],[Periodo]],1,4)</f>
        <v>2024</v>
      </c>
      <c r="D1712" s="1" t="str">
        <f>MID(analisis_productividad__4[[#This Row],[Periodo]],5,2)</f>
        <v>01</v>
      </c>
      <c r="E1712" s="1" t="s">
        <v>11</v>
      </c>
      <c r="F1712" s="1" t="s">
        <v>12</v>
      </c>
      <c r="G1712" s="1">
        <v>80596</v>
      </c>
      <c r="H1712" s="1">
        <v>6096167</v>
      </c>
      <c r="I1712" s="1">
        <v>75.63871639784945</v>
      </c>
      <c r="J1712" s="1">
        <v>0</v>
      </c>
      <c r="K1712" s="1">
        <v>80</v>
      </c>
      <c r="L1712" s="1">
        <v>80.5</v>
      </c>
      <c r="M1712" s="1"/>
      <c r="N1712" s="1">
        <v>0</v>
      </c>
    </row>
    <row r="1713" spans="1:14" x14ac:dyDescent="0.35">
      <c r="A1713" s="1" t="s">
        <v>66</v>
      </c>
      <c r="B1713" s="1">
        <v>202601</v>
      </c>
      <c r="C1713" s="1" t="str">
        <f>MID(analisis_productividad__4[[#This Row],[Periodo]],1,4)</f>
        <v>2026</v>
      </c>
      <c r="D1713" s="1" t="str">
        <f>MID(analisis_productividad__4[[#This Row],[Periodo]],5,2)</f>
        <v>01</v>
      </c>
      <c r="E1713" s="1" t="s">
        <v>11</v>
      </c>
      <c r="F1713" s="1" t="s">
        <v>12</v>
      </c>
      <c r="G1713" s="1">
        <v>80592</v>
      </c>
      <c r="H1713" s="1">
        <v>5597127</v>
      </c>
      <c r="I1713" s="1">
        <v>69.450349462365566</v>
      </c>
      <c r="J1713" s="1">
        <v>88919.811370560012</v>
      </c>
      <c r="K1713" s="1">
        <v>80</v>
      </c>
      <c r="L1713" s="1">
        <v>80.5</v>
      </c>
      <c r="M1713" s="1">
        <v>67.651321791845987</v>
      </c>
      <c r="N1713" s="1">
        <v>6015543</v>
      </c>
    </row>
    <row r="1714" spans="1:14" x14ac:dyDescent="0.35">
      <c r="A1714" s="1" t="s">
        <v>79</v>
      </c>
      <c r="B1714" s="1">
        <v>202506</v>
      </c>
      <c r="C1714" s="1" t="str">
        <f>MID(analisis_productividad__4[[#This Row],[Periodo]],1,4)</f>
        <v>2025</v>
      </c>
      <c r="D1714" s="1" t="str">
        <f>MID(analisis_productividad__4[[#This Row],[Periodo]],5,2)</f>
        <v>06</v>
      </c>
      <c r="E1714" s="1" t="s">
        <v>11</v>
      </c>
      <c r="F1714" s="1" t="s">
        <v>12</v>
      </c>
      <c r="G1714" s="1">
        <v>80556</v>
      </c>
      <c r="H1714" s="1">
        <v>4738187</v>
      </c>
      <c r="I1714" s="1">
        <v>58.818812500000007</v>
      </c>
      <c r="J1714" s="1">
        <v>87910.189869382215</v>
      </c>
      <c r="K1714" s="1">
        <v>64.5</v>
      </c>
      <c r="L1714" s="1">
        <v>64</v>
      </c>
      <c r="M1714" s="1">
        <v>53.89804489149715</v>
      </c>
      <c r="N1714" s="1">
        <v>5451637</v>
      </c>
    </row>
    <row r="1715" spans="1:14" x14ac:dyDescent="0.35">
      <c r="A1715" s="1" t="s">
        <v>55</v>
      </c>
      <c r="B1715" s="1">
        <v>202502</v>
      </c>
      <c r="C1715" s="1" t="str">
        <f>MID(analisis_productividad__4[[#This Row],[Periodo]],1,4)</f>
        <v>2025</v>
      </c>
      <c r="D1715" s="1" t="str">
        <f>MID(analisis_productividad__4[[#This Row],[Periodo]],5,2)</f>
        <v>02</v>
      </c>
      <c r="E1715" s="1" t="s">
        <v>16</v>
      </c>
      <c r="F1715" s="1" t="s">
        <v>21</v>
      </c>
      <c r="G1715" s="1">
        <v>80553</v>
      </c>
      <c r="H1715" s="1">
        <v>4030102</v>
      </c>
      <c r="I1715" s="1">
        <v>50.030572916666671</v>
      </c>
      <c r="J1715" s="1">
        <v>92973.120480327198</v>
      </c>
      <c r="K1715" s="1">
        <v>55</v>
      </c>
      <c r="L1715" s="1">
        <v>50.5</v>
      </c>
      <c r="M1715" s="1">
        <v>43.346954573314079</v>
      </c>
      <c r="N1715" s="1">
        <v>4378070</v>
      </c>
    </row>
    <row r="1716" spans="1:14" x14ac:dyDescent="0.35">
      <c r="A1716" s="1" t="s">
        <v>63</v>
      </c>
      <c r="B1716" s="1">
        <v>202511</v>
      </c>
      <c r="C1716" s="1" t="str">
        <f>MID(analisis_productividad__4[[#This Row],[Periodo]],1,4)</f>
        <v>2025</v>
      </c>
      <c r="D1716" s="1" t="str">
        <f>MID(analisis_productividad__4[[#This Row],[Periodo]],5,2)</f>
        <v>11</v>
      </c>
      <c r="E1716" s="1" t="s">
        <v>16</v>
      </c>
      <c r="F1716" s="1" t="s">
        <v>17</v>
      </c>
      <c r="G1716" s="1">
        <v>80507</v>
      </c>
      <c r="H1716" s="1">
        <v>7176236</v>
      </c>
      <c r="I1716" s="1">
        <v>89.138340277777758</v>
      </c>
      <c r="J1716" s="1">
        <v>124578.41135606587</v>
      </c>
      <c r="K1716" s="1">
        <v>86.5</v>
      </c>
      <c r="L1716" s="1">
        <v>81.5</v>
      </c>
      <c r="M1716" s="1">
        <v>57.604167141681728</v>
      </c>
      <c r="N1716" s="1">
        <v>9622004</v>
      </c>
    </row>
    <row r="1717" spans="1:14" x14ac:dyDescent="0.35">
      <c r="A1717" s="1" t="s">
        <v>95</v>
      </c>
      <c r="B1717" s="1">
        <v>202605</v>
      </c>
      <c r="C1717" s="1" t="str">
        <f>MID(analisis_productividad__4[[#This Row],[Periodo]],1,4)</f>
        <v>2026</v>
      </c>
      <c r="D1717" s="1" t="str">
        <f>MID(analisis_productividad__4[[#This Row],[Periodo]],5,2)</f>
        <v>05</v>
      </c>
      <c r="E1717" s="1" t="s">
        <v>9</v>
      </c>
      <c r="F1717" s="1" t="s">
        <v>9</v>
      </c>
      <c r="G1717" s="1">
        <v>80486</v>
      </c>
      <c r="H1717" s="1">
        <v>708196</v>
      </c>
      <c r="I1717" s="1">
        <v>8.7989717741935607</v>
      </c>
      <c r="J1717" s="1">
        <v>63706.335748179983</v>
      </c>
      <c r="K1717" s="1">
        <v>11</v>
      </c>
      <c r="L1717" s="1">
        <v>11</v>
      </c>
      <c r="M1717" s="1">
        <v>10.04229432420742</v>
      </c>
      <c r="N1717" s="1">
        <v>639758</v>
      </c>
    </row>
    <row r="1718" spans="1:14" x14ac:dyDescent="0.35">
      <c r="A1718" s="1" t="s">
        <v>69</v>
      </c>
      <c r="B1718" s="1">
        <v>202403</v>
      </c>
      <c r="C1718" s="1" t="str">
        <f>MID(analisis_productividad__4[[#This Row],[Periodo]],1,4)</f>
        <v>2024</v>
      </c>
      <c r="D1718" s="1" t="str">
        <f>MID(analisis_productividad__4[[#This Row],[Periodo]],5,2)</f>
        <v>03</v>
      </c>
      <c r="E1718" s="1" t="s">
        <v>11</v>
      </c>
      <c r="F1718" s="1" t="s">
        <v>52</v>
      </c>
      <c r="G1718" s="1">
        <v>80478</v>
      </c>
      <c r="H1718" s="1">
        <v>5332739</v>
      </c>
      <c r="I1718" s="1">
        <v>66.262997311827945</v>
      </c>
      <c r="J1718" s="1">
        <v>0</v>
      </c>
      <c r="K1718" s="1">
        <v>68</v>
      </c>
      <c r="L1718" s="1">
        <v>60.5</v>
      </c>
      <c r="M1718" s="1"/>
      <c r="N1718" s="1">
        <v>0</v>
      </c>
    </row>
    <row r="1719" spans="1:14" x14ac:dyDescent="0.35">
      <c r="A1719" s="1" t="s">
        <v>42</v>
      </c>
      <c r="B1719" s="1">
        <v>202509</v>
      </c>
      <c r="C1719" s="1" t="str">
        <f>MID(analisis_productividad__4[[#This Row],[Periodo]],1,4)</f>
        <v>2025</v>
      </c>
      <c r="D1719" s="1" t="str">
        <f>MID(analisis_productividad__4[[#This Row],[Periodo]],5,2)</f>
        <v>09</v>
      </c>
      <c r="E1719" s="1" t="s">
        <v>16</v>
      </c>
      <c r="F1719" s="1" t="s">
        <v>19</v>
      </c>
      <c r="G1719" s="1">
        <v>80472</v>
      </c>
      <c r="H1719" s="1">
        <v>4490843</v>
      </c>
      <c r="I1719" s="1">
        <v>55.806430555555579</v>
      </c>
      <c r="J1719" s="1">
        <v>78682.881109381735</v>
      </c>
      <c r="K1719" s="1">
        <v>62</v>
      </c>
      <c r="L1719" s="1">
        <v>58</v>
      </c>
      <c r="M1719" s="1">
        <v>57.075221403713151</v>
      </c>
      <c r="N1719" s="1">
        <v>4443406</v>
      </c>
    </row>
    <row r="1720" spans="1:14" x14ac:dyDescent="0.35">
      <c r="A1720" s="1" t="s">
        <v>32</v>
      </c>
      <c r="B1720" s="1">
        <v>202405</v>
      </c>
      <c r="C1720" s="1" t="str">
        <f>MID(analisis_productividad__4[[#This Row],[Periodo]],1,4)</f>
        <v>2024</v>
      </c>
      <c r="D1720" s="1" t="str">
        <f>MID(analisis_productividad__4[[#This Row],[Periodo]],5,2)</f>
        <v>05</v>
      </c>
      <c r="E1720" s="1" t="s">
        <v>11</v>
      </c>
      <c r="F1720" s="1" t="s">
        <v>12</v>
      </c>
      <c r="G1720" s="1">
        <v>80468</v>
      </c>
      <c r="H1720" s="1">
        <v>5128183</v>
      </c>
      <c r="I1720" s="1">
        <v>63.729260752688162</v>
      </c>
      <c r="J1720" s="1">
        <v>0</v>
      </c>
      <c r="K1720" s="1">
        <v>65.5</v>
      </c>
      <c r="L1720" s="1">
        <v>66</v>
      </c>
      <c r="M1720" s="1"/>
      <c r="N1720" s="1">
        <v>0</v>
      </c>
    </row>
    <row r="1721" spans="1:14" x14ac:dyDescent="0.35">
      <c r="A1721" s="1" t="s">
        <v>69</v>
      </c>
      <c r="B1721" s="1">
        <v>202509</v>
      </c>
      <c r="C1721" s="1" t="str">
        <f>MID(analisis_productividad__4[[#This Row],[Periodo]],1,4)</f>
        <v>2025</v>
      </c>
      <c r="D1721" s="1" t="str">
        <f>MID(analisis_productividad__4[[#This Row],[Periodo]],5,2)</f>
        <v>09</v>
      </c>
      <c r="E1721" s="1" t="s">
        <v>11</v>
      </c>
      <c r="F1721" s="1" t="s">
        <v>52</v>
      </c>
      <c r="G1721" s="1">
        <v>80467</v>
      </c>
      <c r="H1721" s="1">
        <v>4634996</v>
      </c>
      <c r="I1721" s="1">
        <v>57.601250000000007</v>
      </c>
      <c r="J1721" s="1">
        <v>87375.09324793327</v>
      </c>
      <c r="K1721" s="1">
        <v>68</v>
      </c>
      <c r="L1721" s="1">
        <v>60.5</v>
      </c>
      <c r="M1721" s="1">
        <v>53.047112142677264</v>
      </c>
      <c r="N1721" s="1">
        <v>5316645</v>
      </c>
    </row>
    <row r="1722" spans="1:14" x14ac:dyDescent="0.35">
      <c r="A1722" s="1" t="s">
        <v>100</v>
      </c>
      <c r="B1722" s="1">
        <v>202511</v>
      </c>
      <c r="C1722" s="1" t="str">
        <f>MID(analisis_productividad__4[[#This Row],[Periodo]],1,4)</f>
        <v>2025</v>
      </c>
      <c r="D1722" s="1" t="str">
        <f>MID(analisis_productividad__4[[#This Row],[Periodo]],5,2)</f>
        <v>11</v>
      </c>
      <c r="E1722" s="1" t="s">
        <v>34</v>
      </c>
      <c r="F1722" s="1" t="s">
        <v>35</v>
      </c>
      <c r="G1722" s="1">
        <v>80405</v>
      </c>
      <c r="H1722" s="1">
        <v>2522201</v>
      </c>
      <c r="I1722" s="1">
        <v>31.368652777777786</v>
      </c>
      <c r="J1722" s="1">
        <v>71384.987120585036</v>
      </c>
      <c r="K1722" s="1">
        <v>44</v>
      </c>
      <c r="L1722" s="1">
        <v>40.5</v>
      </c>
      <c r="M1722" s="1">
        <v>35.33237942229286</v>
      </c>
      <c r="N1722" s="1">
        <v>2780717</v>
      </c>
    </row>
    <row r="1723" spans="1:14" x14ac:dyDescent="0.35">
      <c r="A1723" s="1" t="s">
        <v>92</v>
      </c>
      <c r="B1723" s="1">
        <v>202403</v>
      </c>
      <c r="C1723" s="1" t="str">
        <f>MID(analisis_productividad__4[[#This Row],[Periodo]],1,4)</f>
        <v>2024</v>
      </c>
      <c r="D1723" s="1" t="str">
        <f>MID(analisis_productividad__4[[#This Row],[Periodo]],5,2)</f>
        <v>03</v>
      </c>
      <c r="E1723" s="1" t="s">
        <v>11</v>
      </c>
      <c r="F1723" s="1" t="s">
        <v>14</v>
      </c>
      <c r="G1723" s="1">
        <v>80395</v>
      </c>
      <c r="H1723" s="1">
        <v>4662714</v>
      </c>
      <c r="I1723" s="1">
        <v>57.997352150537637</v>
      </c>
      <c r="J1723" s="1">
        <v>0</v>
      </c>
      <c r="K1723" s="1">
        <v>63</v>
      </c>
      <c r="L1723" s="1">
        <v>59</v>
      </c>
      <c r="M1723" s="1"/>
      <c r="N1723" s="1">
        <v>0</v>
      </c>
    </row>
    <row r="1724" spans="1:14" x14ac:dyDescent="0.35">
      <c r="A1724" s="1" t="s">
        <v>59</v>
      </c>
      <c r="B1724" s="1">
        <v>202506</v>
      </c>
      <c r="C1724" s="1" t="str">
        <f>MID(analisis_productividad__4[[#This Row],[Periodo]],1,4)</f>
        <v>2025</v>
      </c>
      <c r="D1724" s="1" t="str">
        <f>MID(analisis_productividad__4[[#This Row],[Periodo]],5,2)</f>
        <v>06</v>
      </c>
      <c r="E1724" s="1" t="s">
        <v>11</v>
      </c>
      <c r="F1724" s="1" t="s">
        <v>12</v>
      </c>
      <c r="G1724" s="1">
        <v>80382</v>
      </c>
      <c r="H1724" s="1">
        <v>7180788</v>
      </c>
      <c r="I1724" s="1">
        <v>89.333222222222176</v>
      </c>
      <c r="J1724" s="1">
        <v>98800.228895611188</v>
      </c>
      <c r="K1724" s="1">
        <v>94.5</v>
      </c>
      <c r="L1724" s="1">
        <v>97</v>
      </c>
      <c r="M1724" s="1">
        <v>72.679874330928584</v>
      </c>
      <c r="N1724" s="1">
        <v>8041615</v>
      </c>
    </row>
    <row r="1725" spans="1:14" x14ac:dyDescent="0.35">
      <c r="A1725" s="1" t="s">
        <v>90</v>
      </c>
      <c r="B1725" s="1">
        <v>202604</v>
      </c>
      <c r="C1725" s="1" t="str">
        <f>MID(analisis_productividad__4[[#This Row],[Periodo]],1,4)</f>
        <v>2026</v>
      </c>
      <c r="D1725" s="1" t="str">
        <f>MID(analisis_productividad__4[[#This Row],[Periodo]],5,2)</f>
        <v>04</v>
      </c>
      <c r="E1725" s="1" t="s">
        <v>11</v>
      </c>
      <c r="F1725" s="1" t="s">
        <v>14</v>
      </c>
      <c r="G1725" s="1">
        <v>80351</v>
      </c>
      <c r="H1725" s="1">
        <v>5833789</v>
      </c>
      <c r="I1725" s="1">
        <v>72.603611111113267</v>
      </c>
      <c r="J1725" s="1">
        <v>82469.33969803201</v>
      </c>
      <c r="K1725" s="1">
        <v>84.5</v>
      </c>
      <c r="L1725" s="1">
        <v>78.5</v>
      </c>
      <c r="M1725" s="1">
        <v>72.494656792343278</v>
      </c>
      <c r="N1725" s="1">
        <v>5978586</v>
      </c>
    </row>
    <row r="1726" spans="1:14" x14ac:dyDescent="0.35">
      <c r="A1726" s="1" t="s">
        <v>97</v>
      </c>
      <c r="B1726" s="1">
        <v>202506</v>
      </c>
      <c r="C1726" s="1" t="str">
        <f>MID(analisis_productividad__4[[#This Row],[Periodo]],1,4)</f>
        <v>2025</v>
      </c>
      <c r="D1726" s="1" t="str">
        <f>MID(analisis_productividad__4[[#This Row],[Periodo]],5,2)</f>
        <v>06</v>
      </c>
      <c r="E1726" s="1" t="s">
        <v>11</v>
      </c>
      <c r="F1726" s="1" t="s">
        <v>12</v>
      </c>
      <c r="G1726" s="1">
        <v>80314</v>
      </c>
      <c r="H1726" s="1">
        <v>4519456</v>
      </c>
      <c r="I1726" s="1">
        <v>56.272319444444442</v>
      </c>
      <c r="J1726" s="1">
        <v>79829.458442668125</v>
      </c>
      <c r="K1726" s="1">
        <v>66.5</v>
      </c>
      <c r="L1726" s="1">
        <v>63.5</v>
      </c>
      <c r="M1726" s="1">
        <v>56.613888508911529</v>
      </c>
      <c r="N1726" s="1">
        <v>5198423</v>
      </c>
    </row>
    <row r="1727" spans="1:14" x14ac:dyDescent="0.35">
      <c r="A1727" s="1" t="s">
        <v>105</v>
      </c>
      <c r="B1727" s="1">
        <v>202512</v>
      </c>
      <c r="C1727" s="1" t="str">
        <f>MID(analisis_productividad__4[[#This Row],[Periodo]],1,4)</f>
        <v>2025</v>
      </c>
      <c r="D1727" s="1" t="str">
        <f>MID(analisis_productividad__4[[#This Row],[Periodo]],5,2)</f>
        <v>12</v>
      </c>
      <c r="E1727" s="1" t="s">
        <v>34</v>
      </c>
      <c r="F1727" s="1" t="s">
        <v>35</v>
      </c>
      <c r="G1727" s="1">
        <v>80289</v>
      </c>
      <c r="H1727" s="1">
        <v>2688953</v>
      </c>
      <c r="I1727" s="1">
        <v>33.490766129032238</v>
      </c>
      <c r="J1727" s="1">
        <v>63630.288393154886</v>
      </c>
      <c r="K1727" s="1">
        <v>33</v>
      </c>
      <c r="L1727" s="1">
        <v>31.5</v>
      </c>
      <c r="M1727" s="1">
        <v>42.259004287166924</v>
      </c>
      <c r="N1727" s="1">
        <v>3441665</v>
      </c>
    </row>
    <row r="1728" spans="1:14" x14ac:dyDescent="0.35">
      <c r="A1728" s="1" t="s">
        <v>71</v>
      </c>
      <c r="B1728" s="1">
        <v>202509</v>
      </c>
      <c r="C1728" s="1" t="str">
        <f>MID(analisis_productividad__4[[#This Row],[Periodo]],1,4)</f>
        <v>2025</v>
      </c>
      <c r="D1728" s="1" t="str">
        <f>MID(analisis_productividad__4[[#This Row],[Periodo]],5,2)</f>
        <v>09</v>
      </c>
      <c r="E1728" s="1" t="s">
        <v>16</v>
      </c>
      <c r="F1728" s="1" t="s">
        <v>19</v>
      </c>
      <c r="G1728" s="1">
        <v>80252</v>
      </c>
      <c r="H1728" s="1">
        <v>2616925</v>
      </c>
      <c r="I1728" s="1">
        <v>32.608722222222234</v>
      </c>
      <c r="J1728" s="1">
        <v>76231.525006994416</v>
      </c>
      <c r="K1728" s="1">
        <v>41.5</v>
      </c>
      <c r="L1728" s="1">
        <v>35.5</v>
      </c>
      <c r="M1728" s="1">
        <v>34.328651037217107</v>
      </c>
      <c r="N1728" s="1">
        <v>2103864</v>
      </c>
    </row>
    <row r="1729" spans="1:14" x14ac:dyDescent="0.35">
      <c r="A1729" s="1" t="s">
        <v>88</v>
      </c>
      <c r="B1729" s="1">
        <v>202402</v>
      </c>
      <c r="C1729" s="1" t="str">
        <f>MID(analisis_productividad__4[[#This Row],[Periodo]],1,4)</f>
        <v>2024</v>
      </c>
      <c r="D1729" s="1" t="str">
        <f>MID(analisis_productividad__4[[#This Row],[Periodo]],5,2)</f>
        <v>02</v>
      </c>
      <c r="E1729" s="1" t="s">
        <v>34</v>
      </c>
      <c r="F1729" s="1" t="s">
        <v>35</v>
      </c>
      <c r="G1729" s="1">
        <v>80237</v>
      </c>
      <c r="H1729" s="1">
        <v>1056997</v>
      </c>
      <c r="I1729" s="1">
        <v>13.173376436781613</v>
      </c>
      <c r="J1729" s="1">
        <v>0</v>
      </c>
      <c r="K1729" s="1">
        <v>15.5</v>
      </c>
      <c r="L1729" s="1">
        <v>14.5</v>
      </c>
      <c r="M1729" s="1"/>
      <c r="N1729" s="1">
        <v>0</v>
      </c>
    </row>
    <row r="1730" spans="1:14" x14ac:dyDescent="0.35">
      <c r="A1730" s="1" t="s">
        <v>69</v>
      </c>
      <c r="B1730" s="1">
        <v>202411</v>
      </c>
      <c r="C1730" s="1" t="str">
        <f>MID(analisis_productividad__4[[#This Row],[Periodo]],1,4)</f>
        <v>2024</v>
      </c>
      <c r="D1730" s="1" t="str">
        <f>MID(analisis_productividad__4[[#This Row],[Periodo]],5,2)</f>
        <v>11</v>
      </c>
      <c r="E1730" s="1" t="s">
        <v>11</v>
      </c>
      <c r="F1730" s="1" t="s">
        <v>52</v>
      </c>
      <c r="G1730" s="1">
        <v>80216</v>
      </c>
      <c r="H1730" s="1">
        <v>4491912</v>
      </c>
      <c r="I1730" s="1">
        <v>55.997472222222207</v>
      </c>
      <c r="J1730" s="1">
        <v>0</v>
      </c>
      <c r="K1730" s="1">
        <v>68</v>
      </c>
      <c r="L1730" s="1">
        <v>60.5</v>
      </c>
      <c r="M1730" s="1"/>
      <c r="N1730" s="1">
        <v>0</v>
      </c>
    </row>
    <row r="1731" spans="1:14" x14ac:dyDescent="0.35">
      <c r="A1731" s="1" t="s">
        <v>77</v>
      </c>
      <c r="B1731" s="1">
        <v>202408</v>
      </c>
      <c r="C1731" s="1" t="str">
        <f>MID(analisis_productividad__4[[#This Row],[Periodo]],1,4)</f>
        <v>2024</v>
      </c>
      <c r="D1731" s="1" t="str">
        <f>MID(analisis_productividad__4[[#This Row],[Periodo]],5,2)</f>
        <v>08</v>
      </c>
      <c r="E1731" s="1" t="s">
        <v>16</v>
      </c>
      <c r="F1731" s="1" t="s">
        <v>21</v>
      </c>
      <c r="G1731" s="1">
        <v>80211</v>
      </c>
      <c r="H1731" s="1">
        <v>4977322</v>
      </c>
      <c r="I1731" s="1">
        <v>62.052600806451615</v>
      </c>
      <c r="J1731" s="1">
        <v>0</v>
      </c>
      <c r="K1731" s="1">
        <v>60.5</v>
      </c>
      <c r="L1731" s="1">
        <v>60.5</v>
      </c>
      <c r="M1731" s="1"/>
      <c r="N1731" s="1">
        <v>0</v>
      </c>
    </row>
    <row r="1732" spans="1:14" x14ac:dyDescent="0.35">
      <c r="A1732" s="1" t="s">
        <v>77</v>
      </c>
      <c r="B1732" s="1">
        <v>202509</v>
      </c>
      <c r="C1732" s="1" t="str">
        <f>MID(analisis_productividad__4[[#This Row],[Periodo]],1,4)</f>
        <v>2025</v>
      </c>
      <c r="D1732" s="1" t="str">
        <f>MID(analisis_productividad__4[[#This Row],[Periodo]],5,2)</f>
        <v>09</v>
      </c>
      <c r="E1732" s="1" t="s">
        <v>16</v>
      </c>
      <c r="F1732" s="1" t="s">
        <v>21</v>
      </c>
      <c r="G1732" s="1">
        <v>80198</v>
      </c>
      <c r="H1732" s="1">
        <v>3987921</v>
      </c>
      <c r="I1732" s="1">
        <v>49.725812500000004</v>
      </c>
      <c r="J1732" s="1">
        <v>74963.803301727967</v>
      </c>
      <c r="K1732" s="1">
        <v>60.5</v>
      </c>
      <c r="L1732" s="1">
        <v>60.5</v>
      </c>
      <c r="M1732" s="1">
        <v>53.197951335909281</v>
      </c>
      <c r="N1732" s="1">
        <v>4871290</v>
      </c>
    </row>
    <row r="1733" spans="1:14" x14ac:dyDescent="0.35">
      <c r="A1733" s="1" t="s">
        <v>101</v>
      </c>
      <c r="B1733" s="1">
        <v>202605</v>
      </c>
      <c r="C1733" s="1" t="str">
        <f>MID(analisis_productividad__4[[#This Row],[Periodo]],1,4)</f>
        <v>2026</v>
      </c>
      <c r="D1733" s="1" t="str">
        <f>MID(analisis_productividad__4[[#This Row],[Periodo]],5,2)</f>
        <v>05</v>
      </c>
      <c r="E1733" s="1" t="s">
        <v>9</v>
      </c>
      <c r="F1733" s="1" t="s">
        <v>9</v>
      </c>
      <c r="G1733" s="1">
        <v>80186</v>
      </c>
      <c r="H1733" s="1">
        <v>359753</v>
      </c>
      <c r="I1733" s="1">
        <v>4.4864919354838682</v>
      </c>
      <c r="J1733" s="1">
        <v>45816.244808223208</v>
      </c>
      <c r="K1733" s="1">
        <v>8.5</v>
      </c>
      <c r="L1733" s="1">
        <v>6.5</v>
      </c>
      <c r="M1733" s="1">
        <v>7.4225653700663532</v>
      </c>
      <c r="N1733" s="1">
        <v>340074</v>
      </c>
    </row>
    <row r="1734" spans="1:14" x14ac:dyDescent="0.35">
      <c r="A1734" s="1" t="s">
        <v>42</v>
      </c>
      <c r="B1734" s="1">
        <v>202402</v>
      </c>
      <c r="C1734" s="1" t="str">
        <f>MID(analisis_productividad__4[[#This Row],[Periodo]],1,4)</f>
        <v>2024</v>
      </c>
      <c r="D1734" s="1" t="str">
        <f>MID(analisis_productividad__4[[#This Row],[Periodo]],5,2)</f>
        <v>02</v>
      </c>
      <c r="E1734" s="1" t="s">
        <v>16</v>
      </c>
      <c r="F1734" s="1" t="s">
        <v>19</v>
      </c>
      <c r="G1734" s="1">
        <v>80177</v>
      </c>
      <c r="H1734" s="1">
        <v>5038490</v>
      </c>
      <c r="I1734" s="1">
        <v>62.841997126436766</v>
      </c>
      <c r="J1734" s="1">
        <v>0</v>
      </c>
      <c r="K1734" s="1">
        <v>62</v>
      </c>
      <c r="L1734" s="1">
        <v>58</v>
      </c>
      <c r="M1734" s="1"/>
      <c r="N1734" s="1">
        <v>0</v>
      </c>
    </row>
    <row r="1735" spans="1:14" x14ac:dyDescent="0.35">
      <c r="A1735" s="1" t="s">
        <v>72</v>
      </c>
      <c r="B1735" s="1">
        <v>202601</v>
      </c>
      <c r="C1735" s="1" t="str">
        <f>MID(analisis_productividad__4[[#This Row],[Periodo]],1,4)</f>
        <v>2026</v>
      </c>
      <c r="D1735" s="1" t="str">
        <f>MID(analisis_productividad__4[[#This Row],[Periodo]],5,2)</f>
        <v>01</v>
      </c>
      <c r="E1735" s="1" t="s">
        <v>11</v>
      </c>
      <c r="F1735" s="1" t="s">
        <v>14</v>
      </c>
      <c r="G1735" s="1">
        <v>80169</v>
      </c>
      <c r="H1735" s="1">
        <v>4687882</v>
      </c>
      <c r="I1735" s="1">
        <v>58.475073924731198</v>
      </c>
      <c r="J1735" s="1">
        <v>88928.679485193294</v>
      </c>
      <c r="K1735" s="1">
        <v>66</v>
      </c>
      <c r="L1735" s="1">
        <v>64.5</v>
      </c>
      <c r="M1735" s="1">
        <v>56.772923994003754</v>
      </c>
      <c r="N1735" s="1">
        <v>5048741</v>
      </c>
    </row>
    <row r="1736" spans="1:14" x14ac:dyDescent="0.35">
      <c r="A1736" s="1" t="s">
        <v>74</v>
      </c>
      <c r="B1736" s="1">
        <v>202508</v>
      </c>
      <c r="C1736" s="1" t="str">
        <f>MID(analisis_productividad__4[[#This Row],[Periodo]],1,4)</f>
        <v>2025</v>
      </c>
      <c r="D1736" s="1" t="str">
        <f>MID(analisis_productividad__4[[#This Row],[Periodo]],5,2)</f>
        <v>08</v>
      </c>
      <c r="E1736" s="1" t="s">
        <v>16</v>
      </c>
      <c r="F1736" s="1" t="s">
        <v>19</v>
      </c>
      <c r="G1736" s="1">
        <v>80140</v>
      </c>
      <c r="H1736" s="1">
        <v>3532919</v>
      </c>
      <c r="I1736" s="1">
        <v>44.084428763440854</v>
      </c>
      <c r="J1736" s="1">
        <v>86799.994177391316</v>
      </c>
      <c r="K1736" s="1">
        <v>50.5</v>
      </c>
      <c r="L1736" s="1">
        <v>51.5</v>
      </c>
      <c r="M1736" s="1">
        <v>40.701830840908222</v>
      </c>
      <c r="N1736" s="1">
        <v>3916313</v>
      </c>
    </row>
    <row r="1737" spans="1:14" x14ac:dyDescent="0.35">
      <c r="A1737" s="1" t="s">
        <v>59</v>
      </c>
      <c r="B1737" s="1">
        <v>202504</v>
      </c>
      <c r="C1737" s="1" t="str">
        <f>MID(analisis_productividad__4[[#This Row],[Periodo]],1,4)</f>
        <v>2025</v>
      </c>
      <c r="D1737" s="1" t="str">
        <f>MID(analisis_productividad__4[[#This Row],[Periodo]],5,2)</f>
        <v>04</v>
      </c>
      <c r="E1737" s="1" t="s">
        <v>11</v>
      </c>
      <c r="F1737" s="1" t="s">
        <v>12</v>
      </c>
      <c r="G1737" s="1">
        <v>80139</v>
      </c>
      <c r="H1737" s="1">
        <v>7178766</v>
      </c>
      <c r="I1737" s="1">
        <v>89.578951388888967</v>
      </c>
      <c r="J1737" s="1">
        <v>79749.181192483389</v>
      </c>
      <c r="K1737" s="1">
        <v>94.5</v>
      </c>
      <c r="L1737" s="1">
        <v>97</v>
      </c>
      <c r="M1737" s="1">
        <v>90.016794688753777</v>
      </c>
      <c r="N1737" s="1">
        <v>7789994</v>
      </c>
    </row>
    <row r="1738" spans="1:14" x14ac:dyDescent="0.35">
      <c r="A1738" s="1" t="s">
        <v>66</v>
      </c>
      <c r="B1738" s="1">
        <v>202502</v>
      </c>
      <c r="C1738" s="1" t="str">
        <f>MID(analisis_productividad__4[[#This Row],[Periodo]],1,4)</f>
        <v>2025</v>
      </c>
      <c r="D1738" s="1" t="str">
        <f>MID(analisis_productividad__4[[#This Row],[Periodo]],5,2)</f>
        <v>02</v>
      </c>
      <c r="E1738" s="1" t="s">
        <v>11</v>
      </c>
      <c r="F1738" s="1" t="s">
        <v>12</v>
      </c>
      <c r="G1738" s="1">
        <v>80136</v>
      </c>
      <c r="H1738" s="1">
        <v>6126513</v>
      </c>
      <c r="I1738" s="1">
        <v>76.451562500000009</v>
      </c>
      <c r="J1738" s="1">
        <v>81904.7769617265</v>
      </c>
      <c r="K1738" s="1">
        <v>80</v>
      </c>
      <c r="L1738" s="1">
        <v>80.5</v>
      </c>
      <c r="M1738" s="1">
        <v>74.800437376966116</v>
      </c>
      <c r="N1738" s="1">
        <v>6225962</v>
      </c>
    </row>
    <row r="1739" spans="1:14" x14ac:dyDescent="0.35">
      <c r="A1739" s="1" t="s">
        <v>92</v>
      </c>
      <c r="B1739" s="1">
        <v>202503</v>
      </c>
      <c r="C1739" s="1" t="str">
        <f>MID(analisis_productividad__4[[#This Row],[Periodo]],1,4)</f>
        <v>2025</v>
      </c>
      <c r="D1739" s="1" t="str">
        <f>MID(analisis_productividad__4[[#This Row],[Periodo]],5,2)</f>
        <v>03</v>
      </c>
      <c r="E1739" s="1" t="s">
        <v>11</v>
      </c>
      <c r="F1739" s="1" t="s">
        <v>14</v>
      </c>
      <c r="G1739" s="1">
        <v>80110</v>
      </c>
      <c r="H1739" s="1">
        <v>4986772</v>
      </c>
      <c r="I1739" s="1">
        <v>62.24933467741937</v>
      </c>
      <c r="J1739" s="1">
        <v>84415.059109808251</v>
      </c>
      <c r="K1739" s="1">
        <v>63</v>
      </c>
      <c r="L1739" s="1">
        <v>59</v>
      </c>
      <c r="M1739" s="1">
        <v>59.074431773045845</v>
      </c>
      <c r="N1739" s="1">
        <v>4784363</v>
      </c>
    </row>
    <row r="1740" spans="1:14" x14ac:dyDescent="0.35">
      <c r="A1740" s="1" t="s">
        <v>47</v>
      </c>
      <c r="B1740" s="1">
        <v>202504</v>
      </c>
      <c r="C1740" s="1" t="str">
        <f>MID(analisis_productividad__4[[#This Row],[Periodo]],1,4)</f>
        <v>2025</v>
      </c>
      <c r="D1740" s="1" t="str">
        <f>MID(analisis_productividad__4[[#This Row],[Periodo]],5,2)</f>
        <v>04</v>
      </c>
      <c r="E1740" s="1" t="s">
        <v>11</v>
      </c>
      <c r="F1740" s="1" t="s">
        <v>14</v>
      </c>
      <c r="G1740" s="1">
        <v>80091</v>
      </c>
      <c r="H1740" s="1">
        <v>4308565</v>
      </c>
      <c r="I1740" s="1">
        <v>53.796118055555596</v>
      </c>
      <c r="J1740" s="1">
        <v>72763.565155717224</v>
      </c>
      <c r="K1740" s="1">
        <v>61.5</v>
      </c>
      <c r="L1740" s="1">
        <v>48.5</v>
      </c>
      <c r="M1740" s="1">
        <v>59.21322423907462</v>
      </c>
      <c r="N1740" s="1">
        <v>4799193</v>
      </c>
    </row>
    <row r="1741" spans="1:14" x14ac:dyDescent="0.35">
      <c r="A1741" s="1" t="s">
        <v>73</v>
      </c>
      <c r="B1741" s="1">
        <v>202605</v>
      </c>
      <c r="C1741" s="1" t="str">
        <f>MID(analisis_productividad__4[[#This Row],[Periodo]],1,4)</f>
        <v>2026</v>
      </c>
      <c r="D1741" s="1" t="str">
        <f>MID(analisis_productividad__4[[#This Row],[Periodo]],5,2)</f>
        <v>05</v>
      </c>
      <c r="E1741" s="1" t="s">
        <v>16</v>
      </c>
      <c r="F1741" s="1" t="s">
        <v>21</v>
      </c>
      <c r="G1741" s="1">
        <v>80080</v>
      </c>
      <c r="H1741" s="1">
        <v>2870301</v>
      </c>
      <c r="I1741" s="1">
        <v>35.843057795699536</v>
      </c>
      <c r="J1741" s="1">
        <v>79000.43758927111</v>
      </c>
      <c r="K1741" s="1">
        <v>43.5</v>
      </c>
      <c r="L1741" s="1">
        <v>41</v>
      </c>
      <c r="M1741" s="1">
        <v>38.914029696684921</v>
      </c>
      <c r="N1741" s="1">
        <v>3074225</v>
      </c>
    </row>
    <row r="1742" spans="1:14" x14ac:dyDescent="0.35">
      <c r="A1742" s="1" t="s">
        <v>71</v>
      </c>
      <c r="B1742" s="1">
        <v>202412</v>
      </c>
      <c r="C1742" s="1" t="str">
        <f>MID(analisis_productividad__4[[#This Row],[Periodo]],1,4)</f>
        <v>2024</v>
      </c>
      <c r="D1742" s="1" t="str">
        <f>MID(analisis_productividad__4[[#This Row],[Periodo]],5,2)</f>
        <v>12</v>
      </c>
      <c r="E1742" s="1" t="s">
        <v>16</v>
      </c>
      <c r="F1742" s="1" t="s">
        <v>19</v>
      </c>
      <c r="G1742" s="1">
        <v>80060</v>
      </c>
      <c r="H1742" s="1">
        <v>3354876</v>
      </c>
      <c r="I1742" s="1">
        <v>41.904690860215062</v>
      </c>
      <c r="J1742" s="1">
        <v>0</v>
      </c>
      <c r="K1742" s="1">
        <v>41.5</v>
      </c>
      <c r="L1742" s="1">
        <v>35.5</v>
      </c>
      <c r="M1742" s="1"/>
      <c r="N1742" s="1">
        <v>0</v>
      </c>
    </row>
    <row r="1743" spans="1:14" x14ac:dyDescent="0.35">
      <c r="A1743" s="1" t="s">
        <v>76</v>
      </c>
      <c r="B1743" s="1">
        <v>202405</v>
      </c>
      <c r="C1743" s="1" t="str">
        <f>MID(analisis_productividad__4[[#This Row],[Periodo]],1,4)</f>
        <v>2024</v>
      </c>
      <c r="D1743" s="1" t="str">
        <f>MID(analisis_productividad__4[[#This Row],[Periodo]],5,2)</f>
        <v>05</v>
      </c>
      <c r="E1743" s="1" t="s">
        <v>11</v>
      </c>
      <c r="F1743" s="1" t="s">
        <v>14</v>
      </c>
      <c r="G1743" s="1">
        <v>80059</v>
      </c>
      <c r="H1743" s="1">
        <v>6266914</v>
      </c>
      <c r="I1743" s="1">
        <v>78.278252688172088</v>
      </c>
      <c r="J1743" s="1">
        <v>0</v>
      </c>
      <c r="K1743" s="1">
        <v>80</v>
      </c>
      <c r="L1743" s="1">
        <v>78</v>
      </c>
      <c r="M1743" s="1"/>
      <c r="N1743" s="1">
        <v>0</v>
      </c>
    </row>
    <row r="1744" spans="1:14" x14ac:dyDescent="0.35">
      <c r="A1744" s="1" t="s">
        <v>89</v>
      </c>
      <c r="B1744" s="1">
        <v>202405</v>
      </c>
      <c r="C1744" s="1" t="str">
        <f>MID(analisis_productividad__4[[#This Row],[Periodo]],1,4)</f>
        <v>2024</v>
      </c>
      <c r="D1744" s="1" t="str">
        <f>MID(analisis_productividad__4[[#This Row],[Periodo]],5,2)</f>
        <v>05</v>
      </c>
      <c r="E1744" s="1" t="s">
        <v>9</v>
      </c>
      <c r="F1744" s="1" t="s">
        <v>9</v>
      </c>
      <c r="G1744" s="1">
        <v>80058</v>
      </c>
      <c r="H1744" s="1">
        <v>1027138</v>
      </c>
      <c r="I1744" s="1">
        <v>12.829946236559142</v>
      </c>
      <c r="J1744" s="1">
        <v>0</v>
      </c>
      <c r="K1744" s="1">
        <v>17</v>
      </c>
      <c r="L1744" s="1">
        <v>13.5</v>
      </c>
      <c r="M1744" s="1"/>
      <c r="N1744" s="1">
        <v>0</v>
      </c>
    </row>
    <row r="1745" spans="1:14" x14ac:dyDescent="0.35">
      <c r="A1745" s="1" t="s">
        <v>102</v>
      </c>
      <c r="B1745" s="1">
        <v>202603</v>
      </c>
      <c r="C1745" s="1" t="str">
        <f>MID(analisis_productividad__4[[#This Row],[Periodo]],1,4)</f>
        <v>2026</v>
      </c>
      <c r="D1745" s="1" t="str">
        <f>MID(analisis_productividad__4[[#This Row],[Periodo]],5,2)</f>
        <v>03</v>
      </c>
      <c r="E1745" s="1" t="s">
        <v>11</v>
      </c>
      <c r="F1745" s="1" t="s">
        <v>12</v>
      </c>
      <c r="G1745" s="1">
        <v>80035</v>
      </c>
      <c r="H1745" s="1">
        <v>2493929</v>
      </c>
      <c r="I1745" s="1">
        <v>31.160678763440849</v>
      </c>
      <c r="J1745" s="1">
        <v>83393.469950881772</v>
      </c>
      <c r="K1745" s="1">
        <v>34</v>
      </c>
      <c r="L1745" s="1">
        <v>34</v>
      </c>
      <c r="M1745" s="1">
        <v>29.696606396863505</v>
      </c>
      <c r="N1745" s="1">
        <v>2476503</v>
      </c>
    </row>
    <row r="1746" spans="1:14" x14ac:dyDescent="0.35">
      <c r="A1746" s="1" t="s">
        <v>77</v>
      </c>
      <c r="B1746" s="1">
        <v>202501</v>
      </c>
      <c r="C1746" s="1" t="str">
        <f>MID(analisis_productividad__4[[#This Row],[Periodo]],1,4)</f>
        <v>2025</v>
      </c>
      <c r="D1746" s="1" t="str">
        <f>MID(analisis_productividad__4[[#This Row],[Periodo]],5,2)</f>
        <v>01</v>
      </c>
      <c r="E1746" s="1" t="s">
        <v>16</v>
      </c>
      <c r="F1746" s="1" t="s">
        <v>21</v>
      </c>
      <c r="G1746" s="1">
        <v>80011</v>
      </c>
      <c r="H1746" s="1">
        <v>4657651</v>
      </c>
      <c r="I1746" s="1">
        <v>58.21295026881721</v>
      </c>
      <c r="J1746" s="1">
        <v>79072.291288082677</v>
      </c>
      <c r="K1746" s="1">
        <v>60.5</v>
      </c>
      <c r="L1746" s="1">
        <v>60.5</v>
      </c>
      <c r="M1746" s="1">
        <v>58.903708671231762</v>
      </c>
      <c r="N1746" s="1">
        <v>4994759</v>
      </c>
    </row>
    <row r="1747" spans="1:14" x14ac:dyDescent="0.35">
      <c r="A1747" s="1" t="s">
        <v>80</v>
      </c>
      <c r="B1747" s="1">
        <v>202504</v>
      </c>
      <c r="C1747" s="1" t="str">
        <f>MID(analisis_productividad__4[[#This Row],[Periodo]],1,4)</f>
        <v>2025</v>
      </c>
      <c r="D1747" s="1" t="str">
        <f>MID(analisis_productividad__4[[#This Row],[Periodo]],5,2)</f>
        <v>04</v>
      </c>
      <c r="E1747" s="1" t="s">
        <v>16</v>
      </c>
      <c r="F1747" s="1" t="s">
        <v>17</v>
      </c>
      <c r="G1747" s="1">
        <v>79991</v>
      </c>
      <c r="H1747" s="1">
        <v>4187109</v>
      </c>
      <c r="I1747" s="1">
        <v>52.345027777777773</v>
      </c>
      <c r="J1747" s="1">
        <v>74188.884091300308</v>
      </c>
      <c r="K1747" s="1">
        <v>58</v>
      </c>
      <c r="L1747" s="1">
        <v>58.5</v>
      </c>
      <c r="M1747" s="1">
        <v>56.438497509238019</v>
      </c>
      <c r="N1747" s="1">
        <v>4427102</v>
      </c>
    </row>
    <row r="1748" spans="1:14" x14ac:dyDescent="0.35">
      <c r="A1748" s="1" t="s">
        <v>67</v>
      </c>
      <c r="B1748" s="1">
        <v>202506</v>
      </c>
      <c r="C1748" s="1" t="str">
        <f>MID(analisis_productividad__4[[#This Row],[Periodo]],1,4)</f>
        <v>2025</v>
      </c>
      <c r="D1748" s="1" t="str">
        <f>MID(analisis_productividad__4[[#This Row],[Periodo]],5,2)</f>
        <v>06</v>
      </c>
      <c r="E1748" s="1" t="s">
        <v>16</v>
      </c>
      <c r="F1748" s="1" t="s">
        <v>19</v>
      </c>
      <c r="G1748" s="1">
        <v>79984</v>
      </c>
      <c r="H1748" s="1">
        <v>5705212</v>
      </c>
      <c r="I1748" s="1">
        <v>71.329805555555552</v>
      </c>
      <c r="J1748" s="1">
        <v>85472.870323763447</v>
      </c>
      <c r="K1748" s="1">
        <v>79.5</v>
      </c>
      <c r="L1748" s="1">
        <v>81.5</v>
      </c>
      <c r="M1748" s="1">
        <v>66.748811153634762</v>
      </c>
      <c r="N1748" s="1">
        <v>5978112</v>
      </c>
    </row>
    <row r="1749" spans="1:14" x14ac:dyDescent="0.35">
      <c r="A1749" s="1" t="s">
        <v>70</v>
      </c>
      <c r="B1749" s="1">
        <v>202401</v>
      </c>
      <c r="C1749" s="1" t="str">
        <f>MID(analisis_productividad__4[[#This Row],[Periodo]],1,4)</f>
        <v>2024</v>
      </c>
      <c r="D1749" s="1" t="str">
        <f>MID(analisis_productividad__4[[#This Row],[Periodo]],5,2)</f>
        <v>01</v>
      </c>
      <c r="E1749" s="1" t="s">
        <v>11</v>
      </c>
      <c r="F1749" s="1" t="s">
        <v>14</v>
      </c>
      <c r="G1749" s="1">
        <v>79965</v>
      </c>
      <c r="H1749" s="1">
        <v>4631560</v>
      </c>
      <c r="I1749" s="1">
        <v>57.919731182795715</v>
      </c>
      <c r="J1749" s="1">
        <v>0</v>
      </c>
      <c r="K1749" s="1">
        <v>65</v>
      </c>
      <c r="L1749" s="1">
        <v>67.5</v>
      </c>
      <c r="M1749" s="1"/>
      <c r="N1749" s="1">
        <v>0</v>
      </c>
    </row>
    <row r="1750" spans="1:14" x14ac:dyDescent="0.35">
      <c r="A1750" s="1" t="s">
        <v>62</v>
      </c>
      <c r="B1750" s="1">
        <v>202410</v>
      </c>
      <c r="C1750" s="1" t="str">
        <f>MID(analisis_productividad__4[[#This Row],[Periodo]],1,4)</f>
        <v>2024</v>
      </c>
      <c r="D1750" s="1" t="str">
        <f>MID(analisis_productividad__4[[#This Row],[Periodo]],5,2)</f>
        <v>10</v>
      </c>
      <c r="E1750" s="1" t="s">
        <v>16</v>
      </c>
      <c r="F1750" s="1" t="s">
        <v>17</v>
      </c>
      <c r="G1750" s="1">
        <v>79964</v>
      </c>
      <c r="H1750" s="1">
        <v>2151441</v>
      </c>
      <c r="I1750" s="1">
        <v>26.904979838709675</v>
      </c>
      <c r="J1750" s="1">
        <v>0</v>
      </c>
      <c r="K1750" s="1">
        <v>32.5</v>
      </c>
      <c r="L1750" s="1">
        <v>32</v>
      </c>
      <c r="M1750" s="1"/>
      <c r="N1750" s="1">
        <v>0</v>
      </c>
    </row>
    <row r="1751" spans="1:14" x14ac:dyDescent="0.35">
      <c r="A1751" s="1" t="s">
        <v>90</v>
      </c>
      <c r="B1751" s="1">
        <v>202408</v>
      </c>
      <c r="C1751" s="1" t="str">
        <f>MID(analisis_productividad__4[[#This Row],[Periodo]],1,4)</f>
        <v>2024</v>
      </c>
      <c r="D1751" s="1" t="str">
        <f>MID(analisis_productividad__4[[#This Row],[Periodo]],5,2)</f>
        <v>08</v>
      </c>
      <c r="E1751" s="1" t="s">
        <v>11</v>
      </c>
      <c r="F1751" s="1" t="s">
        <v>14</v>
      </c>
      <c r="G1751" s="1">
        <v>79948</v>
      </c>
      <c r="H1751" s="1">
        <v>5652288</v>
      </c>
      <c r="I1751" s="1">
        <v>70.699905913978469</v>
      </c>
      <c r="J1751" s="1">
        <v>0</v>
      </c>
      <c r="K1751" s="1">
        <v>84.5</v>
      </c>
      <c r="L1751" s="1">
        <v>78.5</v>
      </c>
      <c r="M1751" s="1"/>
      <c r="N1751" s="1">
        <v>0</v>
      </c>
    </row>
    <row r="1752" spans="1:14" x14ac:dyDescent="0.35">
      <c r="A1752" s="1" t="s">
        <v>48</v>
      </c>
      <c r="B1752" s="1">
        <v>202509</v>
      </c>
      <c r="C1752" s="1" t="str">
        <f>MID(analisis_productividad__4[[#This Row],[Periodo]],1,4)</f>
        <v>2025</v>
      </c>
      <c r="D1752" s="1" t="str">
        <f>MID(analisis_productividad__4[[#This Row],[Periodo]],5,2)</f>
        <v>09</v>
      </c>
      <c r="E1752" s="1" t="s">
        <v>16</v>
      </c>
      <c r="F1752" s="1" t="s">
        <v>21</v>
      </c>
      <c r="G1752" s="1">
        <v>79942</v>
      </c>
      <c r="H1752" s="1">
        <v>3990594</v>
      </c>
      <c r="I1752" s="1">
        <v>49.918506944444474</v>
      </c>
      <c r="J1752" s="1">
        <v>64830.257137422894</v>
      </c>
      <c r="K1752" s="1">
        <v>56</v>
      </c>
      <c r="L1752" s="1">
        <v>60</v>
      </c>
      <c r="M1752" s="1">
        <v>61.554499954257516</v>
      </c>
      <c r="N1752" s="1">
        <v>4133638</v>
      </c>
    </row>
    <row r="1753" spans="1:14" x14ac:dyDescent="0.35">
      <c r="A1753" s="1" t="s">
        <v>10</v>
      </c>
      <c r="B1753" s="1">
        <v>202402</v>
      </c>
      <c r="C1753" s="1" t="str">
        <f>MID(analisis_productividad__4[[#This Row],[Periodo]],1,4)</f>
        <v>2024</v>
      </c>
      <c r="D1753" s="1" t="str">
        <f>MID(analisis_productividad__4[[#This Row],[Periodo]],5,2)</f>
        <v>02</v>
      </c>
      <c r="E1753" s="1" t="s">
        <v>11</v>
      </c>
      <c r="F1753" s="1" t="s">
        <v>12</v>
      </c>
      <c r="G1753" s="1">
        <v>79933</v>
      </c>
      <c r="H1753" s="1">
        <v>7788662</v>
      </c>
      <c r="I1753" s="1">
        <v>97.439446839080517</v>
      </c>
      <c r="J1753" s="1">
        <v>0</v>
      </c>
      <c r="K1753" s="1">
        <v>98.5</v>
      </c>
      <c r="L1753" s="1">
        <v>96.5</v>
      </c>
      <c r="M1753" s="1"/>
      <c r="N1753" s="1">
        <v>0</v>
      </c>
    </row>
    <row r="1754" spans="1:14" x14ac:dyDescent="0.35">
      <c r="A1754" s="1" t="s">
        <v>87</v>
      </c>
      <c r="B1754" s="1">
        <v>202407</v>
      </c>
      <c r="C1754" s="1" t="str">
        <f>MID(analisis_productividad__4[[#This Row],[Periodo]],1,4)</f>
        <v>2024</v>
      </c>
      <c r="D1754" s="1" t="str">
        <f>MID(analisis_productividad__4[[#This Row],[Periodo]],5,2)</f>
        <v>07</v>
      </c>
      <c r="E1754" s="1" t="s">
        <v>9</v>
      </c>
      <c r="F1754" s="1" t="s">
        <v>9</v>
      </c>
      <c r="G1754" s="1">
        <v>79913</v>
      </c>
      <c r="H1754" s="1">
        <v>1013992</v>
      </c>
      <c r="I1754" s="1">
        <v>12.688629032258069</v>
      </c>
      <c r="J1754" s="1">
        <v>0</v>
      </c>
      <c r="K1754" s="1">
        <v>13.5</v>
      </c>
      <c r="L1754" s="1">
        <v>12</v>
      </c>
      <c r="M1754" s="1"/>
      <c r="N1754" s="1">
        <v>0</v>
      </c>
    </row>
    <row r="1755" spans="1:14" x14ac:dyDescent="0.35">
      <c r="A1755" s="1" t="s">
        <v>18</v>
      </c>
      <c r="B1755" s="1">
        <v>202501</v>
      </c>
      <c r="C1755" s="1" t="str">
        <f>MID(analisis_productividad__4[[#This Row],[Periodo]],1,4)</f>
        <v>2025</v>
      </c>
      <c r="D1755" s="1" t="str">
        <f>MID(analisis_productividad__4[[#This Row],[Periodo]],5,2)</f>
        <v>01</v>
      </c>
      <c r="E1755" s="1" t="s">
        <v>16</v>
      </c>
      <c r="F1755" s="1" t="s">
        <v>19</v>
      </c>
      <c r="G1755" s="1">
        <v>79905</v>
      </c>
      <c r="H1755" s="1">
        <v>5105255</v>
      </c>
      <c r="I1755" s="1">
        <v>63.891323924731175</v>
      </c>
      <c r="J1755" s="1">
        <v>91532.413902217522</v>
      </c>
      <c r="K1755" s="1">
        <v>70.5</v>
      </c>
      <c r="L1755" s="1">
        <v>69.5</v>
      </c>
      <c r="M1755" s="1">
        <v>55.775380352733357</v>
      </c>
      <c r="N1755" s="1">
        <v>4999534</v>
      </c>
    </row>
    <row r="1756" spans="1:14" x14ac:dyDescent="0.35">
      <c r="A1756" s="1" t="s">
        <v>89</v>
      </c>
      <c r="B1756" s="1">
        <v>202601</v>
      </c>
      <c r="C1756" s="1" t="str">
        <f>MID(analisis_productividad__4[[#This Row],[Periodo]],1,4)</f>
        <v>2026</v>
      </c>
      <c r="D1756" s="1" t="str">
        <f>MID(analisis_productividad__4[[#This Row],[Periodo]],5,2)</f>
        <v>01</v>
      </c>
      <c r="E1756" s="1" t="s">
        <v>9</v>
      </c>
      <c r="F1756" s="1" t="s">
        <v>9</v>
      </c>
      <c r="G1756" s="1">
        <v>79900</v>
      </c>
      <c r="H1756" s="1">
        <v>974815</v>
      </c>
      <c r="I1756" s="1">
        <v>12.200416666666666</v>
      </c>
      <c r="J1756" s="1">
        <v>72045.69236353111</v>
      </c>
      <c r="K1756" s="1">
        <v>17</v>
      </c>
      <c r="L1756" s="1">
        <v>13.5</v>
      </c>
      <c r="M1756" s="1">
        <v>14.845130740132706</v>
      </c>
      <c r="N1756" s="1">
        <v>1069528</v>
      </c>
    </row>
    <row r="1757" spans="1:14" x14ac:dyDescent="0.35">
      <c r="A1757" s="1" t="s">
        <v>67</v>
      </c>
      <c r="B1757" s="1">
        <v>202405</v>
      </c>
      <c r="C1757" s="1" t="str">
        <f>MID(analisis_productividad__4[[#This Row],[Periodo]],1,4)</f>
        <v>2024</v>
      </c>
      <c r="D1757" s="1" t="str">
        <f>MID(analisis_productividad__4[[#This Row],[Periodo]],5,2)</f>
        <v>05</v>
      </c>
      <c r="E1757" s="1" t="s">
        <v>16</v>
      </c>
      <c r="F1757" s="1" t="s">
        <v>19</v>
      </c>
      <c r="G1757" s="1">
        <v>79898</v>
      </c>
      <c r="H1757" s="1">
        <v>5834515</v>
      </c>
      <c r="I1757" s="1">
        <v>73.024865591397884</v>
      </c>
      <c r="J1757" s="1">
        <v>0</v>
      </c>
      <c r="K1757" s="1">
        <v>79.5</v>
      </c>
      <c r="L1757" s="1">
        <v>81.5</v>
      </c>
      <c r="M1757" s="1"/>
      <c r="N1757" s="1">
        <v>0</v>
      </c>
    </row>
    <row r="1758" spans="1:14" x14ac:dyDescent="0.35">
      <c r="A1758" s="1" t="s">
        <v>41</v>
      </c>
      <c r="B1758" s="1">
        <v>202404</v>
      </c>
      <c r="C1758" s="1" t="str">
        <f>MID(analisis_productividad__4[[#This Row],[Periodo]],1,4)</f>
        <v>2024</v>
      </c>
      <c r="D1758" s="1" t="str">
        <f>MID(analisis_productividad__4[[#This Row],[Periodo]],5,2)</f>
        <v>04</v>
      </c>
      <c r="E1758" s="1" t="s">
        <v>16</v>
      </c>
      <c r="F1758" s="1" t="s">
        <v>19</v>
      </c>
      <c r="G1758" s="1">
        <v>79897</v>
      </c>
      <c r="H1758" s="1">
        <v>4232878</v>
      </c>
      <c r="I1758" s="1">
        <v>52.979354166666674</v>
      </c>
      <c r="J1758" s="1">
        <v>0</v>
      </c>
      <c r="K1758" s="1">
        <v>57.5</v>
      </c>
      <c r="L1758" s="1">
        <v>56.5</v>
      </c>
      <c r="M1758" s="1"/>
      <c r="N1758" s="1">
        <v>0</v>
      </c>
    </row>
    <row r="1759" spans="1:14" x14ac:dyDescent="0.35">
      <c r="A1759" s="1" t="s">
        <v>72</v>
      </c>
      <c r="B1759" s="1">
        <v>202406</v>
      </c>
      <c r="C1759" s="1" t="str">
        <f>MID(analisis_productividad__4[[#This Row],[Periodo]],1,4)</f>
        <v>2024</v>
      </c>
      <c r="D1759" s="1" t="str">
        <f>MID(analisis_productividad__4[[#This Row],[Periodo]],5,2)</f>
        <v>06</v>
      </c>
      <c r="E1759" s="1" t="s">
        <v>11</v>
      </c>
      <c r="F1759" s="1" t="s">
        <v>14</v>
      </c>
      <c r="G1759" s="1">
        <v>79896</v>
      </c>
      <c r="H1759" s="1">
        <v>4977454</v>
      </c>
      <c r="I1759" s="1">
        <v>62.299027777777773</v>
      </c>
      <c r="J1759" s="1">
        <v>0</v>
      </c>
      <c r="K1759" s="1">
        <v>66</v>
      </c>
      <c r="L1759" s="1">
        <v>64.5</v>
      </c>
      <c r="M1759" s="1"/>
      <c r="N1759" s="1">
        <v>0</v>
      </c>
    </row>
    <row r="1760" spans="1:14" x14ac:dyDescent="0.35">
      <c r="A1760" s="1" t="s">
        <v>75</v>
      </c>
      <c r="B1760" s="1">
        <v>202601</v>
      </c>
      <c r="C1760" s="1" t="str">
        <f>MID(analisis_productividad__4[[#This Row],[Periodo]],1,4)</f>
        <v>2026</v>
      </c>
      <c r="D1760" s="1" t="str">
        <f>MID(analisis_productividad__4[[#This Row],[Periodo]],5,2)</f>
        <v>01</v>
      </c>
      <c r="E1760" s="1" t="s">
        <v>11</v>
      </c>
      <c r="F1760" s="1" t="s">
        <v>52</v>
      </c>
      <c r="G1760" s="1">
        <v>79893</v>
      </c>
      <c r="H1760" s="1">
        <v>8710152</v>
      </c>
      <c r="I1760" s="1">
        <v>109.02208333333334</v>
      </c>
      <c r="J1760" s="1">
        <v>96325.755267299843</v>
      </c>
      <c r="K1760" s="1">
        <v>118</v>
      </c>
      <c r="L1760" s="1">
        <v>106</v>
      </c>
      <c r="M1760" s="1">
        <v>102.17544085783207</v>
      </c>
      <c r="N1760" s="1">
        <v>9842127</v>
      </c>
    </row>
    <row r="1761" spans="1:14" x14ac:dyDescent="0.35">
      <c r="A1761" s="1" t="s">
        <v>81</v>
      </c>
      <c r="B1761" s="1">
        <v>202410</v>
      </c>
      <c r="C1761" s="1" t="str">
        <f>MID(analisis_productividad__4[[#This Row],[Periodo]],1,4)</f>
        <v>2024</v>
      </c>
      <c r="D1761" s="1" t="str">
        <f>MID(analisis_productividad__4[[#This Row],[Periodo]],5,2)</f>
        <v>10</v>
      </c>
      <c r="E1761" s="1" t="s">
        <v>34</v>
      </c>
      <c r="F1761" s="1" t="s">
        <v>35</v>
      </c>
      <c r="G1761" s="1">
        <v>79888</v>
      </c>
      <c r="H1761" s="1">
        <v>7280314</v>
      </c>
      <c r="I1761" s="1">
        <v>91.131202956989213</v>
      </c>
      <c r="J1761" s="1">
        <v>0</v>
      </c>
      <c r="K1761" s="1">
        <v>106</v>
      </c>
      <c r="L1761" s="1">
        <v>94.5</v>
      </c>
      <c r="M1761" s="1"/>
      <c r="N1761" s="1">
        <v>0</v>
      </c>
    </row>
    <row r="1762" spans="1:14" x14ac:dyDescent="0.35">
      <c r="A1762" s="1" t="s">
        <v>82</v>
      </c>
      <c r="B1762" s="1">
        <v>202406</v>
      </c>
      <c r="C1762" s="1" t="str">
        <f>MID(analisis_productividad__4[[#This Row],[Periodo]],1,4)</f>
        <v>2024</v>
      </c>
      <c r="D1762" s="1" t="str">
        <f>MID(analisis_productividad__4[[#This Row],[Periodo]],5,2)</f>
        <v>06</v>
      </c>
      <c r="E1762" s="1" t="s">
        <v>11</v>
      </c>
      <c r="F1762" s="1" t="s">
        <v>12</v>
      </c>
      <c r="G1762" s="1">
        <v>79886</v>
      </c>
      <c r="H1762" s="1">
        <v>4266260</v>
      </c>
      <c r="I1762" s="1">
        <v>53.404361111111093</v>
      </c>
      <c r="J1762" s="1">
        <v>0</v>
      </c>
      <c r="K1762" s="1">
        <v>53.5</v>
      </c>
      <c r="L1762" s="1">
        <v>54</v>
      </c>
      <c r="M1762" s="1"/>
      <c r="N1762" s="1">
        <v>0</v>
      </c>
    </row>
    <row r="1763" spans="1:14" x14ac:dyDescent="0.35">
      <c r="A1763" s="1" t="s">
        <v>80</v>
      </c>
      <c r="B1763" s="1">
        <v>202506</v>
      </c>
      <c r="C1763" s="1" t="str">
        <f>MID(analisis_productividad__4[[#This Row],[Periodo]],1,4)</f>
        <v>2025</v>
      </c>
      <c r="D1763" s="1" t="str">
        <f>MID(analisis_productividad__4[[#This Row],[Periodo]],5,2)</f>
        <v>06</v>
      </c>
      <c r="E1763" s="1" t="s">
        <v>16</v>
      </c>
      <c r="F1763" s="1" t="s">
        <v>17</v>
      </c>
      <c r="G1763" s="1">
        <v>79872</v>
      </c>
      <c r="H1763" s="1">
        <v>4380564</v>
      </c>
      <c r="I1763" s="1">
        <v>54.844756944444448</v>
      </c>
      <c r="J1763" s="1">
        <v>82543.236507142123</v>
      </c>
      <c r="K1763" s="1">
        <v>58</v>
      </c>
      <c r="L1763" s="1">
        <v>58.5</v>
      </c>
      <c r="M1763" s="1">
        <v>53.069930927907912</v>
      </c>
      <c r="N1763" s="1">
        <v>4376185</v>
      </c>
    </row>
    <row r="1764" spans="1:14" x14ac:dyDescent="0.35">
      <c r="A1764" s="1" t="s">
        <v>90</v>
      </c>
      <c r="B1764" s="1">
        <v>202507</v>
      </c>
      <c r="C1764" s="1" t="str">
        <f>MID(analisis_productividad__4[[#This Row],[Periodo]],1,4)</f>
        <v>2025</v>
      </c>
      <c r="D1764" s="1" t="str">
        <f>MID(analisis_productividad__4[[#This Row],[Periodo]],5,2)</f>
        <v>07</v>
      </c>
      <c r="E1764" s="1" t="s">
        <v>11</v>
      </c>
      <c r="F1764" s="1" t="s">
        <v>14</v>
      </c>
      <c r="G1764" s="1">
        <v>79825</v>
      </c>
      <c r="H1764" s="1">
        <v>5545947</v>
      </c>
      <c r="I1764" s="1">
        <v>69.476176075268839</v>
      </c>
      <c r="J1764" s="1">
        <v>72752.896810425926</v>
      </c>
      <c r="K1764" s="1">
        <v>84.5</v>
      </c>
      <c r="L1764" s="1">
        <v>78.5</v>
      </c>
      <c r="M1764" s="1">
        <v>76.229915689147276</v>
      </c>
      <c r="N1764" s="1">
        <v>6386710</v>
      </c>
    </row>
    <row r="1765" spans="1:14" x14ac:dyDescent="0.35">
      <c r="A1765" s="1" t="s">
        <v>79</v>
      </c>
      <c r="B1765" s="1">
        <v>202606</v>
      </c>
      <c r="C1765" s="1" t="str">
        <f>MID(analisis_productividad__4[[#This Row],[Periodo]],1,4)</f>
        <v>2026</v>
      </c>
      <c r="D1765" s="1" t="str">
        <f>MID(analisis_productividad__4[[#This Row],[Periodo]],5,2)</f>
        <v>06</v>
      </c>
      <c r="E1765" s="1" t="s">
        <v>11</v>
      </c>
      <c r="F1765" s="1" t="s">
        <v>12</v>
      </c>
      <c r="G1765" s="1">
        <v>79818</v>
      </c>
      <c r="H1765" s="1">
        <v>4650391</v>
      </c>
      <c r="I1765" s="1">
        <v>58.262798611110945</v>
      </c>
      <c r="J1765" s="1">
        <v>88164.097580068483</v>
      </c>
      <c r="K1765" s="1">
        <v>64.5</v>
      </c>
      <c r="L1765" s="1">
        <v>64</v>
      </c>
      <c r="M1765" s="1">
        <v>54.966698955874868</v>
      </c>
      <c r="N1765" s="1">
        <v>4846089</v>
      </c>
    </row>
    <row r="1766" spans="1:14" x14ac:dyDescent="0.35">
      <c r="A1766" s="1" t="s">
        <v>54</v>
      </c>
      <c r="B1766" s="1">
        <v>202402</v>
      </c>
      <c r="C1766" s="1" t="str">
        <f>MID(analisis_productividad__4[[#This Row],[Periodo]],1,4)</f>
        <v>2024</v>
      </c>
      <c r="D1766" s="1" t="str">
        <f>MID(analisis_productividad__4[[#This Row],[Periodo]],5,2)</f>
        <v>02</v>
      </c>
      <c r="E1766" s="1" t="s">
        <v>11</v>
      </c>
      <c r="F1766" s="1" t="s">
        <v>52</v>
      </c>
      <c r="G1766" s="1">
        <v>79814</v>
      </c>
      <c r="H1766" s="1">
        <v>8860120</v>
      </c>
      <c r="I1766" s="1">
        <v>111.00928879310347</v>
      </c>
      <c r="J1766" s="1">
        <v>0</v>
      </c>
      <c r="K1766" s="1">
        <v>106</v>
      </c>
      <c r="L1766" s="1">
        <v>102.5</v>
      </c>
      <c r="M1766" s="1"/>
      <c r="N1766" s="1">
        <v>0</v>
      </c>
    </row>
    <row r="1767" spans="1:14" x14ac:dyDescent="0.35">
      <c r="A1767" s="1" t="s">
        <v>73</v>
      </c>
      <c r="B1767" s="1">
        <v>202601</v>
      </c>
      <c r="C1767" s="1" t="str">
        <f>MID(analisis_productividad__4[[#This Row],[Periodo]],1,4)</f>
        <v>2026</v>
      </c>
      <c r="D1767" s="1" t="str">
        <f>MID(analisis_productividad__4[[#This Row],[Periodo]],5,2)</f>
        <v>01</v>
      </c>
      <c r="E1767" s="1" t="s">
        <v>16</v>
      </c>
      <c r="F1767" s="1" t="s">
        <v>21</v>
      </c>
      <c r="G1767" s="1">
        <v>79811</v>
      </c>
      <c r="H1767" s="1">
        <v>2903155</v>
      </c>
      <c r="I1767" s="1">
        <v>36.375490591397835</v>
      </c>
      <c r="J1767" s="1">
        <v>78530.163900253523</v>
      </c>
      <c r="K1767" s="1">
        <v>43.5</v>
      </c>
      <c r="L1767" s="1">
        <v>41</v>
      </c>
      <c r="M1767" s="1">
        <v>38.914029696684921</v>
      </c>
      <c r="N1767" s="1">
        <v>3055925</v>
      </c>
    </row>
    <row r="1768" spans="1:14" x14ac:dyDescent="0.35">
      <c r="A1768" s="1" t="s">
        <v>41</v>
      </c>
      <c r="B1768" s="1">
        <v>202410</v>
      </c>
      <c r="C1768" s="1" t="str">
        <f>MID(analisis_productividad__4[[#This Row],[Periodo]],1,4)</f>
        <v>2024</v>
      </c>
      <c r="D1768" s="1" t="str">
        <f>MID(analisis_productividad__4[[#This Row],[Periodo]],5,2)</f>
        <v>10</v>
      </c>
      <c r="E1768" s="1" t="s">
        <v>16</v>
      </c>
      <c r="F1768" s="1" t="s">
        <v>19</v>
      </c>
      <c r="G1768" s="1">
        <v>79766</v>
      </c>
      <c r="H1768" s="1">
        <v>4129793</v>
      </c>
      <c r="I1768" s="1">
        <v>51.773749999999978</v>
      </c>
      <c r="J1768" s="1">
        <v>0</v>
      </c>
      <c r="K1768" s="1">
        <v>57.5</v>
      </c>
      <c r="L1768" s="1">
        <v>56.5</v>
      </c>
      <c r="M1768" s="1"/>
      <c r="N1768" s="1">
        <v>0</v>
      </c>
    </row>
    <row r="1769" spans="1:14" x14ac:dyDescent="0.35">
      <c r="A1769" s="1" t="s">
        <v>97</v>
      </c>
      <c r="B1769" s="1">
        <v>202601</v>
      </c>
      <c r="C1769" s="1" t="str">
        <f>MID(analisis_productividad__4[[#This Row],[Periodo]],1,4)</f>
        <v>2026</v>
      </c>
      <c r="D1769" s="1" t="str">
        <f>MID(analisis_productividad__4[[#This Row],[Periodo]],5,2)</f>
        <v>01</v>
      </c>
      <c r="E1769" s="1" t="s">
        <v>11</v>
      </c>
      <c r="F1769" s="1" t="s">
        <v>12</v>
      </c>
      <c r="G1769" s="1">
        <v>79764</v>
      </c>
      <c r="H1769" s="1">
        <v>4469325</v>
      </c>
      <c r="I1769" s="1">
        <v>56.03203629032258</v>
      </c>
      <c r="J1769" s="1">
        <v>106307.15015859643</v>
      </c>
      <c r="K1769" s="1">
        <v>66.5</v>
      </c>
      <c r="L1769" s="1">
        <v>63.5</v>
      </c>
      <c r="M1769" s="1">
        <v>54.652141241039438</v>
      </c>
      <c r="N1769" s="1">
        <v>5809913</v>
      </c>
    </row>
    <row r="1770" spans="1:14" x14ac:dyDescent="0.35">
      <c r="A1770" s="1" t="s">
        <v>80</v>
      </c>
      <c r="B1770" s="1">
        <v>202401</v>
      </c>
      <c r="C1770" s="1" t="str">
        <f>MID(analisis_productividad__4[[#This Row],[Periodo]],1,4)</f>
        <v>2024</v>
      </c>
      <c r="D1770" s="1" t="str">
        <f>MID(analisis_productividad__4[[#This Row],[Periodo]],5,2)</f>
        <v>01</v>
      </c>
      <c r="E1770" s="1" t="s">
        <v>16</v>
      </c>
      <c r="F1770" s="1" t="s">
        <v>17</v>
      </c>
      <c r="G1770" s="1">
        <v>79761</v>
      </c>
      <c r="H1770" s="1">
        <v>4291046</v>
      </c>
      <c r="I1770" s="1">
        <v>53.798763440860192</v>
      </c>
      <c r="J1770" s="1">
        <v>0</v>
      </c>
      <c r="K1770" s="1">
        <v>58</v>
      </c>
      <c r="L1770" s="1">
        <v>58.5</v>
      </c>
      <c r="M1770" s="1"/>
      <c r="N1770" s="1">
        <v>0</v>
      </c>
    </row>
    <row r="1771" spans="1:14" x14ac:dyDescent="0.35">
      <c r="A1771" s="1" t="s">
        <v>18</v>
      </c>
      <c r="B1771" s="1">
        <v>202408</v>
      </c>
      <c r="C1771" s="1" t="str">
        <f>MID(analisis_productividad__4[[#This Row],[Periodo]],1,4)</f>
        <v>2024</v>
      </c>
      <c r="D1771" s="1" t="str">
        <f>MID(analisis_productividad__4[[#This Row],[Periodo]],5,2)</f>
        <v>08</v>
      </c>
      <c r="E1771" s="1" t="s">
        <v>16</v>
      </c>
      <c r="F1771" s="1" t="s">
        <v>19</v>
      </c>
      <c r="G1771" s="1">
        <v>79738</v>
      </c>
      <c r="H1771" s="1">
        <v>5094172</v>
      </c>
      <c r="I1771" s="1">
        <v>63.886149193548377</v>
      </c>
      <c r="J1771" s="1">
        <v>0</v>
      </c>
      <c r="K1771" s="1">
        <v>70.5</v>
      </c>
      <c r="L1771" s="1">
        <v>69.5</v>
      </c>
      <c r="M1771" s="1"/>
      <c r="N1771" s="1">
        <v>0</v>
      </c>
    </row>
    <row r="1772" spans="1:14" x14ac:dyDescent="0.35">
      <c r="A1772" s="1" t="s">
        <v>83</v>
      </c>
      <c r="B1772" s="1">
        <v>202511</v>
      </c>
      <c r="C1772" s="1" t="str">
        <f>MID(analisis_productividad__4[[#This Row],[Periodo]],1,4)</f>
        <v>2025</v>
      </c>
      <c r="D1772" s="1" t="str">
        <f>MID(analisis_productividad__4[[#This Row],[Periodo]],5,2)</f>
        <v>11</v>
      </c>
      <c r="E1772" s="1" t="s">
        <v>16</v>
      </c>
      <c r="F1772" s="1" t="s">
        <v>17</v>
      </c>
      <c r="G1772" s="1">
        <v>79728</v>
      </c>
      <c r="H1772" s="1">
        <v>3712164</v>
      </c>
      <c r="I1772" s="1">
        <v>46.560402777777774</v>
      </c>
      <c r="J1772" s="1">
        <v>76961.899750229233</v>
      </c>
      <c r="K1772" s="1">
        <v>52</v>
      </c>
      <c r="L1772" s="1">
        <v>52</v>
      </c>
      <c r="M1772" s="1">
        <v>48.233790122741119</v>
      </c>
      <c r="N1772" s="1">
        <v>3463149</v>
      </c>
    </row>
    <row r="1773" spans="1:14" x14ac:dyDescent="0.35">
      <c r="A1773" s="1" t="s">
        <v>64</v>
      </c>
      <c r="B1773" s="1">
        <v>202407</v>
      </c>
      <c r="C1773" s="1" t="str">
        <f>MID(analisis_productividad__4[[#This Row],[Periodo]],1,4)</f>
        <v>2024</v>
      </c>
      <c r="D1773" s="1" t="str">
        <f>MID(analisis_productividad__4[[#This Row],[Periodo]],5,2)</f>
        <v>07</v>
      </c>
      <c r="E1773" s="1" t="s">
        <v>16</v>
      </c>
      <c r="F1773" s="1" t="s">
        <v>21</v>
      </c>
      <c r="G1773" s="1">
        <v>79727</v>
      </c>
      <c r="H1773" s="1">
        <v>6542878</v>
      </c>
      <c r="I1773" s="1">
        <v>82.066061827956986</v>
      </c>
      <c r="J1773" s="1">
        <v>0</v>
      </c>
      <c r="K1773" s="1">
        <v>88.5</v>
      </c>
      <c r="L1773" s="1">
        <v>92.5</v>
      </c>
      <c r="M1773" s="1"/>
      <c r="N1773" s="1">
        <v>0</v>
      </c>
    </row>
    <row r="1774" spans="1:14" x14ac:dyDescent="0.35">
      <c r="A1774" s="1" t="s">
        <v>25</v>
      </c>
      <c r="B1774" s="1">
        <v>202502</v>
      </c>
      <c r="C1774" s="1" t="str">
        <f>MID(analisis_productividad__4[[#This Row],[Periodo]],1,4)</f>
        <v>2025</v>
      </c>
      <c r="D1774" s="1" t="str">
        <f>MID(analisis_productividad__4[[#This Row],[Periodo]],5,2)</f>
        <v>02</v>
      </c>
      <c r="E1774" s="1" t="s">
        <v>16</v>
      </c>
      <c r="F1774" s="1" t="s">
        <v>19</v>
      </c>
      <c r="G1774" s="1">
        <v>79726</v>
      </c>
      <c r="H1774" s="1">
        <v>6943941</v>
      </c>
      <c r="I1774" s="1">
        <v>87.09739583333328</v>
      </c>
      <c r="J1774" s="1">
        <v>88122.922863839092</v>
      </c>
      <c r="K1774" s="1">
        <v>94</v>
      </c>
      <c r="L1774" s="1">
        <v>92</v>
      </c>
      <c r="M1774" s="1">
        <v>78.798345247005201</v>
      </c>
      <c r="N1774" s="1">
        <v>6951709</v>
      </c>
    </row>
    <row r="1775" spans="1:14" x14ac:dyDescent="0.35">
      <c r="A1775" s="1" t="s">
        <v>87</v>
      </c>
      <c r="B1775" s="1">
        <v>202505</v>
      </c>
      <c r="C1775" s="1" t="str">
        <f>MID(analisis_productividad__4[[#This Row],[Periodo]],1,4)</f>
        <v>2025</v>
      </c>
      <c r="D1775" s="1" t="str">
        <f>MID(analisis_productividad__4[[#This Row],[Periodo]],5,2)</f>
        <v>05</v>
      </c>
      <c r="E1775" s="1" t="s">
        <v>9</v>
      </c>
      <c r="F1775" s="1" t="s">
        <v>9</v>
      </c>
      <c r="G1775" s="1">
        <v>79725</v>
      </c>
      <c r="H1775" s="1">
        <v>906853</v>
      </c>
      <c r="I1775" s="1">
        <v>11.374717741935484</v>
      </c>
      <c r="J1775" s="1">
        <v>83404.934987274435</v>
      </c>
      <c r="K1775" s="1">
        <v>13.5</v>
      </c>
      <c r="L1775" s="1">
        <v>12</v>
      </c>
      <c r="M1775" s="1">
        <v>10.87288935766647</v>
      </c>
      <c r="N1775" s="1">
        <v>1027841</v>
      </c>
    </row>
    <row r="1776" spans="1:14" x14ac:dyDescent="0.35">
      <c r="A1776" s="1" t="s">
        <v>70</v>
      </c>
      <c r="B1776" s="1">
        <v>202509</v>
      </c>
      <c r="C1776" s="1" t="str">
        <f>MID(analisis_productividad__4[[#This Row],[Periodo]],1,4)</f>
        <v>2025</v>
      </c>
      <c r="D1776" s="1" t="str">
        <f>MID(analisis_productividad__4[[#This Row],[Periodo]],5,2)</f>
        <v>09</v>
      </c>
      <c r="E1776" s="1" t="s">
        <v>11</v>
      </c>
      <c r="F1776" s="1" t="s">
        <v>14</v>
      </c>
      <c r="G1776" s="1">
        <v>79721</v>
      </c>
      <c r="H1776" s="1">
        <v>4517795</v>
      </c>
      <c r="I1776" s="1">
        <v>56.669958333333362</v>
      </c>
      <c r="J1776" s="1">
        <v>82169.027981235136</v>
      </c>
      <c r="K1776" s="1">
        <v>65</v>
      </c>
      <c r="L1776" s="1">
        <v>67.5</v>
      </c>
      <c r="M1776" s="1">
        <v>54.981729746538143</v>
      </c>
      <c r="N1776" s="1">
        <v>4914806</v>
      </c>
    </row>
    <row r="1777" spans="1:14" x14ac:dyDescent="0.35">
      <c r="A1777" s="1" t="s">
        <v>97</v>
      </c>
      <c r="B1777" s="1">
        <v>202504</v>
      </c>
      <c r="C1777" s="1" t="str">
        <f>MID(analisis_productividad__4[[#This Row],[Periodo]],1,4)</f>
        <v>2025</v>
      </c>
      <c r="D1777" s="1" t="str">
        <f>MID(analisis_productividad__4[[#This Row],[Periodo]],5,2)</f>
        <v>04</v>
      </c>
      <c r="E1777" s="1" t="s">
        <v>11</v>
      </c>
      <c r="F1777" s="1" t="s">
        <v>12</v>
      </c>
      <c r="G1777" s="1">
        <v>79678</v>
      </c>
      <c r="H1777" s="1">
        <v>4548748</v>
      </c>
      <c r="I1777" s="1">
        <v>57.089083333333342</v>
      </c>
      <c r="J1777" s="1">
        <v>76214.706335448951</v>
      </c>
      <c r="K1777" s="1">
        <v>66.5</v>
      </c>
      <c r="L1777" s="1">
        <v>63.5</v>
      </c>
      <c r="M1777" s="1">
        <v>59.683332767553921</v>
      </c>
      <c r="N1777" s="1">
        <v>5149178</v>
      </c>
    </row>
    <row r="1778" spans="1:14" x14ac:dyDescent="0.35">
      <c r="A1778" s="1" t="s">
        <v>91</v>
      </c>
      <c r="B1778" s="1">
        <v>202407</v>
      </c>
      <c r="C1778" s="1" t="str">
        <f>MID(analisis_productividad__4[[#This Row],[Periodo]],1,4)</f>
        <v>2024</v>
      </c>
      <c r="D1778" s="1" t="str">
        <f>MID(analisis_productividad__4[[#This Row],[Periodo]],5,2)</f>
        <v>07</v>
      </c>
      <c r="E1778" s="1" t="s">
        <v>11</v>
      </c>
      <c r="F1778" s="1" t="s">
        <v>12</v>
      </c>
      <c r="G1778" s="1">
        <v>79665</v>
      </c>
      <c r="H1778" s="1">
        <v>4176053</v>
      </c>
      <c r="I1778" s="1">
        <v>52.419885752688167</v>
      </c>
      <c r="J1778" s="1">
        <v>0</v>
      </c>
      <c r="K1778" s="1">
        <v>55</v>
      </c>
      <c r="L1778" s="1">
        <v>55.5</v>
      </c>
      <c r="M1778" s="1"/>
      <c r="N1778" s="1">
        <v>0</v>
      </c>
    </row>
    <row r="1779" spans="1:14" x14ac:dyDescent="0.35">
      <c r="A1779" s="1" t="s">
        <v>89</v>
      </c>
      <c r="B1779" s="1">
        <v>202501</v>
      </c>
      <c r="C1779" s="1" t="str">
        <f>MID(analisis_productividad__4[[#This Row],[Periodo]],1,4)</f>
        <v>2025</v>
      </c>
      <c r="D1779" s="1" t="str">
        <f>MID(analisis_productividad__4[[#This Row],[Periodo]],5,2)</f>
        <v>01</v>
      </c>
      <c r="E1779" s="1" t="s">
        <v>9</v>
      </c>
      <c r="F1779" s="1" t="s">
        <v>9</v>
      </c>
      <c r="G1779" s="1">
        <v>79628</v>
      </c>
      <c r="H1779" s="1">
        <v>1020760</v>
      </c>
      <c r="I1779" s="1">
        <v>12.819173387096781</v>
      </c>
      <c r="J1779" s="1">
        <v>72940.376952910738</v>
      </c>
      <c r="K1779" s="1">
        <v>17</v>
      </c>
      <c r="L1779" s="1">
        <v>13.5</v>
      </c>
      <c r="M1779" s="1">
        <v>13.994448790126057</v>
      </c>
      <c r="N1779" s="1">
        <v>1051944</v>
      </c>
    </row>
    <row r="1780" spans="1:14" x14ac:dyDescent="0.35">
      <c r="A1780" s="1" t="s">
        <v>81</v>
      </c>
      <c r="B1780" s="1">
        <v>202402</v>
      </c>
      <c r="C1780" s="1" t="str">
        <f>MID(analisis_productividad__4[[#This Row],[Periodo]],1,4)</f>
        <v>2024</v>
      </c>
      <c r="D1780" s="1" t="str">
        <f>MID(analisis_productividad__4[[#This Row],[Periodo]],5,2)</f>
        <v>02</v>
      </c>
      <c r="E1780" s="1" t="s">
        <v>34</v>
      </c>
      <c r="F1780" s="1" t="s">
        <v>35</v>
      </c>
      <c r="G1780" s="1">
        <v>79604</v>
      </c>
      <c r="H1780" s="1">
        <v>7100461</v>
      </c>
      <c r="I1780" s="1">
        <v>89.197801724137946</v>
      </c>
      <c r="J1780" s="1">
        <v>0</v>
      </c>
      <c r="K1780" s="1">
        <v>106</v>
      </c>
      <c r="L1780" s="1">
        <v>94.5</v>
      </c>
      <c r="M1780" s="1"/>
      <c r="N1780" s="1">
        <v>0</v>
      </c>
    </row>
    <row r="1781" spans="1:14" x14ac:dyDescent="0.35">
      <c r="A1781" s="1" t="s">
        <v>67</v>
      </c>
      <c r="B1781" s="1">
        <v>202502</v>
      </c>
      <c r="C1781" s="1" t="str">
        <f>MID(analisis_productividad__4[[#This Row],[Periodo]],1,4)</f>
        <v>2025</v>
      </c>
      <c r="D1781" s="1" t="str">
        <f>MID(analisis_productividad__4[[#This Row],[Periodo]],5,2)</f>
        <v>02</v>
      </c>
      <c r="E1781" s="1" t="s">
        <v>16</v>
      </c>
      <c r="F1781" s="1" t="s">
        <v>19</v>
      </c>
      <c r="G1781" s="1">
        <v>79599</v>
      </c>
      <c r="H1781" s="1">
        <v>5633556</v>
      </c>
      <c r="I1781" s="1">
        <v>70.773802083333322</v>
      </c>
      <c r="J1781" s="1">
        <v>82827.353569747269</v>
      </c>
      <c r="K1781" s="1">
        <v>79.5</v>
      </c>
      <c r="L1781" s="1">
        <v>81.5</v>
      </c>
      <c r="M1781" s="1">
        <v>68.015642021643188</v>
      </c>
      <c r="N1781" s="1">
        <v>5595495</v>
      </c>
    </row>
    <row r="1782" spans="1:14" x14ac:dyDescent="0.35">
      <c r="A1782" s="1" t="s">
        <v>106</v>
      </c>
      <c r="B1782" s="1">
        <v>202507</v>
      </c>
      <c r="C1782" s="1" t="str">
        <f>MID(analisis_productividad__4[[#This Row],[Periodo]],1,4)</f>
        <v>2025</v>
      </c>
      <c r="D1782" s="1" t="str">
        <f>MID(analisis_productividad__4[[#This Row],[Periodo]],5,2)</f>
        <v>07</v>
      </c>
      <c r="E1782" s="1" t="s">
        <v>34</v>
      </c>
      <c r="F1782" s="1" t="s">
        <v>35</v>
      </c>
      <c r="G1782" s="1">
        <v>79595</v>
      </c>
      <c r="H1782" s="1">
        <v>3194773</v>
      </c>
      <c r="I1782" s="1">
        <v>40.137661290322562</v>
      </c>
      <c r="J1782" s="1">
        <v>73063.855686107418</v>
      </c>
      <c r="K1782" s="1">
        <v>51</v>
      </c>
      <c r="L1782" s="1">
        <v>49</v>
      </c>
      <c r="M1782" s="1">
        <v>43.725760979891248</v>
      </c>
      <c r="N1782" s="1">
        <v>3574441</v>
      </c>
    </row>
    <row r="1783" spans="1:14" x14ac:dyDescent="0.35">
      <c r="A1783" s="1" t="s">
        <v>42</v>
      </c>
      <c r="B1783" s="1">
        <v>202408</v>
      </c>
      <c r="C1783" s="1" t="str">
        <f>MID(analisis_productividad__4[[#This Row],[Periodo]],1,4)</f>
        <v>2024</v>
      </c>
      <c r="D1783" s="1" t="str">
        <f>MID(analisis_productividad__4[[#This Row],[Periodo]],5,2)</f>
        <v>08</v>
      </c>
      <c r="E1783" s="1" t="s">
        <v>16</v>
      </c>
      <c r="F1783" s="1" t="s">
        <v>19</v>
      </c>
      <c r="G1783" s="1">
        <v>79558</v>
      </c>
      <c r="H1783" s="1">
        <v>4698612</v>
      </c>
      <c r="I1783" s="1">
        <v>59.059254032258067</v>
      </c>
      <c r="J1783" s="1">
        <v>0</v>
      </c>
      <c r="K1783" s="1">
        <v>62</v>
      </c>
      <c r="L1783" s="1">
        <v>58</v>
      </c>
      <c r="M1783" s="1"/>
      <c r="N1783" s="1">
        <v>0</v>
      </c>
    </row>
    <row r="1784" spans="1:14" x14ac:dyDescent="0.35">
      <c r="A1784" s="1" t="s">
        <v>79</v>
      </c>
      <c r="B1784" s="1">
        <v>202504</v>
      </c>
      <c r="C1784" s="1" t="str">
        <f>MID(analisis_productividad__4[[#This Row],[Periodo]],1,4)</f>
        <v>2025</v>
      </c>
      <c r="D1784" s="1" t="str">
        <f>MID(analisis_productividad__4[[#This Row],[Periodo]],5,2)</f>
        <v>04</v>
      </c>
      <c r="E1784" s="1" t="s">
        <v>11</v>
      </c>
      <c r="F1784" s="1" t="s">
        <v>12</v>
      </c>
      <c r="G1784" s="1">
        <v>79548</v>
      </c>
      <c r="H1784" s="1">
        <v>4763533</v>
      </c>
      <c r="I1784" s="1">
        <v>59.882229166666697</v>
      </c>
      <c r="J1784" s="1">
        <v>80631.405451163882</v>
      </c>
      <c r="K1784" s="1">
        <v>64.5</v>
      </c>
      <c r="L1784" s="1">
        <v>64</v>
      </c>
      <c r="M1784" s="1">
        <v>59.077881544370868</v>
      </c>
      <c r="N1784" s="1">
        <v>5606747</v>
      </c>
    </row>
    <row r="1785" spans="1:14" x14ac:dyDescent="0.35">
      <c r="A1785" s="1" t="s">
        <v>106</v>
      </c>
      <c r="B1785" s="1">
        <v>202412</v>
      </c>
      <c r="C1785" s="1" t="str">
        <f>MID(analisis_productividad__4[[#This Row],[Periodo]],1,4)</f>
        <v>2024</v>
      </c>
      <c r="D1785" s="1" t="str">
        <f>MID(analisis_productividad__4[[#This Row],[Periodo]],5,2)</f>
        <v>12</v>
      </c>
      <c r="E1785" s="1" t="s">
        <v>34</v>
      </c>
      <c r="F1785" s="1" t="s">
        <v>35</v>
      </c>
      <c r="G1785" s="1">
        <v>79532</v>
      </c>
      <c r="H1785" s="1">
        <v>4079609</v>
      </c>
      <c r="I1785" s="1">
        <v>51.295228494623657</v>
      </c>
      <c r="J1785" s="1">
        <v>0</v>
      </c>
      <c r="K1785" s="1">
        <v>51</v>
      </c>
      <c r="L1785" s="1">
        <v>49</v>
      </c>
      <c r="M1785" s="1"/>
      <c r="N1785" s="1">
        <v>0</v>
      </c>
    </row>
    <row r="1786" spans="1:14" x14ac:dyDescent="0.35">
      <c r="A1786" s="1" t="s">
        <v>64</v>
      </c>
      <c r="B1786" s="1">
        <v>202511</v>
      </c>
      <c r="C1786" s="1" t="str">
        <f>MID(analisis_productividad__4[[#This Row],[Periodo]],1,4)</f>
        <v>2025</v>
      </c>
      <c r="D1786" s="1" t="str">
        <f>MID(analisis_productividad__4[[#This Row],[Periodo]],5,2)</f>
        <v>11</v>
      </c>
      <c r="E1786" s="1" t="s">
        <v>16</v>
      </c>
      <c r="F1786" s="1" t="s">
        <v>21</v>
      </c>
      <c r="G1786" s="1">
        <v>79527</v>
      </c>
      <c r="H1786" s="1">
        <v>9911960</v>
      </c>
      <c r="I1786" s="1">
        <v>124.63587500000015</v>
      </c>
      <c r="J1786" s="1">
        <v>85313.358183523029</v>
      </c>
      <c r="K1786" s="1">
        <v>88.5</v>
      </c>
      <c r="L1786" s="1">
        <v>92.5</v>
      </c>
      <c r="M1786" s="1">
        <v>116.18297405053198</v>
      </c>
      <c r="N1786" s="1">
        <v>6121273</v>
      </c>
    </row>
    <row r="1787" spans="1:14" x14ac:dyDescent="0.35">
      <c r="A1787" s="1" t="s">
        <v>64</v>
      </c>
      <c r="B1787" s="1">
        <v>202402</v>
      </c>
      <c r="C1787" s="1" t="str">
        <f>MID(analisis_productividad__4[[#This Row],[Periodo]],1,4)</f>
        <v>2024</v>
      </c>
      <c r="D1787" s="1" t="str">
        <f>MID(analisis_productividad__4[[#This Row],[Periodo]],5,2)</f>
        <v>02</v>
      </c>
      <c r="E1787" s="1" t="s">
        <v>16</v>
      </c>
      <c r="F1787" s="1" t="s">
        <v>21</v>
      </c>
      <c r="G1787" s="1">
        <v>79491</v>
      </c>
      <c r="H1787" s="1">
        <v>6015923</v>
      </c>
      <c r="I1787" s="1">
        <v>75.680208333333354</v>
      </c>
      <c r="J1787" s="1">
        <v>0</v>
      </c>
      <c r="K1787" s="1">
        <v>88.5</v>
      </c>
      <c r="L1787" s="1">
        <v>92.5</v>
      </c>
      <c r="M1787" s="1"/>
      <c r="N1787" s="1">
        <v>0</v>
      </c>
    </row>
    <row r="1788" spans="1:14" x14ac:dyDescent="0.35">
      <c r="A1788" s="1" t="s">
        <v>92</v>
      </c>
      <c r="B1788" s="1">
        <v>202605</v>
      </c>
      <c r="C1788" s="1" t="str">
        <f>MID(analisis_productividad__4[[#This Row],[Periodo]],1,4)</f>
        <v>2026</v>
      </c>
      <c r="D1788" s="1" t="str">
        <f>MID(analisis_productividad__4[[#This Row],[Periodo]],5,2)</f>
        <v>05</v>
      </c>
      <c r="E1788" s="1" t="s">
        <v>11</v>
      </c>
      <c r="F1788" s="1" t="s">
        <v>14</v>
      </c>
      <c r="G1788" s="1">
        <v>79452</v>
      </c>
      <c r="H1788" s="1">
        <v>3920329</v>
      </c>
      <c r="I1788" s="1">
        <v>49.341861559139687</v>
      </c>
      <c r="J1788" s="1">
        <v>71952.455544634344</v>
      </c>
      <c r="K1788" s="1">
        <v>63</v>
      </c>
      <c r="L1788" s="1">
        <v>59</v>
      </c>
      <c r="M1788" s="1">
        <v>55.026064794188251</v>
      </c>
      <c r="N1788" s="1">
        <v>3959260</v>
      </c>
    </row>
    <row r="1789" spans="1:14" x14ac:dyDescent="0.35">
      <c r="A1789" s="1" t="s">
        <v>87</v>
      </c>
      <c r="B1789" s="1">
        <v>202405</v>
      </c>
      <c r="C1789" s="1" t="str">
        <f>MID(analisis_productividad__4[[#This Row],[Periodo]],1,4)</f>
        <v>2024</v>
      </c>
      <c r="D1789" s="1" t="str">
        <f>MID(analisis_productividad__4[[#This Row],[Periodo]],5,2)</f>
        <v>05</v>
      </c>
      <c r="E1789" s="1" t="s">
        <v>9</v>
      </c>
      <c r="F1789" s="1" t="s">
        <v>9</v>
      </c>
      <c r="G1789" s="1">
        <v>79433</v>
      </c>
      <c r="H1789" s="1">
        <v>977833</v>
      </c>
      <c r="I1789" s="1">
        <v>12.310120967741936</v>
      </c>
      <c r="J1789" s="1">
        <v>0</v>
      </c>
      <c r="K1789" s="1">
        <v>13.5</v>
      </c>
      <c r="L1789" s="1">
        <v>12</v>
      </c>
      <c r="M1789" s="1"/>
      <c r="N1789" s="1">
        <v>0</v>
      </c>
    </row>
    <row r="1790" spans="1:14" x14ac:dyDescent="0.35">
      <c r="A1790" s="1" t="s">
        <v>88</v>
      </c>
      <c r="B1790" s="1">
        <v>202505</v>
      </c>
      <c r="C1790" s="1" t="str">
        <f>MID(analisis_productividad__4[[#This Row],[Periodo]],1,4)</f>
        <v>2025</v>
      </c>
      <c r="D1790" s="1" t="str">
        <f>MID(analisis_productividad__4[[#This Row],[Periodo]],5,2)</f>
        <v>05</v>
      </c>
      <c r="E1790" s="1" t="s">
        <v>34</v>
      </c>
      <c r="F1790" s="1" t="s">
        <v>35</v>
      </c>
      <c r="G1790" s="1">
        <v>79424</v>
      </c>
      <c r="H1790" s="1">
        <v>1083884</v>
      </c>
      <c r="I1790" s="1">
        <v>13.646848118279571</v>
      </c>
      <c r="J1790" s="1">
        <v>73657.536758893257</v>
      </c>
      <c r="K1790" s="1">
        <v>15.5</v>
      </c>
      <c r="L1790" s="1">
        <v>14.5</v>
      </c>
      <c r="M1790" s="1">
        <v>14.715185813882565</v>
      </c>
      <c r="N1790" s="1">
        <v>1095911</v>
      </c>
    </row>
    <row r="1791" spans="1:14" x14ac:dyDescent="0.35">
      <c r="A1791" s="1" t="s">
        <v>72</v>
      </c>
      <c r="B1791" s="1">
        <v>202401</v>
      </c>
      <c r="C1791" s="1" t="str">
        <f>MID(analisis_productividad__4[[#This Row],[Periodo]],1,4)</f>
        <v>2024</v>
      </c>
      <c r="D1791" s="1" t="str">
        <f>MID(analisis_productividad__4[[#This Row],[Periodo]],5,2)</f>
        <v>01</v>
      </c>
      <c r="E1791" s="1" t="s">
        <v>11</v>
      </c>
      <c r="F1791" s="1" t="s">
        <v>14</v>
      </c>
      <c r="G1791" s="1">
        <v>79419</v>
      </c>
      <c r="H1791" s="1">
        <v>4992849</v>
      </c>
      <c r="I1791" s="1">
        <v>62.867056451612903</v>
      </c>
      <c r="J1791" s="1">
        <v>0</v>
      </c>
      <c r="K1791" s="1">
        <v>66</v>
      </c>
      <c r="L1791" s="1">
        <v>64.5</v>
      </c>
      <c r="M1791" s="1"/>
      <c r="N1791" s="1">
        <v>0</v>
      </c>
    </row>
    <row r="1792" spans="1:14" x14ac:dyDescent="0.35">
      <c r="A1792" s="1" t="s">
        <v>116</v>
      </c>
      <c r="B1792" s="1">
        <v>202512</v>
      </c>
      <c r="C1792" s="1" t="str">
        <f>MID(analisis_productividad__4[[#This Row],[Periodo]],1,4)</f>
        <v>2025</v>
      </c>
      <c r="D1792" s="1" t="str">
        <f>MID(analisis_productividad__4[[#This Row],[Periodo]],5,2)</f>
        <v>12</v>
      </c>
      <c r="E1792" s="1" t="s">
        <v>9</v>
      </c>
      <c r="F1792" s="1" t="s">
        <v>9</v>
      </c>
      <c r="G1792" s="1">
        <v>79410</v>
      </c>
      <c r="H1792" s="1">
        <v>819101</v>
      </c>
      <c r="I1792" s="1">
        <v>10.314838709677399</v>
      </c>
      <c r="J1792" s="1">
        <v>76179.099032146114</v>
      </c>
      <c r="K1792" s="1">
        <v>11.5</v>
      </c>
      <c r="L1792" s="1">
        <v>10</v>
      </c>
      <c r="M1792" s="1">
        <v>10.752301227064333</v>
      </c>
      <c r="N1792" s="1">
        <v>970142</v>
      </c>
    </row>
    <row r="1793" spans="1:14" x14ac:dyDescent="0.35">
      <c r="A1793" s="1" t="s">
        <v>84</v>
      </c>
      <c r="B1793" s="1">
        <v>202510</v>
      </c>
      <c r="C1793" s="1" t="str">
        <f>MID(analisis_productividad__4[[#This Row],[Periodo]],1,4)</f>
        <v>2025</v>
      </c>
      <c r="D1793" s="1" t="str">
        <f>MID(analisis_productividad__4[[#This Row],[Periodo]],5,2)</f>
        <v>10</v>
      </c>
      <c r="E1793" s="1" t="s">
        <v>11</v>
      </c>
      <c r="F1793" s="1" t="s">
        <v>52</v>
      </c>
      <c r="G1793" s="1">
        <v>79391</v>
      </c>
      <c r="H1793" s="1">
        <v>8042267</v>
      </c>
      <c r="I1793" s="1">
        <v>101.29898521505376</v>
      </c>
      <c r="J1793" s="1">
        <v>92977.581725576136</v>
      </c>
      <c r="K1793" s="1">
        <v>123</v>
      </c>
      <c r="L1793" s="1">
        <v>115.5</v>
      </c>
      <c r="M1793" s="1">
        <v>86.496836879849141</v>
      </c>
      <c r="N1793" s="1">
        <v>9601463</v>
      </c>
    </row>
    <row r="1794" spans="1:14" x14ac:dyDescent="0.35">
      <c r="A1794" s="1" t="s">
        <v>72</v>
      </c>
      <c r="B1794" s="1">
        <v>202506</v>
      </c>
      <c r="C1794" s="1" t="str">
        <f>MID(analisis_productividad__4[[#This Row],[Periodo]],1,4)</f>
        <v>2025</v>
      </c>
      <c r="D1794" s="1" t="str">
        <f>MID(analisis_productividad__4[[#This Row],[Periodo]],5,2)</f>
        <v>06</v>
      </c>
      <c r="E1794" s="1" t="s">
        <v>11</v>
      </c>
      <c r="F1794" s="1" t="s">
        <v>14</v>
      </c>
      <c r="G1794" s="1">
        <v>79388</v>
      </c>
      <c r="H1794" s="1">
        <v>4483416</v>
      </c>
      <c r="I1794" s="1">
        <v>56.474833333333336</v>
      </c>
      <c r="J1794" s="1">
        <v>83890.987531016406</v>
      </c>
      <c r="K1794" s="1">
        <v>66</v>
      </c>
      <c r="L1794" s="1">
        <v>64.5</v>
      </c>
      <c r="M1794" s="1">
        <v>53.443360627294773</v>
      </c>
      <c r="N1794" s="1">
        <v>5196271</v>
      </c>
    </row>
    <row r="1795" spans="1:14" x14ac:dyDescent="0.35">
      <c r="A1795" s="1" t="s">
        <v>66</v>
      </c>
      <c r="B1795" s="1">
        <v>202511</v>
      </c>
      <c r="C1795" s="1" t="str">
        <f>MID(analisis_productividad__4[[#This Row],[Periodo]],1,4)</f>
        <v>2025</v>
      </c>
      <c r="D1795" s="1" t="str">
        <f>MID(analisis_productividad__4[[#This Row],[Periodo]],5,2)</f>
        <v>11</v>
      </c>
      <c r="E1795" s="1" t="s">
        <v>11</v>
      </c>
      <c r="F1795" s="1" t="s">
        <v>12</v>
      </c>
      <c r="G1795" s="1">
        <v>79386</v>
      </c>
      <c r="H1795" s="1">
        <v>5545330</v>
      </c>
      <c r="I1795" s="1">
        <v>69.853000000000009</v>
      </c>
      <c r="J1795" s="1">
        <v>77991.531510762361</v>
      </c>
      <c r="K1795" s="1">
        <v>80</v>
      </c>
      <c r="L1795" s="1">
        <v>80.5</v>
      </c>
      <c r="M1795" s="1">
        <v>71.101698768856423</v>
      </c>
      <c r="N1795" s="1">
        <v>6445446</v>
      </c>
    </row>
    <row r="1796" spans="1:14" x14ac:dyDescent="0.35">
      <c r="A1796" s="1" t="s">
        <v>65</v>
      </c>
      <c r="B1796" s="1">
        <v>202506</v>
      </c>
      <c r="C1796" s="1" t="str">
        <f>MID(analisis_productividad__4[[#This Row],[Periodo]],1,4)</f>
        <v>2025</v>
      </c>
      <c r="D1796" s="1" t="str">
        <f>MID(analisis_productividad__4[[#This Row],[Periodo]],5,2)</f>
        <v>06</v>
      </c>
      <c r="E1796" s="1" t="s">
        <v>16</v>
      </c>
      <c r="F1796" s="1" t="s">
        <v>19</v>
      </c>
      <c r="G1796" s="1">
        <v>79383</v>
      </c>
      <c r="H1796" s="1">
        <v>5272514</v>
      </c>
      <c r="I1796" s="1">
        <v>66.418819444444452</v>
      </c>
      <c r="J1796" s="1">
        <v>90276.356485197961</v>
      </c>
      <c r="K1796" s="1">
        <v>68</v>
      </c>
      <c r="L1796" s="1">
        <v>68.5</v>
      </c>
      <c r="M1796" s="1">
        <v>58.40414871932164</v>
      </c>
      <c r="N1796" s="1">
        <v>5309474</v>
      </c>
    </row>
    <row r="1797" spans="1:14" x14ac:dyDescent="0.35">
      <c r="A1797" s="1" t="s">
        <v>121</v>
      </c>
      <c r="B1797" s="1">
        <v>202412</v>
      </c>
      <c r="C1797" s="1" t="str">
        <f>MID(analisis_productividad__4[[#This Row],[Periodo]],1,4)</f>
        <v>2024</v>
      </c>
      <c r="D1797" s="1" t="str">
        <f>MID(analisis_productividad__4[[#This Row],[Periodo]],5,2)</f>
        <v>12</v>
      </c>
      <c r="E1797" s="1" t="s">
        <v>11</v>
      </c>
      <c r="F1797" s="1" t="s">
        <v>14</v>
      </c>
      <c r="G1797" s="1">
        <v>79378</v>
      </c>
      <c r="H1797" s="1">
        <v>3078043</v>
      </c>
      <c r="I1797" s="1">
        <v>38.776895161290334</v>
      </c>
      <c r="J1797" s="1">
        <v>0</v>
      </c>
      <c r="K1797" s="1">
        <v>36</v>
      </c>
      <c r="L1797" s="1">
        <v>35</v>
      </c>
      <c r="M1797" s="1"/>
      <c r="N1797" s="1">
        <v>0</v>
      </c>
    </row>
    <row r="1798" spans="1:14" x14ac:dyDescent="0.35">
      <c r="A1798" s="1" t="s">
        <v>74</v>
      </c>
      <c r="B1798" s="1">
        <v>202406</v>
      </c>
      <c r="C1798" s="1" t="str">
        <f>MID(analisis_productividad__4[[#This Row],[Periodo]],1,4)</f>
        <v>2024</v>
      </c>
      <c r="D1798" s="1" t="str">
        <f>MID(analisis_productividad__4[[#This Row],[Periodo]],5,2)</f>
        <v>06</v>
      </c>
      <c r="E1798" s="1" t="s">
        <v>16</v>
      </c>
      <c r="F1798" s="1" t="s">
        <v>19</v>
      </c>
      <c r="G1798" s="1">
        <v>79362</v>
      </c>
      <c r="H1798" s="1">
        <v>4045679</v>
      </c>
      <c r="I1798" s="1">
        <v>50.977694444444445</v>
      </c>
      <c r="J1798" s="1">
        <v>0</v>
      </c>
      <c r="K1798" s="1">
        <v>50.5</v>
      </c>
      <c r="L1798" s="1">
        <v>51.5</v>
      </c>
      <c r="M1798" s="1"/>
      <c r="N1798" s="1">
        <v>0</v>
      </c>
    </row>
    <row r="1799" spans="1:14" x14ac:dyDescent="0.35">
      <c r="A1799" s="1" t="s">
        <v>33</v>
      </c>
      <c r="B1799" s="1">
        <v>202401</v>
      </c>
      <c r="C1799" s="1" t="str">
        <f>MID(analisis_productividad__4[[#This Row],[Periodo]],1,4)</f>
        <v>2024</v>
      </c>
      <c r="D1799" s="1" t="str">
        <f>MID(analisis_productividad__4[[#This Row],[Periodo]],5,2)</f>
        <v>01</v>
      </c>
      <c r="E1799" s="1" t="s">
        <v>34</v>
      </c>
      <c r="F1799" s="1" t="s">
        <v>35</v>
      </c>
      <c r="G1799" s="1">
        <v>79360</v>
      </c>
      <c r="H1799" s="1">
        <v>1026722</v>
      </c>
      <c r="I1799" s="1">
        <v>12.937533602150536</v>
      </c>
      <c r="J1799" s="1">
        <v>0</v>
      </c>
      <c r="K1799" s="1">
        <v>15</v>
      </c>
      <c r="L1799" s="1">
        <v>15</v>
      </c>
      <c r="M1799" s="1"/>
      <c r="N1799" s="1">
        <v>0</v>
      </c>
    </row>
    <row r="1800" spans="1:14" x14ac:dyDescent="0.35">
      <c r="A1800" s="1" t="s">
        <v>47</v>
      </c>
      <c r="B1800" s="1">
        <v>202409</v>
      </c>
      <c r="C1800" s="1" t="str">
        <f>MID(analisis_productividad__4[[#This Row],[Periodo]],1,4)</f>
        <v>2024</v>
      </c>
      <c r="D1800" s="1" t="str">
        <f>MID(analisis_productividad__4[[#This Row],[Periodo]],5,2)</f>
        <v>09</v>
      </c>
      <c r="E1800" s="1" t="s">
        <v>11</v>
      </c>
      <c r="F1800" s="1" t="s">
        <v>14</v>
      </c>
      <c r="G1800" s="1">
        <v>79325</v>
      </c>
      <c r="H1800" s="1">
        <v>4388094</v>
      </c>
      <c r="I1800" s="1">
        <v>55.317888888888909</v>
      </c>
      <c r="J1800" s="1">
        <v>0</v>
      </c>
      <c r="K1800" s="1">
        <v>61.5</v>
      </c>
      <c r="L1800" s="1">
        <v>48.5</v>
      </c>
      <c r="M1800" s="1"/>
      <c r="N1800" s="1">
        <v>0</v>
      </c>
    </row>
    <row r="1801" spans="1:14" x14ac:dyDescent="0.35">
      <c r="A1801" s="1" t="s">
        <v>66</v>
      </c>
      <c r="B1801" s="1">
        <v>202506</v>
      </c>
      <c r="C1801" s="1" t="str">
        <f>MID(analisis_productividad__4[[#This Row],[Periodo]],1,4)</f>
        <v>2025</v>
      </c>
      <c r="D1801" s="1" t="str">
        <f>MID(analisis_productividad__4[[#This Row],[Periodo]],5,2)</f>
        <v>06</v>
      </c>
      <c r="E1801" s="1" t="s">
        <v>11</v>
      </c>
      <c r="F1801" s="1" t="s">
        <v>12</v>
      </c>
      <c r="G1801" s="1">
        <v>79319</v>
      </c>
      <c r="H1801" s="1">
        <v>5319258</v>
      </c>
      <c r="I1801" s="1">
        <v>67.061750000000032</v>
      </c>
      <c r="J1801" s="1">
        <v>77657.22557648443</v>
      </c>
      <c r="K1801" s="1">
        <v>80</v>
      </c>
      <c r="L1801" s="1">
        <v>80.5</v>
      </c>
      <c r="M1801" s="1">
        <v>68.496630551925563</v>
      </c>
      <c r="N1801" s="1">
        <v>6090152</v>
      </c>
    </row>
    <row r="1802" spans="1:14" x14ac:dyDescent="0.35">
      <c r="A1802" s="1" t="s">
        <v>106</v>
      </c>
      <c r="B1802" s="1">
        <v>202410</v>
      </c>
      <c r="C1802" s="1" t="str">
        <f>MID(analisis_productividad__4[[#This Row],[Periodo]],1,4)</f>
        <v>2024</v>
      </c>
      <c r="D1802" s="1" t="str">
        <f>MID(analisis_productividad__4[[#This Row],[Periodo]],5,2)</f>
        <v>10</v>
      </c>
      <c r="E1802" s="1" t="s">
        <v>34</v>
      </c>
      <c r="F1802" s="1" t="s">
        <v>35</v>
      </c>
      <c r="G1802" s="1">
        <v>79316</v>
      </c>
      <c r="H1802" s="1">
        <v>3352762</v>
      </c>
      <c r="I1802" s="1">
        <v>42.271202956989249</v>
      </c>
      <c r="J1802" s="1">
        <v>0</v>
      </c>
      <c r="K1802" s="1">
        <v>51</v>
      </c>
      <c r="L1802" s="1">
        <v>49</v>
      </c>
      <c r="M1802" s="1"/>
      <c r="N1802" s="1">
        <v>0</v>
      </c>
    </row>
    <row r="1803" spans="1:14" x14ac:dyDescent="0.35">
      <c r="A1803" s="1" t="s">
        <v>48</v>
      </c>
      <c r="B1803" s="1">
        <v>202506</v>
      </c>
      <c r="C1803" s="1" t="str">
        <f>MID(analisis_productividad__4[[#This Row],[Periodo]],1,4)</f>
        <v>2025</v>
      </c>
      <c r="D1803" s="1" t="str">
        <f>MID(analisis_productividad__4[[#This Row],[Periodo]],5,2)</f>
        <v>06</v>
      </c>
      <c r="E1803" s="1" t="s">
        <v>16</v>
      </c>
      <c r="F1803" s="1" t="s">
        <v>21</v>
      </c>
      <c r="G1803" s="1">
        <v>79312</v>
      </c>
      <c r="H1803" s="1">
        <v>4288688</v>
      </c>
      <c r="I1803" s="1">
        <v>54.073590277777761</v>
      </c>
      <c r="J1803" s="1">
        <v>77759.24803973471</v>
      </c>
      <c r="K1803" s="1">
        <v>56</v>
      </c>
      <c r="L1803" s="1">
        <v>60</v>
      </c>
      <c r="M1803" s="1">
        <v>55.153413621084603</v>
      </c>
      <c r="N1803" s="1">
        <v>4827183</v>
      </c>
    </row>
    <row r="1804" spans="1:14" x14ac:dyDescent="0.35">
      <c r="A1804" s="1" t="s">
        <v>84</v>
      </c>
      <c r="B1804" s="1">
        <v>202504</v>
      </c>
      <c r="C1804" s="1" t="str">
        <f>MID(analisis_productividad__4[[#This Row],[Periodo]],1,4)</f>
        <v>2025</v>
      </c>
      <c r="D1804" s="1" t="str">
        <f>MID(analisis_productividad__4[[#This Row],[Periodo]],5,2)</f>
        <v>04</v>
      </c>
      <c r="E1804" s="1" t="s">
        <v>11</v>
      </c>
      <c r="F1804" s="1" t="s">
        <v>52</v>
      </c>
      <c r="G1804" s="1">
        <v>79311</v>
      </c>
      <c r="H1804" s="1">
        <v>8487577</v>
      </c>
      <c r="I1804" s="1">
        <v>107.01658333333337</v>
      </c>
      <c r="J1804" s="1">
        <v>81508.649043993501</v>
      </c>
      <c r="K1804" s="1">
        <v>123</v>
      </c>
      <c r="L1804" s="1">
        <v>115.5</v>
      </c>
      <c r="M1804" s="1">
        <v>104.13100020120457</v>
      </c>
      <c r="N1804" s="1">
        <v>9622319</v>
      </c>
    </row>
    <row r="1805" spans="1:14" x14ac:dyDescent="0.35">
      <c r="A1805" s="1" t="s">
        <v>81</v>
      </c>
      <c r="B1805" s="1">
        <v>202505</v>
      </c>
      <c r="C1805" s="1" t="str">
        <f>MID(analisis_productividad__4[[#This Row],[Periodo]],1,4)</f>
        <v>2025</v>
      </c>
      <c r="D1805" s="1" t="str">
        <f>MID(analisis_productividad__4[[#This Row],[Periodo]],5,2)</f>
        <v>05</v>
      </c>
      <c r="E1805" s="1" t="s">
        <v>34</v>
      </c>
      <c r="F1805" s="1" t="s">
        <v>35</v>
      </c>
      <c r="G1805" s="1">
        <v>79295</v>
      </c>
      <c r="H1805" s="1">
        <v>7548158</v>
      </c>
      <c r="I1805" s="1">
        <v>95.190497311827968</v>
      </c>
      <c r="J1805" s="1">
        <v>80612.033601733463</v>
      </c>
      <c r="K1805" s="1">
        <v>106</v>
      </c>
      <c r="L1805" s="1">
        <v>94.5</v>
      </c>
      <c r="M1805" s="1">
        <v>93.635624022238844</v>
      </c>
      <c r="N1805" s="1">
        <v>7833550</v>
      </c>
    </row>
    <row r="1806" spans="1:14" x14ac:dyDescent="0.35">
      <c r="A1806" s="1" t="s">
        <v>62</v>
      </c>
      <c r="B1806" s="1">
        <v>202506</v>
      </c>
      <c r="C1806" s="1" t="str">
        <f>MID(analisis_productividad__4[[#This Row],[Periodo]],1,4)</f>
        <v>2025</v>
      </c>
      <c r="D1806" s="1" t="str">
        <f>MID(analisis_productividad__4[[#This Row],[Periodo]],5,2)</f>
        <v>06</v>
      </c>
      <c r="E1806" s="1" t="s">
        <v>16</v>
      </c>
      <c r="F1806" s="1" t="s">
        <v>17</v>
      </c>
      <c r="G1806" s="1">
        <v>79259</v>
      </c>
      <c r="H1806" s="1">
        <v>2255652</v>
      </c>
      <c r="I1806" s="1">
        <v>28.459423611111124</v>
      </c>
      <c r="J1806" s="1">
        <v>88777.003027197454</v>
      </c>
      <c r="K1806" s="1">
        <v>32.5</v>
      </c>
      <c r="L1806" s="1">
        <v>32</v>
      </c>
      <c r="M1806" s="1">
        <v>25.408061807503966</v>
      </c>
      <c r="N1806" s="1">
        <v>2171724</v>
      </c>
    </row>
    <row r="1807" spans="1:14" x14ac:dyDescent="0.35">
      <c r="A1807" s="1" t="s">
        <v>106</v>
      </c>
      <c r="B1807" s="1">
        <v>202506</v>
      </c>
      <c r="C1807" s="1" t="str">
        <f>MID(analisis_productividad__4[[#This Row],[Periodo]],1,4)</f>
        <v>2025</v>
      </c>
      <c r="D1807" s="1" t="str">
        <f>MID(analisis_productividad__4[[#This Row],[Periodo]],5,2)</f>
        <v>06</v>
      </c>
      <c r="E1807" s="1" t="s">
        <v>34</v>
      </c>
      <c r="F1807" s="1" t="s">
        <v>35</v>
      </c>
      <c r="G1807" s="1">
        <v>79198</v>
      </c>
      <c r="H1807" s="1">
        <v>3215061</v>
      </c>
      <c r="I1807" s="1">
        <v>40.594993055555555</v>
      </c>
      <c r="J1807" s="1">
        <v>74901.728835409027</v>
      </c>
      <c r="K1807" s="1">
        <v>51</v>
      </c>
      <c r="L1807" s="1">
        <v>49</v>
      </c>
      <c r="M1807" s="1">
        <v>42.923725927139238</v>
      </c>
      <c r="N1807" s="1">
        <v>3562907</v>
      </c>
    </row>
    <row r="1808" spans="1:14" x14ac:dyDescent="0.35">
      <c r="A1808" s="1" t="s">
        <v>44</v>
      </c>
      <c r="B1808" s="1">
        <v>202504</v>
      </c>
      <c r="C1808" s="1" t="str">
        <f>MID(analisis_productividad__4[[#This Row],[Periodo]],1,4)</f>
        <v>2025</v>
      </c>
      <c r="D1808" s="1" t="str">
        <f>MID(analisis_productividad__4[[#This Row],[Periodo]],5,2)</f>
        <v>04</v>
      </c>
      <c r="E1808" s="1" t="s">
        <v>11</v>
      </c>
      <c r="F1808" s="1" t="s">
        <v>12</v>
      </c>
      <c r="G1808" s="1">
        <v>79197</v>
      </c>
      <c r="H1808" s="1">
        <v>5609444</v>
      </c>
      <c r="I1808" s="1">
        <v>70.828965277777783</v>
      </c>
      <c r="J1808" s="1">
        <v>91546.098392379921</v>
      </c>
      <c r="K1808" s="1">
        <v>78</v>
      </c>
      <c r="L1808" s="1">
        <v>74.5</v>
      </c>
      <c r="M1808" s="1">
        <v>61.27453150386706</v>
      </c>
      <c r="N1808" s="1">
        <v>6386052</v>
      </c>
    </row>
    <row r="1809" spans="1:14" x14ac:dyDescent="0.35">
      <c r="A1809" s="1" t="s">
        <v>60</v>
      </c>
      <c r="B1809" s="1">
        <v>202411</v>
      </c>
      <c r="C1809" s="1" t="str">
        <f>MID(analisis_productividad__4[[#This Row],[Periodo]],1,4)</f>
        <v>2024</v>
      </c>
      <c r="D1809" s="1" t="str">
        <f>MID(analisis_productividad__4[[#This Row],[Periodo]],5,2)</f>
        <v>11</v>
      </c>
      <c r="E1809" s="1" t="s">
        <v>11</v>
      </c>
      <c r="F1809" s="1" t="s">
        <v>14</v>
      </c>
      <c r="G1809" s="1">
        <v>79154</v>
      </c>
      <c r="H1809" s="1">
        <v>5688397</v>
      </c>
      <c r="I1809" s="1">
        <v>71.865256944444468</v>
      </c>
      <c r="J1809" s="1">
        <v>0</v>
      </c>
      <c r="K1809" s="1">
        <v>75.5</v>
      </c>
      <c r="L1809" s="1">
        <v>74</v>
      </c>
      <c r="M1809" s="1"/>
      <c r="N1809" s="1">
        <v>0</v>
      </c>
    </row>
    <row r="1810" spans="1:14" x14ac:dyDescent="0.35">
      <c r="A1810" s="1" t="s">
        <v>97</v>
      </c>
      <c r="B1810" s="1">
        <v>202507</v>
      </c>
      <c r="C1810" s="1" t="str">
        <f>MID(analisis_productividad__4[[#This Row],[Periodo]],1,4)</f>
        <v>2025</v>
      </c>
      <c r="D1810" s="1" t="str">
        <f>MID(analisis_productividad__4[[#This Row],[Periodo]],5,2)</f>
        <v>07</v>
      </c>
      <c r="E1810" s="1" t="s">
        <v>11</v>
      </c>
      <c r="F1810" s="1" t="s">
        <v>12</v>
      </c>
      <c r="G1810" s="1">
        <v>79143</v>
      </c>
      <c r="H1810" s="1">
        <v>4374892</v>
      </c>
      <c r="I1810" s="1">
        <v>55.278313172043021</v>
      </c>
      <c r="J1810" s="1">
        <v>81416.359085207441</v>
      </c>
      <c r="K1810" s="1">
        <v>66.5</v>
      </c>
      <c r="L1810" s="1">
        <v>63.5</v>
      </c>
      <c r="M1810" s="1">
        <v>53.734798499419448</v>
      </c>
      <c r="N1810" s="1">
        <v>5118598</v>
      </c>
    </row>
    <row r="1811" spans="1:14" x14ac:dyDescent="0.35">
      <c r="A1811" s="1" t="s">
        <v>59</v>
      </c>
      <c r="B1811" s="1">
        <v>202410</v>
      </c>
      <c r="C1811" s="1" t="str">
        <f>MID(analisis_productividad__4[[#This Row],[Periodo]],1,4)</f>
        <v>2024</v>
      </c>
      <c r="D1811" s="1" t="str">
        <f>MID(analisis_productividad__4[[#This Row],[Periodo]],5,2)</f>
        <v>10</v>
      </c>
      <c r="E1811" s="1" t="s">
        <v>11</v>
      </c>
      <c r="F1811" s="1" t="s">
        <v>12</v>
      </c>
      <c r="G1811" s="1">
        <v>79137</v>
      </c>
      <c r="H1811" s="1">
        <v>7034216</v>
      </c>
      <c r="I1811" s="1">
        <v>88.886969086021452</v>
      </c>
      <c r="J1811" s="1">
        <v>0</v>
      </c>
      <c r="K1811" s="1">
        <v>94.5</v>
      </c>
      <c r="L1811" s="1">
        <v>97</v>
      </c>
      <c r="M1811" s="1"/>
      <c r="N1811" s="1">
        <v>0</v>
      </c>
    </row>
    <row r="1812" spans="1:14" x14ac:dyDescent="0.35">
      <c r="A1812" s="1" t="s">
        <v>87</v>
      </c>
      <c r="B1812" s="1">
        <v>202506</v>
      </c>
      <c r="C1812" s="1" t="str">
        <f>MID(analisis_productividad__4[[#This Row],[Periodo]],1,4)</f>
        <v>2025</v>
      </c>
      <c r="D1812" s="1" t="str">
        <f>MID(analisis_productividad__4[[#This Row],[Periodo]],5,2)</f>
        <v>06</v>
      </c>
      <c r="E1812" s="1" t="s">
        <v>9</v>
      </c>
      <c r="F1812" s="1" t="s">
        <v>9</v>
      </c>
      <c r="G1812" s="1">
        <v>79067</v>
      </c>
      <c r="H1812" s="1">
        <v>865040</v>
      </c>
      <c r="I1812" s="1">
        <v>10.940611111111112</v>
      </c>
      <c r="J1812" s="1">
        <v>86355.953793797627</v>
      </c>
      <c r="K1812" s="1">
        <v>13.5</v>
      </c>
      <c r="L1812" s="1">
        <v>12</v>
      </c>
      <c r="M1812" s="1">
        <v>10.017138390545226</v>
      </c>
      <c r="N1812" s="1">
        <v>1038809</v>
      </c>
    </row>
    <row r="1813" spans="1:14" x14ac:dyDescent="0.35">
      <c r="A1813" s="1" t="s">
        <v>72</v>
      </c>
      <c r="B1813" s="1">
        <v>202409</v>
      </c>
      <c r="C1813" s="1" t="str">
        <f>MID(analisis_productividad__4[[#This Row],[Periodo]],1,4)</f>
        <v>2024</v>
      </c>
      <c r="D1813" s="1" t="str">
        <f>MID(analisis_productividad__4[[#This Row],[Periodo]],5,2)</f>
        <v>09</v>
      </c>
      <c r="E1813" s="1" t="s">
        <v>11</v>
      </c>
      <c r="F1813" s="1" t="s">
        <v>14</v>
      </c>
      <c r="G1813" s="1">
        <v>78961</v>
      </c>
      <c r="H1813" s="1">
        <v>4733224</v>
      </c>
      <c r="I1813" s="1">
        <v>59.943770833333311</v>
      </c>
      <c r="J1813" s="1">
        <v>0</v>
      </c>
      <c r="K1813" s="1">
        <v>66</v>
      </c>
      <c r="L1813" s="1">
        <v>64.5</v>
      </c>
      <c r="M1813" s="1"/>
      <c r="N1813" s="1">
        <v>0</v>
      </c>
    </row>
    <row r="1814" spans="1:14" x14ac:dyDescent="0.35">
      <c r="A1814" s="1" t="s">
        <v>74</v>
      </c>
      <c r="B1814" s="1">
        <v>202401</v>
      </c>
      <c r="C1814" s="1" t="str">
        <f>MID(analisis_productividad__4[[#This Row],[Periodo]],1,4)</f>
        <v>2024</v>
      </c>
      <c r="D1814" s="1" t="str">
        <f>MID(analisis_productividad__4[[#This Row],[Periodo]],5,2)</f>
        <v>01</v>
      </c>
      <c r="E1814" s="1" t="s">
        <v>16</v>
      </c>
      <c r="F1814" s="1" t="s">
        <v>19</v>
      </c>
      <c r="G1814" s="1">
        <v>78932</v>
      </c>
      <c r="H1814" s="1">
        <v>3870951</v>
      </c>
      <c r="I1814" s="1">
        <v>49.041586021505402</v>
      </c>
      <c r="J1814" s="1">
        <v>0</v>
      </c>
      <c r="K1814" s="1">
        <v>50.5</v>
      </c>
      <c r="L1814" s="1">
        <v>51.5</v>
      </c>
      <c r="M1814" s="1"/>
      <c r="N1814" s="1">
        <v>0</v>
      </c>
    </row>
    <row r="1815" spans="1:14" x14ac:dyDescent="0.35">
      <c r="A1815" s="1" t="s">
        <v>108</v>
      </c>
      <c r="B1815" s="1">
        <v>202512</v>
      </c>
      <c r="C1815" s="1" t="str">
        <f>MID(analisis_productividad__4[[#This Row],[Periodo]],1,4)</f>
        <v>2025</v>
      </c>
      <c r="D1815" s="1" t="str">
        <f>MID(analisis_productividad__4[[#This Row],[Periodo]],5,2)</f>
        <v>12</v>
      </c>
      <c r="E1815" s="1" t="s">
        <v>11</v>
      </c>
      <c r="F1815" s="1" t="s">
        <v>14</v>
      </c>
      <c r="G1815" s="1">
        <v>78918</v>
      </c>
      <c r="H1815" s="1">
        <v>3797802</v>
      </c>
      <c r="I1815" s="1">
        <v>48.123306451612848</v>
      </c>
      <c r="J1815" s="1">
        <v>87240.254898150699</v>
      </c>
      <c r="K1815" s="1">
        <v>47.5</v>
      </c>
      <c r="L1815" s="1">
        <v>43</v>
      </c>
      <c r="M1815" s="1">
        <v>43.532677941321623</v>
      </c>
      <c r="N1815" s="1">
        <v>4501816</v>
      </c>
    </row>
    <row r="1816" spans="1:14" x14ac:dyDescent="0.35">
      <c r="A1816" s="1" t="s">
        <v>70</v>
      </c>
      <c r="B1816" s="1">
        <v>202402</v>
      </c>
      <c r="C1816" s="1" t="str">
        <f>MID(analisis_productividad__4[[#This Row],[Periodo]],1,4)</f>
        <v>2024</v>
      </c>
      <c r="D1816" s="1" t="str">
        <f>MID(analisis_productividad__4[[#This Row],[Periodo]],5,2)</f>
        <v>02</v>
      </c>
      <c r="E1816" s="1" t="s">
        <v>11</v>
      </c>
      <c r="F1816" s="1" t="s">
        <v>14</v>
      </c>
      <c r="G1816" s="1">
        <v>78895</v>
      </c>
      <c r="H1816" s="1">
        <v>4795387</v>
      </c>
      <c r="I1816" s="1">
        <v>60.781824712643683</v>
      </c>
      <c r="J1816" s="1">
        <v>0</v>
      </c>
      <c r="K1816" s="1">
        <v>65</v>
      </c>
      <c r="L1816" s="1">
        <v>67.5</v>
      </c>
      <c r="M1816" s="1"/>
      <c r="N1816" s="1">
        <v>0</v>
      </c>
    </row>
    <row r="1817" spans="1:14" x14ac:dyDescent="0.35">
      <c r="A1817" s="1" t="s">
        <v>67</v>
      </c>
      <c r="B1817" s="1">
        <v>202402</v>
      </c>
      <c r="C1817" s="1" t="str">
        <f>MID(analisis_productividad__4[[#This Row],[Periodo]],1,4)</f>
        <v>2024</v>
      </c>
      <c r="D1817" s="1" t="str">
        <f>MID(analisis_productividad__4[[#This Row],[Periodo]],5,2)</f>
        <v>02</v>
      </c>
      <c r="E1817" s="1" t="s">
        <v>16</v>
      </c>
      <c r="F1817" s="1" t="s">
        <v>19</v>
      </c>
      <c r="G1817" s="1">
        <v>78883</v>
      </c>
      <c r="H1817" s="1">
        <v>5536116</v>
      </c>
      <c r="I1817" s="1">
        <v>70.181185344827597</v>
      </c>
      <c r="J1817" s="1">
        <v>0</v>
      </c>
      <c r="K1817" s="1">
        <v>79.5</v>
      </c>
      <c r="L1817" s="1">
        <v>81.5</v>
      </c>
      <c r="M1817" s="1"/>
      <c r="N1817" s="1">
        <v>0</v>
      </c>
    </row>
    <row r="1818" spans="1:14" x14ac:dyDescent="0.35">
      <c r="A1818" s="1" t="s">
        <v>86</v>
      </c>
      <c r="B1818" s="1">
        <v>202407</v>
      </c>
      <c r="C1818" s="1" t="str">
        <f>MID(analisis_productividad__4[[#This Row],[Periodo]],1,4)</f>
        <v>2024</v>
      </c>
      <c r="D1818" s="1" t="str">
        <f>MID(analisis_productividad__4[[#This Row],[Periodo]],5,2)</f>
        <v>07</v>
      </c>
      <c r="E1818" s="1" t="s">
        <v>11</v>
      </c>
      <c r="F1818" s="1" t="s">
        <v>14</v>
      </c>
      <c r="G1818" s="1">
        <v>78837</v>
      </c>
      <c r="H1818" s="1">
        <v>5054658</v>
      </c>
      <c r="I1818" s="1">
        <v>64.115107526881744</v>
      </c>
      <c r="J1818" s="1">
        <v>0</v>
      </c>
      <c r="K1818" s="1">
        <v>69.5</v>
      </c>
      <c r="L1818" s="1">
        <v>59</v>
      </c>
      <c r="M1818" s="1"/>
      <c r="N1818" s="1">
        <v>0</v>
      </c>
    </row>
    <row r="1819" spans="1:14" x14ac:dyDescent="0.35">
      <c r="A1819" s="1" t="s">
        <v>71</v>
      </c>
      <c r="B1819" s="1">
        <v>202408</v>
      </c>
      <c r="C1819" s="1" t="str">
        <f>MID(analisis_productividad__4[[#This Row],[Periodo]],1,4)</f>
        <v>2024</v>
      </c>
      <c r="D1819" s="1" t="str">
        <f>MID(analisis_productividad__4[[#This Row],[Periodo]],5,2)</f>
        <v>08</v>
      </c>
      <c r="E1819" s="1" t="s">
        <v>16</v>
      </c>
      <c r="F1819" s="1" t="s">
        <v>19</v>
      </c>
      <c r="G1819" s="1">
        <v>78767</v>
      </c>
      <c r="H1819" s="1">
        <v>2627902</v>
      </c>
      <c r="I1819" s="1">
        <v>33.363185483870957</v>
      </c>
      <c r="J1819" s="1">
        <v>0</v>
      </c>
      <c r="K1819" s="1">
        <v>41.5</v>
      </c>
      <c r="L1819" s="1">
        <v>35.5</v>
      </c>
      <c r="M1819" s="1"/>
      <c r="N1819" s="1">
        <v>0</v>
      </c>
    </row>
    <row r="1820" spans="1:14" x14ac:dyDescent="0.35">
      <c r="A1820" s="1" t="s">
        <v>83</v>
      </c>
      <c r="B1820" s="1">
        <v>202503</v>
      </c>
      <c r="C1820" s="1" t="str">
        <f>MID(analisis_productividad__4[[#This Row],[Periodo]],1,4)</f>
        <v>2025</v>
      </c>
      <c r="D1820" s="1" t="str">
        <f>MID(analisis_productividad__4[[#This Row],[Periodo]],5,2)</f>
        <v>03</v>
      </c>
      <c r="E1820" s="1" t="s">
        <v>16</v>
      </c>
      <c r="F1820" s="1" t="s">
        <v>17</v>
      </c>
      <c r="G1820" s="1">
        <v>78753</v>
      </c>
      <c r="H1820" s="1">
        <v>4272545</v>
      </c>
      <c r="I1820" s="1">
        <v>54.252493279569897</v>
      </c>
      <c r="J1820" s="1">
        <v>90494.810428781057</v>
      </c>
      <c r="K1820" s="1">
        <v>52</v>
      </c>
      <c r="L1820" s="1">
        <v>52</v>
      </c>
      <c r="M1820" s="1">
        <v>47.213145148941656</v>
      </c>
      <c r="N1820" s="1">
        <v>4149877</v>
      </c>
    </row>
    <row r="1821" spans="1:14" x14ac:dyDescent="0.35">
      <c r="A1821" s="1" t="s">
        <v>59</v>
      </c>
      <c r="B1821" s="1">
        <v>202509</v>
      </c>
      <c r="C1821" s="1" t="str">
        <f>MID(analisis_productividad__4[[#This Row],[Periodo]],1,4)</f>
        <v>2025</v>
      </c>
      <c r="D1821" s="1" t="str">
        <f>MID(analisis_productividad__4[[#This Row],[Periodo]],5,2)</f>
        <v>09</v>
      </c>
      <c r="E1821" s="1" t="s">
        <v>11</v>
      </c>
      <c r="F1821" s="1" t="s">
        <v>12</v>
      </c>
      <c r="G1821" s="1">
        <v>78747</v>
      </c>
      <c r="H1821" s="1">
        <v>6687047</v>
      </c>
      <c r="I1821" s="1">
        <v>84.918361111111153</v>
      </c>
      <c r="J1821" s="1">
        <v>84829.68340131575</v>
      </c>
      <c r="K1821" s="1">
        <v>94.5</v>
      </c>
      <c r="L1821" s="1">
        <v>97</v>
      </c>
      <c r="M1821" s="1">
        <v>78.829091679673553</v>
      </c>
      <c r="N1821" s="1">
        <v>6833857</v>
      </c>
    </row>
    <row r="1822" spans="1:14" x14ac:dyDescent="0.35">
      <c r="A1822" s="1" t="s">
        <v>49</v>
      </c>
      <c r="B1822" s="1">
        <v>202509</v>
      </c>
      <c r="C1822" s="1" t="str">
        <f>MID(analisis_productividad__4[[#This Row],[Periodo]],1,4)</f>
        <v>2025</v>
      </c>
      <c r="D1822" s="1" t="str">
        <f>MID(analisis_productividad__4[[#This Row],[Periodo]],5,2)</f>
        <v>09</v>
      </c>
      <c r="E1822" s="1" t="s">
        <v>16</v>
      </c>
      <c r="F1822" s="1" t="s">
        <v>21</v>
      </c>
      <c r="G1822" s="1">
        <v>78727</v>
      </c>
      <c r="H1822" s="1">
        <v>4832925</v>
      </c>
      <c r="I1822" s="1">
        <v>61.388055555555567</v>
      </c>
      <c r="J1822" s="1">
        <v>85254.986341047843</v>
      </c>
      <c r="K1822" s="1">
        <v>75.5</v>
      </c>
      <c r="L1822" s="1">
        <v>68</v>
      </c>
      <c r="M1822" s="1">
        <v>56.687884397362048</v>
      </c>
      <c r="N1822" s="1">
        <v>5896666</v>
      </c>
    </row>
    <row r="1823" spans="1:14" x14ac:dyDescent="0.35">
      <c r="A1823" s="1" t="s">
        <v>18</v>
      </c>
      <c r="B1823" s="1">
        <v>202508</v>
      </c>
      <c r="C1823" s="1" t="str">
        <f>MID(analisis_productividad__4[[#This Row],[Periodo]],1,4)</f>
        <v>2025</v>
      </c>
      <c r="D1823" s="1" t="str">
        <f>MID(analisis_productividad__4[[#This Row],[Periodo]],5,2)</f>
        <v>08</v>
      </c>
      <c r="E1823" s="1" t="s">
        <v>16</v>
      </c>
      <c r="F1823" s="1" t="s">
        <v>19</v>
      </c>
      <c r="G1823" s="1">
        <v>78709</v>
      </c>
      <c r="H1823" s="1">
        <v>4759437</v>
      </c>
      <c r="I1823" s="1">
        <v>60.46880376344086</v>
      </c>
      <c r="J1823" s="1">
        <v>83725.196588310951</v>
      </c>
      <c r="K1823" s="1">
        <v>70.5</v>
      </c>
      <c r="L1823" s="1">
        <v>69.5</v>
      </c>
      <c r="M1823" s="1">
        <v>56.845936157102727</v>
      </c>
      <c r="N1823" s="1">
        <v>4996894</v>
      </c>
    </row>
    <row r="1824" spans="1:14" x14ac:dyDescent="0.35">
      <c r="A1824" s="1" t="s">
        <v>18</v>
      </c>
      <c r="B1824" s="1">
        <v>202404</v>
      </c>
      <c r="C1824" s="1" t="str">
        <f>MID(analisis_productividad__4[[#This Row],[Periodo]],1,4)</f>
        <v>2024</v>
      </c>
      <c r="D1824" s="1" t="str">
        <f>MID(analisis_productividad__4[[#This Row],[Periodo]],5,2)</f>
        <v>04</v>
      </c>
      <c r="E1824" s="1" t="s">
        <v>16</v>
      </c>
      <c r="F1824" s="1" t="s">
        <v>19</v>
      </c>
      <c r="G1824" s="1">
        <v>78671</v>
      </c>
      <c r="H1824" s="1">
        <v>5120366</v>
      </c>
      <c r="I1824" s="1">
        <v>65.085708333333315</v>
      </c>
      <c r="J1824" s="1">
        <v>0</v>
      </c>
      <c r="K1824" s="1">
        <v>70.5</v>
      </c>
      <c r="L1824" s="1">
        <v>69.5</v>
      </c>
      <c r="M1824" s="1"/>
      <c r="N1824" s="1">
        <v>0</v>
      </c>
    </row>
    <row r="1825" spans="1:14" x14ac:dyDescent="0.35">
      <c r="A1825" s="1" t="s">
        <v>120</v>
      </c>
      <c r="B1825" s="1">
        <v>202407</v>
      </c>
      <c r="C1825" s="1" t="str">
        <f>MID(analisis_productividad__4[[#This Row],[Periodo]],1,4)</f>
        <v>2024</v>
      </c>
      <c r="D1825" s="1" t="str">
        <f>MID(analisis_productividad__4[[#This Row],[Periodo]],5,2)</f>
        <v>07</v>
      </c>
      <c r="E1825" s="1" t="s">
        <v>9</v>
      </c>
      <c r="F1825" s="1" t="s">
        <v>9</v>
      </c>
      <c r="G1825" s="1">
        <v>78645</v>
      </c>
      <c r="H1825" s="1">
        <v>858056</v>
      </c>
      <c r="I1825" s="1">
        <v>10.91049731182796</v>
      </c>
      <c r="J1825" s="1">
        <v>0</v>
      </c>
      <c r="K1825" s="1">
        <v>11.5</v>
      </c>
      <c r="L1825" s="1">
        <v>12</v>
      </c>
      <c r="M1825" s="1"/>
      <c r="N1825" s="1">
        <v>0</v>
      </c>
    </row>
    <row r="1826" spans="1:14" x14ac:dyDescent="0.35">
      <c r="A1826" s="1" t="s">
        <v>94</v>
      </c>
      <c r="B1826" s="1">
        <v>202504</v>
      </c>
      <c r="C1826" s="1" t="str">
        <f>MID(analisis_productividad__4[[#This Row],[Periodo]],1,4)</f>
        <v>2025</v>
      </c>
      <c r="D1826" s="1" t="str">
        <f>MID(analisis_productividad__4[[#This Row],[Periodo]],5,2)</f>
        <v>04</v>
      </c>
      <c r="E1826" s="1" t="s">
        <v>11</v>
      </c>
      <c r="F1826" s="1" t="s">
        <v>52</v>
      </c>
      <c r="G1826" s="1">
        <v>78641</v>
      </c>
      <c r="H1826" s="1">
        <v>4932323</v>
      </c>
      <c r="I1826" s="1">
        <v>62.719756944444434</v>
      </c>
      <c r="J1826" s="1">
        <v>69627.87937057919</v>
      </c>
      <c r="K1826" s="1">
        <v>75.5</v>
      </c>
      <c r="L1826" s="1">
        <v>70.5</v>
      </c>
      <c r="M1826" s="1">
        <v>70.838330200303645</v>
      </c>
      <c r="N1826" s="1">
        <v>5646985</v>
      </c>
    </row>
    <row r="1827" spans="1:14" x14ac:dyDescent="0.35">
      <c r="A1827" s="1" t="s">
        <v>95</v>
      </c>
      <c r="B1827" s="1">
        <v>202411</v>
      </c>
      <c r="C1827" s="1" t="str">
        <f>MID(analisis_productividad__4[[#This Row],[Periodo]],1,4)</f>
        <v>2024</v>
      </c>
      <c r="D1827" s="1" t="str">
        <f>MID(analisis_productividad__4[[#This Row],[Periodo]],5,2)</f>
        <v>11</v>
      </c>
      <c r="E1827" s="1" t="s">
        <v>9</v>
      </c>
      <c r="F1827" s="1" t="s">
        <v>9</v>
      </c>
      <c r="G1827" s="1">
        <v>78623</v>
      </c>
      <c r="H1827" s="1">
        <v>650811</v>
      </c>
      <c r="I1827" s="1">
        <v>8.2775972222222229</v>
      </c>
      <c r="J1827" s="1">
        <v>0</v>
      </c>
      <c r="K1827" s="1">
        <v>11</v>
      </c>
      <c r="L1827" s="1">
        <v>11</v>
      </c>
      <c r="M1827" s="1"/>
      <c r="N1827" s="1">
        <v>0</v>
      </c>
    </row>
    <row r="1828" spans="1:14" x14ac:dyDescent="0.35">
      <c r="A1828" s="1" t="s">
        <v>80</v>
      </c>
      <c r="B1828" s="1">
        <v>202406</v>
      </c>
      <c r="C1828" s="1" t="str">
        <f>MID(analisis_productividad__4[[#This Row],[Periodo]],1,4)</f>
        <v>2024</v>
      </c>
      <c r="D1828" s="1" t="str">
        <f>MID(analisis_productividad__4[[#This Row],[Periodo]],5,2)</f>
        <v>06</v>
      </c>
      <c r="E1828" s="1" t="s">
        <v>16</v>
      </c>
      <c r="F1828" s="1" t="s">
        <v>17</v>
      </c>
      <c r="G1828" s="1">
        <v>78613</v>
      </c>
      <c r="H1828" s="1">
        <v>4451438</v>
      </c>
      <c r="I1828" s="1">
        <v>56.624993055555549</v>
      </c>
      <c r="J1828" s="1">
        <v>0</v>
      </c>
      <c r="K1828" s="1">
        <v>58</v>
      </c>
      <c r="L1828" s="1">
        <v>58.5</v>
      </c>
      <c r="M1828" s="1"/>
      <c r="N1828" s="1">
        <v>0</v>
      </c>
    </row>
    <row r="1829" spans="1:14" x14ac:dyDescent="0.35">
      <c r="A1829" s="1" t="s">
        <v>49</v>
      </c>
      <c r="B1829" s="1">
        <v>202506</v>
      </c>
      <c r="C1829" s="1" t="str">
        <f>MID(analisis_productividad__4[[#This Row],[Periodo]],1,4)</f>
        <v>2025</v>
      </c>
      <c r="D1829" s="1" t="str">
        <f>MID(analisis_productividad__4[[#This Row],[Periodo]],5,2)</f>
        <v>06</v>
      </c>
      <c r="E1829" s="1" t="s">
        <v>16</v>
      </c>
      <c r="F1829" s="1" t="s">
        <v>21</v>
      </c>
      <c r="G1829" s="1">
        <v>78580</v>
      </c>
      <c r="H1829" s="1">
        <v>5006299</v>
      </c>
      <c r="I1829" s="1">
        <v>63.709965277777776</v>
      </c>
      <c r="J1829" s="1">
        <v>93003.180022892906</v>
      </c>
      <c r="K1829" s="1">
        <v>75.5</v>
      </c>
      <c r="L1829" s="1">
        <v>68</v>
      </c>
      <c r="M1829" s="1">
        <v>53.829329370970861</v>
      </c>
      <c r="N1829" s="1">
        <v>5585194</v>
      </c>
    </row>
    <row r="1830" spans="1:14" x14ac:dyDescent="0.35">
      <c r="A1830" s="1" t="s">
        <v>73</v>
      </c>
      <c r="B1830" s="1">
        <v>202510</v>
      </c>
      <c r="C1830" s="1" t="str">
        <f>MID(analisis_productividad__4[[#This Row],[Periodo]],1,4)</f>
        <v>2025</v>
      </c>
      <c r="D1830" s="1" t="str">
        <f>MID(analisis_productividad__4[[#This Row],[Periodo]],5,2)</f>
        <v>10</v>
      </c>
      <c r="E1830" s="1" t="s">
        <v>16</v>
      </c>
      <c r="F1830" s="1" t="s">
        <v>21</v>
      </c>
      <c r="G1830" s="1">
        <v>78520</v>
      </c>
      <c r="H1830" s="1">
        <v>2440310</v>
      </c>
      <c r="I1830" s="1">
        <v>31.078635752688175</v>
      </c>
      <c r="J1830" s="1">
        <v>73811.239437483528</v>
      </c>
      <c r="K1830" s="1">
        <v>43.5</v>
      </c>
      <c r="L1830" s="1">
        <v>41</v>
      </c>
      <c r="M1830" s="1">
        <v>33.061491293163932</v>
      </c>
      <c r="N1830" s="1">
        <v>3060368</v>
      </c>
    </row>
    <row r="1831" spans="1:14" x14ac:dyDescent="0.35">
      <c r="A1831" s="1" t="s">
        <v>66</v>
      </c>
      <c r="B1831" s="1">
        <v>202504</v>
      </c>
      <c r="C1831" s="1" t="str">
        <f>MID(analisis_productividad__4[[#This Row],[Periodo]],1,4)</f>
        <v>2025</v>
      </c>
      <c r="D1831" s="1" t="str">
        <f>MID(analisis_productividad__4[[#This Row],[Periodo]],5,2)</f>
        <v>04</v>
      </c>
      <c r="E1831" s="1" t="s">
        <v>11</v>
      </c>
      <c r="F1831" s="1" t="s">
        <v>12</v>
      </c>
      <c r="G1831" s="1">
        <v>78512</v>
      </c>
      <c r="H1831" s="1">
        <v>5613337</v>
      </c>
      <c r="I1831" s="1">
        <v>71.496493055555547</v>
      </c>
      <c r="J1831" s="1">
        <v>74572.389615113891</v>
      </c>
      <c r="K1831" s="1">
        <v>80</v>
      </c>
      <c r="L1831" s="1">
        <v>80.5</v>
      </c>
      <c r="M1831" s="1">
        <v>75.273665212711933</v>
      </c>
      <c r="N1831" s="1">
        <v>6551091</v>
      </c>
    </row>
    <row r="1832" spans="1:14" x14ac:dyDescent="0.35">
      <c r="A1832" s="1" t="s">
        <v>66</v>
      </c>
      <c r="B1832" s="1">
        <v>202501</v>
      </c>
      <c r="C1832" s="1" t="str">
        <f>MID(analisis_productividad__4[[#This Row],[Periodo]],1,4)</f>
        <v>2025</v>
      </c>
      <c r="D1832" s="1" t="str">
        <f>MID(analisis_productividad__4[[#This Row],[Periodo]],5,2)</f>
        <v>01</v>
      </c>
      <c r="E1832" s="1" t="s">
        <v>11</v>
      </c>
      <c r="F1832" s="1" t="s">
        <v>12</v>
      </c>
      <c r="G1832" s="1">
        <v>78481</v>
      </c>
      <c r="H1832" s="1">
        <v>5720873</v>
      </c>
      <c r="I1832" s="1">
        <v>72.894697580645129</v>
      </c>
      <c r="J1832" s="1">
        <v>84625.652897541659</v>
      </c>
      <c r="K1832" s="1">
        <v>80</v>
      </c>
      <c r="L1832" s="1">
        <v>80.5</v>
      </c>
      <c r="M1832" s="1">
        <v>67.602109810915138</v>
      </c>
      <c r="N1832" s="1">
        <v>6390794</v>
      </c>
    </row>
    <row r="1833" spans="1:14" x14ac:dyDescent="0.35">
      <c r="A1833" s="1" t="s">
        <v>69</v>
      </c>
      <c r="B1833" s="1">
        <v>202401</v>
      </c>
      <c r="C1833" s="1" t="str">
        <f>MID(analisis_productividad__4[[#This Row],[Periodo]],1,4)</f>
        <v>2024</v>
      </c>
      <c r="D1833" s="1" t="str">
        <f>MID(analisis_productividad__4[[#This Row],[Periodo]],5,2)</f>
        <v>01</v>
      </c>
      <c r="E1833" s="1" t="s">
        <v>11</v>
      </c>
      <c r="F1833" s="1" t="s">
        <v>52</v>
      </c>
      <c r="G1833" s="1">
        <v>78470</v>
      </c>
      <c r="H1833" s="1">
        <v>4838565</v>
      </c>
      <c r="I1833" s="1">
        <v>61.661391129032253</v>
      </c>
      <c r="J1833" s="1">
        <v>0</v>
      </c>
      <c r="K1833" s="1">
        <v>68</v>
      </c>
      <c r="L1833" s="1">
        <v>60.5</v>
      </c>
      <c r="M1833" s="1"/>
      <c r="N1833" s="1">
        <v>0</v>
      </c>
    </row>
    <row r="1834" spans="1:14" x14ac:dyDescent="0.35">
      <c r="A1834" s="1" t="s">
        <v>94</v>
      </c>
      <c r="B1834" s="1">
        <v>202510</v>
      </c>
      <c r="C1834" s="1" t="str">
        <f>MID(analisis_productividad__4[[#This Row],[Periodo]],1,4)</f>
        <v>2025</v>
      </c>
      <c r="D1834" s="1" t="str">
        <f>MID(analisis_productividad__4[[#This Row],[Periodo]],5,2)</f>
        <v>10</v>
      </c>
      <c r="E1834" s="1" t="s">
        <v>11</v>
      </c>
      <c r="F1834" s="1" t="s">
        <v>52</v>
      </c>
      <c r="G1834" s="1">
        <v>78423</v>
      </c>
      <c r="H1834" s="1">
        <v>4535193</v>
      </c>
      <c r="I1834" s="1">
        <v>57.829784946236565</v>
      </c>
      <c r="J1834" s="1">
        <v>69992.74879116565</v>
      </c>
      <c r="K1834" s="1">
        <v>75.5</v>
      </c>
      <c r="L1834" s="1">
        <v>70.5</v>
      </c>
      <c r="M1834" s="1">
        <v>64.795183334368829</v>
      </c>
      <c r="N1834" s="1">
        <v>5803144</v>
      </c>
    </row>
    <row r="1835" spans="1:14" x14ac:dyDescent="0.35">
      <c r="A1835" s="1" t="s">
        <v>103</v>
      </c>
      <c r="B1835" s="1">
        <v>202606</v>
      </c>
      <c r="C1835" s="1" t="str">
        <f>MID(analisis_productividad__4[[#This Row],[Periodo]],1,4)</f>
        <v>2026</v>
      </c>
      <c r="D1835" s="1" t="str">
        <f>MID(analisis_productividad__4[[#This Row],[Periodo]],5,2)</f>
        <v>06</v>
      </c>
      <c r="E1835" s="1" t="s">
        <v>104</v>
      </c>
      <c r="F1835" s="1" t="s">
        <v>104</v>
      </c>
      <c r="G1835" s="1">
        <v>78409</v>
      </c>
      <c r="H1835" s="1">
        <v>5531944</v>
      </c>
      <c r="I1835" s="1">
        <v>70.552027777778093</v>
      </c>
      <c r="J1835" s="1">
        <v>68307.626624218348</v>
      </c>
      <c r="K1835" s="1">
        <v>94</v>
      </c>
      <c r="L1835" s="1">
        <v>77.5</v>
      </c>
      <c r="M1835" s="1">
        <v>81.023149648384276</v>
      </c>
      <c r="N1835" s="1">
        <v>5534499</v>
      </c>
    </row>
    <row r="1836" spans="1:14" x14ac:dyDescent="0.35">
      <c r="A1836" s="1" t="s">
        <v>58</v>
      </c>
      <c r="B1836" s="1">
        <v>202602</v>
      </c>
      <c r="C1836" s="1" t="str">
        <f>MID(analisis_productividad__4[[#This Row],[Periodo]],1,4)</f>
        <v>2026</v>
      </c>
      <c r="D1836" s="1" t="str">
        <f>MID(analisis_productividad__4[[#This Row],[Periodo]],5,2)</f>
        <v>02</v>
      </c>
      <c r="E1836" s="1" t="s">
        <v>34</v>
      </c>
      <c r="F1836" s="1" t="s">
        <v>35</v>
      </c>
      <c r="G1836" s="1">
        <v>78360</v>
      </c>
      <c r="H1836" s="1">
        <v>3296807</v>
      </c>
      <c r="I1836" s="1">
        <v>42.072447916666661</v>
      </c>
      <c r="J1836" s="1">
        <v>76122.730118751206</v>
      </c>
      <c r="K1836" s="1">
        <v>53.5</v>
      </c>
      <c r="L1836" s="1">
        <v>52</v>
      </c>
      <c r="M1836" s="1">
        <v>43.483853774506514</v>
      </c>
      <c r="N1836" s="1">
        <v>3310110</v>
      </c>
    </row>
    <row r="1837" spans="1:14" x14ac:dyDescent="0.35">
      <c r="A1837" s="1" t="s">
        <v>74</v>
      </c>
      <c r="B1837" s="1">
        <v>202606</v>
      </c>
      <c r="C1837" s="1" t="str">
        <f>MID(analisis_productividad__4[[#This Row],[Periodo]],1,4)</f>
        <v>2026</v>
      </c>
      <c r="D1837" s="1" t="str">
        <f>MID(analisis_productividad__4[[#This Row],[Periodo]],5,2)</f>
        <v>06</v>
      </c>
      <c r="E1837" s="1" t="s">
        <v>16</v>
      </c>
      <c r="F1837" s="1" t="s">
        <v>19</v>
      </c>
      <c r="G1837" s="1">
        <v>78353</v>
      </c>
      <c r="H1837" s="1">
        <v>3609149</v>
      </c>
      <c r="I1837" s="1">
        <v>46.062819444443875</v>
      </c>
      <c r="J1837" s="1">
        <v>79965.696201519138</v>
      </c>
      <c r="K1837" s="1">
        <v>50.5</v>
      </c>
      <c r="L1837" s="1">
        <v>51.5</v>
      </c>
      <c r="M1837" s="1">
        <v>44.728769766304502</v>
      </c>
      <c r="N1837" s="1">
        <v>3576767</v>
      </c>
    </row>
    <row r="1838" spans="1:14" x14ac:dyDescent="0.35">
      <c r="A1838" s="1" t="s">
        <v>100</v>
      </c>
      <c r="B1838" s="1">
        <v>202406</v>
      </c>
      <c r="C1838" s="1" t="str">
        <f>MID(analisis_productividad__4[[#This Row],[Periodo]],1,4)</f>
        <v>2024</v>
      </c>
      <c r="D1838" s="1" t="str">
        <f>MID(analisis_productividad__4[[#This Row],[Periodo]],5,2)</f>
        <v>06</v>
      </c>
      <c r="E1838" s="1" t="s">
        <v>34</v>
      </c>
      <c r="F1838" s="1" t="s">
        <v>35</v>
      </c>
      <c r="G1838" s="1">
        <v>78346</v>
      </c>
      <c r="H1838" s="1">
        <v>2598960</v>
      </c>
      <c r="I1838" s="1">
        <v>33.172659722222214</v>
      </c>
      <c r="J1838" s="1">
        <v>0</v>
      </c>
      <c r="K1838" s="1">
        <v>44</v>
      </c>
      <c r="L1838" s="1">
        <v>40.5</v>
      </c>
      <c r="M1838" s="1"/>
      <c r="N1838" s="1">
        <v>0</v>
      </c>
    </row>
    <row r="1839" spans="1:14" x14ac:dyDescent="0.35">
      <c r="A1839" s="1" t="s">
        <v>49</v>
      </c>
      <c r="B1839" s="1">
        <v>202402</v>
      </c>
      <c r="C1839" s="1" t="str">
        <f>MID(analisis_productividad__4[[#This Row],[Periodo]],1,4)</f>
        <v>2024</v>
      </c>
      <c r="D1839" s="1" t="str">
        <f>MID(analisis_productividad__4[[#This Row],[Periodo]],5,2)</f>
        <v>02</v>
      </c>
      <c r="E1839" s="1" t="s">
        <v>16</v>
      </c>
      <c r="F1839" s="1" t="s">
        <v>21</v>
      </c>
      <c r="G1839" s="1">
        <v>78344</v>
      </c>
      <c r="H1839" s="1">
        <v>5556297</v>
      </c>
      <c r="I1839" s="1">
        <v>70.922119252873543</v>
      </c>
      <c r="J1839" s="1">
        <v>0</v>
      </c>
      <c r="K1839" s="1">
        <v>75.5</v>
      </c>
      <c r="L1839" s="1">
        <v>68</v>
      </c>
      <c r="M1839" s="1"/>
      <c r="N1839" s="1">
        <v>0</v>
      </c>
    </row>
    <row r="1840" spans="1:14" x14ac:dyDescent="0.35">
      <c r="A1840" s="1" t="s">
        <v>77</v>
      </c>
      <c r="B1840" s="1">
        <v>202504</v>
      </c>
      <c r="C1840" s="1" t="str">
        <f>MID(analisis_productividad__4[[#This Row],[Periodo]],1,4)</f>
        <v>2025</v>
      </c>
      <c r="D1840" s="1" t="str">
        <f>MID(analisis_productividad__4[[#This Row],[Periodo]],5,2)</f>
        <v>04</v>
      </c>
      <c r="E1840" s="1" t="s">
        <v>16</v>
      </c>
      <c r="F1840" s="1" t="s">
        <v>21</v>
      </c>
      <c r="G1840" s="1">
        <v>78311</v>
      </c>
      <c r="H1840" s="1">
        <v>4436510</v>
      </c>
      <c r="I1840" s="1">
        <v>56.652652777777789</v>
      </c>
      <c r="J1840" s="1">
        <v>72411.279664313275</v>
      </c>
      <c r="K1840" s="1">
        <v>60.5</v>
      </c>
      <c r="L1840" s="1">
        <v>60.5</v>
      </c>
      <c r="M1840" s="1">
        <v>61.268215816195045</v>
      </c>
      <c r="N1840" s="1">
        <v>4980444</v>
      </c>
    </row>
    <row r="1841" spans="1:14" x14ac:dyDescent="0.35">
      <c r="A1841" s="1" t="s">
        <v>87</v>
      </c>
      <c r="B1841" s="1">
        <v>202606</v>
      </c>
      <c r="C1841" s="1" t="str">
        <f>MID(analisis_productividad__4[[#This Row],[Periodo]],1,4)</f>
        <v>2026</v>
      </c>
      <c r="D1841" s="1" t="str">
        <f>MID(analisis_productividad__4[[#This Row],[Periodo]],5,2)</f>
        <v>06</v>
      </c>
      <c r="E1841" s="1" t="s">
        <v>9</v>
      </c>
      <c r="F1841" s="1" t="s">
        <v>9</v>
      </c>
      <c r="G1841" s="1">
        <v>78296</v>
      </c>
      <c r="H1841" s="1">
        <v>739292</v>
      </c>
      <c r="I1841" s="1">
        <v>9.4423194444444487</v>
      </c>
      <c r="J1841" s="1">
        <v>70515.876366688084</v>
      </c>
      <c r="K1841" s="1">
        <v>13.5</v>
      </c>
      <c r="L1841" s="1">
        <v>12</v>
      </c>
      <c r="M1841" s="1">
        <v>11.788780293634797</v>
      </c>
      <c r="N1841" s="1">
        <v>831296</v>
      </c>
    </row>
    <row r="1842" spans="1:14" x14ac:dyDescent="0.35">
      <c r="A1842" s="1" t="s">
        <v>75</v>
      </c>
      <c r="B1842" s="1">
        <v>202506</v>
      </c>
      <c r="C1842" s="1" t="str">
        <f>MID(analisis_productividad__4[[#This Row],[Periodo]],1,4)</f>
        <v>2025</v>
      </c>
      <c r="D1842" s="1" t="str">
        <f>MID(analisis_productividad__4[[#This Row],[Periodo]],5,2)</f>
        <v>06</v>
      </c>
      <c r="E1842" s="1" t="s">
        <v>11</v>
      </c>
      <c r="F1842" s="1" t="s">
        <v>52</v>
      </c>
      <c r="G1842" s="1">
        <v>78286</v>
      </c>
      <c r="H1842" s="1">
        <v>7487057</v>
      </c>
      <c r="I1842" s="1">
        <v>95.637451388888934</v>
      </c>
      <c r="J1842" s="1">
        <v>90952.492924081947</v>
      </c>
      <c r="K1842" s="1">
        <v>118</v>
      </c>
      <c r="L1842" s="1">
        <v>106</v>
      </c>
      <c r="M1842" s="1">
        <v>82.31832299802322</v>
      </c>
      <c r="N1842" s="1">
        <v>10017159</v>
      </c>
    </row>
    <row r="1843" spans="1:14" x14ac:dyDescent="0.35">
      <c r="A1843" s="1" t="s">
        <v>74</v>
      </c>
      <c r="B1843" s="1">
        <v>202501</v>
      </c>
      <c r="C1843" s="1" t="str">
        <f>MID(analisis_productividad__4[[#This Row],[Periodo]],1,4)</f>
        <v>2025</v>
      </c>
      <c r="D1843" s="1" t="str">
        <f>MID(analisis_productividad__4[[#This Row],[Periodo]],5,2)</f>
        <v>01</v>
      </c>
      <c r="E1843" s="1" t="s">
        <v>16</v>
      </c>
      <c r="F1843" s="1" t="s">
        <v>19</v>
      </c>
      <c r="G1843" s="1">
        <v>78269</v>
      </c>
      <c r="H1843" s="1">
        <v>3840690</v>
      </c>
      <c r="I1843" s="1">
        <v>49.070564516129039</v>
      </c>
      <c r="J1843" s="1">
        <v>82878.612678180158</v>
      </c>
      <c r="K1843" s="1">
        <v>50.5</v>
      </c>
      <c r="L1843" s="1">
        <v>51.5</v>
      </c>
      <c r="M1843" s="1">
        <v>46.341152872738149</v>
      </c>
      <c r="N1843" s="1">
        <v>3971652</v>
      </c>
    </row>
    <row r="1844" spans="1:14" x14ac:dyDescent="0.35">
      <c r="A1844" s="1" t="s">
        <v>70</v>
      </c>
      <c r="B1844" s="1">
        <v>202409</v>
      </c>
      <c r="C1844" s="1" t="str">
        <f>MID(analisis_productividad__4[[#This Row],[Periodo]],1,4)</f>
        <v>2024</v>
      </c>
      <c r="D1844" s="1" t="str">
        <f>MID(analisis_productividad__4[[#This Row],[Periodo]],5,2)</f>
        <v>09</v>
      </c>
      <c r="E1844" s="1" t="s">
        <v>11</v>
      </c>
      <c r="F1844" s="1" t="s">
        <v>14</v>
      </c>
      <c r="G1844" s="1">
        <v>78256</v>
      </c>
      <c r="H1844" s="1">
        <v>4648899</v>
      </c>
      <c r="I1844" s="1">
        <v>59.406131944444432</v>
      </c>
      <c r="J1844" s="1">
        <v>0</v>
      </c>
      <c r="K1844" s="1">
        <v>65</v>
      </c>
      <c r="L1844" s="1">
        <v>67.5</v>
      </c>
      <c r="M1844" s="1"/>
      <c r="N1844" s="1">
        <v>0</v>
      </c>
    </row>
    <row r="1845" spans="1:14" x14ac:dyDescent="0.35">
      <c r="A1845" s="1" t="s">
        <v>84</v>
      </c>
      <c r="B1845" s="1">
        <v>202502</v>
      </c>
      <c r="C1845" s="1" t="str">
        <f>MID(analisis_productividad__4[[#This Row],[Periodo]],1,4)</f>
        <v>2025</v>
      </c>
      <c r="D1845" s="1" t="str">
        <f>MID(analisis_productividad__4[[#This Row],[Periodo]],5,2)</f>
        <v>02</v>
      </c>
      <c r="E1845" s="1" t="s">
        <v>11</v>
      </c>
      <c r="F1845" s="1" t="s">
        <v>52</v>
      </c>
      <c r="G1845" s="1">
        <v>78222</v>
      </c>
      <c r="H1845" s="1">
        <v>8543304</v>
      </c>
      <c r="I1845" s="1">
        <v>109.21885416666672</v>
      </c>
      <c r="J1845" s="1">
        <v>77056.672085699494</v>
      </c>
      <c r="K1845" s="1">
        <v>123</v>
      </c>
      <c r="L1845" s="1">
        <v>115.5</v>
      </c>
      <c r="M1845" s="1">
        <v>110.87040510260375</v>
      </c>
      <c r="N1845" s="1">
        <v>8649131</v>
      </c>
    </row>
    <row r="1846" spans="1:14" x14ac:dyDescent="0.35">
      <c r="A1846" s="1" t="s">
        <v>97</v>
      </c>
      <c r="B1846" s="1">
        <v>202410</v>
      </c>
      <c r="C1846" s="1" t="str">
        <f>MID(analisis_productividad__4[[#This Row],[Periodo]],1,4)</f>
        <v>2024</v>
      </c>
      <c r="D1846" s="1" t="str">
        <f>MID(analisis_productividad__4[[#This Row],[Periodo]],5,2)</f>
        <v>10</v>
      </c>
      <c r="E1846" s="1" t="s">
        <v>11</v>
      </c>
      <c r="F1846" s="1" t="s">
        <v>12</v>
      </c>
      <c r="G1846" s="1">
        <v>78215</v>
      </c>
      <c r="H1846" s="1">
        <v>4629768</v>
      </c>
      <c r="I1846" s="1">
        <v>59.192668010752691</v>
      </c>
      <c r="J1846" s="1">
        <v>0</v>
      </c>
      <c r="K1846" s="1">
        <v>66.5</v>
      </c>
      <c r="L1846" s="1">
        <v>63.5</v>
      </c>
      <c r="M1846" s="1"/>
      <c r="N1846" s="1">
        <v>0</v>
      </c>
    </row>
    <row r="1847" spans="1:14" x14ac:dyDescent="0.35">
      <c r="A1847" s="1" t="s">
        <v>95</v>
      </c>
      <c r="B1847" s="1">
        <v>202405</v>
      </c>
      <c r="C1847" s="1" t="str">
        <f>MID(analisis_productividad__4[[#This Row],[Periodo]],1,4)</f>
        <v>2024</v>
      </c>
      <c r="D1847" s="1" t="str">
        <f>MID(analisis_productividad__4[[#This Row],[Periodo]],5,2)</f>
        <v>05</v>
      </c>
      <c r="E1847" s="1" t="s">
        <v>9</v>
      </c>
      <c r="F1847" s="1" t="s">
        <v>9</v>
      </c>
      <c r="G1847" s="1">
        <v>78209</v>
      </c>
      <c r="H1847" s="1">
        <v>677265</v>
      </c>
      <c r="I1847" s="1">
        <v>8.6596774193548391</v>
      </c>
      <c r="J1847" s="1">
        <v>0</v>
      </c>
      <c r="K1847" s="1">
        <v>11</v>
      </c>
      <c r="L1847" s="1">
        <v>11</v>
      </c>
      <c r="M1847" s="1"/>
      <c r="N1847" s="1">
        <v>0</v>
      </c>
    </row>
    <row r="1848" spans="1:14" x14ac:dyDescent="0.35">
      <c r="A1848" s="1" t="s">
        <v>47</v>
      </c>
      <c r="B1848" s="1">
        <v>202411</v>
      </c>
      <c r="C1848" s="1" t="str">
        <f>MID(analisis_productividad__4[[#This Row],[Periodo]],1,4)</f>
        <v>2024</v>
      </c>
      <c r="D1848" s="1" t="str">
        <f>MID(analisis_productividad__4[[#This Row],[Periodo]],5,2)</f>
        <v>11</v>
      </c>
      <c r="E1848" s="1" t="s">
        <v>11</v>
      </c>
      <c r="F1848" s="1" t="s">
        <v>14</v>
      </c>
      <c r="G1848" s="1">
        <v>78198</v>
      </c>
      <c r="H1848" s="1">
        <v>4363114</v>
      </c>
      <c r="I1848" s="1">
        <v>55.795444444444463</v>
      </c>
      <c r="J1848" s="1">
        <v>0</v>
      </c>
      <c r="K1848" s="1">
        <v>61.5</v>
      </c>
      <c r="L1848" s="1">
        <v>48.5</v>
      </c>
      <c r="M1848" s="1"/>
      <c r="N1848" s="1">
        <v>0</v>
      </c>
    </row>
    <row r="1849" spans="1:14" x14ac:dyDescent="0.35">
      <c r="A1849" s="1" t="s">
        <v>49</v>
      </c>
      <c r="B1849" s="1">
        <v>202404</v>
      </c>
      <c r="C1849" s="1" t="str">
        <f>MID(analisis_productividad__4[[#This Row],[Periodo]],1,4)</f>
        <v>2024</v>
      </c>
      <c r="D1849" s="1" t="str">
        <f>MID(analisis_productividad__4[[#This Row],[Periodo]],5,2)</f>
        <v>04</v>
      </c>
      <c r="E1849" s="1" t="s">
        <v>16</v>
      </c>
      <c r="F1849" s="1" t="s">
        <v>21</v>
      </c>
      <c r="G1849" s="1">
        <v>78147</v>
      </c>
      <c r="H1849" s="1">
        <v>5283573</v>
      </c>
      <c r="I1849" s="1">
        <v>67.610715277777771</v>
      </c>
      <c r="J1849" s="1">
        <v>0</v>
      </c>
      <c r="K1849" s="1">
        <v>75.5</v>
      </c>
      <c r="L1849" s="1">
        <v>68</v>
      </c>
      <c r="M1849" s="1"/>
      <c r="N1849" s="1">
        <v>0</v>
      </c>
    </row>
    <row r="1850" spans="1:14" x14ac:dyDescent="0.35">
      <c r="A1850" s="1" t="s">
        <v>97</v>
      </c>
      <c r="B1850" s="1">
        <v>202408</v>
      </c>
      <c r="C1850" s="1" t="str">
        <f>MID(analisis_productividad__4[[#This Row],[Periodo]],1,4)</f>
        <v>2024</v>
      </c>
      <c r="D1850" s="1" t="str">
        <f>MID(analisis_productividad__4[[#This Row],[Periodo]],5,2)</f>
        <v>08</v>
      </c>
      <c r="E1850" s="1" t="s">
        <v>11</v>
      </c>
      <c r="F1850" s="1" t="s">
        <v>12</v>
      </c>
      <c r="G1850" s="1">
        <v>78103</v>
      </c>
      <c r="H1850" s="1">
        <v>4730072</v>
      </c>
      <c r="I1850" s="1">
        <v>60.562043010752689</v>
      </c>
      <c r="J1850" s="1">
        <v>0</v>
      </c>
      <c r="K1850" s="1">
        <v>66.5</v>
      </c>
      <c r="L1850" s="1">
        <v>63.5</v>
      </c>
      <c r="M1850" s="1"/>
      <c r="N1850" s="1">
        <v>0</v>
      </c>
    </row>
    <row r="1851" spans="1:14" x14ac:dyDescent="0.35">
      <c r="A1851" s="1" t="s">
        <v>86</v>
      </c>
      <c r="B1851" s="1">
        <v>202408</v>
      </c>
      <c r="C1851" s="1" t="str">
        <f>MID(analisis_productividad__4[[#This Row],[Periodo]],1,4)</f>
        <v>2024</v>
      </c>
      <c r="D1851" s="1" t="str">
        <f>MID(analisis_productividad__4[[#This Row],[Periodo]],5,2)</f>
        <v>08</v>
      </c>
      <c r="E1851" s="1" t="s">
        <v>11</v>
      </c>
      <c r="F1851" s="1" t="s">
        <v>14</v>
      </c>
      <c r="G1851" s="1">
        <v>78047</v>
      </c>
      <c r="H1851" s="1">
        <v>4793823</v>
      </c>
      <c r="I1851" s="1">
        <v>61.422553763440874</v>
      </c>
      <c r="J1851" s="1">
        <v>0</v>
      </c>
      <c r="K1851" s="1">
        <v>69.5</v>
      </c>
      <c r="L1851" s="1">
        <v>59</v>
      </c>
      <c r="M1851" s="1"/>
      <c r="N1851" s="1">
        <v>0</v>
      </c>
    </row>
    <row r="1852" spans="1:14" x14ac:dyDescent="0.35">
      <c r="A1852" s="1" t="s">
        <v>41</v>
      </c>
      <c r="B1852" s="1">
        <v>202509</v>
      </c>
      <c r="C1852" s="1" t="str">
        <f>MID(analisis_productividad__4[[#This Row],[Periodo]],1,4)</f>
        <v>2025</v>
      </c>
      <c r="D1852" s="1" t="str">
        <f>MID(analisis_productividad__4[[#This Row],[Periodo]],5,2)</f>
        <v>09</v>
      </c>
      <c r="E1852" s="1" t="s">
        <v>16</v>
      </c>
      <c r="F1852" s="1" t="s">
        <v>19</v>
      </c>
      <c r="G1852" s="1">
        <v>78045</v>
      </c>
      <c r="H1852" s="1">
        <v>3848514</v>
      </c>
      <c r="I1852" s="1">
        <v>49.311645833333337</v>
      </c>
      <c r="J1852" s="1">
        <v>78902.144328038587</v>
      </c>
      <c r="K1852" s="1">
        <v>57.5</v>
      </c>
      <c r="L1852" s="1">
        <v>56.5</v>
      </c>
      <c r="M1852" s="1">
        <v>48.775789463967669</v>
      </c>
      <c r="N1852" s="1">
        <v>3965193</v>
      </c>
    </row>
    <row r="1853" spans="1:14" x14ac:dyDescent="0.35">
      <c r="A1853" s="1" t="s">
        <v>62</v>
      </c>
      <c r="B1853" s="1">
        <v>202405</v>
      </c>
      <c r="C1853" s="1" t="str">
        <f>MID(analisis_productividad__4[[#This Row],[Periodo]],1,4)</f>
        <v>2024</v>
      </c>
      <c r="D1853" s="1" t="str">
        <f>MID(analisis_productividad__4[[#This Row],[Periodo]],5,2)</f>
        <v>05</v>
      </c>
      <c r="E1853" s="1" t="s">
        <v>16</v>
      </c>
      <c r="F1853" s="1" t="s">
        <v>17</v>
      </c>
      <c r="G1853" s="1">
        <v>78030</v>
      </c>
      <c r="H1853" s="1">
        <v>2266609</v>
      </c>
      <c r="I1853" s="1">
        <v>29.047930107526877</v>
      </c>
      <c r="J1853" s="1">
        <v>0</v>
      </c>
      <c r="K1853" s="1">
        <v>32.5</v>
      </c>
      <c r="L1853" s="1">
        <v>32</v>
      </c>
      <c r="M1853" s="1"/>
      <c r="N1853" s="1">
        <v>0</v>
      </c>
    </row>
    <row r="1854" spans="1:14" x14ac:dyDescent="0.35">
      <c r="A1854" s="1" t="s">
        <v>65</v>
      </c>
      <c r="B1854" s="1">
        <v>202404</v>
      </c>
      <c r="C1854" s="1" t="str">
        <f>MID(analisis_productividad__4[[#This Row],[Periodo]],1,4)</f>
        <v>2024</v>
      </c>
      <c r="D1854" s="1" t="str">
        <f>MID(analisis_productividad__4[[#This Row],[Periodo]],5,2)</f>
        <v>04</v>
      </c>
      <c r="E1854" s="1" t="s">
        <v>16</v>
      </c>
      <c r="F1854" s="1" t="s">
        <v>19</v>
      </c>
      <c r="G1854" s="1">
        <v>78021</v>
      </c>
      <c r="H1854" s="1">
        <v>4748561</v>
      </c>
      <c r="I1854" s="1">
        <v>60.862569444444439</v>
      </c>
      <c r="J1854" s="1">
        <v>0</v>
      </c>
      <c r="K1854" s="1">
        <v>68</v>
      </c>
      <c r="L1854" s="1">
        <v>68.5</v>
      </c>
      <c r="M1854" s="1"/>
      <c r="N1854" s="1">
        <v>0</v>
      </c>
    </row>
    <row r="1855" spans="1:14" x14ac:dyDescent="0.35">
      <c r="A1855" s="1" t="s">
        <v>66</v>
      </c>
      <c r="B1855" s="1">
        <v>202402</v>
      </c>
      <c r="C1855" s="1" t="str">
        <f>MID(analisis_productividad__4[[#This Row],[Periodo]],1,4)</f>
        <v>2024</v>
      </c>
      <c r="D1855" s="1" t="str">
        <f>MID(analisis_productividad__4[[#This Row],[Periodo]],5,2)</f>
        <v>02</v>
      </c>
      <c r="E1855" s="1" t="s">
        <v>11</v>
      </c>
      <c r="F1855" s="1" t="s">
        <v>12</v>
      </c>
      <c r="G1855" s="1">
        <v>78005</v>
      </c>
      <c r="H1855" s="1">
        <v>6281602</v>
      </c>
      <c r="I1855" s="1">
        <v>80.528663793103448</v>
      </c>
      <c r="J1855" s="1">
        <v>0</v>
      </c>
      <c r="K1855" s="1">
        <v>80</v>
      </c>
      <c r="L1855" s="1">
        <v>80.5</v>
      </c>
      <c r="M1855" s="1"/>
      <c r="N1855" s="1">
        <v>0</v>
      </c>
    </row>
    <row r="1856" spans="1:14" x14ac:dyDescent="0.35">
      <c r="A1856" s="1" t="s">
        <v>88</v>
      </c>
      <c r="B1856" s="1">
        <v>202602</v>
      </c>
      <c r="C1856" s="1" t="str">
        <f>MID(analisis_productividad__4[[#This Row],[Periodo]],1,4)</f>
        <v>2026</v>
      </c>
      <c r="D1856" s="1" t="str">
        <f>MID(analisis_productividad__4[[#This Row],[Periodo]],5,2)</f>
        <v>02</v>
      </c>
      <c r="E1856" s="1" t="s">
        <v>34</v>
      </c>
      <c r="F1856" s="1" t="s">
        <v>35</v>
      </c>
      <c r="G1856" s="1">
        <v>78001</v>
      </c>
      <c r="H1856" s="1">
        <v>1029899</v>
      </c>
      <c r="I1856" s="1">
        <v>13.203645833333335</v>
      </c>
      <c r="J1856" s="1">
        <v>77186.187233842225</v>
      </c>
      <c r="K1856" s="1">
        <v>15.5</v>
      </c>
      <c r="L1856" s="1">
        <v>14.5</v>
      </c>
      <c r="M1856" s="1">
        <v>13.971887755419019</v>
      </c>
      <c r="N1856" s="1">
        <v>1078437</v>
      </c>
    </row>
    <row r="1857" spans="1:14" x14ac:dyDescent="0.35">
      <c r="A1857" s="1" t="s">
        <v>71</v>
      </c>
      <c r="B1857" s="1">
        <v>202507</v>
      </c>
      <c r="C1857" s="1" t="str">
        <f>MID(analisis_productividad__4[[#This Row],[Periodo]],1,4)</f>
        <v>2025</v>
      </c>
      <c r="D1857" s="1" t="str">
        <f>MID(analisis_productividad__4[[#This Row],[Periodo]],5,2)</f>
        <v>07</v>
      </c>
      <c r="E1857" s="1" t="s">
        <v>16</v>
      </c>
      <c r="F1857" s="1" t="s">
        <v>19</v>
      </c>
      <c r="G1857" s="1">
        <v>77991</v>
      </c>
      <c r="H1857" s="1">
        <v>2815052</v>
      </c>
      <c r="I1857" s="1">
        <v>36.094643817204286</v>
      </c>
      <c r="J1857" s="1">
        <v>87803.841039762236</v>
      </c>
      <c r="K1857" s="1">
        <v>41.5</v>
      </c>
      <c r="L1857" s="1">
        <v>35.5</v>
      </c>
      <c r="M1857" s="1">
        <v>32.060694460111314</v>
      </c>
      <c r="N1857" s="1">
        <v>2901762</v>
      </c>
    </row>
    <row r="1858" spans="1:14" x14ac:dyDescent="0.35">
      <c r="A1858" s="1" t="s">
        <v>75</v>
      </c>
      <c r="B1858" s="1">
        <v>202402</v>
      </c>
      <c r="C1858" s="1" t="str">
        <f>MID(analisis_productividad__4[[#This Row],[Periodo]],1,4)</f>
        <v>2024</v>
      </c>
      <c r="D1858" s="1" t="str">
        <f>MID(analisis_productividad__4[[#This Row],[Periodo]],5,2)</f>
        <v>02</v>
      </c>
      <c r="E1858" s="1" t="s">
        <v>11</v>
      </c>
      <c r="F1858" s="1" t="s">
        <v>52</v>
      </c>
      <c r="G1858" s="1">
        <v>77991</v>
      </c>
      <c r="H1858" s="1">
        <v>8964635</v>
      </c>
      <c r="I1858" s="1">
        <v>114.94507902298852</v>
      </c>
      <c r="J1858" s="1">
        <v>0</v>
      </c>
      <c r="K1858" s="1">
        <v>118</v>
      </c>
      <c r="L1858" s="1">
        <v>106</v>
      </c>
      <c r="M1858" s="1"/>
      <c r="N1858" s="1">
        <v>0</v>
      </c>
    </row>
    <row r="1859" spans="1:14" x14ac:dyDescent="0.35">
      <c r="A1859" s="1" t="s">
        <v>47</v>
      </c>
      <c r="B1859" s="1">
        <v>202407</v>
      </c>
      <c r="C1859" s="1" t="str">
        <f>MID(analisis_productividad__4[[#This Row],[Periodo]],1,4)</f>
        <v>2024</v>
      </c>
      <c r="D1859" s="1" t="str">
        <f>MID(analisis_productividad__4[[#This Row],[Periodo]],5,2)</f>
        <v>07</v>
      </c>
      <c r="E1859" s="1" t="s">
        <v>11</v>
      </c>
      <c r="F1859" s="1" t="s">
        <v>14</v>
      </c>
      <c r="G1859" s="1">
        <v>77985</v>
      </c>
      <c r="H1859" s="1">
        <v>4809737</v>
      </c>
      <c r="I1859" s="1">
        <v>61.67550403225804</v>
      </c>
      <c r="J1859" s="1">
        <v>0</v>
      </c>
      <c r="K1859" s="1">
        <v>61.5</v>
      </c>
      <c r="L1859" s="1">
        <v>48.5</v>
      </c>
      <c r="M1859" s="1"/>
      <c r="N1859" s="1">
        <v>0</v>
      </c>
    </row>
    <row r="1860" spans="1:14" x14ac:dyDescent="0.35">
      <c r="A1860" s="1" t="s">
        <v>81</v>
      </c>
      <c r="B1860" s="1">
        <v>202506</v>
      </c>
      <c r="C1860" s="1" t="str">
        <f>MID(analisis_productividad__4[[#This Row],[Periodo]],1,4)</f>
        <v>2025</v>
      </c>
      <c r="D1860" s="1" t="str">
        <f>MID(analisis_productividad__4[[#This Row],[Periodo]],5,2)</f>
        <v>06</v>
      </c>
      <c r="E1860" s="1" t="s">
        <v>34</v>
      </c>
      <c r="F1860" s="1" t="s">
        <v>35</v>
      </c>
      <c r="G1860" s="1">
        <v>77975</v>
      </c>
      <c r="H1860" s="1">
        <v>7328305</v>
      </c>
      <c r="I1860" s="1">
        <v>93.983069444444453</v>
      </c>
      <c r="J1860" s="1">
        <v>86169.314678749652</v>
      </c>
      <c r="K1860" s="1">
        <v>106</v>
      </c>
      <c r="L1860" s="1">
        <v>94.5</v>
      </c>
      <c r="M1860" s="1">
        <v>85.045416658132595</v>
      </c>
      <c r="N1860" s="1">
        <v>7643869</v>
      </c>
    </row>
    <row r="1861" spans="1:14" x14ac:dyDescent="0.35">
      <c r="A1861" s="1" t="s">
        <v>60</v>
      </c>
      <c r="B1861" s="1">
        <v>202506</v>
      </c>
      <c r="C1861" s="1" t="str">
        <f>MID(analisis_productividad__4[[#This Row],[Periodo]],1,4)</f>
        <v>2025</v>
      </c>
      <c r="D1861" s="1" t="str">
        <f>MID(analisis_productividad__4[[#This Row],[Periodo]],5,2)</f>
        <v>06</v>
      </c>
      <c r="E1861" s="1" t="s">
        <v>11</v>
      </c>
      <c r="F1861" s="1" t="s">
        <v>14</v>
      </c>
      <c r="G1861" s="1">
        <v>77949</v>
      </c>
      <c r="H1861" s="1">
        <v>5240025</v>
      </c>
      <c r="I1861" s="1">
        <v>67.223819444444459</v>
      </c>
      <c r="J1861" s="1">
        <v>91662.753902969693</v>
      </c>
      <c r="K1861" s="1">
        <v>75.5</v>
      </c>
      <c r="L1861" s="1">
        <v>74</v>
      </c>
      <c r="M1861" s="1">
        <v>57.166351400994003</v>
      </c>
      <c r="N1861" s="1">
        <v>6279057</v>
      </c>
    </row>
    <row r="1862" spans="1:14" x14ac:dyDescent="0.35">
      <c r="A1862" s="1" t="s">
        <v>40</v>
      </c>
      <c r="B1862" s="1">
        <v>202410</v>
      </c>
      <c r="C1862" s="1" t="str">
        <f>MID(analisis_productividad__4[[#This Row],[Periodo]],1,4)</f>
        <v>2024</v>
      </c>
      <c r="D1862" s="1" t="str">
        <f>MID(analisis_productividad__4[[#This Row],[Periodo]],5,2)</f>
        <v>10</v>
      </c>
      <c r="E1862" s="1" t="s">
        <v>11</v>
      </c>
      <c r="F1862" s="1" t="s">
        <v>14</v>
      </c>
      <c r="G1862" s="1">
        <v>77921</v>
      </c>
      <c r="H1862" s="1">
        <v>5230563</v>
      </c>
      <c r="I1862" s="1">
        <v>67.126189516129031</v>
      </c>
      <c r="J1862" s="1">
        <v>0</v>
      </c>
      <c r="K1862" s="1">
        <v>76.5</v>
      </c>
      <c r="L1862" s="1">
        <v>75.5</v>
      </c>
      <c r="M1862" s="1"/>
      <c r="N1862" s="1">
        <v>0</v>
      </c>
    </row>
    <row r="1863" spans="1:14" x14ac:dyDescent="0.35">
      <c r="A1863" s="1" t="s">
        <v>82</v>
      </c>
      <c r="B1863" s="1">
        <v>202508</v>
      </c>
      <c r="C1863" s="1" t="str">
        <f>MID(analisis_productividad__4[[#This Row],[Periodo]],1,4)</f>
        <v>2025</v>
      </c>
      <c r="D1863" s="1" t="str">
        <f>MID(analisis_productividad__4[[#This Row],[Periodo]],5,2)</f>
        <v>08</v>
      </c>
      <c r="E1863" s="1" t="s">
        <v>11</v>
      </c>
      <c r="F1863" s="1" t="s">
        <v>12</v>
      </c>
      <c r="G1863" s="1">
        <v>77920</v>
      </c>
      <c r="H1863" s="1">
        <v>3797319</v>
      </c>
      <c r="I1863" s="1">
        <v>48.733313172043005</v>
      </c>
      <c r="J1863" s="1">
        <v>85449.868578778318</v>
      </c>
      <c r="K1863" s="1">
        <v>53.5</v>
      </c>
      <c r="L1863" s="1">
        <v>54</v>
      </c>
      <c r="M1863" s="1">
        <v>44.439143010491101</v>
      </c>
      <c r="N1863" s="1">
        <v>4238087</v>
      </c>
    </row>
    <row r="1864" spans="1:14" x14ac:dyDescent="0.35">
      <c r="A1864" s="1" t="s">
        <v>24</v>
      </c>
      <c r="B1864" s="1">
        <v>202506</v>
      </c>
      <c r="C1864" s="1" t="str">
        <f>MID(analisis_productividad__4[[#This Row],[Periodo]],1,4)</f>
        <v>2025</v>
      </c>
      <c r="D1864" s="1" t="str">
        <f>MID(analisis_productividad__4[[#This Row],[Periodo]],5,2)</f>
        <v>06</v>
      </c>
      <c r="E1864" s="1" t="s">
        <v>16</v>
      </c>
      <c r="F1864" s="1" t="s">
        <v>21</v>
      </c>
      <c r="G1864" s="1">
        <v>77908</v>
      </c>
      <c r="H1864" s="1">
        <v>8757678</v>
      </c>
      <c r="I1864" s="1">
        <v>112.41090972222223</v>
      </c>
      <c r="J1864" s="1">
        <v>98957.147064321005</v>
      </c>
      <c r="K1864" s="1">
        <v>125</v>
      </c>
      <c r="L1864" s="1">
        <v>118.5</v>
      </c>
      <c r="M1864" s="1">
        <v>88.499705476630282</v>
      </c>
      <c r="N1864" s="1">
        <v>9478117</v>
      </c>
    </row>
    <row r="1865" spans="1:14" x14ac:dyDescent="0.35">
      <c r="A1865" s="1" t="s">
        <v>42</v>
      </c>
      <c r="B1865" s="1">
        <v>202411</v>
      </c>
      <c r="C1865" s="1" t="str">
        <f>MID(analisis_productividad__4[[#This Row],[Periodo]],1,4)</f>
        <v>2024</v>
      </c>
      <c r="D1865" s="1" t="str">
        <f>MID(analisis_productividad__4[[#This Row],[Periodo]],5,2)</f>
        <v>11</v>
      </c>
      <c r="E1865" s="1" t="s">
        <v>16</v>
      </c>
      <c r="F1865" s="1" t="s">
        <v>19</v>
      </c>
      <c r="G1865" s="1">
        <v>77892</v>
      </c>
      <c r="H1865" s="1">
        <v>4721999</v>
      </c>
      <c r="I1865" s="1">
        <v>60.622138888888877</v>
      </c>
      <c r="J1865" s="1">
        <v>0</v>
      </c>
      <c r="K1865" s="1">
        <v>62</v>
      </c>
      <c r="L1865" s="1">
        <v>58</v>
      </c>
      <c r="M1865" s="1"/>
      <c r="N1865" s="1">
        <v>0</v>
      </c>
    </row>
    <row r="1866" spans="1:14" x14ac:dyDescent="0.35">
      <c r="A1866" s="1" t="s">
        <v>107</v>
      </c>
      <c r="B1866" s="1">
        <v>202512</v>
      </c>
      <c r="C1866" s="1" t="str">
        <f>MID(analisis_productividad__4[[#This Row],[Periodo]],1,4)</f>
        <v>2025</v>
      </c>
      <c r="D1866" s="1" t="str">
        <f>MID(analisis_productividad__4[[#This Row],[Periodo]],5,2)</f>
        <v>12</v>
      </c>
      <c r="E1866" s="1" t="s">
        <v>34</v>
      </c>
      <c r="F1866" s="1" t="s">
        <v>35</v>
      </c>
      <c r="G1866" s="1">
        <v>77889</v>
      </c>
      <c r="H1866" s="1">
        <v>5979464</v>
      </c>
      <c r="I1866" s="1">
        <v>76.768595430107482</v>
      </c>
      <c r="J1866" s="1">
        <v>73767.968975423995</v>
      </c>
      <c r="K1866" s="1">
        <v>87</v>
      </c>
      <c r="L1866" s="1">
        <v>77.5</v>
      </c>
      <c r="M1866" s="1">
        <v>81.05772184119742</v>
      </c>
      <c r="N1866" s="1">
        <v>6501169</v>
      </c>
    </row>
    <row r="1867" spans="1:14" x14ac:dyDescent="0.35">
      <c r="A1867" s="1" t="s">
        <v>83</v>
      </c>
      <c r="B1867" s="1">
        <v>202407</v>
      </c>
      <c r="C1867" s="1" t="str">
        <f>MID(analisis_productividad__4[[#This Row],[Periodo]],1,4)</f>
        <v>2024</v>
      </c>
      <c r="D1867" s="1" t="str">
        <f>MID(analisis_productividad__4[[#This Row],[Periodo]],5,2)</f>
        <v>07</v>
      </c>
      <c r="E1867" s="1" t="s">
        <v>16</v>
      </c>
      <c r="F1867" s="1" t="s">
        <v>17</v>
      </c>
      <c r="G1867" s="1">
        <v>77881</v>
      </c>
      <c r="H1867" s="1">
        <v>3715665</v>
      </c>
      <c r="I1867" s="1">
        <v>47.709751344086001</v>
      </c>
      <c r="J1867" s="1">
        <v>0</v>
      </c>
      <c r="K1867" s="1">
        <v>52</v>
      </c>
      <c r="L1867" s="1">
        <v>52</v>
      </c>
      <c r="M1867" s="1"/>
      <c r="N1867" s="1">
        <v>0</v>
      </c>
    </row>
    <row r="1868" spans="1:14" x14ac:dyDescent="0.35">
      <c r="A1868" s="1" t="s">
        <v>64</v>
      </c>
      <c r="B1868" s="1">
        <v>202409</v>
      </c>
      <c r="C1868" s="1" t="str">
        <f>MID(analisis_productividad__4[[#This Row],[Periodo]],1,4)</f>
        <v>2024</v>
      </c>
      <c r="D1868" s="1" t="str">
        <f>MID(analisis_productividad__4[[#This Row],[Periodo]],5,2)</f>
        <v>09</v>
      </c>
      <c r="E1868" s="1" t="s">
        <v>16</v>
      </c>
      <c r="F1868" s="1" t="s">
        <v>21</v>
      </c>
      <c r="G1868" s="1">
        <v>77878</v>
      </c>
      <c r="H1868" s="1">
        <v>6006346</v>
      </c>
      <c r="I1868" s="1">
        <v>77.124930555555537</v>
      </c>
      <c r="J1868" s="1">
        <v>0</v>
      </c>
      <c r="K1868" s="1">
        <v>88.5</v>
      </c>
      <c r="L1868" s="1">
        <v>92.5</v>
      </c>
      <c r="M1868" s="1"/>
      <c r="N1868" s="1">
        <v>0</v>
      </c>
    </row>
    <row r="1869" spans="1:14" x14ac:dyDescent="0.35">
      <c r="A1869" s="1" t="s">
        <v>113</v>
      </c>
      <c r="B1869" s="1">
        <v>202403</v>
      </c>
      <c r="C1869" s="1" t="str">
        <f>MID(analisis_productividad__4[[#This Row],[Periodo]],1,4)</f>
        <v>2024</v>
      </c>
      <c r="D1869" s="1" t="str">
        <f>MID(analisis_productividad__4[[#This Row],[Periodo]],5,2)</f>
        <v>03</v>
      </c>
      <c r="E1869" s="1" t="s">
        <v>9</v>
      </c>
      <c r="F1869" s="1" t="s">
        <v>9</v>
      </c>
      <c r="G1869" s="1">
        <v>77854</v>
      </c>
      <c r="H1869" s="1">
        <v>666310</v>
      </c>
      <c r="I1869" s="1">
        <v>8.5584408602150557</v>
      </c>
      <c r="J1869" s="1">
        <v>0</v>
      </c>
      <c r="K1869" s="1">
        <v>11.5</v>
      </c>
      <c r="L1869" s="1">
        <v>10</v>
      </c>
      <c r="M1869" s="1"/>
      <c r="N1869" s="1">
        <v>0</v>
      </c>
    </row>
    <row r="1870" spans="1:14" x14ac:dyDescent="0.35">
      <c r="A1870" s="1" t="s">
        <v>75</v>
      </c>
      <c r="B1870" s="1">
        <v>202502</v>
      </c>
      <c r="C1870" s="1" t="str">
        <f>MID(analisis_productividad__4[[#This Row],[Periodo]],1,4)</f>
        <v>2025</v>
      </c>
      <c r="D1870" s="1" t="str">
        <f>MID(analisis_productividad__4[[#This Row],[Periodo]],5,2)</f>
        <v>02</v>
      </c>
      <c r="E1870" s="1" t="s">
        <v>11</v>
      </c>
      <c r="F1870" s="1" t="s">
        <v>52</v>
      </c>
      <c r="G1870" s="1">
        <v>77838</v>
      </c>
      <c r="H1870" s="1">
        <v>8081573</v>
      </c>
      <c r="I1870" s="1">
        <v>103.82505208333338</v>
      </c>
      <c r="J1870" s="1">
        <v>81890.127076405479</v>
      </c>
      <c r="K1870" s="1">
        <v>118</v>
      </c>
      <c r="L1870" s="1">
        <v>106</v>
      </c>
      <c r="M1870" s="1">
        <v>98.687997058054336</v>
      </c>
      <c r="N1870" s="1">
        <v>9081638</v>
      </c>
    </row>
    <row r="1871" spans="1:14" x14ac:dyDescent="0.35">
      <c r="A1871" s="1" t="s">
        <v>65</v>
      </c>
      <c r="B1871" s="1">
        <v>202501</v>
      </c>
      <c r="C1871" s="1" t="str">
        <f>MID(analisis_productividad__4[[#This Row],[Periodo]],1,4)</f>
        <v>2025</v>
      </c>
      <c r="D1871" s="1" t="str">
        <f>MID(analisis_productividad__4[[#This Row],[Periodo]],5,2)</f>
        <v>01</v>
      </c>
      <c r="E1871" s="1" t="s">
        <v>16</v>
      </c>
      <c r="F1871" s="1" t="s">
        <v>19</v>
      </c>
      <c r="G1871" s="1">
        <v>77811</v>
      </c>
      <c r="H1871" s="1">
        <v>4979107</v>
      </c>
      <c r="I1871" s="1">
        <v>63.989361559139795</v>
      </c>
      <c r="J1871" s="1">
        <v>89226.616433826784</v>
      </c>
      <c r="K1871" s="1">
        <v>68</v>
      </c>
      <c r="L1871" s="1">
        <v>68.5</v>
      </c>
      <c r="M1871" s="1">
        <v>55.802931894124441</v>
      </c>
      <c r="N1871" s="1">
        <v>5070456</v>
      </c>
    </row>
    <row r="1872" spans="1:14" x14ac:dyDescent="0.35">
      <c r="A1872" s="1" t="s">
        <v>94</v>
      </c>
      <c r="B1872" s="1">
        <v>202408</v>
      </c>
      <c r="C1872" s="1" t="str">
        <f>MID(analisis_productividad__4[[#This Row],[Periodo]],1,4)</f>
        <v>2024</v>
      </c>
      <c r="D1872" s="1" t="str">
        <f>MID(analisis_productividad__4[[#This Row],[Periodo]],5,2)</f>
        <v>08</v>
      </c>
      <c r="E1872" s="1" t="s">
        <v>11</v>
      </c>
      <c r="F1872" s="1" t="s">
        <v>52</v>
      </c>
      <c r="G1872" s="1">
        <v>77809</v>
      </c>
      <c r="H1872" s="1">
        <v>5285079</v>
      </c>
      <c r="I1872" s="1">
        <v>67.923897849462364</v>
      </c>
      <c r="J1872" s="1">
        <v>0</v>
      </c>
      <c r="K1872" s="1">
        <v>75.5</v>
      </c>
      <c r="L1872" s="1">
        <v>70.5</v>
      </c>
      <c r="M1872" s="1"/>
      <c r="N1872" s="1">
        <v>0</v>
      </c>
    </row>
    <row r="1873" spans="1:14" x14ac:dyDescent="0.35">
      <c r="A1873" s="1" t="s">
        <v>84</v>
      </c>
      <c r="B1873" s="1">
        <v>202509</v>
      </c>
      <c r="C1873" s="1" t="str">
        <f>MID(analisis_productividad__4[[#This Row],[Periodo]],1,4)</f>
        <v>2025</v>
      </c>
      <c r="D1873" s="1" t="str">
        <f>MID(analisis_productividad__4[[#This Row],[Periodo]],5,2)</f>
        <v>09</v>
      </c>
      <c r="E1873" s="1" t="s">
        <v>11</v>
      </c>
      <c r="F1873" s="1" t="s">
        <v>52</v>
      </c>
      <c r="G1873" s="1">
        <v>77797</v>
      </c>
      <c r="H1873" s="1">
        <v>7990911</v>
      </c>
      <c r="I1873" s="1">
        <v>102.71474305555564</v>
      </c>
      <c r="J1873" s="1">
        <v>87735.90512717684</v>
      </c>
      <c r="K1873" s="1">
        <v>123</v>
      </c>
      <c r="L1873" s="1">
        <v>115.5</v>
      </c>
      <c r="M1873" s="1">
        <v>91.079140044396212</v>
      </c>
      <c r="N1873" s="1">
        <v>9594209</v>
      </c>
    </row>
    <row r="1874" spans="1:14" x14ac:dyDescent="0.35">
      <c r="A1874" s="1" t="s">
        <v>22</v>
      </c>
      <c r="B1874" s="1">
        <v>202506</v>
      </c>
      <c r="C1874" s="1" t="str">
        <f>MID(analisis_productividad__4[[#This Row],[Periodo]],1,4)</f>
        <v>2025</v>
      </c>
      <c r="D1874" s="1" t="str">
        <f>MID(analisis_productividad__4[[#This Row],[Periodo]],5,2)</f>
        <v>06</v>
      </c>
      <c r="E1874" s="1" t="s">
        <v>16</v>
      </c>
      <c r="F1874" s="1" t="s">
        <v>21</v>
      </c>
      <c r="G1874" s="1">
        <v>77795</v>
      </c>
      <c r="H1874" s="1">
        <v>4358586</v>
      </c>
      <c r="I1874" s="1">
        <v>56.026687499999994</v>
      </c>
      <c r="J1874" s="1">
        <v>92755.309060763306</v>
      </c>
      <c r="K1874" s="1">
        <v>59.5</v>
      </c>
      <c r="L1874" s="1">
        <v>55.5</v>
      </c>
      <c r="M1874" s="1">
        <v>46.990147239385749</v>
      </c>
      <c r="N1874" s="1">
        <v>4796049</v>
      </c>
    </row>
    <row r="1875" spans="1:14" x14ac:dyDescent="0.35">
      <c r="A1875" s="1" t="s">
        <v>86</v>
      </c>
      <c r="B1875" s="1">
        <v>202402</v>
      </c>
      <c r="C1875" s="1" t="str">
        <f>MID(analisis_productividad__4[[#This Row],[Periodo]],1,4)</f>
        <v>2024</v>
      </c>
      <c r="D1875" s="1" t="str">
        <f>MID(analisis_productividad__4[[#This Row],[Periodo]],5,2)</f>
        <v>02</v>
      </c>
      <c r="E1875" s="1" t="s">
        <v>11</v>
      </c>
      <c r="F1875" s="1" t="s">
        <v>14</v>
      </c>
      <c r="G1875" s="1">
        <v>77782</v>
      </c>
      <c r="H1875" s="1">
        <v>5219280</v>
      </c>
      <c r="I1875" s="1">
        <v>67.101637931034489</v>
      </c>
      <c r="J1875" s="1">
        <v>0</v>
      </c>
      <c r="K1875" s="1">
        <v>69.5</v>
      </c>
      <c r="L1875" s="1">
        <v>59</v>
      </c>
      <c r="M1875" s="1"/>
      <c r="N1875" s="1">
        <v>0</v>
      </c>
    </row>
    <row r="1876" spans="1:14" x14ac:dyDescent="0.35">
      <c r="A1876" s="1" t="s">
        <v>84</v>
      </c>
      <c r="B1876" s="1">
        <v>202602</v>
      </c>
      <c r="C1876" s="1" t="str">
        <f>MID(analisis_productividad__4[[#This Row],[Periodo]],1,4)</f>
        <v>2026</v>
      </c>
      <c r="D1876" s="1" t="str">
        <f>MID(analisis_productividad__4[[#This Row],[Periodo]],5,2)</f>
        <v>02</v>
      </c>
      <c r="E1876" s="1" t="s">
        <v>11</v>
      </c>
      <c r="F1876" s="1" t="s">
        <v>52</v>
      </c>
      <c r="G1876" s="1">
        <v>77741</v>
      </c>
      <c r="H1876" s="1">
        <v>8458734</v>
      </c>
      <c r="I1876" s="1">
        <v>108.80593750000004</v>
      </c>
      <c r="J1876" s="1">
        <v>85333.709714266341</v>
      </c>
      <c r="K1876" s="1">
        <v>123</v>
      </c>
      <c r="L1876" s="1">
        <v>115.5</v>
      </c>
      <c r="M1876" s="1">
        <v>102.59248347357834</v>
      </c>
      <c r="N1876" s="1">
        <v>8754597</v>
      </c>
    </row>
    <row r="1877" spans="1:14" x14ac:dyDescent="0.35">
      <c r="A1877" s="1" t="s">
        <v>74</v>
      </c>
      <c r="B1877" s="1">
        <v>202506</v>
      </c>
      <c r="C1877" s="1" t="str">
        <f>MID(analisis_productividad__4[[#This Row],[Periodo]],1,4)</f>
        <v>2025</v>
      </c>
      <c r="D1877" s="1" t="str">
        <f>MID(analisis_productividad__4[[#This Row],[Periodo]],5,2)</f>
        <v>06</v>
      </c>
      <c r="E1877" s="1" t="s">
        <v>16</v>
      </c>
      <c r="F1877" s="1" t="s">
        <v>19</v>
      </c>
      <c r="G1877" s="1">
        <v>77722</v>
      </c>
      <c r="H1877" s="1">
        <v>3388587</v>
      </c>
      <c r="I1877" s="1">
        <v>43.598625000000013</v>
      </c>
      <c r="J1877" s="1">
        <v>83329.829630279492</v>
      </c>
      <c r="K1877" s="1">
        <v>50.5</v>
      </c>
      <c r="L1877" s="1">
        <v>51.5</v>
      </c>
      <c r="M1877" s="1">
        <v>40.664753966671881</v>
      </c>
      <c r="N1877" s="1">
        <v>3897967</v>
      </c>
    </row>
    <row r="1878" spans="1:14" x14ac:dyDescent="0.35">
      <c r="A1878" s="1" t="s">
        <v>73</v>
      </c>
      <c r="B1878" s="1">
        <v>202507</v>
      </c>
      <c r="C1878" s="1" t="str">
        <f>MID(analisis_productividad__4[[#This Row],[Periodo]],1,4)</f>
        <v>2025</v>
      </c>
      <c r="D1878" s="1" t="str">
        <f>MID(analisis_productividad__4[[#This Row],[Periodo]],5,2)</f>
        <v>07</v>
      </c>
      <c r="E1878" s="1" t="s">
        <v>16</v>
      </c>
      <c r="F1878" s="1" t="s">
        <v>21</v>
      </c>
      <c r="G1878" s="1">
        <v>77719</v>
      </c>
      <c r="H1878" s="1">
        <v>2959744</v>
      </c>
      <c r="I1878" s="1">
        <v>38.082775537634397</v>
      </c>
      <c r="J1878" s="1">
        <v>86569.649045567363</v>
      </c>
      <c r="K1878" s="1">
        <v>43.5</v>
      </c>
      <c r="L1878" s="1">
        <v>41</v>
      </c>
      <c r="M1878" s="1">
        <v>34.189167943167803</v>
      </c>
      <c r="N1878" s="1">
        <v>3353528</v>
      </c>
    </row>
    <row r="1879" spans="1:14" x14ac:dyDescent="0.35">
      <c r="A1879" s="1" t="s">
        <v>82</v>
      </c>
      <c r="B1879" s="1">
        <v>202507</v>
      </c>
      <c r="C1879" s="1" t="str">
        <f>MID(analisis_productividad__4[[#This Row],[Periodo]],1,4)</f>
        <v>2025</v>
      </c>
      <c r="D1879" s="1" t="str">
        <f>MID(analisis_productividad__4[[#This Row],[Periodo]],5,2)</f>
        <v>07</v>
      </c>
      <c r="E1879" s="1" t="s">
        <v>11</v>
      </c>
      <c r="F1879" s="1" t="s">
        <v>12</v>
      </c>
      <c r="G1879" s="1">
        <v>77718</v>
      </c>
      <c r="H1879" s="1">
        <v>4087533</v>
      </c>
      <c r="I1879" s="1">
        <v>52.594274193548358</v>
      </c>
      <c r="J1879" s="1">
        <v>89436.014828522573</v>
      </c>
      <c r="K1879" s="1">
        <v>53.5</v>
      </c>
      <c r="L1879" s="1">
        <v>54</v>
      </c>
      <c r="M1879" s="1">
        <v>45.703436225743154</v>
      </c>
      <c r="N1879" s="1">
        <v>5005181</v>
      </c>
    </row>
    <row r="1880" spans="1:14" x14ac:dyDescent="0.35">
      <c r="A1880" s="1" t="s">
        <v>106</v>
      </c>
      <c r="B1880" s="1">
        <v>202511</v>
      </c>
      <c r="C1880" s="1" t="str">
        <f>MID(analisis_productividad__4[[#This Row],[Periodo]],1,4)</f>
        <v>2025</v>
      </c>
      <c r="D1880" s="1" t="str">
        <f>MID(analisis_productividad__4[[#This Row],[Periodo]],5,2)</f>
        <v>11</v>
      </c>
      <c r="E1880" s="1" t="s">
        <v>34</v>
      </c>
      <c r="F1880" s="1" t="s">
        <v>35</v>
      </c>
      <c r="G1880" s="1">
        <v>77679</v>
      </c>
      <c r="H1880" s="1">
        <v>3136975</v>
      </c>
      <c r="I1880" s="1">
        <v>40.384069444444449</v>
      </c>
      <c r="J1880" s="1">
        <v>81302.034453787244</v>
      </c>
      <c r="K1880" s="1">
        <v>51</v>
      </c>
      <c r="L1880" s="1">
        <v>49</v>
      </c>
      <c r="M1880" s="1">
        <v>38.584216140164159</v>
      </c>
      <c r="N1880" s="1">
        <v>3576945</v>
      </c>
    </row>
    <row r="1881" spans="1:14" x14ac:dyDescent="0.35">
      <c r="A1881" s="1" t="s">
        <v>33</v>
      </c>
      <c r="B1881" s="1">
        <v>202405</v>
      </c>
      <c r="C1881" s="1" t="str">
        <f>MID(analisis_productividad__4[[#This Row],[Periodo]],1,4)</f>
        <v>2024</v>
      </c>
      <c r="D1881" s="1" t="str">
        <f>MID(analisis_productividad__4[[#This Row],[Periodo]],5,2)</f>
        <v>05</v>
      </c>
      <c r="E1881" s="1" t="s">
        <v>34</v>
      </c>
      <c r="F1881" s="1" t="s">
        <v>35</v>
      </c>
      <c r="G1881" s="1">
        <v>77670</v>
      </c>
      <c r="H1881" s="1">
        <v>1068107</v>
      </c>
      <c r="I1881" s="1">
        <v>13.751895161290324</v>
      </c>
      <c r="J1881" s="1">
        <v>0</v>
      </c>
      <c r="K1881" s="1">
        <v>15</v>
      </c>
      <c r="L1881" s="1">
        <v>15</v>
      </c>
      <c r="M1881" s="1"/>
      <c r="N1881" s="1">
        <v>0</v>
      </c>
    </row>
    <row r="1882" spans="1:14" x14ac:dyDescent="0.35">
      <c r="A1882" s="1" t="s">
        <v>75</v>
      </c>
      <c r="B1882" s="1">
        <v>202602</v>
      </c>
      <c r="C1882" s="1" t="str">
        <f>MID(analisis_productividad__4[[#This Row],[Periodo]],1,4)</f>
        <v>2026</v>
      </c>
      <c r="D1882" s="1" t="str">
        <f>MID(analisis_productividad__4[[#This Row],[Periodo]],5,2)</f>
        <v>02</v>
      </c>
      <c r="E1882" s="1" t="s">
        <v>11</v>
      </c>
      <c r="F1882" s="1" t="s">
        <v>52</v>
      </c>
      <c r="G1882" s="1">
        <v>77660</v>
      </c>
      <c r="H1882" s="1">
        <v>8375768</v>
      </c>
      <c r="I1882" s="1">
        <v>107.85124999999996</v>
      </c>
      <c r="J1882" s="1">
        <v>87469.450134649785</v>
      </c>
      <c r="K1882" s="1">
        <v>118</v>
      </c>
      <c r="L1882" s="1">
        <v>106</v>
      </c>
      <c r="M1882" s="1">
        <v>102.17544085783207</v>
      </c>
      <c r="N1882" s="1">
        <v>8937230</v>
      </c>
    </row>
    <row r="1883" spans="1:14" x14ac:dyDescent="0.35">
      <c r="A1883" s="1" t="s">
        <v>69</v>
      </c>
      <c r="B1883" s="1">
        <v>202505</v>
      </c>
      <c r="C1883" s="1" t="str">
        <f>MID(analisis_productividad__4[[#This Row],[Periodo]],1,4)</f>
        <v>2025</v>
      </c>
      <c r="D1883" s="1" t="str">
        <f>MID(analisis_productividad__4[[#This Row],[Periodo]],5,2)</f>
        <v>05</v>
      </c>
      <c r="E1883" s="1" t="s">
        <v>11</v>
      </c>
      <c r="F1883" s="1" t="s">
        <v>52</v>
      </c>
      <c r="G1883" s="1">
        <v>77633</v>
      </c>
      <c r="H1883" s="1">
        <v>4930016</v>
      </c>
      <c r="I1883" s="1">
        <v>63.504536290322569</v>
      </c>
      <c r="J1883" s="1">
        <v>78810.789138145105</v>
      </c>
      <c r="K1883" s="1">
        <v>68</v>
      </c>
      <c r="L1883" s="1">
        <v>60.5</v>
      </c>
      <c r="M1883" s="1">
        <v>62.555092950006127</v>
      </c>
      <c r="N1883" s="1">
        <v>5072706</v>
      </c>
    </row>
    <row r="1884" spans="1:14" x14ac:dyDescent="0.35">
      <c r="A1884" s="1" t="s">
        <v>84</v>
      </c>
      <c r="B1884" s="1">
        <v>202404</v>
      </c>
      <c r="C1884" s="1" t="str">
        <f>MID(analisis_productividad__4[[#This Row],[Periodo]],1,4)</f>
        <v>2024</v>
      </c>
      <c r="D1884" s="1" t="str">
        <f>MID(analisis_productividad__4[[#This Row],[Periodo]],5,2)</f>
        <v>04</v>
      </c>
      <c r="E1884" s="1" t="s">
        <v>11</v>
      </c>
      <c r="F1884" s="1" t="s">
        <v>52</v>
      </c>
      <c r="G1884" s="1">
        <v>77627</v>
      </c>
      <c r="H1884" s="1">
        <v>8762784</v>
      </c>
      <c r="I1884" s="1">
        <v>112.88277777777776</v>
      </c>
      <c r="J1884" s="1">
        <v>0</v>
      </c>
      <c r="K1884" s="1">
        <v>123</v>
      </c>
      <c r="L1884" s="1">
        <v>115.5</v>
      </c>
      <c r="M1884" s="1"/>
      <c r="N1884" s="1">
        <v>0</v>
      </c>
    </row>
    <row r="1885" spans="1:14" x14ac:dyDescent="0.35">
      <c r="A1885" s="1" t="s">
        <v>119</v>
      </c>
      <c r="B1885" s="1">
        <v>202503</v>
      </c>
      <c r="C1885" s="1" t="str">
        <f>MID(analisis_productividad__4[[#This Row],[Periodo]],1,4)</f>
        <v>2025</v>
      </c>
      <c r="D1885" s="1" t="str">
        <f>MID(analisis_productividad__4[[#This Row],[Periodo]],5,2)</f>
        <v>03</v>
      </c>
      <c r="E1885" s="1" t="s">
        <v>16</v>
      </c>
      <c r="F1885" s="1" t="s">
        <v>21</v>
      </c>
      <c r="G1885" s="1">
        <v>77618</v>
      </c>
      <c r="H1885" s="1">
        <v>3987514</v>
      </c>
      <c r="I1885" s="1">
        <v>51.373649193548381</v>
      </c>
      <c r="J1885" s="1">
        <v>71361.425608786129</v>
      </c>
      <c r="K1885" s="1">
        <v>52.5</v>
      </c>
      <c r="L1885" s="1">
        <v>52.5</v>
      </c>
      <c r="M1885" s="1">
        <v>55.877719453926524</v>
      </c>
      <c r="N1885" s="1">
        <v>4103256</v>
      </c>
    </row>
    <row r="1886" spans="1:14" x14ac:dyDescent="0.35">
      <c r="A1886" s="1" t="s">
        <v>68</v>
      </c>
      <c r="B1886" s="1">
        <v>202502</v>
      </c>
      <c r="C1886" s="1" t="str">
        <f>MID(analisis_productividad__4[[#This Row],[Periodo]],1,4)</f>
        <v>2025</v>
      </c>
      <c r="D1886" s="1" t="str">
        <f>MID(analisis_productividad__4[[#This Row],[Periodo]],5,2)</f>
        <v>02</v>
      </c>
      <c r="E1886" s="1" t="s">
        <v>11</v>
      </c>
      <c r="F1886" s="1" t="s">
        <v>52</v>
      </c>
      <c r="G1886" s="1">
        <v>77592</v>
      </c>
      <c r="H1886" s="1">
        <v>7317776</v>
      </c>
      <c r="I1886" s="1">
        <v>94.310677083333346</v>
      </c>
      <c r="J1886" s="1">
        <v>92069.189795613886</v>
      </c>
      <c r="K1886" s="1">
        <v>103</v>
      </c>
      <c r="L1886" s="1">
        <v>91</v>
      </c>
      <c r="M1886" s="1">
        <v>79.481272901878128</v>
      </c>
      <c r="N1886" s="1">
        <v>7677417</v>
      </c>
    </row>
    <row r="1887" spans="1:14" x14ac:dyDescent="0.35">
      <c r="A1887" s="1" t="s">
        <v>69</v>
      </c>
      <c r="B1887" s="1">
        <v>202504</v>
      </c>
      <c r="C1887" s="1" t="str">
        <f>MID(analisis_productividad__4[[#This Row],[Periodo]],1,4)</f>
        <v>2025</v>
      </c>
      <c r="D1887" s="1" t="str">
        <f>MID(analisis_productividad__4[[#This Row],[Periodo]],5,2)</f>
        <v>04</v>
      </c>
      <c r="E1887" s="1" t="s">
        <v>11</v>
      </c>
      <c r="F1887" s="1" t="s">
        <v>52</v>
      </c>
      <c r="G1887" s="1">
        <v>77569</v>
      </c>
      <c r="H1887" s="1">
        <v>4536700</v>
      </c>
      <c r="I1887" s="1">
        <v>58.486166666666684</v>
      </c>
      <c r="J1887" s="1">
        <v>80230.008008132732</v>
      </c>
      <c r="K1887" s="1">
        <v>68</v>
      </c>
      <c r="L1887" s="1">
        <v>60.5</v>
      </c>
      <c r="M1887" s="1">
        <v>56.54616835561233</v>
      </c>
      <c r="N1887" s="1">
        <v>5248395</v>
      </c>
    </row>
    <row r="1888" spans="1:14" x14ac:dyDescent="0.35">
      <c r="A1888" s="1" t="s">
        <v>97</v>
      </c>
      <c r="B1888" s="1">
        <v>202407</v>
      </c>
      <c r="C1888" s="1" t="str">
        <f>MID(analisis_productividad__4[[#This Row],[Periodo]],1,4)</f>
        <v>2024</v>
      </c>
      <c r="D1888" s="1" t="str">
        <f>MID(analisis_productividad__4[[#This Row],[Periodo]],5,2)</f>
        <v>07</v>
      </c>
      <c r="E1888" s="1" t="s">
        <v>11</v>
      </c>
      <c r="F1888" s="1" t="s">
        <v>12</v>
      </c>
      <c r="G1888" s="1">
        <v>77539</v>
      </c>
      <c r="H1888" s="1">
        <v>4833104</v>
      </c>
      <c r="I1888" s="1">
        <v>62.33095430107528</v>
      </c>
      <c r="J1888" s="1">
        <v>0</v>
      </c>
      <c r="K1888" s="1">
        <v>66.5</v>
      </c>
      <c r="L1888" s="1">
        <v>63.5</v>
      </c>
      <c r="M1888" s="1"/>
      <c r="N1888" s="1">
        <v>0</v>
      </c>
    </row>
    <row r="1889" spans="1:14" x14ac:dyDescent="0.35">
      <c r="A1889" s="1" t="s">
        <v>94</v>
      </c>
      <c r="B1889" s="1">
        <v>202506</v>
      </c>
      <c r="C1889" s="1" t="str">
        <f>MID(analisis_productividad__4[[#This Row],[Periodo]],1,4)</f>
        <v>2025</v>
      </c>
      <c r="D1889" s="1" t="str">
        <f>MID(analisis_productividad__4[[#This Row],[Periodo]],5,2)</f>
        <v>06</v>
      </c>
      <c r="E1889" s="1" t="s">
        <v>11</v>
      </c>
      <c r="F1889" s="1" t="s">
        <v>52</v>
      </c>
      <c r="G1889" s="1">
        <v>77515</v>
      </c>
      <c r="H1889" s="1">
        <v>4818380</v>
      </c>
      <c r="I1889" s="1">
        <v>62.160680555555572</v>
      </c>
      <c r="J1889" s="1">
        <v>75577.544404452827</v>
      </c>
      <c r="K1889" s="1">
        <v>75.5</v>
      </c>
      <c r="L1889" s="1">
        <v>70.5</v>
      </c>
      <c r="M1889" s="1">
        <v>63.75412403205992</v>
      </c>
      <c r="N1889" s="1">
        <v>5689564</v>
      </c>
    </row>
    <row r="1890" spans="1:14" x14ac:dyDescent="0.35">
      <c r="A1890" s="1" t="s">
        <v>74</v>
      </c>
      <c r="B1890" s="1">
        <v>202502</v>
      </c>
      <c r="C1890" s="1" t="str">
        <f>MID(analisis_productividad__4[[#This Row],[Periodo]],1,4)</f>
        <v>2025</v>
      </c>
      <c r="D1890" s="1" t="str">
        <f>MID(analisis_productividad__4[[#This Row],[Periodo]],5,2)</f>
        <v>02</v>
      </c>
      <c r="E1890" s="1" t="s">
        <v>16</v>
      </c>
      <c r="F1890" s="1" t="s">
        <v>19</v>
      </c>
      <c r="G1890" s="1">
        <v>77511</v>
      </c>
      <c r="H1890" s="1">
        <v>3836060</v>
      </c>
      <c r="I1890" s="1">
        <v>49.490677083333338</v>
      </c>
      <c r="J1890" s="1">
        <v>72973.815592239072</v>
      </c>
      <c r="K1890" s="1">
        <v>50.5</v>
      </c>
      <c r="L1890" s="1">
        <v>51.5</v>
      </c>
      <c r="M1890" s="1">
        <v>52.567616190374643</v>
      </c>
      <c r="N1890" s="1">
        <v>3683394</v>
      </c>
    </row>
    <row r="1891" spans="1:14" x14ac:dyDescent="0.35">
      <c r="A1891" s="1" t="s">
        <v>66</v>
      </c>
      <c r="B1891" s="1">
        <v>202606</v>
      </c>
      <c r="C1891" s="1" t="str">
        <f>MID(analisis_productividad__4[[#This Row],[Periodo]],1,4)</f>
        <v>2026</v>
      </c>
      <c r="D1891" s="1" t="str">
        <f>MID(analisis_productividad__4[[#This Row],[Periodo]],5,2)</f>
        <v>06</v>
      </c>
      <c r="E1891" s="1" t="s">
        <v>11</v>
      </c>
      <c r="F1891" s="1" t="s">
        <v>12</v>
      </c>
      <c r="G1891" s="1">
        <v>77446</v>
      </c>
      <c r="H1891" s="1">
        <v>5363356</v>
      </c>
      <c r="I1891" s="1">
        <v>69.25265277777919</v>
      </c>
      <c r="J1891" s="1">
        <v>79894.144219831898</v>
      </c>
      <c r="K1891" s="1">
        <v>80</v>
      </c>
      <c r="L1891" s="1">
        <v>80.5</v>
      </c>
      <c r="M1891" s="1">
        <v>67.651321791845987</v>
      </c>
      <c r="N1891" s="1">
        <v>5404944</v>
      </c>
    </row>
    <row r="1892" spans="1:14" x14ac:dyDescent="0.35">
      <c r="A1892" s="1" t="s">
        <v>79</v>
      </c>
      <c r="B1892" s="1">
        <v>202501</v>
      </c>
      <c r="C1892" s="1" t="str">
        <f>MID(analisis_productividad__4[[#This Row],[Periodo]],1,4)</f>
        <v>2025</v>
      </c>
      <c r="D1892" s="1" t="str">
        <f>MID(analisis_productividad__4[[#This Row],[Periodo]],5,2)</f>
        <v>01</v>
      </c>
      <c r="E1892" s="1" t="s">
        <v>11</v>
      </c>
      <c r="F1892" s="1" t="s">
        <v>12</v>
      </c>
      <c r="G1892" s="1">
        <v>77441</v>
      </c>
      <c r="H1892" s="1">
        <v>4818334</v>
      </c>
      <c r="I1892" s="1">
        <v>62.21913306451615</v>
      </c>
      <c r="J1892" s="1">
        <v>76411.076787460624</v>
      </c>
      <c r="K1892" s="1">
        <v>64.5</v>
      </c>
      <c r="L1892" s="1">
        <v>64</v>
      </c>
      <c r="M1892" s="1">
        <v>63.058050253660447</v>
      </c>
      <c r="N1892" s="1">
        <v>5306480</v>
      </c>
    </row>
    <row r="1893" spans="1:14" x14ac:dyDescent="0.35">
      <c r="A1893" s="1" t="s">
        <v>100</v>
      </c>
      <c r="B1893" s="1">
        <v>202408</v>
      </c>
      <c r="C1893" s="1" t="str">
        <f>MID(analisis_productividad__4[[#This Row],[Periodo]],1,4)</f>
        <v>2024</v>
      </c>
      <c r="D1893" s="1" t="str">
        <f>MID(analisis_productividad__4[[#This Row],[Periodo]],5,2)</f>
        <v>08</v>
      </c>
      <c r="E1893" s="1" t="s">
        <v>34</v>
      </c>
      <c r="F1893" s="1" t="s">
        <v>35</v>
      </c>
      <c r="G1893" s="1">
        <v>77435</v>
      </c>
      <c r="H1893" s="1">
        <v>2608949</v>
      </c>
      <c r="I1893" s="1">
        <v>33.692016129032261</v>
      </c>
      <c r="J1893" s="1">
        <v>0</v>
      </c>
      <c r="K1893" s="1">
        <v>44</v>
      </c>
      <c r="L1893" s="1">
        <v>40.5</v>
      </c>
      <c r="M1893" s="1"/>
      <c r="N1893" s="1">
        <v>0</v>
      </c>
    </row>
    <row r="1894" spans="1:14" x14ac:dyDescent="0.35">
      <c r="A1894" s="1" t="s">
        <v>106</v>
      </c>
      <c r="B1894" s="1">
        <v>202411</v>
      </c>
      <c r="C1894" s="1" t="str">
        <f>MID(analisis_productividad__4[[#This Row],[Periodo]],1,4)</f>
        <v>2024</v>
      </c>
      <c r="D1894" s="1" t="str">
        <f>MID(analisis_productividad__4[[#This Row],[Periodo]],5,2)</f>
        <v>11</v>
      </c>
      <c r="E1894" s="1" t="s">
        <v>34</v>
      </c>
      <c r="F1894" s="1" t="s">
        <v>35</v>
      </c>
      <c r="G1894" s="1">
        <v>77431</v>
      </c>
      <c r="H1894" s="1">
        <v>3324177</v>
      </c>
      <c r="I1894" s="1">
        <v>42.93109722222222</v>
      </c>
      <c r="J1894" s="1">
        <v>0</v>
      </c>
      <c r="K1894" s="1">
        <v>51</v>
      </c>
      <c r="L1894" s="1">
        <v>49</v>
      </c>
      <c r="M1894" s="1"/>
      <c r="N1894" s="1">
        <v>0</v>
      </c>
    </row>
    <row r="1895" spans="1:14" x14ac:dyDescent="0.35">
      <c r="A1895" s="1" t="s">
        <v>85</v>
      </c>
      <c r="B1895" s="1">
        <v>202605</v>
      </c>
      <c r="C1895" s="1" t="str">
        <f>MID(analisis_productividad__4[[#This Row],[Periodo]],1,4)</f>
        <v>2026</v>
      </c>
      <c r="D1895" s="1" t="str">
        <f>MID(analisis_productividad__4[[#This Row],[Periodo]],5,2)</f>
        <v>05</v>
      </c>
      <c r="E1895" s="1" t="s">
        <v>11</v>
      </c>
      <c r="F1895" s="1" t="s">
        <v>14</v>
      </c>
      <c r="G1895" s="1">
        <v>77425</v>
      </c>
      <c r="H1895" s="1">
        <v>3924158</v>
      </c>
      <c r="I1895" s="1">
        <v>50.683575268817542</v>
      </c>
      <c r="J1895" s="1">
        <v>76875.959932802434</v>
      </c>
      <c r="K1895" s="1">
        <v>60.5</v>
      </c>
      <c r="L1895" s="1">
        <v>57.5</v>
      </c>
      <c r="M1895" s="1">
        <v>51.161312105083525</v>
      </c>
      <c r="N1895" s="1">
        <v>3933075</v>
      </c>
    </row>
    <row r="1896" spans="1:14" x14ac:dyDescent="0.35">
      <c r="A1896" s="1" t="s">
        <v>95</v>
      </c>
      <c r="B1896" s="1">
        <v>202402</v>
      </c>
      <c r="C1896" s="1" t="str">
        <f>MID(analisis_productividad__4[[#This Row],[Periodo]],1,4)</f>
        <v>2024</v>
      </c>
      <c r="D1896" s="1" t="str">
        <f>MID(analisis_productividad__4[[#This Row],[Periodo]],5,2)</f>
        <v>02</v>
      </c>
      <c r="E1896" s="1" t="s">
        <v>9</v>
      </c>
      <c r="F1896" s="1" t="s">
        <v>9</v>
      </c>
      <c r="G1896" s="1">
        <v>77418</v>
      </c>
      <c r="H1896" s="1">
        <v>670315</v>
      </c>
      <c r="I1896" s="1">
        <v>8.6584267241379322</v>
      </c>
      <c r="J1896" s="1">
        <v>0</v>
      </c>
      <c r="K1896" s="1">
        <v>11</v>
      </c>
      <c r="L1896" s="1">
        <v>11</v>
      </c>
      <c r="M1896" s="1"/>
      <c r="N1896" s="1">
        <v>0</v>
      </c>
    </row>
    <row r="1897" spans="1:14" x14ac:dyDescent="0.35">
      <c r="A1897" s="1" t="s">
        <v>81</v>
      </c>
      <c r="B1897" s="1">
        <v>202602</v>
      </c>
      <c r="C1897" s="1" t="str">
        <f>MID(analisis_productividad__4[[#This Row],[Periodo]],1,4)</f>
        <v>2026</v>
      </c>
      <c r="D1897" s="1" t="str">
        <f>MID(analisis_productividad__4[[#This Row],[Periodo]],5,2)</f>
        <v>02</v>
      </c>
      <c r="E1897" s="1" t="s">
        <v>34</v>
      </c>
      <c r="F1897" s="1" t="s">
        <v>35</v>
      </c>
      <c r="G1897" s="1">
        <v>77417</v>
      </c>
      <c r="H1897" s="1">
        <v>6875470</v>
      </c>
      <c r="I1897" s="1">
        <v>88.811354166666703</v>
      </c>
      <c r="J1897" s="1">
        <v>82590.803794259074</v>
      </c>
      <c r="K1897" s="1">
        <v>106</v>
      </c>
      <c r="L1897" s="1">
        <v>94.5</v>
      </c>
      <c r="M1897" s="1">
        <v>88.413034538205707</v>
      </c>
      <c r="N1897" s="1">
        <v>7302104</v>
      </c>
    </row>
    <row r="1898" spans="1:14" x14ac:dyDescent="0.35">
      <c r="A1898" s="1" t="s">
        <v>91</v>
      </c>
      <c r="B1898" s="1">
        <v>202602</v>
      </c>
      <c r="C1898" s="1" t="str">
        <f>MID(analisis_productividad__4[[#This Row],[Periodo]],1,4)</f>
        <v>2026</v>
      </c>
      <c r="D1898" s="1" t="str">
        <f>MID(analisis_productividad__4[[#This Row],[Periodo]],5,2)</f>
        <v>02</v>
      </c>
      <c r="E1898" s="1" t="s">
        <v>11</v>
      </c>
      <c r="F1898" s="1" t="s">
        <v>12</v>
      </c>
      <c r="G1898" s="1">
        <v>77401</v>
      </c>
      <c r="H1898" s="1">
        <v>3996361</v>
      </c>
      <c r="I1898" s="1">
        <v>51.631770833333327</v>
      </c>
      <c r="J1898" s="1">
        <v>73570.638941594327</v>
      </c>
      <c r="K1898" s="1">
        <v>55</v>
      </c>
      <c r="L1898" s="1">
        <v>55.5</v>
      </c>
      <c r="M1898" s="1">
        <v>48.91205759483401</v>
      </c>
      <c r="N1898" s="1">
        <v>3598491</v>
      </c>
    </row>
    <row r="1899" spans="1:14" x14ac:dyDescent="0.35">
      <c r="A1899" s="1" t="s">
        <v>78</v>
      </c>
      <c r="B1899" s="1">
        <v>202411</v>
      </c>
      <c r="C1899" s="1" t="str">
        <f>MID(analisis_productividad__4[[#This Row],[Periodo]],1,4)</f>
        <v>2024</v>
      </c>
      <c r="D1899" s="1" t="str">
        <f>MID(analisis_productividad__4[[#This Row],[Periodo]],5,2)</f>
        <v>11</v>
      </c>
      <c r="E1899" s="1" t="s">
        <v>11</v>
      </c>
      <c r="F1899" s="1" t="s">
        <v>14</v>
      </c>
      <c r="G1899" s="1">
        <v>77397</v>
      </c>
      <c r="H1899" s="1">
        <v>5642601</v>
      </c>
      <c r="I1899" s="1">
        <v>72.904368055555551</v>
      </c>
      <c r="J1899" s="1">
        <v>0</v>
      </c>
      <c r="K1899" s="1">
        <v>79.5</v>
      </c>
      <c r="L1899" s="1">
        <v>67</v>
      </c>
      <c r="M1899" s="1"/>
      <c r="N1899" s="1">
        <v>0</v>
      </c>
    </row>
    <row r="1900" spans="1:14" x14ac:dyDescent="0.35">
      <c r="A1900" s="1" t="s">
        <v>44</v>
      </c>
      <c r="B1900" s="1">
        <v>202409</v>
      </c>
      <c r="C1900" s="1" t="str">
        <f>MID(analisis_productividad__4[[#This Row],[Periodo]],1,4)</f>
        <v>2024</v>
      </c>
      <c r="D1900" s="1" t="str">
        <f>MID(analisis_productividad__4[[#This Row],[Periodo]],5,2)</f>
        <v>09</v>
      </c>
      <c r="E1900" s="1" t="s">
        <v>11</v>
      </c>
      <c r="F1900" s="1" t="s">
        <v>12</v>
      </c>
      <c r="G1900" s="1">
        <v>77397</v>
      </c>
      <c r="H1900" s="1">
        <v>5460514</v>
      </c>
      <c r="I1900" s="1">
        <v>70.551833333333349</v>
      </c>
      <c r="J1900" s="1">
        <v>0</v>
      </c>
      <c r="K1900" s="1">
        <v>78</v>
      </c>
      <c r="L1900" s="1">
        <v>74.5</v>
      </c>
      <c r="M1900" s="1"/>
      <c r="N1900" s="1">
        <v>0</v>
      </c>
    </row>
    <row r="1901" spans="1:14" x14ac:dyDescent="0.35">
      <c r="A1901" s="1" t="s">
        <v>62</v>
      </c>
      <c r="B1901" s="1">
        <v>202404</v>
      </c>
      <c r="C1901" s="1" t="str">
        <f>MID(analisis_productividad__4[[#This Row],[Periodo]],1,4)</f>
        <v>2024</v>
      </c>
      <c r="D1901" s="1" t="str">
        <f>MID(analisis_productividad__4[[#This Row],[Periodo]],5,2)</f>
        <v>04</v>
      </c>
      <c r="E1901" s="1" t="s">
        <v>16</v>
      </c>
      <c r="F1901" s="1" t="s">
        <v>17</v>
      </c>
      <c r="G1901" s="1">
        <v>77389</v>
      </c>
      <c r="H1901" s="1">
        <v>2223680</v>
      </c>
      <c r="I1901" s="1">
        <v>28.733930555555553</v>
      </c>
      <c r="J1901" s="1">
        <v>0</v>
      </c>
      <c r="K1901" s="1">
        <v>32.5</v>
      </c>
      <c r="L1901" s="1">
        <v>32</v>
      </c>
      <c r="M1901" s="1"/>
      <c r="N1901" s="1">
        <v>0</v>
      </c>
    </row>
    <row r="1902" spans="1:14" x14ac:dyDescent="0.35">
      <c r="A1902" s="1" t="s">
        <v>37</v>
      </c>
      <c r="B1902" s="1">
        <v>202502</v>
      </c>
      <c r="C1902" s="1" t="str">
        <f>MID(analisis_productividad__4[[#This Row],[Periodo]],1,4)</f>
        <v>2025</v>
      </c>
      <c r="D1902" s="1" t="str">
        <f>MID(analisis_productividad__4[[#This Row],[Periodo]],5,2)</f>
        <v>02</v>
      </c>
      <c r="E1902" s="1" t="s">
        <v>16</v>
      </c>
      <c r="F1902" s="1" t="s">
        <v>17</v>
      </c>
      <c r="G1902" s="1">
        <v>77384</v>
      </c>
      <c r="H1902" s="1">
        <v>6624481</v>
      </c>
      <c r="I1902" s="1">
        <v>85.605833333333322</v>
      </c>
      <c r="J1902" s="1">
        <v>77014.272149026874</v>
      </c>
      <c r="K1902" s="1">
        <v>107.5</v>
      </c>
      <c r="L1902" s="1">
        <v>102.5</v>
      </c>
      <c r="M1902" s="1">
        <v>86.01627743986549</v>
      </c>
      <c r="N1902" s="1">
        <v>8933510</v>
      </c>
    </row>
    <row r="1903" spans="1:14" x14ac:dyDescent="0.35">
      <c r="A1903" s="1" t="s">
        <v>97</v>
      </c>
      <c r="B1903" s="1">
        <v>202510</v>
      </c>
      <c r="C1903" s="1" t="str">
        <f>MID(analisis_productividad__4[[#This Row],[Periodo]],1,4)</f>
        <v>2025</v>
      </c>
      <c r="D1903" s="1" t="str">
        <f>MID(analisis_productividad__4[[#This Row],[Periodo]],5,2)</f>
        <v>10</v>
      </c>
      <c r="E1903" s="1" t="s">
        <v>11</v>
      </c>
      <c r="F1903" s="1" t="s">
        <v>12</v>
      </c>
      <c r="G1903" s="1">
        <v>77359</v>
      </c>
      <c r="H1903" s="1">
        <v>4154840</v>
      </c>
      <c r="I1903" s="1">
        <v>53.708770161290303</v>
      </c>
      <c r="J1903" s="1">
        <v>82125.994111583612</v>
      </c>
      <c r="K1903" s="1">
        <v>66.5</v>
      </c>
      <c r="L1903" s="1">
        <v>63.5</v>
      </c>
      <c r="M1903" s="1">
        <v>50.591045197637037</v>
      </c>
      <c r="N1903" s="1">
        <v>4781323</v>
      </c>
    </row>
    <row r="1904" spans="1:14" x14ac:dyDescent="0.35">
      <c r="A1904" s="1" t="s">
        <v>88</v>
      </c>
      <c r="B1904" s="1">
        <v>202409</v>
      </c>
      <c r="C1904" s="1" t="str">
        <f>MID(analisis_productividad__4[[#This Row],[Periodo]],1,4)</f>
        <v>2024</v>
      </c>
      <c r="D1904" s="1" t="str">
        <f>MID(analisis_productividad__4[[#This Row],[Periodo]],5,2)</f>
        <v>09</v>
      </c>
      <c r="E1904" s="1" t="s">
        <v>34</v>
      </c>
      <c r="F1904" s="1" t="s">
        <v>35</v>
      </c>
      <c r="G1904" s="1">
        <v>77356</v>
      </c>
      <c r="H1904" s="1">
        <v>1007572</v>
      </c>
      <c r="I1904" s="1">
        <v>13.025152777777778</v>
      </c>
      <c r="J1904" s="1">
        <v>0</v>
      </c>
      <c r="K1904" s="1">
        <v>15.5</v>
      </c>
      <c r="L1904" s="1">
        <v>14.5</v>
      </c>
      <c r="M1904" s="1"/>
      <c r="N1904" s="1">
        <v>0</v>
      </c>
    </row>
    <row r="1905" spans="1:14" x14ac:dyDescent="0.35">
      <c r="A1905" s="1" t="s">
        <v>80</v>
      </c>
      <c r="B1905" s="1">
        <v>202405</v>
      </c>
      <c r="C1905" s="1" t="str">
        <f>MID(analisis_productividad__4[[#This Row],[Periodo]],1,4)</f>
        <v>2024</v>
      </c>
      <c r="D1905" s="1" t="str">
        <f>MID(analisis_productividad__4[[#This Row],[Periodo]],5,2)</f>
        <v>05</v>
      </c>
      <c r="E1905" s="1" t="s">
        <v>16</v>
      </c>
      <c r="F1905" s="1" t="s">
        <v>17</v>
      </c>
      <c r="G1905" s="1">
        <v>77352</v>
      </c>
      <c r="H1905" s="1">
        <v>4401075</v>
      </c>
      <c r="I1905" s="1">
        <v>56.896827956989249</v>
      </c>
      <c r="J1905" s="1">
        <v>0</v>
      </c>
      <c r="K1905" s="1">
        <v>58</v>
      </c>
      <c r="L1905" s="1">
        <v>58.5</v>
      </c>
      <c r="M1905" s="1"/>
      <c r="N1905" s="1">
        <v>0</v>
      </c>
    </row>
    <row r="1906" spans="1:14" x14ac:dyDescent="0.35">
      <c r="A1906" s="1" t="s">
        <v>78</v>
      </c>
      <c r="B1906" s="1">
        <v>202408</v>
      </c>
      <c r="C1906" s="1" t="str">
        <f>MID(analisis_productividad__4[[#This Row],[Periodo]],1,4)</f>
        <v>2024</v>
      </c>
      <c r="D1906" s="1" t="str">
        <f>MID(analisis_productividad__4[[#This Row],[Periodo]],5,2)</f>
        <v>08</v>
      </c>
      <c r="E1906" s="1" t="s">
        <v>11</v>
      </c>
      <c r="F1906" s="1" t="s">
        <v>14</v>
      </c>
      <c r="G1906" s="1">
        <v>77341</v>
      </c>
      <c r="H1906" s="1">
        <v>5293435</v>
      </c>
      <c r="I1906" s="1">
        <v>68.44268817204302</v>
      </c>
      <c r="J1906" s="1">
        <v>0</v>
      </c>
      <c r="K1906" s="1">
        <v>79.5</v>
      </c>
      <c r="L1906" s="1">
        <v>67</v>
      </c>
      <c r="M1906" s="1"/>
      <c r="N1906" s="1">
        <v>0</v>
      </c>
    </row>
    <row r="1907" spans="1:14" x14ac:dyDescent="0.35">
      <c r="A1907" s="1" t="s">
        <v>32</v>
      </c>
      <c r="B1907" s="1">
        <v>202404</v>
      </c>
      <c r="C1907" s="1" t="str">
        <f>MID(analisis_productividad__4[[#This Row],[Periodo]],1,4)</f>
        <v>2024</v>
      </c>
      <c r="D1907" s="1" t="str">
        <f>MID(analisis_productividad__4[[#This Row],[Periodo]],5,2)</f>
        <v>04</v>
      </c>
      <c r="E1907" s="1" t="s">
        <v>11</v>
      </c>
      <c r="F1907" s="1" t="s">
        <v>12</v>
      </c>
      <c r="G1907" s="1">
        <v>77338</v>
      </c>
      <c r="H1907" s="1">
        <v>4852875</v>
      </c>
      <c r="I1907" s="1">
        <v>62.748777777777775</v>
      </c>
      <c r="J1907" s="1">
        <v>0</v>
      </c>
      <c r="K1907" s="1">
        <v>65.5</v>
      </c>
      <c r="L1907" s="1">
        <v>66</v>
      </c>
      <c r="M1907" s="1"/>
      <c r="N1907" s="1">
        <v>0</v>
      </c>
    </row>
    <row r="1908" spans="1:14" x14ac:dyDescent="0.35">
      <c r="A1908" s="1" t="s">
        <v>18</v>
      </c>
      <c r="B1908" s="1">
        <v>202410</v>
      </c>
      <c r="C1908" s="1" t="str">
        <f>MID(analisis_productividad__4[[#This Row],[Periodo]],1,4)</f>
        <v>2024</v>
      </c>
      <c r="D1908" s="1" t="str">
        <f>MID(analisis_productividad__4[[#This Row],[Periodo]],5,2)</f>
        <v>10</v>
      </c>
      <c r="E1908" s="1" t="s">
        <v>16</v>
      </c>
      <c r="F1908" s="1" t="s">
        <v>19</v>
      </c>
      <c r="G1908" s="1">
        <v>77300</v>
      </c>
      <c r="H1908" s="1">
        <v>4975933</v>
      </c>
      <c r="I1908" s="1">
        <v>64.371350806451602</v>
      </c>
      <c r="J1908" s="1">
        <v>0</v>
      </c>
      <c r="K1908" s="1">
        <v>70.5</v>
      </c>
      <c r="L1908" s="1">
        <v>69.5</v>
      </c>
      <c r="M1908" s="1"/>
      <c r="N1908" s="1">
        <v>0</v>
      </c>
    </row>
    <row r="1909" spans="1:14" x14ac:dyDescent="0.35">
      <c r="A1909" s="1" t="s">
        <v>83</v>
      </c>
      <c r="B1909" s="1">
        <v>202606</v>
      </c>
      <c r="C1909" s="1" t="str">
        <f>MID(analisis_productividad__4[[#This Row],[Periodo]],1,4)</f>
        <v>2026</v>
      </c>
      <c r="D1909" s="1" t="str">
        <f>MID(analisis_productividad__4[[#This Row],[Periodo]],5,2)</f>
        <v>06</v>
      </c>
      <c r="E1909" s="1" t="s">
        <v>16</v>
      </c>
      <c r="F1909" s="1" t="s">
        <v>17</v>
      </c>
      <c r="G1909" s="1">
        <v>77291</v>
      </c>
      <c r="H1909" s="1">
        <v>3502788</v>
      </c>
      <c r="I1909" s="1">
        <v>45.319604166666487</v>
      </c>
      <c r="J1909" s="1">
        <v>75264.511381440243</v>
      </c>
      <c r="K1909" s="1">
        <v>52</v>
      </c>
      <c r="L1909" s="1">
        <v>52</v>
      </c>
      <c r="M1909" s="1">
        <v>46.517920556956689</v>
      </c>
      <c r="N1909" s="1">
        <v>3501149</v>
      </c>
    </row>
    <row r="1910" spans="1:14" x14ac:dyDescent="0.35">
      <c r="A1910" s="1" t="s">
        <v>81</v>
      </c>
      <c r="B1910" s="1">
        <v>202507</v>
      </c>
      <c r="C1910" s="1" t="str">
        <f>MID(analisis_productividad__4[[#This Row],[Periodo]],1,4)</f>
        <v>2025</v>
      </c>
      <c r="D1910" s="1" t="str">
        <f>MID(analisis_productividad__4[[#This Row],[Periodo]],5,2)</f>
        <v>07</v>
      </c>
      <c r="E1910" s="1" t="s">
        <v>34</v>
      </c>
      <c r="F1910" s="1" t="s">
        <v>35</v>
      </c>
      <c r="G1910" s="1">
        <v>77246</v>
      </c>
      <c r="H1910" s="1">
        <v>7006563</v>
      </c>
      <c r="I1910" s="1">
        <v>90.704052419354838</v>
      </c>
      <c r="J1910" s="1">
        <v>80862.923328454985</v>
      </c>
      <c r="K1910" s="1">
        <v>106</v>
      </c>
      <c r="L1910" s="1">
        <v>94.5</v>
      </c>
      <c r="M1910" s="1">
        <v>86.647413939516213</v>
      </c>
      <c r="N1910" s="1">
        <v>7539711</v>
      </c>
    </row>
    <row r="1911" spans="1:14" x14ac:dyDescent="0.35">
      <c r="A1911" s="1" t="s">
        <v>106</v>
      </c>
      <c r="B1911" s="1">
        <v>202508</v>
      </c>
      <c r="C1911" s="1" t="str">
        <f>MID(analisis_productividad__4[[#This Row],[Periodo]],1,4)</f>
        <v>2025</v>
      </c>
      <c r="D1911" s="1" t="str">
        <f>MID(analisis_productividad__4[[#This Row],[Periodo]],5,2)</f>
        <v>08</v>
      </c>
      <c r="E1911" s="1" t="s">
        <v>34</v>
      </c>
      <c r="F1911" s="1" t="s">
        <v>35</v>
      </c>
      <c r="G1911" s="1">
        <v>77214</v>
      </c>
      <c r="H1911" s="1">
        <v>3175247</v>
      </c>
      <c r="I1911" s="1">
        <v>41.122883064516124</v>
      </c>
      <c r="J1911" s="1">
        <v>78674.120121219137</v>
      </c>
      <c r="K1911" s="1">
        <v>51</v>
      </c>
      <c r="L1911" s="1">
        <v>49</v>
      </c>
      <c r="M1911" s="1">
        <v>40.359482319060682</v>
      </c>
      <c r="N1911" s="1">
        <v>3562969</v>
      </c>
    </row>
    <row r="1912" spans="1:14" x14ac:dyDescent="0.35">
      <c r="A1912" s="1" t="s">
        <v>74</v>
      </c>
      <c r="B1912" s="1">
        <v>202411</v>
      </c>
      <c r="C1912" s="1" t="str">
        <f>MID(analisis_productividad__4[[#This Row],[Periodo]],1,4)</f>
        <v>2024</v>
      </c>
      <c r="D1912" s="1" t="str">
        <f>MID(analisis_productividad__4[[#This Row],[Periodo]],5,2)</f>
        <v>11</v>
      </c>
      <c r="E1912" s="1" t="s">
        <v>16</v>
      </c>
      <c r="F1912" s="1" t="s">
        <v>19</v>
      </c>
      <c r="G1912" s="1">
        <v>77205</v>
      </c>
      <c r="H1912" s="1">
        <v>3722047</v>
      </c>
      <c r="I1912" s="1">
        <v>48.210166666666659</v>
      </c>
      <c r="J1912" s="1">
        <v>0</v>
      </c>
      <c r="K1912" s="1">
        <v>50.5</v>
      </c>
      <c r="L1912" s="1">
        <v>51.5</v>
      </c>
      <c r="M1912" s="1"/>
      <c r="N1912" s="1">
        <v>0</v>
      </c>
    </row>
    <row r="1913" spans="1:14" x14ac:dyDescent="0.35">
      <c r="A1913" s="1" t="s">
        <v>74</v>
      </c>
      <c r="B1913" s="1">
        <v>202509</v>
      </c>
      <c r="C1913" s="1" t="str">
        <f>MID(analisis_productividad__4[[#This Row],[Periodo]],1,4)</f>
        <v>2025</v>
      </c>
      <c r="D1913" s="1" t="str">
        <f>MID(analisis_productividad__4[[#This Row],[Periodo]],5,2)</f>
        <v>09</v>
      </c>
      <c r="E1913" s="1" t="s">
        <v>16</v>
      </c>
      <c r="F1913" s="1" t="s">
        <v>19</v>
      </c>
      <c r="G1913" s="1">
        <v>77198</v>
      </c>
      <c r="H1913" s="1">
        <v>3194451</v>
      </c>
      <c r="I1913" s="1">
        <v>41.379965277777778</v>
      </c>
      <c r="J1913" s="1">
        <v>80521.278677796538</v>
      </c>
      <c r="K1913" s="1">
        <v>50.5</v>
      </c>
      <c r="L1913" s="1">
        <v>51.5</v>
      </c>
      <c r="M1913" s="1">
        <v>39.672133781959658</v>
      </c>
      <c r="N1913" s="1">
        <v>3719033</v>
      </c>
    </row>
    <row r="1914" spans="1:14" x14ac:dyDescent="0.35">
      <c r="A1914" s="1" t="s">
        <v>100</v>
      </c>
      <c r="B1914" s="1">
        <v>202603</v>
      </c>
      <c r="C1914" s="1" t="str">
        <f>MID(analisis_productividad__4[[#This Row],[Periodo]],1,4)</f>
        <v>2026</v>
      </c>
      <c r="D1914" s="1" t="str">
        <f>MID(analisis_productividad__4[[#This Row],[Periodo]],5,2)</f>
        <v>03</v>
      </c>
      <c r="E1914" s="1" t="s">
        <v>34</v>
      </c>
      <c r="F1914" s="1" t="s">
        <v>35</v>
      </c>
      <c r="G1914" s="1">
        <v>77160</v>
      </c>
      <c r="H1914" s="1">
        <v>2828630</v>
      </c>
      <c r="I1914" s="1">
        <v>36.659159946236564</v>
      </c>
      <c r="J1914" s="1">
        <v>78039.43107464294</v>
      </c>
      <c r="K1914" s="1">
        <v>44</v>
      </c>
      <c r="L1914" s="1">
        <v>40.5</v>
      </c>
      <c r="M1914" s="1">
        <v>35.762421795855829</v>
      </c>
      <c r="N1914" s="1">
        <v>2790879</v>
      </c>
    </row>
    <row r="1915" spans="1:14" x14ac:dyDescent="0.35">
      <c r="A1915" s="1" t="s">
        <v>64</v>
      </c>
      <c r="B1915" s="1">
        <v>202410</v>
      </c>
      <c r="C1915" s="1" t="str">
        <f>MID(analisis_productividad__4[[#This Row],[Periodo]],1,4)</f>
        <v>2024</v>
      </c>
      <c r="D1915" s="1" t="str">
        <f>MID(analisis_productividad__4[[#This Row],[Periodo]],5,2)</f>
        <v>10</v>
      </c>
      <c r="E1915" s="1" t="s">
        <v>16</v>
      </c>
      <c r="F1915" s="1" t="s">
        <v>21</v>
      </c>
      <c r="G1915" s="1">
        <v>77143</v>
      </c>
      <c r="H1915" s="1">
        <v>5978903</v>
      </c>
      <c r="I1915" s="1">
        <v>77.504065860215093</v>
      </c>
      <c r="J1915" s="1">
        <v>0</v>
      </c>
      <c r="K1915" s="1">
        <v>88.5</v>
      </c>
      <c r="L1915" s="1">
        <v>92.5</v>
      </c>
      <c r="M1915" s="1"/>
      <c r="N1915" s="1">
        <v>0</v>
      </c>
    </row>
    <row r="1916" spans="1:14" x14ac:dyDescent="0.35">
      <c r="A1916" s="1" t="s">
        <v>20</v>
      </c>
      <c r="B1916" s="1">
        <v>202506</v>
      </c>
      <c r="C1916" s="1" t="str">
        <f>MID(analisis_productividad__4[[#This Row],[Periodo]],1,4)</f>
        <v>2025</v>
      </c>
      <c r="D1916" s="1" t="str">
        <f>MID(analisis_productividad__4[[#This Row],[Periodo]],5,2)</f>
        <v>06</v>
      </c>
      <c r="E1916" s="1" t="s">
        <v>16</v>
      </c>
      <c r="F1916" s="1" t="s">
        <v>21</v>
      </c>
      <c r="G1916" s="1">
        <v>77124</v>
      </c>
      <c r="H1916" s="1">
        <v>7322575</v>
      </c>
      <c r="I1916" s="1">
        <v>94.944937499999966</v>
      </c>
      <c r="J1916" s="1">
        <v>97487.703078733306</v>
      </c>
      <c r="K1916" s="1">
        <v>96.5</v>
      </c>
      <c r="L1916" s="1">
        <v>94</v>
      </c>
      <c r="M1916" s="1">
        <v>75.112809090251318</v>
      </c>
      <c r="N1916" s="1">
        <v>8172984</v>
      </c>
    </row>
    <row r="1917" spans="1:14" x14ac:dyDescent="0.35">
      <c r="A1917" s="1" t="s">
        <v>101</v>
      </c>
      <c r="B1917" s="1">
        <v>202507</v>
      </c>
      <c r="C1917" s="1" t="str">
        <f>MID(analisis_productividad__4[[#This Row],[Periodo]],1,4)</f>
        <v>2025</v>
      </c>
      <c r="D1917" s="1" t="str">
        <f>MID(analisis_productividad__4[[#This Row],[Periodo]],5,2)</f>
        <v>07</v>
      </c>
      <c r="E1917" s="1" t="s">
        <v>9</v>
      </c>
      <c r="F1917" s="1" t="s">
        <v>9</v>
      </c>
      <c r="G1917" s="1">
        <v>77120</v>
      </c>
      <c r="H1917" s="1">
        <v>332813</v>
      </c>
      <c r="I1917" s="1">
        <v>4.3155376344086021</v>
      </c>
      <c r="J1917" s="1">
        <v>43445.670491886383</v>
      </c>
      <c r="K1917" s="1">
        <v>8.5</v>
      </c>
      <c r="L1917" s="1">
        <v>6.5</v>
      </c>
      <c r="M1917" s="1">
        <v>7.6604447861416682</v>
      </c>
      <c r="N1917" s="1">
        <v>363008</v>
      </c>
    </row>
    <row r="1918" spans="1:14" x14ac:dyDescent="0.35">
      <c r="A1918" s="1" t="s">
        <v>105</v>
      </c>
      <c r="B1918" s="1">
        <v>202605</v>
      </c>
      <c r="C1918" s="1" t="str">
        <f>MID(analisis_productividad__4[[#This Row],[Periodo]],1,4)</f>
        <v>2026</v>
      </c>
      <c r="D1918" s="1" t="str">
        <f>MID(analisis_productividad__4[[#This Row],[Periodo]],5,2)</f>
        <v>05</v>
      </c>
      <c r="E1918" s="1" t="s">
        <v>34</v>
      </c>
      <c r="F1918" s="1" t="s">
        <v>35</v>
      </c>
      <c r="G1918" s="1">
        <v>77117</v>
      </c>
      <c r="H1918" s="1">
        <v>2076233</v>
      </c>
      <c r="I1918" s="1">
        <v>26.923326612903452</v>
      </c>
      <c r="J1918" s="1">
        <v>0</v>
      </c>
      <c r="K1918" s="1">
        <v>33</v>
      </c>
      <c r="L1918" s="1">
        <v>31.5</v>
      </c>
      <c r="M1918" s="1">
        <v>35.22317754154448</v>
      </c>
      <c r="N1918" s="1"/>
    </row>
    <row r="1919" spans="1:14" x14ac:dyDescent="0.35">
      <c r="A1919" s="1" t="s">
        <v>120</v>
      </c>
      <c r="B1919" s="1">
        <v>202408</v>
      </c>
      <c r="C1919" s="1" t="str">
        <f>MID(analisis_productividad__4[[#This Row],[Periodo]],1,4)</f>
        <v>2024</v>
      </c>
      <c r="D1919" s="1" t="str">
        <f>MID(analisis_productividad__4[[#This Row],[Periodo]],5,2)</f>
        <v>08</v>
      </c>
      <c r="E1919" s="1" t="s">
        <v>9</v>
      </c>
      <c r="F1919" s="1" t="s">
        <v>9</v>
      </c>
      <c r="G1919" s="1">
        <v>77100</v>
      </c>
      <c r="H1919" s="1">
        <v>801444</v>
      </c>
      <c r="I1919" s="1">
        <v>10.394811827956991</v>
      </c>
      <c r="J1919" s="1">
        <v>0</v>
      </c>
      <c r="K1919" s="1">
        <v>11.5</v>
      </c>
      <c r="L1919" s="1">
        <v>12</v>
      </c>
      <c r="M1919" s="1"/>
      <c r="N1919" s="1">
        <v>0</v>
      </c>
    </row>
    <row r="1920" spans="1:14" x14ac:dyDescent="0.35">
      <c r="A1920" s="1" t="s">
        <v>65</v>
      </c>
      <c r="B1920" s="1">
        <v>202409</v>
      </c>
      <c r="C1920" s="1" t="str">
        <f>MID(analisis_productividad__4[[#This Row],[Periodo]],1,4)</f>
        <v>2024</v>
      </c>
      <c r="D1920" s="1" t="str">
        <f>MID(analisis_productividad__4[[#This Row],[Periodo]],5,2)</f>
        <v>09</v>
      </c>
      <c r="E1920" s="1" t="s">
        <v>16</v>
      </c>
      <c r="F1920" s="1" t="s">
        <v>19</v>
      </c>
      <c r="G1920" s="1">
        <v>77078</v>
      </c>
      <c r="H1920" s="1">
        <v>5046131</v>
      </c>
      <c r="I1920" s="1">
        <v>65.467694444444433</v>
      </c>
      <c r="J1920" s="1">
        <v>0</v>
      </c>
      <c r="K1920" s="1">
        <v>68</v>
      </c>
      <c r="L1920" s="1">
        <v>68.5</v>
      </c>
      <c r="M1920" s="1"/>
      <c r="N1920" s="1">
        <v>0</v>
      </c>
    </row>
    <row r="1921" spans="1:14" x14ac:dyDescent="0.35">
      <c r="A1921" s="1" t="s">
        <v>87</v>
      </c>
      <c r="B1921" s="1">
        <v>202605</v>
      </c>
      <c r="C1921" s="1" t="str">
        <f>MID(analisis_productividad__4[[#This Row],[Periodo]],1,4)</f>
        <v>2026</v>
      </c>
      <c r="D1921" s="1" t="str">
        <f>MID(analisis_productividad__4[[#This Row],[Periodo]],5,2)</f>
        <v>05</v>
      </c>
      <c r="E1921" s="1" t="s">
        <v>9</v>
      </c>
      <c r="F1921" s="1" t="s">
        <v>9</v>
      </c>
      <c r="G1921" s="1">
        <v>77060</v>
      </c>
      <c r="H1921" s="1">
        <v>838266</v>
      </c>
      <c r="I1921" s="1">
        <v>10.878084677419388</v>
      </c>
      <c r="J1921" s="1">
        <v>75857.678209750811</v>
      </c>
      <c r="K1921" s="1">
        <v>13.5</v>
      </c>
      <c r="L1921" s="1">
        <v>12</v>
      </c>
      <c r="M1921" s="1">
        <v>11.788780293634797</v>
      </c>
      <c r="N1921" s="1">
        <v>894270</v>
      </c>
    </row>
    <row r="1922" spans="1:14" x14ac:dyDescent="0.35">
      <c r="A1922" s="1" t="s">
        <v>81</v>
      </c>
      <c r="B1922" s="1">
        <v>202407</v>
      </c>
      <c r="C1922" s="1" t="str">
        <f>MID(analisis_productividad__4[[#This Row],[Periodo]],1,4)</f>
        <v>2024</v>
      </c>
      <c r="D1922" s="1" t="str">
        <f>MID(analisis_productividad__4[[#This Row],[Periodo]],5,2)</f>
        <v>07</v>
      </c>
      <c r="E1922" s="1" t="s">
        <v>34</v>
      </c>
      <c r="F1922" s="1" t="s">
        <v>35</v>
      </c>
      <c r="G1922" s="1">
        <v>77012</v>
      </c>
      <c r="H1922" s="1">
        <v>7151576</v>
      </c>
      <c r="I1922" s="1">
        <v>92.862762096774091</v>
      </c>
      <c r="J1922" s="1">
        <v>0</v>
      </c>
      <c r="K1922" s="1">
        <v>106</v>
      </c>
      <c r="L1922" s="1">
        <v>94.5</v>
      </c>
      <c r="M1922" s="1"/>
      <c r="N1922" s="1">
        <v>0</v>
      </c>
    </row>
    <row r="1923" spans="1:14" x14ac:dyDescent="0.35">
      <c r="A1923" s="1" t="s">
        <v>42</v>
      </c>
      <c r="B1923" s="1">
        <v>202405</v>
      </c>
      <c r="C1923" s="1" t="str">
        <f>MID(analisis_productividad__4[[#This Row],[Periodo]],1,4)</f>
        <v>2024</v>
      </c>
      <c r="D1923" s="1" t="str">
        <f>MID(analisis_productividad__4[[#This Row],[Periodo]],5,2)</f>
        <v>05</v>
      </c>
      <c r="E1923" s="1" t="s">
        <v>16</v>
      </c>
      <c r="F1923" s="1" t="s">
        <v>19</v>
      </c>
      <c r="G1923" s="1">
        <v>76989</v>
      </c>
      <c r="H1923" s="1">
        <v>4578275</v>
      </c>
      <c r="I1923" s="1">
        <v>59.466458333333328</v>
      </c>
      <c r="J1923" s="1">
        <v>0</v>
      </c>
      <c r="K1923" s="1">
        <v>62</v>
      </c>
      <c r="L1923" s="1">
        <v>58</v>
      </c>
      <c r="M1923" s="1"/>
      <c r="N1923" s="1">
        <v>0</v>
      </c>
    </row>
    <row r="1924" spans="1:14" x14ac:dyDescent="0.35">
      <c r="A1924" s="1" t="s">
        <v>83</v>
      </c>
      <c r="B1924" s="1">
        <v>202501</v>
      </c>
      <c r="C1924" s="1" t="str">
        <f>MID(analisis_productividad__4[[#This Row],[Periodo]],1,4)</f>
        <v>2025</v>
      </c>
      <c r="D1924" s="1" t="str">
        <f>MID(analisis_productividad__4[[#This Row],[Periodo]],5,2)</f>
        <v>01</v>
      </c>
      <c r="E1924" s="1" t="s">
        <v>16</v>
      </c>
      <c r="F1924" s="1" t="s">
        <v>17</v>
      </c>
      <c r="G1924" s="1">
        <v>76982</v>
      </c>
      <c r="H1924" s="1">
        <v>3641138</v>
      </c>
      <c r="I1924" s="1">
        <v>47.298313172043009</v>
      </c>
      <c r="J1924" s="1">
        <v>77187.448624444121</v>
      </c>
      <c r="K1924" s="1">
        <v>52</v>
      </c>
      <c r="L1924" s="1">
        <v>52</v>
      </c>
      <c r="M1924" s="1">
        <v>47.172672434296594</v>
      </c>
      <c r="N1924" s="1">
        <v>3599719</v>
      </c>
    </row>
    <row r="1925" spans="1:14" x14ac:dyDescent="0.35">
      <c r="A1925" s="1" t="s">
        <v>73</v>
      </c>
      <c r="B1925" s="1">
        <v>202604</v>
      </c>
      <c r="C1925" s="1" t="str">
        <f>MID(analisis_productividad__4[[#This Row],[Periodo]],1,4)</f>
        <v>2026</v>
      </c>
      <c r="D1925" s="1" t="str">
        <f>MID(analisis_productividad__4[[#This Row],[Periodo]],5,2)</f>
        <v>04</v>
      </c>
      <c r="E1925" s="1" t="s">
        <v>16</v>
      </c>
      <c r="F1925" s="1" t="s">
        <v>21</v>
      </c>
      <c r="G1925" s="1">
        <v>76970</v>
      </c>
      <c r="H1925" s="1">
        <v>2853081</v>
      </c>
      <c r="I1925" s="1">
        <v>37.067527777777336</v>
      </c>
      <c r="J1925" s="1">
        <v>76587.850236283659</v>
      </c>
      <c r="K1925" s="1">
        <v>43.5</v>
      </c>
      <c r="L1925" s="1">
        <v>41</v>
      </c>
      <c r="M1925" s="1">
        <v>38.914029696684921</v>
      </c>
      <c r="N1925" s="1">
        <v>2980342</v>
      </c>
    </row>
    <row r="1926" spans="1:14" x14ac:dyDescent="0.35">
      <c r="A1926" s="1" t="s">
        <v>73</v>
      </c>
      <c r="B1926" s="1">
        <v>202508</v>
      </c>
      <c r="C1926" s="1" t="str">
        <f>MID(analisis_productividad__4[[#This Row],[Periodo]],1,4)</f>
        <v>2025</v>
      </c>
      <c r="D1926" s="1" t="str">
        <f>MID(analisis_productividad__4[[#This Row],[Periodo]],5,2)</f>
        <v>08</v>
      </c>
      <c r="E1926" s="1" t="s">
        <v>16</v>
      </c>
      <c r="F1926" s="1" t="s">
        <v>21</v>
      </c>
      <c r="G1926" s="1">
        <v>76969</v>
      </c>
      <c r="H1926" s="1">
        <v>2769008</v>
      </c>
      <c r="I1926" s="1">
        <v>35.975530913978496</v>
      </c>
      <c r="J1926" s="1">
        <v>79457.400470963054</v>
      </c>
      <c r="K1926" s="1">
        <v>43.5</v>
      </c>
      <c r="L1926" s="1">
        <v>41</v>
      </c>
      <c r="M1926" s="1">
        <v>34.848963137321711</v>
      </c>
      <c r="N1926" s="1">
        <v>3126650</v>
      </c>
    </row>
    <row r="1927" spans="1:14" x14ac:dyDescent="0.35">
      <c r="A1927" s="1" t="s">
        <v>91</v>
      </c>
      <c r="B1927" s="1">
        <v>202606</v>
      </c>
      <c r="C1927" s="1" t="str">
        <f>MID(analisis_productividad__4[[#This Row],[Periodo]],1,4)</f>
        <v>2026</v>
      </c>
      <c r="D1927" s="1" t="str">
        <f>MID(analisis_productividad__4[[#This Row],[Periodo]],5,2)</f>
        <v>06</v>
      </c>
      <c r="E1927" s="1" t="s">
        <v>11</v>
      </c>
      <c r="F1927" s="1" t="s">
        <v>12</v>
      </c>
      <c r="G1927" s="1">
        <v>76950</v>
      </c>
      <c r="H1927" s="1">
        <v>3962124</v>
      </c>
      <c r="I1927" s="1">
        <v>51.489277777777559</v>
      </c>
      <c r="J1927" s="1">
        <v>78000.088291173175</v>
      </c>
      <c r="K1927" s="1">
        <v>55</v>
      </c>
      <c r="L1927" s="1">
        <v>55.5</v>
      </c>
      <c r="M1927" s="1">
        <v>48.91205759483401</v>
      </c>
      <c r="N1927" s="1">
        <v>3815145</v>
      </c>
    </row>
    <row r="1928" spans="1:14" x14ac:dyDescent="0.35">
      <c r="A1928" s="1" t="s">
        <v>47</v>
      </c>
      <c r="B1928" s="1">
        <v>202502</v>
      </c>
      <c r="C1928" s="1" t="str">
        <f>MID(analisis_productividad__4[[#This Row],[Periodo]],1,4)</f>
        <v>2025</v>
      </c>
      <c r="D1928" s="1" t="str">
        <f>MID(analisis_productividad__4[[#This Row],[Periodo]],5,2)</f>
        <v>02</v>
      </c>
      <c r="E1928" s="1" t="s">
        <v>11</v>
      </c>
      <c r="F1928" s="1" t="s">
        <v>14</v>
      </c>
      <c r="G1928" s="1">
        <v>76901</v>
      </c>
      <c r="H1928" s="1">
        <v>4394655</v>
      </c>
      <c r="I1928" s="1">
        <v>57.146770833333321</v>
      </c>
      <c r="J1928" s="1">
        <v>75463.114327022748</v>
      </c>
      <c r="K1928" s="1">
        <v>61.5</v>
      </c>
      <c r="L1928" s="1">
        <v>48.5</v>
      </c>
      <c r="M1928" s="1">
        <v>58.235796643053582</v>
      </c>
      <c r="N1928" s="1">
        <v>4296943</v>
      </c>
    </row>
    <row r="1929" spans="1:14" x14ac:dyDescent="0.35">
      <c r="A1929" s="1" t="s">
        <v>62</v>
      </c>
      <c r="B1929" s="1">
        <v>202408</v>
      </c>
      <c r="C1929" s="1" t="str">
        <f>MID(analisis_productividad__4[[#This Row],[Periodo]],1,4)</f>
        <v>2024</v>
      </c>
      <c r="D1929" s="1" t="str">
        <f>MID(analisis_productividad__4[[#This Row],[Periodo]],5,2)</f>
        <v>08</v>
      </c>
      <c r="E1929" s="1" t="s">
        <v>16</v>
      </c>
      <c r="F1929" s="1" t="s">
        <v>17</v>
      </c>
      <c r="G1929" s="1">
        <v>76876</v>
      </c>
      <c r="H1929" s="1">
        <v>2345975</v>
      </c>
      <c r="I1929" s="1">
        <v>30.516424731182806</v>
      </c>
      <c r="J1929" s="1">
        <v>0</v>
      </c>
      <c r="K1929" s="1">
        <v>32.5</v>
      </c>
      <c r="L1929" s="1">
        <v>32</v>
      </c>
      <c r="M1929" s="1"/>
      <c r="N1929" s="1">
        <v>0</v>
      </c>
    </row>
    <row r="1930" spans="1:14" x14ac:dyDescent="0.35">
      <c r="A1930" s="1" t="s">
        <v>90</v>
      </c>
      <c r="B1930" s="1">
        <v>202505</v>
      </c>
      <c r="C1930" s="1" t="str">
        <f>MID(analisis_productividad__4[[#This Row],[Periodo]],1,4)</f>
        <v>2025</v>
      </c>
      <c r="D1930" s="1" t="str">
        <f>MID(analisis_productividad__4[[#This Row],[Periodo]],5,2)</f>
        <v>05</v>
      </c>
      <c r="E1930" s="1" t="s">
        <v>11</v>
      </c>
      <c r="F1930" s="1" t="s">
        <v>14</v>
      </c>
      <c r="G1930" s="1">
        <v>76804</v>
      </c>
      <c r="H1930" s="1">
        <v>5827640</v>
      </c>
      <c r="I1930" s="1">
        <v>75.876612903225777</v>
      </c>
      <c r="J1930" s="1">
        <v>66550.077904513179</v>
      </c>
      <c r="K1930" s="1">
        <v>84.5</v>
      </c>
      <c r="L1930" s="1">
        <v>78.5</v>
      </c>
      <c r="M1930" s="1">
        <v>87.567744824605086</v>
      </c>
      <c r="N1930" s="1">
        <v>5930252</v>
      </c>
    </row>
    <row r="1931" spans="1:14" x14ac:dyDescent="0.35">
      <c r="A1931" s="1" t="s">
        <v>79</v>
      </c>
      <c r="B1931" s="1">
        <v>202409</v>
      </c>
      <c r="C1931" s="1" t="str">
        <f>MID(analisis_productividad__4[[#This Row],[Periodo]],1,4)</f>
        <v>2024</v>
      </c>
      <c r="D1931" s="1" t="str">
        <f>MID(analisis_productividad__4[[#This Row],[Periodo]],5,2)</f>
        <v>09</v>
      </c>
      <c r="E1931" s="1" t="s">
        <v>11</v>
      </c>
      <c r="F1931" s="1" t="s">
        <v>12</v>
      </c>
      <c r="G1931" s="1">
        <v>76793</v>
      </c>
      <c r="H1931" s="1">
        <v>4579596</v>
      </c>
      <c r="I1931" s="1">
        <v>59.635333333333342</v>
      </c>
      <c r="J1931" s="1">
        <v>0</v>
      </c>
      <c r="K1931" s="1">
        <v>64.5</v>
      </c>
      <c r="L1931" s="1">
        <v>64</v>
      </c>
      <c r="M1931" s="1"/>
      <c r="N1931" s="1">
        <v>0</v>
      </c>
    </row>
    <row r="1932" spans="1:14" x14ac:dyDescent="0.35">
      <c r="A1932" s="1" t="s">
        <v>79</v>
      </c>
      <c r="B1932" s="1">
        <v>202404</v>
      </c>
      <c r="C1932" s="1" t="str">
        <f>MID(analisis_productividad__4[[#This Row],[Periodo]],1,4)</f>
        <v>2024</v>
      </c>
      <c r="D1932" s="1" t="str">
        <f>MID(analisis_productividad__4[[#This Row],[Periodo]],5,2)</f>
        <v>04</v>
      </c>
      <c r="E1932" s="1" t="s">
        <v>11</v>
      </c>
      <c r="F1932" s="1" t="s">
        <v>12</v>
      </c>
      <c r="G1932" s="1">
        <v>76792</v>
      </c>
      <c r="H1932" s="1">
        <v>4788916</v>
      </c>
      <c r="I1932" s="1">
        <v>62.362319444444445</v>
      </c>
      <c r="J1932" s="1">
        <v>0</v>
      </c>
      <c r="K1932" s="1">
        <v>64.5</v>
      </c>
      <c r="L1932" s="1">
        <v>64</v>
      </c>
      <c r="M1932" s="1"/>
      <c r="N1932" s="1">
        <v>0</v>
      </c>
    </row>
    <row r="1933" spans="1:14" x14ac:dyDescent="0.35">
      <c r="A1933" s="1" t="s">
        <v>81</v>
      </c>
      <c r="B1933" s="1">
        <v>202405</v>
      </c>
      <c r="C1933" s="1" t="str">
        <f>MID(analisis_productividad__4[[#This Row],[Periodo]],1,4)</f>
        <v>2024</v>
      </c>
      <c r="D1933" s="1" t="str">
        <f>MID(analisis_productividad__4[[#This Row],[Periodo]],5,2)</f>
        <v>05</v>
      </c>
      <c r="E1933" s="1" t="s">
        <v>34</v>
      </c>
      <c r="F1933" s="1" t="s">
        <v>35</v>
      </c>
      <c r="G1933" s="1">
        <v>76773</v>
      </c>
      <c r="H1933" s="1">
        <v>7450708</v>
      </c>
      <c r="I1933" s="1">
        <v>97.048084677419297</v>
      </c>
      <c r="J1933" s="1">
        <v>0</v>
      </c>
      <c r="K1933" s="1">
        <v>106</v>
      </c>
      <c r="L1933" s="1">
        <v>94.5</v>
      </c>
      <c r="M1933" s="1"/>
      <c r="N1933" s="1">
        <v>0</v>
      </c>
    </row>
    <row r="1934" spans="1:14" x14ac:dyDescent="0.35">
      <c r="A1934" s="1" t="s">
        <v>33</v>
      </c>
      <c r="B1934" s="1">
        <v>202407</v>
      </c>
      <c r="C1934" s="1" t="str">
        <f>MID(analisis_productividad__4[[#This Row],[Periodo]],1,4)</f>
        <v>2024</v>
      </c>
      <c r="D1934" s="1" t="str">
        <f>MID(analisis_productividad__4[[#This Row],[Periodo]],5,2)</f>
        <v>07</v>
      </c>
      <c r="E1934" s="1" t="s">
        <v>34</v>
      </c>
      <c r="F1934" s="1" t="s">
        <v>35</v>
      </c>
      <c r="G1934" s="1">
        <v>76767</v>
      </c>
      <c r="H1934" s="1">
        <v>1058009</v>
      </c>
      <c r="I1934" s="1">
        <v>13.782096774193549</v>
      </c>
      <c r="J1934" s="1">
        <v>0</v>
      </c>
      <c r="K1934" s="1">
        <v>15</v>
      </c>
      <c r="L1934" s="1">
        <v>15</v>
      </c>
      <c r="M1934" s="1"/>
      <c r="N1934" s="1">
        <v>0</v>
      </c>
    </row>
    <row r="1935" spans="1:14" x14ac:dyDescent="0.35">
      <c r="A1935" s="1" t="s">
        <v>76</v>
      </c>
      <c r="B1935" s="1">
        <v>202402</v>
      </c>
      <c r="C1935" s="1" t="str">
        <f>MID(analisis_productividad__4[[#This Row],[Periodo]],1,4)</f>
        <v>2024</v>
      </c>
      <c r="D1935" s="1" t="str">
        <f>MID(analisis_productividad__4[[#This Row],[Periodo]],5,2)</f>
        <v>02</v>
      </c>
      <c r="E1935" s="1" t="s">
        <v>11</v>
      </c>
      <c r="F1935" s="1" t="s">
        <v>14</v>
      </c>
      <c r="G1935" s="1">
        <v>76739</v>
      </c>
      <c r="H1935" s="1">
        <v>6169373</v>
      </c>
      <c r="I1935" s="1">
        <v>80.394647988505724</v>
      </c>
      <c r="J1935" s="1">
        <v>0</v>
      </c>
      <c r="K1935" s="1">
        <v>80</v>
      </c>
      <c r="L1935" s="1">
        <v>78</v>
      </c>
      <c r="M1935" s="1"/>
      <c r="N1935" s="1">
        <v>0</v>
      </c>
    </row>
    <row r="1936" spans="1:14" x14ac:dyDescent="0.35">
      <c r="A1936" s="1" t="s">
        <v>8</v>
      </c>
      <c r="B1936" s="1">
        <v>202601</v>
      </c>
      <c r="C1936" s="1" t="str">
        <f>MID(analisis_productividad__4[[#This Row],[Periodo]],1,4)</f>
        <v>2026</v>
      </c>
      <c r="D1936" s="1" t="str">
        <f>MID(analisis_productividad__4[[#This Row],[Periodo]],5,2)</f>
        <v>01</v>
      </c>
      <c r="E1936" s="1" t="s">
        <v>9</v>
      </c>
      <c r="F1936" s="1" t="s">
        <v>9</v>
      </c>
      <c r="G1936" s="1">
        <v>76714</v>
      </c>
      <c r="H1936" s="1">
        <v>1096297</v>
      </c>
      <c r="I1936" s="1">
        <v>14.290772849462362</v>
      </c>
      <c r="J1936" s="1">
        <v>131760.14977041513</v>
      </c>
      <c r="K1936" s="1">
        <v>13.5</v>
      </c>
      <c r="L1936" s="1">
        <v>12.5</v>
      </c>
      <c r="M1936" s="1">
        <v>11.712938172043014</v>
      </c>
      <c r="N1936" s="1">
        <v>1543298</v>
      </c>
    </row>
    <row r="1937" spans="1:14" x14ac:dyDescent="0.35">
      <c r="A1937" s="1" t="s">
        <v>83</v>
      </c>
      <c r="B1937" s="1">
        <v>202408</v>
      </c>
      <c r="C1937" s="1" t="str">
        <f>MID(analisis_productividad__4[[#This Row],[Periodo]],1,4)</f>
        <v>2024</v>
      </c>
      <c r="D1937" s="1" t="str">
        <f>MID(analisis_productividad__4[[#This Row],[Periodo]],5,2)</f>
        <v>08</v>
      </c>
      <c r="E1937" s="1" t="s">
        <v>16</v>
      </c>
      <c r="F1937" s="1" t="s">
        <v>17</v>
      </c>
      <c r="G1937" s="1">
        <v>76713</v>
      </c>
      <c r="H1937" s="1">
        <v>3590262</v>
      </c>
      <c r="I1937" s="1">
        <v>46.800974462365609</v>
      </c>
      <c r="J1937" s="1">
        <v>0</v>
      </c>
      <c r="K1937" s="1">
        <v>52</v>
      </c>
      <c r="L1937" s="1">
        <v>52</v>
      </c>
      <c r="M1937" s="1"/>
      <c r="N1937" s="1">
        <v>0</v>
      </c>
    </row>
    <row r="1938" spans="1:14" x14ac:dyDescent="0.35">
      <c r="A1938" s="1" t="s">
        <v>109</v>
      </c>
      <c r="B1938" s="1">
        <v>202412</v>
      </c>
      <c r="C1938" s="1" t="str">
        <f>MID(analisis_productividad__4[[#This Row],[Periodo]],1,4)</f>
        <v>2024</v>
      </c>
      <c r="D1938" s="1" t="str">
        <f>MID(analisis_productividad__4[[#This Row],[Periodo]],5,2)</f>
        <v>12</v>
      </c>
      <c r="E1938" s="1" t="s">
        <v>9</v>
      </c>
      <c r="F1938" s="1" t="s">
        <v>9</v>
      </c>
      <c r="G1938" s="1">
        <v>76709</v>
      </c>
      <c r="H1938" s="1">
        <v>747548</v>
      </c>
      <c r="I1938" s="1">
        <v>9.7452419354838735</v>
      </c>
      <c r="J1938" s="1">
        <v>0</v>
      </c>
      <c r="K1938" s="1">
        <v>10</v>
      </c>
      <c r="L1938" s="1">
        <v>9</v>
      </c>
      <c r="M1938" s="1"/>
      <c r="N1938" s="1">
        <v>0</v>
      </c>
    </row>
    <row r="1939" spans="1:14" x14ac:dyDescent="0.35">
      <c r="A1939" s="1" t="s">
        <v>84</v>
      </c>
      <c r="B1939" s="1">
        <v>202405</v>
      </c>
      <c r="C1939" s="1" t="str">
        <f>MID(analisis_productividad__4[[#This Row],[Periodo]],1,4)</f>
        <v>2024</v>
      </c>
      <c r="D1939" s="1" t="str">
        <f>MID(analisis_productividad__4[[#This Row],[Periodo]],5,2)</f>
        <v>05</v>
      </c>
      <c r="E1939" s="1" t="s">
        <v>11</v>
      </c>
      <c r="F1939" s="1" t="s">
        <v>52</v>
      </c>
      <c r="G1939" s="1">
        <v>76704</v>
      </c>
      <c r="H1939" s="1">
        <v>8851306</v>
      </c>
      <c r="I1939" s="1">
        <v>115.39570564516129</v>
      </c>
      <c r="J1939" s="1">
        <v>0</v>
      </c>
      <c r="K1939" s="1">
        <v>123</v>
      </c>
      <c r="L1939" s="1">
        <v>115.5</v>
      </c>
      <c r="M1939" s="1"/>
      <c r="N1939" s="1">
        <v>0</v>
      </c>
    </row>
    <row r="1940" spans="1:14" x14ac:dyDescent="0.35">
      <c r="A1940" s="1" t="s">
        <v>74</v>
      </c>
      <c r="B1940" s="1">
        <v>202409</v>
      </c>
      <c r="C1940" s="1" t="str">
        <f>MID(analisis_productividad__4[[#This Row],[Periodo]],1,4)</f>
        <v>2024</v>
      </c>
      <c r="D1940" s="1" t="str">
        <f>MID(analisis_productividad__4[[#This Row],[Periodo]],5,2)</f>
        <v>09</v>
      </c>
      <c r="E1940" s="1" t="s">
        <v>16</v>
      </c>
      <c r="F1940" s="1" t="s">
        <v>19</v>
      </c>
      <c r="G1940" s="1">
        <v>76687</v>
      </c>
      <c r="H1940" s="1">
        <v>3520431</v>
      </c>
      <c r="I1940" s="1">
        <v>45.906534722222247</v>
      </c>
      <c r="J1940" s="1">
        <v>0</v>
      </c>
      <c r="K1940" s="1">
        <v>50.5</v>
      </c>
      <c r="L1940" s="1">
        <v>51.5</v>
      </c>
      <c r="M1940" s="1"/>
      <c r="N1940" s="1">
        <v>0</v>
      </c>
    </row>
    <row r="1941" spans="1:14" x14ac:dyDescent="0.35">
      <c r="A1941" s="1" t="s">
        <v>65</v>
      </c>
      <c r="B1941" s="1">
        <v>202410</v>
      </c>
      <c r="C1941" s="1" t="str">
        <f>MID(analisis_productividad__4[[#This Row],[Periodo]],1,4)</f>
        <v>2024</v>
      </c>
      <c r="D1941" s="1" t="str">
        <f>MID(analisis_productividad__4[[#This Row],[Periodo]],5,2)</f>
        <v>10</v>
      </c>
      <c r="E1941" s="1" t="s">
        <v>16</v>
      </c>
      <c r="F1941" s="1" t="s">
        <v>19</v>
      </c>
      <c r="G1941" s="1">
        <v>76664</v>
      </c>
      <c r="H1941" s="1">
        <v>5167453</v>
      </c>
      <c r="I1941" s="1">
        <v>67.403743279569895</v>
      </c>
      <c r="J1941" s="1">
        <v>0</v>
      </c>
      <c r="K1941" s="1">
        <v>68</v>
      </c>
      <c r="L1941" s="1">
        <v>68.5</v>
      </c>
      <c r="M1941" s="1"/>
      <c r="N1941" s="1">
        <v>0</v>
      </c>
    </row>
    <row r="1942" spans="1:14" x14ac:dyDescent="0.35">
      <c r="A1942" s="1" t="s">
        <v>66</v>
      </c>
      <c r="B1942" s="1">
        <v>202407</v>
      </c>
      <c r="C1942" s="1" t="str">
        <f>MID(analisis_productividad__4[[#This Row],[Periodo]],1,4)</f>
        <v>2024</v>
      </c>
      <c r="D1942" s="1" t="str">
        <f>MID(analisis_productividad__4[[#This Row],[Periodo]],5,2)</f>
        <v>07</v>
      </c>
      <c r="E1942" s="1" t="s">
        <v>11</v>
      </c>
      <c r="F1942" s="1" t="s">
        <v>12</v>
      </c>
      <c r="G1942" s="1">
        <v>76661</v>
      </c>
      <c r="H1942" s="1">
        <v>6204462</v>
      </c>
      <c r="I1942" s="1">
        <v>80.933924731182771</v>
      </c>
      <c r="J1942" s="1">
        <v>0</v>
      </c>
      <c r="K1942" s="1">
        <v>80</v>
      </c>
      <c r="L1942" s="1">
        <v>80.5</v>
      </c>
      <c r="M1942" s="1"/>
      <c r="N1942" s="1">
        <v>0</v>
      </c>
    </row>
    <row r="1943" spans="1:14" x14ac:dyDescent="0.35">
      <c r="A1943" s="1" t="s">
        <v>59</v>
      </c>
      <c r="B1943" s="1">
        <v>202402</v>
      </c>
      <c r="C1943" s="1" t="str">
        <f>MID(analisis_productividad__4[[#This Row],[Periodo]],1,4)</f>
        <v>2024</v>
      </c>
      <c r="D1943" s="1" t="str">
        <f>MID(analisis_productividad__4[[#This Row],[Periodo]],5,2)</f>
        <v>02</v>
      </c>
      <c r="E1943" s="1" t="s">
        <v>11</v>
      </c>
      <c r="F1943" s="1" t="s">
        <v>12</v>
      </c>
      <c r="G1943" s="1">
        <v>76649</v>
      </c>
      <c r="H1943" s="1">
        <v>7195672</v>
      </c>
      <c r="I1943" s="1">
        <v>93.87854885057466</v>
      </c>
      <c r="J1943" s="1">
        <v>0</v>
      </c>
      <c r="K1943" s="1">
        <v>94.5</v>
      </c>
      <c r="L1943" s="1">
        <v>97</v>
      </c>
      <c r="M1943" s="1"/>
      <c r="N1943" s="1">
        <v>0</v>
      </c>
    </row>
    <row r="1944" spans="1:14" x14ac:dyDescent="0.35">
      <c r="A1944" s="1" t="s">
        <v>97</v>
      </c>
      <c r="B1944" s="1">
        <v>202502</v>
      </c>
      <c r="C1944" s="1" t="str">
        <f>MID(analisis_productividad__4[[#This Row],[Periodo]],1,4)</f>
        <v>2025</v>
      </c>
      <c r="D1944" s="1" t="str">
        <f>MID(analisis_productividad__4[[#This Row],[Periodo]],5,2)</f>
        <v>02</v>
      </c>
      <c r="E1944" s="1" t="s">
        <v>11</v>
      </c>
      <c r="F1944" s="1" t="s">
        <v>12</v>
      </c>
      <c r="G1944" s="1">
        <v>76616</v>
      </c>
      <c r="H1944" s="1">
        <v>4326984</v>
      </c>
      <c r="I1944" s="1">
        <v>56.476093749999997</v>
      </c>
      <c r="J1944" s="1">
        <v>75638.975330318091</v>
      </c>
      <c r="K1944" s="1">
        <v>66.5</v>
      </c>
      <c r="L1944" s="1">
        <v>63.5</v>
      </c>
      <c r="M1944" s="1">
        <v>57.205749431479042</v>
      </c>
      <c r="N1944" s="1">
        <v>4770949</v>
      </c>
    </row>
    <row r="1945" spans="1:14" x14ac:dyDescent="0.35">
      <c r="A1945" s="1" t="s">
        <v>69</v>
      </c>
      <c r="B1945" s="1">
        <v>202501</v>
      </c>
      <c r="C1945" s="1" t="str">
        <f>MID(analisis_productividad__4[[#This Row],[Periodo]],1,4)</f>
        <v>2025</v>
      </c>
      <c r="D1945" s="1" t="str">
        <f>MID(analisis_productividad__4[[#This Row],[Periodo]],5,2)</f>
        <v>01</v>
      </c>
      <c r="E1945" s="1" t="s">
        <v>11</v>
      </c>
      <c r="F1945" s="1" t="s">
        <v>52</v>
      </c>
      <c r="G1945" s="1">
        <v>76596</v>
      </c>
      <c r="H1945" s="1">
        <v>4583942</v>
      </c>
      <c r="I1945" s="1">
        <v>59.84562500000002</v>
      </c>
      <c r="J1945" s="1">
        <v>82393.425382969217</v>
      </c>
      <c r="K1945" s="1">
        <v>68</v>
      </c>
      <c r="L1945" s="1">
        <v>60.5</v>
      </c>
      <c r="M1945" s="1">
        <v>55.634797663692027</v>
      </c>
      <c r="N1945" s="1">
        <v>5043672</v>
      </c>
    </row>
    <row r="1946" spans="1:14" x14ac:dyDescent="0.35">
      <c r="A1946" s="1" t="s">
        <v>115</v>
      </c>
      <c r="B1946" s="1">
        <v>202512</v>
      </c>
      <c r="C1946" s="1" t="str">
        <f>MID(analisis_productividad__4[[#This Row],[Periodo]],1,4)</f>
        <v>2025</v>
      </c>
      <c r="D1946" s="1" t="str">
        <f>MID(analisis_productividad__4[[#This Row],[Periodo]],5,2)</f>
        <v>12</v>
      </c>
      <c r="E1946" s="1" t="s">
        <v>34</v>
      </c>
      <c r="F1946" s="1" t="s">
        <v>35</v>
      </c>
      <c r="G1946" s="1">
        <v>76572</v>
      </c>
      <c r="H1946" s="1">
        <v>3974929</v>
      </c>
      <c r="I1946" s="1">
        <v>51.910786290322562</v>
      </c>
      <c r="J1946" s="1">
        <v>73110.688422179766</v>
      </c>
      <c r="K1946" s="1">
        <v>53.5</v>
      </c>
      <c r="L1946" s="1">
        <v>51</v>
      </c>
      <c r="M1946" s="1">
        <v>54.368640424320184</v>
      </c>
      <c r="N1946" s="1">
        <v>4477682</v>
      </c>
    </row>
    <row r="1947" spans="1:14" x14ac:dyDescent="0.35">
      <c r="A1947" s="1" t="s">
        <v>80</v>
      </c>
      <c r="B1947" s="1">
        <v>202402</v>
      </c>
      <c r="C1947" s="1" t="str">
        <f>MID(analisis_productividad__4[[#This Row],[Periodo]],1,4)</f>
        <v>2024</v>
      </c>
      <c r="D1947" s="1" t="str">
        <f>MID(analisis_productividad__4[[#This Row],[Periodo]],5,2)</f>
        <v>02</v>
      </c>
      <c r="E1947" s="1" t="s">
        <v>16</v>
      </c>
      <c r="F1947" s="1" t="s">
        <v>17</v>
      </c>
      <c r="G1947" s="1">
        <v>76559</v>
      </c>
      <c r="H1947" s="1">
        <v>4106156</v>
      </c>
      <c r="I1947" s="1">
        <v>53.633577586206918</v>
      </c>
      <c r="J1947" s="1">
        <v>0</v>
      </c>
      <c r="K1947" s="1">
        <v>58</v>
      </c>
      <c r="L1947" s="1">
        <v>58.5</v>
      </c>
      <c r="M1947" s="1"/>
      <c r="N1947" s="1">
        <v>0</v>
      </c>
    </row>
    <row r="1948" spans="1:14" x14ac:dyDescent="0.35">
      <c r="A1948" s="1" t="s">
        <v>42</v>
      </c>
      <c r="B1948" s="1">
        <v>202410</v>
      </c>
      <c r="C1948" s="1" t="str">
        <f>MID(analisis_productividad__4[[#This Row],[Periodo]],1,4)</f>
        <v>2024</v>
      </c>
      <c r="D1948" s="1" t="str">
        <f>MID(analisis_productividad__4[[#This Row],[Periodo]],5,2)</f>
        <v>10</v>
      </c>
      <c r="E1948" s="1" t="s">
        <v>16</v>
      </c>
      <c r="F1948" s="1" t="s">
        <v>19</v>
      </c>
      <c r="G1948" s="1">
        <v>76557</v>
      </c>
      <c r="H1948" s="1">
        <v>4472869</v>
      </c>
      <c r="I1948" s="1">
        <v>58.425490591397839</v>
      </c>
      <c r="J1948" s="1">
        <v>0</v>
      </c>
      <c r="K1948" s="1">
        <v>62</v>
      </c>
      <c r="L1948" s="1">
        <v>58</v>
      </c>
      <c r="M1948" s="1"/>
      <c r="N1948" s="1">
        <v>0</v>
      </c>
    </row>
    <row r="1949" spans="1:14" x14ac:dyDescent="0.35">
      <c r="A1949" s="1" t="s">
        <v>77</v>
      </c>
      <c r="B1949" s="1">
        <v>202506</v>
      </c>
      <c r="C1949" s="1" t="str">
        <f>MID(analisis_productividad__4[[#This Row],[Periodo]],1,4)</f>
        <v>2025</v>
      </c>
      <c r="D1949" s="1" t="str">
        <f>MID(analisis_productividad__4[[#This Row],[Periodo]],5,2)</f>
        <v>06</v>
      </c>
      <c r="E1949" s="1" t="s">
        <v>16</v>
      </c>
      <c r="F1949" s="1" t="s">
        <v>21</v>
      </c>
      <c r="G1949" s="1">
        <v>76546</v>
      </c>
      <c r="H1949" s="1">
        <v>4212440</v>
      </c>
      <c r="I1949" s="1">
        <v>55.031472222222213</v>
      </c>
      <c r="J1949" s="1">
        <v>77051.998214384046</v>
      </c>
      <c r="K1949" s="1">
        <v>60.5</v>
      </c>
      <c r="L1949" s="1">
        <v>60.5</v>
      </c>
      <c r="M1949" s="1">
        <v>54.670096657060128</v>
      </c>
      <c r="N1949" s="1">
        <v>5207146</v>
      </c>
    </row>
    <row r="1950" spans="1:14" x14ac:dyDescent="0.35">
      <c r="A1950" s="1" t="s">
        <v>108</v>
      </c>
      <c r="B1950" s="1">
        <v>202403</v>
      </c>
      <c r="C1950" s="1" t="str">
        <f>MID(analisis_productividad__4[[#This Row],[Periodo]],1,4)</f>
        <v>2024</v>
      </c>
      <c r="D1950" s="1" t="str">
        <f>MID(analisis_productividad__4[[#This Row],[Periodo]],5,2)</f>
        <v>03</v>
      </c>
      <c r="E1950" s="1" t="s">
        <v>11</v>
      </c>
      <c r="F1950" s="1" t="s">
        <v>14</v>
      </c>
      <c r="G1950" s="1">
        <v>76534</v>
      </c>
      <c r="H1950" s="1">
        <v>3758769</v>
      </c>
      <c r="I1950" s="1">
        <v>49.112715053763438</v>
      </c>
      <c r="J1950" s="1">
        <v>0</v>
      </c>
      <c r="K1950" s="1">
        <v>47.5</v>
      </c>
      <c r="L1950" s="1">
        <v>43</v>
      </c>
      <c r="M1950" s="1"/>
      <c r="N1950" s="1">
        <v>0</v>
      </c>
    </row>
    <row r="1951" spans="1:14" x14ac:dyDescent="0.35">
      <c r="A1951" s="1" t="s">
        <v>102</v>
      </c>
      <c r="B1951" s="1">
        <v>202412</v>
      </c>
      <c r="C1951" s="1" t="str">
        <f>MID(analisis_productividad__4[[#This Row],[Periodo]],1,4)</f>
        <v>2024</v>
      </c>
      <c r="D1951" s="1" t="str">
        <f>MID(analisis_productividad__4[[#This Row],[Periodo]],5,2)</f>
        <v>12</v>
      </c>
      <c r="E1951" s="1" t="s">
        <v>11</v>
      </c>
      <c r="F1951" s="1" t="s">
        <v>12</v>
      </c>
      <c r="G1951" s="1">
        <v>76532</v>
      </c>
      <c r="H1951" s="1">
        <v>2794673</v>
      </c>
      <c r="I1951" s="1">
        <v>36.516290322580659</v>
      </c>
      <c r="J1951" s="1">
        <v>0</v>
      </c>
      <c r="K1951" s="1">
        <v>34</v>
      </c>
      <c r="L1951" s="1">
        <v>34</v>
      </c>
      <c r="M1951" s="1"/>
      <c r="N1951" s="1">
        <v>0</v>
      </c>
    </row>
    <row r="1952" spans="1:14" x14ac:dyDescent="0.35">
      <c r="A1952" s="1" t="s">
        <v>91</v>
      </c>
      <c r="B1952" s="1">
        <v>202510</v>
      </c>
      <c r="C1952" s="1" t="str">
        <f>MID(analisis_productividad__4[[#This Row],[Periodo]],1,4)</f>
        <v>2025</v>
      </c>
      <c r="D1952" s="1" t="str">
        <f>MID(analisis_productividad__4[[#This Row],[Periodo]],5,2)</f>
        <v>10</v>
      </c>
      <c r="E1952" s="1" t="s">
        <v>11</v>
      </c>
      <c r="F1952" s="1" t="s">
        <v>12</v>
      </c>
      <c r="G1952" s="1">
        <v>76506</v>
      </c>
      <c r="H1952" s="1">
        <v>3837802</v>
      </c>
      <c r="I1952" s="1">
        <v>50.163655913978509</v>
      </c>
      <c r="J1952" s="1">
        <v>78755.303365436499</v>
      </c>
      <c r="K1952" s="1">
        <v>55</v>
      </c>
      <c r="L1952" s="1">
        <v>55.5</v>
      </c>
      <c r="M1952" s="1">
        <v>48.730713564672833</v>
      </c>
      <c r="N1952" s="1">
        <v>3890353</v>
      </c>
    </row>
    <row r="1953" spans="1:14" x14ac:dyDescent="0.35">
      <c r="A1953" s="1" t="s">
        <v>78</v>
      </c>
      <c r="B1953" s="1">
        <v>202508</v>
      </c>
      <c r="C1953" s="1" t="str">
        <f>MID(analisis_productividad__4[[#This Row],[Periodo]],1,4)</f>
        <v>2025</v>
      </c>
      <c r="D1953" s="1" t="str">
        <f>MID(analisis_productividad__4[[#This Row],[Periodo]],5,2)</f>
        <v>08</v>
      </c>
      <c r="E1953" s="1" t="s">
        <v>11</v>
      </c>
      <c r="F1953" s="1" t="s">
        <v>14</v>
      </c>
      <c r="G1953" s="1">
        <v>76501</v>
      </c>
      <c r="H1953" s="1">
        <v>5118789</v>
      </c>
      <c r="I1953" s="1">
        <v>66.91115591397849</v>
      </c>
      <c r="J1953" s="1">
        <v>81208.182764953628</v>
      </c>
      <c r="K1953" s="1">
        <v>79.5</v>
      </c>
      <c r="L1953" s="1">
        <v>67</v>
      </c>
      <c r="M1953" s="1">
        <v>63.032924832410785</v>
      </c>
      <c r="N1953" s="1">
        <v>5489758</v>
      </c>
    </row>
    <row r="1954" spans="1:14" x14ac:dyDescent="0.35">
      <c r="A1954" s="1" t="s">
        <v>86</v>
      </c>
      <c r="B1954" s="1">
        <v>202510</v>
      </c>
      <c r="C1954" s="1" t="str">
        <f>MID(analisis_productividad__4[[#This Row],[Periodo]],1,4)</f>
        <v>2025</v>
      </c>
      <c r="D1954" s="1" t="str">
        <f>MID(analisis_productividad__4[[#This Row],[Periodo]],5,2)</f>
        <v>10</v>
      </c>
      <c r="E1954" s="1" t="s">
        <v>11</v>
      </c>
      <c r="F1954" s="1" t="s">
        <v>14</v>
      </c>
      <c r="G1954" s="1">
        <v>76473</v>
      </c>
      <c r="H1954" s="1">
        <v>3857728</v>
      </c>
      <c r="I1954" s="1">
        <v>50.445584677419362</v>
      </c>
      <c r="J1954" s="1">
        <v>79008.213701093453</v>
      </c>
      <c r="K1954" s="1">
        <v>69.5</v>
      </c>
      <c r="L1954" s="1">
        <v>59</v>
      </c>
      <c r="M1954" s="1">
        <v>48.826924053677345</v>
      </c>
      <c r="N1954" s="1">
        <v>5035539</v>
      </c>
    </row>
    <row r="1955" spans="1:14" x14ac:dyDescent="0.35">
      <c r="A1955" s="1" t="s">
        <v>18</v>
      </c>
      <c r="B1955" s="1">
        <v>202406</v>
      </c>
      <c r="C1955" s="1" t="str">
        <f>MID(analisis_productividad__4[[#This Row],[Periodo]],1,4)</f>
        <v>2024</v>
      </c>
      <c r="D1955" s="1" t="str">
        <f>MID(analisis_productividad__4[[#This Row],[Periodo]],5,2)</f>
        <v>06</v>
      </c>
      <c r="E1955" s="1" t="s">
        <v>16</v>
      </c>
      <c r="F1955" s="1" t="s">
        <v>19</v>
      </c>
      <c r="G1955" s="1">
        <v>76465</v>
      </c>
      <c r="H1955" s="1">
        <v>4912218</v>
      </c>
      <c r="I1955" s="1">
        <v>64.241527777777762</v>
      </c>
      <c r="J1955" s="1">
        <v>0</v>
      </c>
      <c r="K1955" s="1">
        <v>70.5</v>
      </c>
      <c r="L1955" s="1">
        <v>69.5</v>
      </c>
      <c r="M1955" s="1"/>
      <c r="N1955" s="1">
        <v>0</v>
      </c>
    </row>
    <row r="1956" spans="1:14" x14ac:dyDescent="0.35">
      <c r="A1956" s="1" t="s">
        <v>80</v>
      </c>
      <c r="B1956" s="1">
        <v>202503</v>
      </c>
      <c r="C1956" s="1" t="str">
        <f>MID(analisis_productividad__4[[#This Row],[Periodo]],1,4)</f>
        <v>2025</v>
      </c>
      <c r="D1956" s="1" t="str">
        <f>MID(analisis_productividad__4[[#This Row],[Periodo]],5,2)</f>
        <v>03</v>
      </c>
      <c r="E1956" s="1" t="s">
        <v>16</v>
      </c>
      <c r="F1956" s="1" t="s">
        <v>17</v>
      </c>
      <c r="G1956" s="1">
        <v>76433</v>
      </c>
      <c r="H1956" s="1">
        <v>3817957</v>
      </c>
      <c r="I1956" s="1">
        <v>49.951586021505385</v>
      </c>
      <c r="J1956" s="1">
        <v>86576.093666775865</v>
      </c>
      <c r="K1956" s="1">
        <v>58</v>
      </c>
      <c r="L1956" s="1">
        <v>58.5</v>
      </c>
      <c r="M1956" s="1">
        <v>44.099432860703963</v>
      </c>
      <c r="N1956" s="1">
        <v>5047407</v>
      </c>
    </row>
    <row r="1957" spans="1:14" x14ac:dyDescent="0.35">
      <c r="A1957" s="1" t="s">
        <v>69</v>
      </c>
      <c r="B1957" s="1">
        <v>202404</v>
      </c>
      <c r="C1957" s="1" t="str">
        <f>MID(analisis_productividad__4[[#This Row],[Periodo]],1,4)</f>
        <v>2024</v>
      </c>
      <c r="D1957" s="1" t="str">
        <f>MID(analisis_productividad__4[[#This Row],[Periodo]],5,2)</f>
        <v>04</v>
      </c>
      <c r="E1957" s="1" t="s">
        <v>11</v>
      </c>
      <c r="F1957" s="1" t="s">
        <v>52</v>
      </c>
      <c r="G1957" s="1">
        <v>76410</v>
      </c>
      <c r="H1957" s="1">
        <v>4888689</v>
      </c>
      <c r="I1957" s="1">
        <v>63.98009722222222</v>
      </c>
      <c r="J1957" s="1">
        <v>0</v>
      </c>
      <c r="K1957" s="1">
        <v>68</v>
      </c>
      <c r="L1957" s="1">
        <v>60.5</v>
      </c>
      <c r="M1957" s="1"/>
      <c r="N1957" s="1">
        <v>0</v>
      </c>
    </row>
    <row r="1958" spans="1:14" x14ac:dyDescent="0.35">
      <c r="A1958" s="1" t="s">
        <v>48</v>
      </c>
      <c r="B1958" s="1">
        <v>202508</v>
      </c>
      <c r="C1958" s="1" t="str">
        <f>MID(analisis_productividad__4[[#This Row],[Periodo]],1,4)</f>
        <v>2025</v>
      </c>
      <c r="D1958" s="1" t="str">
        <f>MID(analisis_productividad__4[[#This Row],[Periodo]],5,2)</f>
        <v>08</v>
      </c>
      <c r="E1958" s="1" t="s">
        <v>16</v>
      </c>
      <c r="F1958" s="1" t="s">
        <v>21</v>
      </c>
      <c r="G1958" s="1">
        <v>76364</v>
      </c>
      <c r="H1958" s="1">
        <v>3844589</v>
      </c>
      <c r="I1958" s="1">
        <v>50.345383064516128</v>
      </c>
      <c r="J1958" s="1">
        <v>74075.692024056436</v>
      </c>
      <c r="K1958" s="1">
        <v>56</v>
      </c>
      <c r="L1958" s="1">
        <v>60</v>
      </c>
      <c r="M1958" s="1">
        <v>51.900812465598719</v>
      </c>
      <c r="N1958" s="1">
        <v>4601118</v>
      </c>
    </row>
    <row r="1959" spans="1:14" x14ac:dyDescent="0.35">
      <c r="A1959" s="1" t="s">
        <v>62</v>
      </c>
      <c r="B1959" s="1">
        <v>202402</v>
      </c>
      <c r="C1959" s="1" t="str">
        <f>MID(analisis_productividad__4[[#This Row],[Periodo]],1,4)</f>
        <v>2024</v>
      </c>
      <c r="D1959" s="1" t="str">
        <f>MID(analisis_productividad__4[[#This Row],[Periodo]],5,2)</f>
        <v>02</v>
      </c>
      <c r="E1959" s="1" t="s">
        <v>16</v>
      </c>
      <c r="F1959" s="1" t="s">
        <v>17</v>
      </c>
      <c r="G1959" s="1">
        <v>76350</v>
      </c>
      <c r="H1959" s="1">
        <v>2480000</v>
      </c>
      <c r="I1959" s="1">
        <v>32.481860632183924</v>
      </c>
      <c r="J1959" s="1">
        <v>0</v>
      </c>
      <c r="K1959" s="1">
        <v>32.5</v>
      </c>
      <c r="L1959" s="1">
        <v>32</v>
      </c>
      <c r="M1959" s="1"/>
      <c r="N1959" s="1">
        <v>0</v>
      </c>
    </row>
    <row r="1960" spans="1:14" x14ac:dyDescent="0.35">
      <c r="A1960" s="1" t="s">
        <v>82</v>
      </c>
      <c r="B1960" s="1">
        <v>202601</v>
      </c>
      <c r="C1960" s="1" t="str">
        <f>MID(analisis_productividad__4[[#This Row],[Periodo]],1,4)</f>
        <v>2026</v>
      </c>
      <c r="D1960" s="1" t="str">
        <f>MID(analisis_productividad__4[[#This Row],[Periodo]],5,2)</f>
        <v>01</v>
      </c>
      <c r="E1960" s="1" t="s">
        <v>11</v>
      </c>
      <c r="F1960" s="1" t="s">
        <v>12</v>
      </c>
      <c r="G1960" s="1">
        <v>76350</v>
      </c>
      <c r="H1960" s="1">
        <v>3861838</v>
      </c>
      <c r="I1960" s="1">
        <v>50.580833333333324</v>
      </c>
      <c r="J1960" s="1">
        <v>83372.045200923327</v>
      </c>
      <c r="K1960" s="1">
        <v>53.5</v>
      </c>
      <c r="L1960" s="1">
        <v>54</v>
      </c>
      <c r="M1960" s="1">
        <v>47.165198395018514</v>
      </c>
      <c r="N1960" s="1">
        <v>3932259</v>
      </c>
    </row>
    <row r="1961" spans="1:14" x14ac:dyDescent="0.35">
      <c r="A1961" s="1" t="s">
        <v>73</v>
      </c>
      <c r="B1961" s="1">
        <v>202502</v>
      </c>
      <c r="C1961" s="1" t="str">
        <f>MID(analisis_productividad__4[[#This Row],[Periodo]],1,4)</f>
        <v>2025</v>
      </c>
      <c r="D1961" s="1" t="str">
        <f>MID(analisis_productividad__4[[#This Row],[Periodo]],5,2)</f>
        <v>02</v>
      </c>
      <c r="E1961" s="1" t="s">
        <v>16</v>
      </c>
      <c r="F1961" s="1" t="s">
        <v>21</v>
      </c>
      <c r="G1961" s="1">
        <v>76328</v>
      </c>
      <c r="H1961" s="1">
        <v>3138435</v>
      </c>
      <c r="I1961" s="1">
        <v>41.117760416666663</v>
      </c>
      <c r="J1961" s="1">
        <v>73432.452914519265</v>
      </c>
      <c r="K1961" s="1">
        <v>43.5</v>
      </c>
      <c r="L1961" s="1">
        <v>41</v>
      </c>
      <c r="M1961" s="1">
        <v>42.739067611609904</v>
      </c>
      <c r="N1961" s="1">
        <v>3050269</v>
      </c>
    </row>
    <row r="1962" spans="1:14" x14ac:dyDescent="0.35">
      <c r="A1962" s="1" t="s">
        <v>71</v>
      </c>
      <c r="B1962" s="1">
        <v>202505</v>
      </c>
      <c r="C1962" s="1" t="str">
        <f>MID(analisis_productividad__4[[#This Row],[Periodo]],1,4)</f>
        <v>2025</v>
      </c>
      <c r="D1962" s="1" t="str">
        <f>MID(analisis_productividad__4[[#This Row],[Periodo]],5,2)</f>
        <v>05</v>
      </c>
      <c r="E1962" s="1" t="s">
        <v>16</v>
      </c>
      <c r="F1962" s="1" t="s">
        <v>19</v>
      </c>
      <c r="G1962" s="1">
        <v>76297</v>
      </c>
      <c r="H1962" s="1">
        <v>2596911</v>
      </c>
      <c r="I1962" s="1">
        <v>34.036700268817214</v>
      </c>
      <c r="J1962" s="1">
        <v>69131.188975442579</v>
      </c>
      <c r="K1962" s="1">
        <v>41.5</v>
      </c>
      <c r="L1962" s="1">
        <v>35.5</v>
      </c>
      <c r="M1962" s="1">
        <v>37.564973472718641</v>
      </c>
      <c r="N1962" s="1">
        <v>2446850</v>
      </c>
    </row>
    <row r="1963" spans="1:14" x14ac:dyDescent="0.35">
      <c r="A1963" s="1" t="s">
        <v>95</v>
      </c>
      <c r="B1963" s="1">
        <v>202403</v>
      </c>
      <c r="C1963" s="1" t="str">
        <f>MID(analisis_productividad__4[[#This Row],[Periodo]],1,4)</f>
        <v>2024</v>
      </c>
      <c r="D1963" s="1" t="str">
        <f>MID(analisis_productividad__4[[#This Row],[Periodo]],5,2)</f>
        <v>03</v>
      </c>
      <c r="E1963" s="1" t="s">
        <v>9</v>
      </c>
      <c r="F1963" s="1" t="s">
        <v>9</v>
      </c>
      <c r="G1963" s="1">
        <v>76279</v>
      </c>
      <c r="H1963" s="1">
        <v>747959</v>
      </c>
      <c r="I1963" s="1">
        <v>9.8055981182795726</v>
      </c>
      <c r="J1963" s="1">
        <v>0</v>
      </c>
      <c r="K1963" s="1">
        <v>11</v>
      </c>
      <c r="L1963" s="1">
        <v>11</v>
      </c>
      <c r="M1963" s="1"/>
      <c r="N1963" s="1">
        <v>0</v>
      </c>
    </row>
    <row r="1964" spans="1:14" x14ac:dyDescent="0.35">
      <c r="A1964" s="1" t="s">
        <v>78</v>
      </c>
      <c r="B1964" s="1">
        <v>202504</v>
      </c>
      <c r="C1964" s="1" t="str">
        <f>MID(analisis_productividad__4[[#This Row],[Periodo]],1,4)</f>
        <v>2025</v>
      </c>
      <c r="D1964" s="1" t="str">
        <f>MID(analisis_productividad__4[[#This Row],[Periodo]],5,2)</f>
        <v>04</v>
      </c>
      <c r="E1964" s="1" t="s">
        <v>11</v>
      </c>
      <c r="F1964" s="1" t="s">
        <v>14</v>
      </c>
      <c r="G1964" s="1">
        <v>76277</v>
      </c>
      <c r="H1964" s="1">
        <v>5275543</v>
      </c>
      <c r="I1964" s="1">
        <v>69.163159722222261</v>
      </c>
      <c r="J1964" s="1">
        <v>70034.877928006506</v>
      </c>
      <c r="K1964" s="1">
        <v>79.5</v>
      </c>
      <c r="L1964" s="1">
        <v>67</v>
      </c>
      <c r="M1964" s="1">
        <v>75.327366393400183</v>
      </c>
      <c r="N1964" s="1">
        <v>5521501</v>
      </c>
    </row>
    <row r="1965" spans="1:14" x14ac:dyDescent="0.35">
      <c r="A1965" s="1" t="s">
        <v>74</v>
      </c>
      <c r="B1965" s="1">
        <v>202510</v>
      </c>
      <c r="C1965" s="1" t="str">
        <f>MID(analisis_productividad__4[[#This Row],[Periodo]],1,4)</f>
        <v>2025</v>
      </c>
      <c r="D1965" s="1" t="str">
        <f>MID(analisis_productividad__4[[#This Row],[Periodo]],5,2)</f>
        <v>10</v>
      </c>
      <c r="E1965" s="1" t="s">
        <v>16</v>
      </c>
      <c r="F1965" s="1" t="s">
        <v>19</v>
      </c>
      <c r="G1965" s="1">
        <v>76263</v>
      </c>
      <c r="H1965" s="1">
        <v>3207341</v>
      </c>
      <c r="I1965" s="1">
        <v>42.056263440860207</v>
      </c>
      <c r="J1965" s="1">
        <v>79297.955725797932</v>
      </c>
      <c r="K1965" s="1">
        <v>50.5</v>
      </c>
      <c r="L1965" s="1">
        <v>51.5</v>
      </c>
      <c r="M1965" s="1">
        <v>40.446709888595002</v>
      </c>
      <c r="N1965" s="1">
        <v>3820788</v>
      </c>
    </row>
    <row r="1966" spans="1:14" x14ac:dyDescent="0.35">
      <c r="A1966" s="1" t="s">
        <v>94</v>
      </c>
      <c r="B1966" s="1">
        <v>202606</v>
      </c>
      <c r="C1966" s="1" t="str">
        <f>MID(analisis_productividad__4[[#This Row],[Periodo]],1,4)</f>
        <v>2026</v>
      </c>
      <c r="D1966" s="1" t="str">
        <f>MID(analisis_productividad__4[[#This Row],[Periodo]],5,2)</f>
        <v>06</v>
      </c>
      <c r="E1966" s="1" t="s">
        <v>11</v>
      </c>
      <c r="F1966" s="1" t="s">
        <v>52</v>
      </c>
      <c r="G1966" s="1">
        <v>76221</v>
      </c>
      <c r="H1966" s="1">
        <v>4650711</v>
      </c>
      <c r="I1966" s="1">
        <v>61.015986111111239</v>
      </c>
      <c r="J1966" s="1">
        <v>79417.040957913239</v>
      </c>
      <c r="K1966" s="1">
        <v>75.5</v>
      </c>
      <c r="L1966" s="1">
        <v>70.5</v>
      </c>
      <c r="M1966" s="1">
        <v>63.423114179855602</v>
      </c>
      <c r="N1966" s="1">
        <v>5036876</v>
      </c>
    </row>
    <row r="1967" spans="1:14" x14ac:dyDescent="0.35">
      <c r="A1967" s="1" t="s">
        <v>60</v>
      </c>
      <c r="B1967" s="1">
        <v>202410</v>
      </c>
      <c r="C1967" s="1" t="str">
        <f>MID(analisis_productividad__4[[#This Row],[Periodo]],1,4)</f>
        <v>2024</v>
      </c>
      <c r="D1967" s="1" t="str">
        <f>MID(analisis_productividad__4[[#This Row],[Periodo]],5,2)</f>
        <v>10</v>
      </c>
      <c r="E1967" s="1" t="s">
        <v>11</v>
      </c>
      <c r="F1967" s="1" t="s">
        <v>14</v>
      </c>
      <c r="G1967" s="1">
        <v>76175</v>
      </c>
      <c r="H1967" s="1">
        <v>5418403</v>
      </c>
      <c r="I1967" s="1">
        <v>71.130537634408597</v>
      </c>
      <c r="J1967" s="1">
        <v>0</v>
      </c>
      <c r="K1967" s="1">
        <v>75.5</v>
      </c>
      <c r="L1967" s="1">
        <v>74</v>
      </c>
      <c r="M1967" s="1"/>
      <c r="N1967" s="1">
        <v>0</v>
      </c>
    </row>
    <row r="1968" spans="1:14" x14ac:dyDescent="0.35">
      <c r="A1968" s="1" t="s">
        <v>86</v>
      </c>
      <c r="B1968" s="1">
        <v>202404</v>
      </c>
      <c r="C1968" s="1" t="str">
        <f>MID(analisis_productividad__4[[#This Row],[Periodo]],1,4)</f>
        <v>2024</v>
      </c>
      <c r="D1968" s="1" t="str">
        <f>MID(analisis_productividad__4[[#This Row],[Periodo]],5,2)</f>
        <v>04</v>
      </c>
      <c r="E1968" s="1" t="s">
        <v>11</v>
      </c>
      <c r="F1968" s="1" t="s">
        <v>14</v>
      </c>
      <c r="G1968" s="1">
        <v>76172</v>
      </c>
      <c r="H1968" s="1">
        <v>4715349</v>
      </c>
      <c r="I1968" s="1">
        <v>61.904256944444441</v>
      </c>
      <c r="J1968" s="1">
        <v>0</v>
      </c>
      <c r="K1968" s="1">
        <v>69.5</v>
      </c>
      <c r="L1968" s="1">
        <v>59</v>
      </c>
      <c r="M1968" s="1"/>
      <c r="N1968" s="1">
        <v>0</v>
      </c>
    </row>
    <row r="1969" spans="1:14" x14ac:dyDescent="0.35">
      <c r="A1969" s="1" t="s">
        <v>110</v>
      </c>
      <c r="B1969" s="1">
        <v>202512</v>
      </c>
      <c r="C1969" s="1" t="str">
        <f>MID(analisis_productividad__4[[#This Row],[Periodo]],1,4)</f>
        <v>2025</v>
      </c>
      <c r="D1969" s="1" t="str">
        <f>MID(analisis_productividad__4[[#This Row],[Periodo]],5,2)</f>
        <v>12</v>
      </c>
      <c r="E1969" s="1" t="s">
        <v>34</v>
      </c>
      <c r="F1969" s="1" t="s">
        <v>35</v>
      </c>
      <c r="G1969" s="1">
        <v>76090</v>
      </c>
      <c r="H1969" s="1">
        <v>2448997</v>
      </c>
      <c r="I1969" s="1">
        <v>32.18565188172041</v>
      </c>
      <c r="J1969" s="1">
        <v>69537.837267332652</v>
      </c>
      <c r="K1969" s="1">
        <v>41.5</v>
      </c>
      <c r="L1969" s="1">
        <v>43</v>
      </c>
      <c r="M1969" s="1">
        <v>35.218198699292678</v>
      </c>
      <c r="N1969" s="1">
        <v>2818179</v>
      </c>
    </row>
    <row r="1970" spans="1:14" x14ac:dyDescent="0.35">
      <c r="A1970" s="1" t="s">
        <v>65</v>
      </c>
      <c r="B1970" s="1">
        <v>202502</v>
      </c>
      <c r="C1970" s="1" t="str">
        <f>MID(analisis_productividad__4[[#This Row],[Periodo]],1,4)</f>
        <v>2025</v>
      </c>
      <c r="D1970" s="1" t="str">
        <f>MID(analisis_productividad__4[[#This Row],[Periodo]],5,2)</f>
        <v>02</v>
      </c>
      <c r="E1970" s="1" t="s">
        <v>16</v>
      </c>
      <c r="F1970" s="1" t="s">
        <v>19</v>
      </c>
      <c r="G1970" s="1">
        <v>76043</v>
      </c>
      <c r="H1970" s="1">
        <v>4813520</v>
      </c>
      <c r="I1970" s="1">
        <v>63.300104166666664</v>
      </c>
      <c r="J1970" s="1">
        <v>74437.675016909983</v>
      </c>
      <c r="K1970" s="1">
        <v>68</v>
      </c>
      <c r="L1970" s="1">
        <v>68.5</v>
      </c>
      <c r="M1970" s="1">
        <v>64.665104315879219</v>
      </c>
      <c r="N1970" s="1">
        <v>4381358</v>
      </c>
    </row>
    <row r="1971" spans="1:14" x14ac:dyDescent="0.35">
      <c r="A1971" s="1" t="s">
        <v>82</v>
      </c>
      <c r="B1971" s="1">
        <v>202505</v>
      </c>
      <c r="C1971" s="1" t="str">
        <f>MID(analisis_productividad__4[[#This Row],[Periodo]],1,4)</f>
        <v>2025</v>
      </c>
      <c r="D1971" s="1" t="str">
        <f>MID(analisis_productividad__4[[#This Row],[Periodo]],5,2)</f>
        <v>05</v>
      </c>
      <c r="E1971" s="1" t="s">
        <v>11</v>
      </c>
      <c r="F1971" s="1" t="s">
        <v>12</v>
      </c>
      <c r="G1971" s="1">
        <v>76043</v>
      </c>
      <c r="H1971" s="1">
        <v>4047688</v>
      </c>
      <c r="I1971" s="1">
        <v>53.229260752688148</v>
      </c>
      <c r="J1971" s="1">
        <v>68490.423082853522</v>
      </c>
      <c r="K1971" s="1">
        <v>53.5</v>
      </c>
      <c r="L1971" s="1">
        <v>54</v>
      </c>
      <c r="M1971" s="1">
        <v>59.098605437193349</v>
      </c>
      <c r="N1971" s="1">
        <v>3871255</v>
      </c>
    </row>
    <row r="1972" spans="1:14" x14ac:dyDescent="0.35">
      <c r="A1972" s="1" t="s">
        <v>97</v>
      </c>
      <c r="B1972" s="1">
        <v>202406</v>
      </c>
      <c r="C1972" s="1" t="str">
        <f>MID(analisis_productividad__4[[#This Row],[Periodo]],1,4)</f>
        <v>2024</v>
      </c>
      <c r="D1972" s="1" t="str">
        <f>MID(analisis_productividad__4[[#This Row],[Periodo]],5,2)</f>
        <v>06</v>
      </c>
      <c r="E1972" s="1" t="s">
        <v>11</v>
      </c>
      <c r="F1972" s="1" t="s">
        <v>12</v>
      </c>
      <c r="G1972" s="1">
        <v>76028</v>
      </c>
      <c r="H1972" s="1">
        <v>4995753</v>
      </c>
      <c r="I1972" s="1">
        <v>65.709340277777798</v>
      </c>
      <c r="J1972" s="1">
        <v>0</v>
      </c>
      <c r="K1972" s="1">
        <v>66.5</v>
      </c>
      <c r="L1972" s="1">
        <v>63.5</v>
      </c>
      <c r="M1972" s="1"/>
      <c r="N1972" s="1">
        <v>0</v>
      </c>
    </row>
    <row r="1973" spans="1:14" x14ac:dyDescent="0.35">
      <c r="A1973" s="1" t="s">
        <v>98</v>
      </c>
      <c r="B1973" s="1">
        <v>202605</v>
      </c>
      <c r="C1973" s="1" t="str">
        <f>MID(analisis_productividad__4[[#This Row],[Periodo]],1,4)</f>
        <v>2026</v>
      </c>
      <c r="D1973" s="1" t="str">
        <f>MID(analisis_productividad__4[[#This Row],[Periodo]],5,2)</f>
        <v>05</v>
      </c>
      <c r="E1973" s="1" t="s">
        <v>11</v>
      </c>
      <c r="F1973" s="1" t="s">
        <v>14</v>
      </c>
      <c r="G1973" s="1">
        <v>76028</v>
      </c>
      <c r="H1973" s="1">
        <v>3899155</v>
      </c>
      <c r="I1973" s="1">
        <v>51.285819892472936</v>
      </c>
      <c r="J1973" s="1">
        <v>73023.278758985951</v>
      </c>
      <c r="K1973" s="1">
        <v>61.5</v>
      </c>
      <c r="L1973" s="1">
        <v>56</v>
      </c>
      <c r="M1973" s="1">
        <v>52.842490794418893</v>
      </c>
      <c r="N1973" s="1">
        <v>3858732</v>
      </c>
    </row>
    <row r="1974" spans="1:14" x14ac:dyDescent="0.35">
      <c r="A1974" s="1" t="s">
        <v>82</v>
      </c>
      <c r="B1974" s="1">
        <v>202509</v>
      </c>
      <c r="C1974" s="1" t="str">
        <f>MID(analisis_productividad__4[[#This Row],[Periodo]],1,4)</f>
        <v>2025</v>
      </c>
      <c r="D1974" s="1" t="str">
        <f>MID(analisis_productividad__4[[#This Row],[Periodo]],5,2)</f>
        <v>09</v>
      </c>
      <c r="E1974" s="1" t="s">
        <v>11</v>
      </c>
      <c r="F1974" s="1" t="s">
        <v>12</v>
      </c>
      <c r="G1974" s="1">
        <v>76015</v>
      </c>
      <c r="H1974" s="1">
        <v>3428349</v>
      </c>
      <c r="I1974" s="1">
        <v>45.100902777777783</v>
      </c>
      <c r="J1974" s="1">
        <v>71276.34962219336</v>
      </c>
      <c r="K1974" s="1">
        <v>53.5</v>
      </c>
      <c r="L1974" s="1">
        <v>54</v>
      </c>
      <c r="M1974" s="1">
        <v>48.099384272234303</v>
      </c>
      <c r="N1974" s="1">
        <v>3814892</v>
      </c>
    </row>
    <row r="1975" spans="1:14" x14ac:dyDescent="0.35">
      <c r="A1975" s="1" t="s">
        <v>59</v>
      </c>
      <c r="B1975" s="1">
        <v>202404</v>
      </c>
      <c r="C1975" s="1" t="str">
        <f>MID(analisis_productividad__4[[#This Row],[Periodo]],1,4)</f>
        <v>2024</v>
      </c>
      <c r="D1975" s="1" t="str">
        <f>MID(analisis_productividad__4[[#This Row],[Periodo]],5,2)</f>
        <v>04</v>
      </c>
      <c r="E1975" s="1" t="s">
        <v>11</v>
      </c>
      <c r="F1975" s="1" t="s">
        <v>12</v>
      </c>
      <c r="G1975" s="1">
        <v>75952</v>
      </c>
      <c r="H1975" s="1">
        <v>6932312</v>
      </c>
      <c r="I1975" s="1">
        <v>91.272756944444509</v>
      </c>
      <c r="J1975" s="1">
        <v>0</v>
      </c>
      <c r="K1975" s="1">
        <v>94.5</v>
      </c>
      <c r="L1975" s="1">
        <v>97</v>
      </c>
      <c r="M1975" s="1"/>
      <c r="N1975" s="1">
        <v>0</v>
      </c>
    </row>
    <row r="1976" spans="1:14" x14ac:dyDescent="0.35">
      <c r="A1976" s="1" t="s">
        <v>97</v>
      </c>
      <c r="B1976" s="1">
        <v>202409</v>
      </c>
      <c r="C1976" s="1" t="str">
        <f>MID(analisis_productividad__4[[#This Row],[Periodo]],1,4)</f>
        <v>2024</v>
      </c>
      <c r="D1976" s="1" t="str">
        <f>MID(analisis_productividad__4[[#This Row],[Periodo]],5,2)</f>
        <v>09</v>
      </c>
      <c r="E1976" s="1" t="s">
        <v>11</v>
      </c>
      <c r="F1976" s="1" t="s">
        <v>12</v>
      </c>
      <c r="G1976" s="1">
        <v>75920</v>
      </c>
      <c r="H1976" s="1">
        <v>4511801</v>
      </c>
      <c r="I1976" s="1">
        <v>59.42849305555557</v>
      </c>
      <c r="J1976" s="1">
        <v>0</v>
      </c>
      <c r="K1976" s="1">
        <v>66.5</v>
      </c>
      <c r="L1976" s="1">
        <v>63.5</v>
      </c>
      <c r="M1976" s="1"/>
      <c r="N1976" s="1">
        <v>0</v>
      </c>
    </row>
    <row r="1977" spans="1:14" x14ac:dyDescent="0.35">
      <c r="A1977" s="1" t="s">
        <v>42</v>
      </c>
      <c r="B1977" s="1">
        <v>202406</v>
      </c>
      <c r="C1977" s="1" t="str">
        <f>MID(analisis_productividad__4[[#This Row],[Periodo]],1,4)</f>
        <v>2024</v>
      </c>
      <c r="D1977" s="1" t="str">
        <f>MID(analisis_productividad__4[[#This Row],[Periodo]],5,2)</f>
        <v>06</v>
      </c>
      <c r="E1977" s="1" t="s">
        <v>16</v>
      </c>
      <c r="F1977" s="1" t="s">
        <v>19</v>
      </c>
      <c r="G1977" s="1">
        <v>75903</v>
      </c>
      <c r="H1977" s="1">
        <v>4729921</v>
      </c>
      <c r="I1977" s="1">
        <v>62.314923611111105</v>
      </c>
      <c r="J1977" s="1">
        <v>0</v>
      </c>
      <c r="K1977" s="1">
        <v>62</v>
      </c>
      <c r="L1977" s="1">
        <v>58</v>
      </c>
      <c r="M1977" s="1"/>
      <c r="N1977" s="1">
        <v>0</v>
      </c>
    </row>
    <row r="1978" spans="1:14" x14ac:dyDescent="0.35">
      <c r="A1978" s="1" t="s">
        <v>78</v>
      </c>
      <c r="B1978" s="1">
        <v>202406</v>
      </c>
      <c r="C1978" s="1" t="str">
        <f>MID(analisis_productividad__4[[#This Row],[Periodo]],1,4)</f>
        <v>2024</v>
      </c>
      <c r="D1978" s="1" t="str">
        <f>MID(analisis_productividad__4[[#This Row],[Periodo]],5,2)</f>
        <v>06</v>
      </c>
      <c r="E1978" s="1" t="s">
        <v>11</v>
      </c>
      <c r="F1978" s="1" t="s">
        <v>14</v>
      </c>
      <c r="G1978" s="1">
        <v>75894</v>
      </c>
      <c r="H1978" s="1">
        <v>5466581</v>
      </c>
      <c r="I1978" s="1">
        <v>72.029027777777841</v>
      </c>
      <c r="J1978" s="1">
        <v>0</v>
      </c>
      <c r="K1978" s="1">
        <v>79.5</v>
      </c>
      <c r="L1978" s="1">
        <v>67</v>
      </c>
      <c r="M1978" s="1"/>
      <c r="N1978" s="1">
        <v>0</v>
      </c>
    </row>
    <row r="1979" spans="1:14" x14ac:dyDescent="0.35">
      <c r="A1979" s="1" t="s">
        <v>40</v>
      </c>
      <c r="B1979" s="1">
        <v>202506</v>
      </c>
      <c r="C1979" s="1" t="str">
        <f>MID(analisis_productividad__4[[#This Row],[Periodo]],1,4)</f>
        <v>2025</v>
      </c>
      <c r="D1979" s="1" t="str">
        <f>MID(analisis_productividad__4[[#This Row],[Periodo]],5,2)</f>
        <v>06</v>
      </c>
      <c r="E1979" s="1" t="s">
        <v>11</v>
      </c>
      <c r="F1979" s="1" t="s">
        <v>14</v>
      </c>
      <c r="G1979" s="1">
        <v>75892</v>
      </c>
      <c r="H1979" s="1">
        <v>5292469</v>
      </c>
      <c r="I1979" s="1">
        <v>69.736916666666673</v>
      </c>
      <c r="J1979" s="1">
        <v>101428.26423251473</v>
      </c>
      <c r="K1979" s="1">
        <v>76.5</v>
      </c>
      <c r="L1979" s="1">
        <v>75.5</v>
      </c>
      <c r="M1979" s="1">
        <v>52.179425429853701</v>
      </c>
      <c r="N1979" s="1">
        <v>6334515</v>
      </c>
    </row>
    <row r="1980" spans="1:14" x14ac:dyDescent="0.35">
      <c r="A1980" s="1" t="s">
        <v>98</v>
      </c>
      <c r="B1980" s="1">
        <v>202604</v>
      </c>
      <c r="C1980" s="1" t="str">
        <f>MID(analisis_productividad__4[[#This Row],[Periodo]],1,4)</f>
        <v>2026</v>
      </c>
      <c r="D1980" s="1" t="str">
        <f>MID(analisis_productividad__4[[#This Row],[Periodo]],5,2)</f>
        <v>04</v>
      </c>
      <c r="E1980" s="1" t="s">
        <v>11</v>
      </c>
      <c r="F1980" s="1" t="s">
        <v>14</v>
      </c>
      <c r="G1980" s="1">
        <v>75863</v>
      </c>
      <c r="H1980" s="1">
        <v>3934945</v>
      </c>
      <c r="I1980" s="1">
        <v>51.869173611111833</v>
      </c>
      <c r="J1980" s="1">
        <v>71651.442221567166</v>
      </c>
      <c r="K1980" s="1">
        <v>61.5</v>
      </c>
      <c r="L1980" s="1">
        <v>56</v>
      </c>
      <c r="M1980" s="1">
        <v>52.842490794418893</v>
      </c>
      <c r="N1980" s="1">
        <v>3786241</v>
      </c>
    </row>
    <row r="1981" spans="1:14" x14ac:dyDescent="0.35">
      <c r="A1981" s="1" t="s">
        <v>72</v>
      </c>
      <c r="B1981" s="1">
        <v>202405</v>
      </c>
      <c r="C1981" s="1" t="str">
        <f>MID(analisis_productividad__4[[#This Row],[Periodo]],1,4)</f>
        <v>2024</v>
      </c>
      <c r="D1981" s="1" t="str">
        <f>MID(analisis_productividad__4[[#This Row],[Periodo]],5,2)</f>
        <v>05</v>
      </c>
      <c r="E1981" s="1" t="s">
        <v>11</v>
      </c>
      <c r="F1981" s="1" t="s">
        <v>14</v>
      </c>
      <c r="G1981" s="1">
        <v>75845</v>
      </c>
      <c r="H1981" s="1">
        <v>4960387</v>
      </c>
      <c r="I1981" s="1">
        <v>65.401922043010757</v>
      </c>
      <c r="J1981" s="1">
        <v>0</v>
      </c>
      <c r="K1981" s="1">
        <v>66</v>
      </c>
      <c r="L1981" s="1">
        <v>64.5</v>
      </c>
      <c r="M1981" s="1"/>
      <c r="N1981" s="1">
        <v>0</v>
      </c>
    </row>
    <row r="1982" spans="1:14" x14ac:dyDescent="0.35">
      <c r="A1982" s="1" t="s">
        <v>45</v>
      </c>
      <c r="B1982" s="1">
        <v>202503</v>
      </c>
      <c r="C1982" s="1" t="str">
        <f>MID(analisis_productividad__4[[#This Row],[Periodo]],1,4)</f>
        <v>2025</v>
      </c>
      <c r="D1982" s="1" t="str">
        <f>MID(analisis_productividad__4[[#This Row],[Periodo]],5,2)</f>
        <v>03</v>
      </c>
      <c r="E1982" s="1" t="s">
        <v>34</v>
      </c>
      <c r="F1982" s="1" t="s">
        <v>35</v>
      </c>
      <c r="G1982" s="1">
        <v>75842</v>
      </c>
      <c r="H1982" s="1">
        <v>1850048</v>
      </c>
      <c r="I1982" s="1">
        <v>24.393353494623657</v>
      </c>
      <c r="J1982" s="1">
        <v>92888.803197786125</v>
      </c>
      <c r="K1982" s="1">
        <v>22.5</v>
      </c>
      <c r="L1982" s="1">
        <v>21</v>
      </c>
      <c r="M1982" s="1">
        <v>19.916804784972115</v>
      </c>
      <c r="N1982" s="1">
        <v>2035698</v>
      </c>
    </row>
    <row r="1983" spans="1:14" x14ac:dyDescent="0.35">
      <c r="A1983" s="1" t="s">
        <v>106</v>
      </c>
      <c r="B1983" s="1">
        <v>202603</v>
      </c>
      <c r="C1983" s="1" t="str">
        <f>MID(analisis_productividad__4[[#This Row],[Periodo]],1,4)</f>
        <v>2026</v>
      </c>
      <c r="D1983" s="1" t="str">
        <f>MID(analisis_productividad__4[[#This Row],[Periodo]],5,2)</f>
        <v>03</v>
      </c>
      <c r="E1983" s="1" t="s">
        <v>34</v>
      </c>
      <c r="F1983" s="1" t="s">
        <v>35</v>
      </c>
      <c r="G1983" s="1">
        <v>75789</v>
      </c>
      <c r="H1983" s="1">
        <v>3517102</v>
      </c>
      <c r="I1983" s="1">
        <v>46.406659946236559</v>
      </c>
      <c r="J1983" s="1">
        <v>85673.939962916993</v>
      </c>
      <c r="K1983" s="1">
        <v>51</v>
      </c>
      <c r="L1983" s="1">
        <v>49</v>
      </c>
      <c r="M1983" s="1">
        <v>41.451897990651069</v>
      </c>
      <c r="N1983" s="1">
        <v>3551347</v>
      </c>
    </row>
    <row r="1984" spans="1:14" x14ac:dyDescent="0.35">
      <c r="A1984" s="1" t="s">
        <v>79</v>
      </c>
      <c r="B1984" s="1">
        <v>202509</v>
      </c>
      <c r="C1984" s="1" t="str">
        <f>MID(analisis_productividad__4[[#This Row],[Periodo]],1,4)</f>
        <v>2025</v>
      </c>
      <c r="D1984" s="1" t="str">
        <f>MID(analisis_productividad__4[[#This Row],[Periodo]],5,2)</f>
        <v>09</v>
      </c>
      <c r="E1984" s="1" t="s">
        <v>11</v>
      </c>
      <c r="F1984" s="1" t="s">
        <v>12</v>
      </c>
      <c r="G1984" s="1">
        <v>75780</v>
      </c>
      <c r="H1984" s="1">
        <v>4420080</v>
      </c>
      <c r="I1984" s="1">
        <v>58.327888888888907</v>
      </c>
      <c r="J1984" s="1">
        <v>80632.997691525146</v>
      </c>
      <c r="K1984" s="1">
        <v>64.5</v>
      </c>
      <c r="L1984" s="1">
        <v>64</v>
      </c>
      <c r="M1984" s="1">
        <v>54.817259267846474</v>
      </c>
      <c r="N1984" s="1">
        <v>5142384</v>
      </c>
    </row>
    <row r="1985" spans="1:14" x14ac:dyDescent="0.35">
      <c r="A1985" s="1" t="s">
        <v>40</v>
      </c>
      <c r="B1985" s="1">
        <v>202409</v>
      </c>
      <c r="C1985" s="1" t="str">
        <f>MID(analisis_productividad__4[[#This Row],[Periodo]],1,4)</f>
        <v>2024</v>
      </c>
      <c r="D1985" s="1" t="str">
        <f>MID(analisis_productividad__4[[#This Row],[Periodo]],5,2)</f>
        <v>09</v>
      </c>
      <c r="E1985" s="1" t="s">
        <v>11</v>
      </c>
      <c r="F1985" s="1" t="s">
        <v>14</v>
      </c>
      <c r="G1985" s="1">
        <v>75778</v>
      </c>
      <c r="H1985" s="1">
        <v>5244059</v>
      </c>
      <c r="I1985" s="1">
        <v>69.203166666666689</v>
      </c>
      <c r="J1985" s="1">
        <v>0</v>
      </c>
      <c r="K1985" s="1">
        <v>76.5</v>
      </c>
      <c r="L1985" s="1">
        <v>75.5</v>
      </c>
      <c r="M1985" s="1"/>
      <c r="N1985" s="1">
        <v>0</v>
      </c>
    </row>
    <row r="1986" spans="1:14" x14ac:dyDescent="0.35">
      <c r="A1986" s="1" t="s">
        <v>94</v>
      </c>
      <c r="B1986" s="1">
        <v>202403</v>
      </c>
      <c r="C1986" s="1" t="str">
        <f>MID(analisis_productividad__4[[#This Row],[Periodo]],1,4)</f>
        <v>2024</v>
      </c>
      <c r="D1986" s="1" t="str">
        <f>MID(analisis_productividad__4[[#This Row],[Periodo]],5,2)</f>
        <v>03</v>
      </c>
      <c r="E1986" s="1" t="s">
        <v>11</v>
      </c>
      <c r="F1986" s="1" t="s">
        <v>52</v>
      </c>
      <c r="G1986" s="1">
        <v>75735</v>
      </c>
      <c r="H1986" s="1">
        <v>6093554</v>
      </c>
      <c r="I1986" s="1">
        <v>80.458413978494647</v>
      </c>
      <c r="J1986" s="1">
        <v>0</v>
      </c>
      <c r="K1986" s="1">
        <v>75.5</v>
      </c>
      <c r="L1986" s="1">
        <v>70.5</v>
      </c>
      <c r="M1986" s="1"/>
      <c r="N1986" s="1">
        <v>0</v>
      </c>
    </row>
    <row r="1987" spans="1:14" x14ac:dyDescent="0.35">
      <c r="A1987" s="1" t="s">
        <v>86</v>
      </c>
      <c r="B1987" s="1">
        <v>202604</v>
      </c>
      <c r="C1987" s="1" t="str">
        <f>MID(analisis_productividad__4[[#This Row],[Periodo]],1,4)</f>
        <v>2026</v>
      </c>
      <c r="D1987" s="1" t="str">
        <f>MID(analisis_productividad__4[[#This Row],[Periodo]],5,2)</f>
        <v>04</v>
      </c>
      <c r="E1987" s="1" t="s">
        <v>11</v>
      </c>
      <c r="F1987" s="1" t="s">
        <v>14</v>
      </c>
      <c r="G1987" s="1">
        <v>75712</v>
      </c>
      <c r="H1987" s="1">
        <v>4046590</v>
      </c>
      <c r="I1987" s="1">
        <v>53.447041666667523</v>
      </c>
      <c r="J1987" s="1">
        <v>76015.780134736662</v>
      </c>
      <c r="K1987" s="1">
        <v>69.5</v>
      </c>
      <c r="L1987" s="1">
        <v>59</v>
      </c>
      <c r="M1987" s="1">
        <v>57.926444284268129</v>
      </c>
      <c r="N1987" s="1">
        <v>4403324</v>
      </c>
    </row>
    <row r="1988" spans="1:14" x14ac:dyDescent="0.35">
      <c r="A1988" s="1" t="s">
        <v>73</v>
      </c>
      <c r="B1988" s="1">
        <v>202505</v>
      </c>
      <c r="C1988" s="1" t="str">
        <f>MID(analisis_productividad__4[[#This Row],[Periodo]],1,4)</f>
        <v>2025</v>
      </c>
      <c r="D1988" s="1" t="str">
        <f>MID(analisis_productividad__4[[#This Row],[Periodo]],5,2)</f>
        <v>05</v>
      </c>
      <c r="E1988" s="1" t="s">
        <v>16</v>
      </c>
      <c r="F1988" s="1" t="s">
        <v>21</v>
      </c>
      <c r="G1988" s="1">
        <v>75700</v>
      </c>
      <c r="H1988" s="1">
        <v>2988564</v>
      </c>
      <c r="I1988" s="1">
        <v>39.479294354838693</v>
      </c>
      <c r="J1988" s="1">
        <v>64615.012334371597</v>
      </c>
      <c r="K1988" s="1">
        <v>43.5</v>
      </c>
      <c r="L1988" s="1">
        <v>41</v>
      </c>
      <c r="M1988" s="1">
        <v>46.251854051109561</v>
      </c>
      <c r="N1988" s="1">
        <v>2797794</v>
      </c>
    </row>
    <row r="1989" spans="1:14" x14ac:dyDescent="0.35">
      <c r="A1989" s="1" t="s">
        <v>107</v>
      </c>
      <c r="B1989" s="1">
        <v>202606</v>
      </c>
      <c r="C1989" s="1" t="str">
        <f>MID(analisis_productividad__4[[#This Row],[Periodo]],1,4)</f>
        <v>2026</v>
      </c>
      <c r="D1989" s="1" t="str">
        <f>MID(analisis_productividad__4[[#This Row],[Periodo]],5,2)</f>
        <v>06</v>
      </c>
      <c r="E1989" s="1" t="s">
        <v>34</v>
      </c>
      <c r="F1989" s="1" t="s">
        <v>35</v>
      </c>
      <c r="G1989" s="1">
        <v>75694</v>
      </c>
      <c r="H1989" s="1">
        <v>5143879</v>
      </c>
      <c r="I1989" s="1">
        <v>67.955951388888607</v>
      </c>
      <c r="J1989" s="1">
        <v>73459.505316510156</v>
      </c>
      <c r="K1989" s="1">
        <v>87</v>
      </c>
      <c r="L1989" s="1">
        <v>77.5</v>
      </c>
      <c r="M1989" s="1">
        <v>73.970842069892498</v>
      </c>
      <c r="N1989" s="1">
        <v>5433861</v>
      </c>
    </row>
    <row r="1990" spans="1:14" x14ac:dyDescent="0.35">
      <c r="A1990" s="1" t="s">
        <v>73</v>
      </c>
      <c r="B1990" s="1">
        <v>202408</v>
      </c>
      <c r="C1990" s="1" t="str">
        <f>MID(analisis_productividad__4[[#This Row],[Periodo]],1,4)</f>
        <v>2024</v>
      </c>
      <c r="D1990" s="1" t="str">
        <f>MID(analisis_productividad__4[[#This Row],[Periodo]],5,2)</f>
        <v>08</v>
      </c>
      <c r="E1990" s="1" t="s">
        <v>16</v>
      </c>
      <c r="F1990" s="1" t="s">
        <v>21</v>
      </c>
      <c r="G1990" s="1">
        <v>75674</v>
      </c>
      <c r="H1990" s="1">
        <v>3074923</v>
      </c>
      <c r="I1990" s="1">
        <v>40.633965053763454</v>
      </c>
      <c r="J1990" s="1">
        <v>0</v>
      </c>
      <c r="K1990" s="1">
        <v>43.5</v>
      </c>
      <c r="L1990" s="1">
        <v>41</v>
      </c>
      <c r="M1990" s="1"/>
      <c r="N1990" s="1">
        <v>0</v>
      </c>
    </row>
    <row r="1991" spans="1:14" x14ac:dyDescent="0.35">
      <c r="A1991" s="1" t="s">
        <v>79</v>
      </c>
      <c r="B1991" s="1">
        <v>202405</v>
      </c>
      <c r="C1991" s="1" t="str">
        <f>MID(analisis_productividad__4[[#This Row],[Periodo]],1,4)</f>
        <v>2024</v>
      </c>
      <c r="D1991" s="1" t="str">
        <f>MID(analisis_productividad__4[[#This Row],[Periodo]],5,2)</f>
        <v>05</v>
      </c>
      <c r="E1991" s="1" t="s">
        <v>11</v>
      </c>
      <c r="F1991" s="1" t="s">
        <v>12</v>
      </c>
      <c r="G1991" s="1">
        <v>75652</v>
      </c>
      <c r="H1991" s="1">
        <v>4932519</v>
      </c>
      <c r="I1991" s="1">
        <v>65.200342741935472</v>
      </c>
      <c r="J1991" s="1">
        <v>0</v>
      </c>
      <c r="K1991" s="1">
        <v>64.5</v>
      </c>
      <c r="L1991" s="1">
        <v>64</v>
      </c>
      <c r="M1991" s="1"/>
      <c r="N1991" s="1">
        <v>0</v>
      </c>
    </row>
    <row r="1992" spans="1:14" x14ac:dyDescent="0.35">
      <c r="A1992" s="1" t="s">
        <v>60</v>
      </c>
      <c r="B1992" s="1">
        <v>202409</v>
      </c>
      <c r="C1992" s="1" t="str">
        <f>MID(analisis_productividad__4[[#This Row],[Periodo]],1,4)</f>
        <v>2024</v>
      </c>
      <c r="D1992" s="1" t="str">
        <f>MID(analisis_productividad__4[[#This Row],[Periodo]],5,2)</f>
        <v>09</v>
      </c>
      <c r="E1992" s="1" t="s">
        <v>11</v>
      </c>
      <c r="F1992" s="1" t="s">
        <v>14</v>
      </c>
      <c r="G1992" s="1">
        <v>75634</v>
      </c>
      <c r="H1992" s="1">
        <v>5516483</v>
      </c>
      <c r="I1992" s="1">
        <v>72.936986111111125</v>
      </c>
      <c r="J1992" s="1">
        <v>0</v>
      </c>
      <c r="K1992" s="1">
        <v>75.5</v>
      </c>
      <c r="L1992" s="1">
        <v>74</v>
      </c>
      <c r="M1992" s="1"/>
      <c r="N1992" s="1">
        <v>0</v>
      </c>
    </row>
    <row r="1993" spans="1:14" x14ac:dyDescent="0.35">
      <c r="A1993" s="1" t="s">
        <v>78</v>
      </c>
      <c r="B1993" s="1">
        <v>202505</v>
      </c>
      <c r="C1993" s="1" t="str">
        <f>MID(analisis_productividad__4[[#This Row],[Periodo]],1,4)</f>
        <v>2025</v>
      </c>
      <c r="D1993" s="1" t="str">
        <f>MID(analisis_productividad__4[[#This Row],[Periodo]],5,2)</f>
        <v>05</v>
      </c>
      <c r="E1993" s="1" t="s">
        <v>11</v>
      </c>
      <c r="F1993" s="1" t="s">
        <v>14</v>
      </c>
      <c r="G1993" s="1">
        <v>75624</v>
      </c>
      <c r="H1993" s="1">
        <v>5368882</v>
      </c>
      <c r="I1993" s="1">
        <v>70.994677419354844</v>
      </c>
      <c r="J1993" s="1">
        <v>70354.586906211538</v>
      </c>
      <c r="K1993" s="1">
        <v>79.5</v>
      </c>
      <c r="L1993" s="1">
        <v>67</v>
      </c>
      <c r="M1993" s="1">
        <v>76.311761408778679</v>
      </c>
      <c r="N1993" s="1">
        <v>5403018</v>
      </c>
    </row>
    <row r="1994" spans="1:14" x14ac:dyDescent="0.35">
      <c r="A1994" s="1" t="s">
        <v>76</v>
      </c>
      <c r="B1994" s="1">
        <v>202404</v>
      </c>
      <c r="C1994" s="1" t="str">
        <f>MID(analisis_productividad__4[[#This Row],[Periodo]],1,4)</f>
        <v>2024</v>
      </c>
      <c r="D1994" s="1" t="str">
        <f>MID(analisis_productividad__4[[#This Row],[Periodo]],5,2)</f>
        <v>04</v>
      </c>
      <c r="E1994" s="1" t="s">
        <v>11</v>
      </c>
      <c r="F1994" s="1" t="s">
        <v>14</v>
      </c>
      <c r="G1994" s="1">
        <v>75618</v>
      </c>
      <c r="H1994" s="1">
        <v>5969341</v>
      </c>
      <c r="I1994" s="1">
        <v>78.940895833333371</v>
      </c>
      <c r="J1994" s="1">
        <v>0</v>
      </c>
      <c r="K1994" s="1">
        <v>80</v>
      </c>
      <c r="L1994" s="1">
        <v>78</v>
      </c>
      <c r="M1994" s="1"/>
      <c r="N1994" s="1">
        <v>0</v>
      </c>
    </row>
    <row r="1995" spans="1:14" x14ac:dyDescent="0.35">
      <c r="A1995" s="1" t="s">
        <v>33</v>
      </c>
      <c r="B1995" s="1">
        <v>202506</v>
      </c>
      <c r="C1995" s="1" t="str">
        <f>MID(analisis_productividad__4[[#This Row],[Periodo]],1,4)</f>
        <v>2025</v>
      </c>
      <c r="D1995" s="1" t="str">
        <f>MID(analisis_productividad__4[[#This Row],[Periodo]],5,2)</f>
        <v>06</v>
      </c>
      <c r="E1995" s="1" t="s">
        <v>34</v>
      </c>
      <c r="F1995" s="1" t="s">
        <v>35</v>
      </c>
      <c r="G1995" s="1">
        <v>75587</v>
      </c>
      <c r="H1995" s="1">
        <v>1012839</v>
      </c>
      <c r="I1995" s="1">
        <v>13.399701388888889</v>
      </c>
      <c r="J1995" s="1">
        <v>93000.894029512827</v>
      </c>
      <c r="K1995" s="1">
        <v>15</v>
      </c>
      <c r="L1995" s="1">
        <v>15</v>
      </c>
      <c r="M1995" s="1">
        <v>10.890634123136348</v>
      </c>
      <c r="N1995" s="1">
        <v>1088957</v>
      </c>
    </row>
    <row r="1996" spans="1:14" x14ac:dyDescent="0.35">
      <c r="A1996" s="1" t="s">
        <v>86</v>
      </c>
      <c r="B1996" s="1">
        <v>202406</v>
      </c>
      <c r="C1996" s="1" t="str">
        <f>MID(analisis_productividad__4[[#This Row],[Periodo]],1,4)</f>
        <v>2024</v>
      </c>
      <c r="D1996" s="1" t="str">
        <f>MID(analisis_productividad__4[[#This Row],[Periodo]],5,2)</f>
        <v>06</v>
      </c>
      <c r="E1996" s="1" t="s">
        <v>11</v>
      </c>
      <c r="F1996" s="1" t="s">
        <v>14</v>
      </c>
      <c r="G1996" s="1">
        <v>75568</v>
      </c>
      <c r="H1996" s="1">
        <v>4803306</v>
      </c>
      <c r="I1996" s="1">
        <v>63.562527777777788</v>
      </c>
      <c r="J1996" s="1">
        <v>0</v>
      </c>
      <c r="K1996" s="1">
        <v>69.5</v>
      </c>
      <c r="L1996" s="1">
        <v>59</v>
      </c>
      <c r="M1996" s="1"/>
      <c r="N1996" s="1">
        <v>0</v>
      </c>
    </row>
    <row r="1997" spans="1:14" x14ac:dyDescent="0.35">
      <c r="A1997" s="1" t="s">
        <v>97</v>
      </c>
      <c r="B1997" s="1">
        <v>202606</v>
      </c>
      <c r="C1997" s="1" t="str">
        <f>MID(analisis_productividad__4[[#This Row],[Periodo]],1,4)</f>
        <v>2026</v>
      </c>
      <c r="D1997" s="1" t="str">
        <f>MID(analisis_productividad__4[[#This Row],[Periodo]],5,2)</f>
        <v>06</v>
      </c>
      <c r="E1997" s="1" t="s">
        <v>11</v>
      </c>
      <c r="F1997" s="1" t="s">
        <v>12</v>
      </c>
      <c r="G1997" s="1">
        <v>75558</v>
      </c>
      <c r="H1997" s="1">
        <v>4235429</v>
      </c>
      <c r="I1997" s="1">
        <v>56.055368055555583</v>
      </c>
      <c r="J1997" s="1">
        <v>2.5598265104194331</v>
      </c>
      <c r="K1997" s="1">
        <v>66.5</v>
      </c>
      <c r="L1997" s="1">
        <v>63.5</v>
      </c>
      <c r="M1997" s="1">
        <v>54.652141241039438</v>
      </c>
      <c r="N1997" s="1">
        <v>140</v>
      </c>
    </row>
    <row r="1998" spans="1:14" x14ac:dyDescent="0.35">
      <c r="A1998" s="1" t="s">
        <v>74</v>
      </c>
      <c r="B1998" s="1">
        <v>202410</v>
      </c>
      <c r="C1998" s="1" t="str">
        <f>MID(analisis_productividad__4[[#This Row],[Periodo]],1,4)</f>
        <v>2024</v>
      </c>
      <c r="D1998" s="1" t="str">
        <f>MID(analisis_productividad__4[[#This Row],[Periodo]],5,2)</f>
        <v>10</v>
      </c>
      <c r="E1998" s="1" t="s">
        <v>16</v>
      </c>
      <c r="F1998" s="1" t="s">
        <v>19</v>
      </c>
      <c r="G1998" s="1">
        <v>75522</v>
      </c>
      <c r="H1998" s="1">
        <v>3457750</v>
      </c>
      <c r="I1998" s="1">
        <v>45.784751344086011</v>
      </c>
      <c r="J1998" s="1">
        <v>0</v>
      </c>
      <c r="K1998" s="1">
        <v>50.5</v>
      </c>
      <c r="L1998" s="1">
        <v>51.5</v>
      </c>
      <c r="M1998" s="1"/>
      <c r="N1998" s="1">
        <v>0</v>
      </c>
    </row>
    <row r="1999" spans="1:14" x14ac:dyDescent="0.35">
      <c r="A1999" s="1" t="s">
        <v>60</v>
      </c>
      <c r="B1999" s="1">
        <v>202509</v>
      </c>
      <c r="C1999" s="1" t="str">
        <f>MID(analisis_productividad__4[[#This Row],[Periodo]],1,4)</f>
        <v>2025</v>
      </c>
      <c r="D1999" s="1" t="str">
        <f>MID(analisis_productividad__4[[#This Row],[Periodo]],5,2)</f>
        <v>09</v>
      </c>
      <c r="E1999" s="1" t="s">
        <v>11</v>
      </c>
      <c r="F1999" s="1" t="s">
        <v>14</v>
      </c>
      <c r="G1999" s="1">
        <v>75499</v>
      </c>
      <c r="H1999" s="1">
        <v>4270063</v>
      </c>
      <c r="I1999" s="1">
        <v>56.558152777777792</v>
      </c>
      <c r="J1999" s="1">
        <v>79415.224967975548</v>
      </c>
      <c r="K1999" s="1">
        <v>75.5</v>
      </c>
      <c r="L1999" s="1">
        <v>74</v>
      </c>
      <c r="M1999" s="1">
        <v>53.768823946817719</v>
      </c>
      <c r="N1999" s="1">
        <v>6145122</v>
      </c>
    </row>
    <row r="2000" spans="1:14" x14ac:dyDescent="0.35">
      <c r="A2000" s="1" t="s">
        <v>106</v>
      </c>
      <c r="B2000" s="1">
        <v>202401</v>
      </c>
      <c r="C2000" s="1" t="str">
        <f>MID(analisis_productividad__4[[#This Row],[Periodo]],1,4)</f>
        <v>2024</v>
      </c>
      <c r="D2000" s="1" t="str">
        <f>MID(analisis_productividad__4[[#This Row],[Periodo]],5,2)</f>
        <v>01</v>
      </c>
      <c r="E2000" s="1" t="s">
        <v>34</v>
      </c>
      <c r="F2000" s="1" t="s">
        <v>35</v>
      </c>
      <c r="G2000" s="1">
        <v>75458</v>
      </c>
      <c r="H2000" s="1">
        <v>3253731</v>
      </c>
      <c r="I2000" s="1">
        <v>43.119529569892478</v>
      </c>
      <c r="J2000" s="1">
        <v>0</v>
      </c>
      <c r="K2000" s="1">
        <v>51</v>
      </c>
      <c r="L2000" s="1">
        <v>49</v>
      </c>
      <c r="M2000" s="1"/>
      <c r="N2000" s="1">
        <v>0</v>
      </c>
    </row>
    <row r="2001" spans="1:14" x14ac:dyDescent="0.35">
      <c r="A2001" s="1" t="s">
        <v>94</v>
      </c>
      <c r="B2001" s="1">
        <v>202501</v>
      </c>
      <c r="C2001" s="1" t="str">
        <f>MID(analisis_productividad__4[[#This Row],[Periodo]],1,4)</f>
        <v>2025</v>
      </c>
      <c r="D2001" s="1" t="str">
        <f>MID(analisis_productividad__4[[#This Row],[Periodo]],5,2)</f>
        <v>01</v>
      </c>
      <c r="E2001" s="1" t="s">
        <v>11</v>
      </c>
      <c r="F2001" s="1" t="s">
        <v>52</v>
      </c>
      <c r="G2001" s="1">
        <v>75403</v>
      </c>
      <c r="H2001" s="1">
        <v>4982684</v>
      </c>
      <c r="I2001" s="1">
        <v>66.080893817204284</v>
      </c>
      <c r="J2001" s="1">
        <v>72471.919261342962</v>
      </c>
      <c r="K2001" s="1">
        <v>75.5</v>
      </c>
      <c r="L2001" s="1">
        <v>70.5</v>
      </c>
      <c r="M2001" s="1">
        <v>68.753308740614514</v>
      </c>
      <c r="N2001" s="1">
        <v>5337107</v>
      </c>
    </row>
    <row r="2002" spans="1:14" x14ac:dyDescent="0.35">
      <c r="A2002" s="1" t="s">
        <v>83</v>
      </c>
      <c r="B2002" s="1">
        <v>202508</v>
      </c>
      <c r="C2002" s="1" t="str">
        <f>MID(analisis_productividad__4[[#This Row],[Periodo]],1,4)</f>
        <v>2025</v>
      </c>
      <c r="D2002" s="1" t="str">
        <f>MID(analisis_productividad__4[[#This Row],[Periodo]],5,2)</f>
        <v>08</v>
      </c>
      <c r="E2002" s="1" t="s">
        <v>16</v>
      </c>
      <c r="F2002" s="1" t="s">
        <v>17</v>
      </c>
      <c r="G2002" s="1">
        <v>75398</v>
      </c>
      <c r="H2002" s="1">
        <v>3420153</v>
      </c>
      <c r="I2002" s="1">
        <v>45.36108198924731</v>
      </c>
      <c r="J2002" s="1">
        <v>80549.075287554442</v>
      </c>
      <c r="K2002" s="1">
        <v>52</v>
      </c>
      <c r="L2002" s="1">
        <v>52</v>
      </c>
      <c r="M2002" s="1">
        <v>42.460488190463984</v>
      </c>
      <c r="N2002" s="1">
        <v>3529703</v>
      </c>
    </row>
    <row r="2003" spans="1:14" x14ac:dyDescent="0.35">
      <c r="A2003" s="1" t="s">
        <v>79</v>
      </c>
      <c r="B2003" s="1">
        <v>202410</v>
      </c>
      <c r="C2003" s="1" t="str">
        <f>MID(analisis_productividad__4[[#This Row],[Periodo]],1,4)</f>
        <v>2024</v>
      </c>
      <c r="D2003" s="1" t="str">
        <f>MID(analisis_productividad__4[[#This Row],[Periodo]],5,2)</f>
        <v>10</v>
      </c>
      <c r="E2003" s="1" t="s">
        <v>11</v>
      </c>
      <c r="F2003" s="1" t="s">
        <v>12</v>
      </c>
      <c r="G2003" s="1">
        <v>75380</v>
      </c>
      <c r="H2003" s="1">
        <v>4526479</v>
      </c>
      <c r="I2003" s="1">
        <v>60.048568548387088</v>
      </c>
      <c r="J2003" s="1">
        <v>0</v>
      </c>
      <c r="K2003" s="1">
        <v>64.5</v>
      </c>
      <c r="L2003" s="1">
        <v>64</v>
      </c>
      <c r="M2003" s="1"/>
      <c r="N2003" s="1">
        <v>0</v>
      </c>
    </row>
    <row r="2004" spans="1:14" x14ac:dyDescent="0.35">
      <c r="A2004" s="1" t="s">
        <v>77</v>
      </c>
      <c r="B2004" s="1">
        <v>202401</v>
      </c>
      <c r="C2004" s="1" t="str">
        <f>MID(analisis_productividad__4[[#This Row],[Periodo]],1,4)</f>
        <v>2024</v>
      </c>
      <c r="D2004" s="1" t="str">
        <f>MID(analisis_productividad__4[[#This Row],[Periodo]],5,2)</f>
        <v>01</v>
      </c>
      <c r="E2004" s="1" t="s">
        <v>16</v>
      </c>
      <c r="F2004" s="1" t="s">
        <v>21</v>
      </c>
      <c r="G2004" s="1">
        <v>75307</v>
      </c>
      <c r="H2004" s="1">
        <v>4858036</v>
      </c>
      <c r="I2004" s="1">
        <v>64.509798387096765</v>
      </c>
      <c r="J2004" s="1">
        <v>0</v>
      </c>
      <c r="K2004" s="1">
        <v>60.5</v>
      </c>
      <c r="L2004" s="1">
        <v>60.5</v>
      </c>
      <c r="M2004" s="1"/>
      <c r="N2004" s="1">
        <v>0</v>
      </c>
    </row>
    <row r="2005" spans="1:14" x14ac:dyDescent="0.35">
      <c r="A2005" s="1" t="s">
        <v>85</v>
      </c>
      <c r="B2005" s="1">
        <v>202604</v>
      </c>
      <c r="C2005" s="1" t="str">
        <f>MID(analisis_productividad__4[[#This Row],[Periodo]],1,4)</f>
        <v>2026</v>
      </c>
      <c r="D2005" s="1" t="str">
        <f>MID(analisis_productividad__4[[#This Row],[Periodo]],5,2)</f>
        <v>04</v>
      </c>
      <c r="E2005" s="1" t="s">
        <v>11</v>
      </c>
      <c r="F2005" s="1" t="s">
        <v>14</v>
      </c>
      <c r="G2005" s="1">
        <v>75292</v>
      </c>
      <c r="H2005" s="1">
        <v>3761302</v>
      </c>
      <c r="I2005" s="1">
        <v>49.956326388888876</v>
      </c>
      <c r="J2005" s="1">
        <v>69493.953135864271</v>
      </c>
      <c r="K2005" s="1">
        <v>60.5</v>
      </c>
      <c r="L2005" s="1">
        <v>57.5</v>
      </c>
      <c r="M2005" s="1">
        <v>51.161312105083525</v>
      </c>
      <c r="N2005" s="1">
        <v>3555402</v>
      </c>
    </row>
    <row r="2006" spans="1:14" x14ac:dyDescent="0.35">
      <c r="A2006" s="1" t="s">
        <v>95</v>
      </c>
      <c r="B2006" s="1">
        <v>202512</v>
      </c>
      <c r="C2006" s="1" t="str">
        <f>MID(analisis_productividad__4[[#This Row],[Periodo]],1,4)</f>
        <v>2025</v>
      </c>
      <c r="D2006" s="1" t="str">
        <f>MID(analisis_productividad__4[[#This Row],[Periodo]],5,2)</f>
        <v>12</v>
      </c>
      <c r="E2006" s="1" t="s">
        <v>9</v>
      </c>
      <c r="F2006" s="1" t="s">
        <v>9</v>
      </c>
      <c r="G2006" s="1">
        <v>75291</v>
      </c>
      <c r="H2006" s="1">
        <v>823043</v>
      </c>
      <c r="I2006" s="1">
        <v>10.931478494623649</v>
      </c>
      <c r="J2006" s="1">
        <v>76994.781998471823</v>
      </c>
      <c r="K2006" s="1">
        <v>11</v>
      </c>
      <c r="L2006" s="1">
        <v>11</v>
      </c>
      <c r="M2006" s="1">
        <v>10.689595562675086</v>
      </c>
      <c r="N2006" s="1">
        <v>915150</v>
      </c>
    </row>
    <row r="2007" spans="1:14" x14ac:dyDescent="0.35">
      <c r="A2007" s="1" t="s">
        <v>106</v>
      </c>
      <c r="B2007" s="1">
        <v>202605</v>
      </c>
      <c r="C2007" s="1" t="str">
        <f>MID(analisis_productividad__4[[#This Row],[Periodo]],1,4)</f>
        <v>2026</v>
      </c>
      <c r="D2007" s="1" t="str">
        <f>MID(analisis_productividad__4[[#This Row],[Periodo]],5,2)</f>
        <v>05</v>
      </c>
      <c r="E2007" s="1" t="s">
        <v>34</v>
      </c>
      <c r="F2007" s="1" t="s">
        <v>35</v>
      </c>
      <c r="G2007" s="1">
        <v>75267</v>
      </c>
      <c r="H2007" s="1">
        <v>3314037</v>
      </c>
      <c r="I2007" s="1">
        <v>44.030517473118664</v>
      </c>
      <c r="J2007" s="1">
        <v>78303.04922423698</v>
      </c>
      <c r="K2007" s="1">
        <v>51</v>
      </c>
      <c r="L2007" s="1">
        <v>49</v>
      </c>
      <c r="M2007" s="1">
        <v>41.451897990651069</v>
      </c>
      <c r="N2007" s="1">
        <v>3245810</v>
      </c>
    </row>
    <row r="2008" spans="1:14" x14ac:dyDescent="0.35">
      <c r="A2008" s="1" t="s">
        <v>86</v>
      </c>
      <c r="B2008" s="1">
        <v>202411</v>
      </c>
      <c r="C2008" s="1" t="str">
        <f>MID(analisis_productividad__4[[#This Row],[Periodo]],1,4)</f>
        <v>2024</v>
      </c>
      <c r="D2008" s="1" t="str">
        <f>MID(analisis_productividad__4[[#This Row],[Periodo]],5,2)</f>
        <v>11</v>
      </c>
      <c r="E2008" s="1" t="s">
        <v>11</v>
      </c>
      <c r="F2008" s="1" t="s">
        <v>14</v>
      </c>
      <c r="G2008" s="1">
        <v>75261</v>
      </c>
      <c r="H2008" s="1">
        <v>4689421</v>
      </c>
      <c r="I2008" s="1">
        <v>62.309138888888882</v>
      </c>
      <c r="J2008" s="1">
        <v>0</v>
      </c>
      <c r="K2008" s="1">
        <v>69.5</v>
      </c>
      <c r="L2008" s="1">
        <v>59</v>
      </c>
      <c r="M2008" s="1"/>
      <c r="N2008" s="1">
        <v>0</v>
      </c>
    </row>
    <row r="2009" spans="1:14" x14ac:dyDescent="0.35">
      <c r="A2009" s="1" t="s">
        <v>86</v>
      </c>
      <c r="B2009" s="1">
        <v>202410</v>
      </c>
      <c r="C2009" s="1" t="str">
        <f>MID(analisis_productividad__4[[#This Row],[Periodo]],1,4)</f>
        <v>2024</v>
      </c>
      <c r="D2009" s="1" t="str">
        <f>MID(analisis_productividad__4[[#This Row],[Periodo]],5,2)</f>
        <v>10</v>
      </c>
      <c r="E2009" s="1" t="s">
        <v>11</v>
      </c>
      <c r="F2009" s="1" t="s">
        <v>14</v>
      </c>
      <c r="G2009" s="1">
        <v>75246</v>
      </c>
      <c r="H2009" s="1">
        <v>4393749</v>
      </c>
      <c r="I2009" s="1">
        <v>58.391854838709662</v>
      </c>
      <c r="J2009" s="1">
        <v>0</v>
      </c>
      <c r="K2009" s="1">
        <v>69.5</v>
      </c>
      <c r="L2009" s="1">
        <v>59</v>
      </c>
      <c r="M2009" s="1"/>
      <c r="N2009" s="1">
        <v>0</v>
      </c>
    </row>
    <row r="2010" spans="1:14" x14ac:dyDescent="0.35">
      <c r="A2010" s="1" t="s">
        <v>82</v>
      </c>
      <c r="B2010" s="1">
        <v>202604</v>
      </c>
      <c r="C2010" s="1" t="str">
        <f>MID(analisis_productividad__4[[#This Row],[Periodo]],1,4)</f>
        <v>2026</v>
      </c>
      <c r="D2010" s="1" t="str">
        <f>MID(analisis_productividad__4[[#This Row],[Periodo]],5,2)</f>
        <v>04</v>
      </c>
      <c r="E2010" s="1" t="s">
        <v>11</v>
      </c>
      <c r="F2010" s="1" t="s">
        <v>12</v>
      </c>
      <c r="G2010" s="1">
        <v>75212</v>
      </c>
      <c r="H2010" s="1">
        <v>3956770</v>
      </c>
      <c r="I2010" s="1">
        <v>52.60815972222192</v>
      </c>
      <c r="J2010" s="1">
        <v>88970.061869668774</v>
      </c>
      <c r="K2010" s="1">
        <v>53.5</v>
      </c>
      <c r="L2010" s="1">
        <v>54</v>
      </c>
      <c r="M2010" s="1">
        <v>47.165198395018514</v>
      </c>
      <c r="N2010" s="1">
        <v>4196291</v>
      </c>
    </row>
    <row r="2011" spans="1:14" x14ac:dyDescent="0.35">
      <c r="A2011" s="1" t="s">
        <v>100</v>
      </c>
      <c r="B2011" s="1">
        <v>202510</v>
      </c>
      <c r="C2011" s="1" t="str">
        <f>MID(analisis_productividad__4[[#This Row],[Periodo]],1,4)</f>
        <v>2025</v>
      </c>
      <c r="D2011" s="1" t="str">
        <f>MID(analisis_productividad__4[[#This Row],[Periodo]],5,2)</f>
        <v>10</v>
      </c>
      <c r="E2011" s="1" t="s">
        <v>34</v>
      </c>
      <c r="F2011" s="1" t="s">
        <v>35</v>
      </c>
      <c r="G2011" s="1">
        <v>75209</v>
      </c>
      <c r="H2011" s="1">
        <v>2406773</v>
      </c>
      <c r="I2011" s="1">
        <v>32.001196236559132</v>
      </c>
      <c r="J2011" s="1">
        <v>68801.436131002294</v>
      </c>
      <c r="K2011" s="1">
        <v>44</v>
      </c>
      <c r="L2011" s="1">
        <v>40.5</v>
      </c>
      <c r="M2011" s="1">
        <v>34.981429390766671</v>
      </c>
      <c r="N2011" s="1">
        <v>2841235</v>
      </c>
    </row>
    <row r="2012" spans="1:14" x14ac:dyDescent="0.35">
      <c r="A2012" s="1" t="s">
        <v>120</v>
      </c>
      <c r="B2012" s="1">
        <v>202401</v>
      </c>
      <c r="C2012" s="1" t="str">
        <f>MID(analisis_productividad__4[[#This Row],[Periodo]],1,4)</f>
        <v>2024</v>
      </c>
      <c r="D2012" s="1" t="str">
        <f>MID(analisis_productividad__4[[#This Row],[Periodo]],5,2)</f>
        <v>01</v>
      </c>
      <c r="E2012" s="1" t="s">
        <v>9</v>
      </c>
      <c r="F2012" s="1" t="s">
        <v>9</v>
      </c>
      <c r="G2012" s="1">
        <v>75188</v>
      </c>
      <c r="H2012" s="1">
        <v>815353</v>
      </c>
      <c r="I2012" s="1">
        <v>10.844119623655914</v>
      </c>
      <c r="J2012" s="1">
        <v>0</v>
      </c>
      <c r="K2012" s="1">
        <v>11.5</v>
      </c>
      <c r="L2012" s="1">
        <v>12</v>
      </c>
      <c r="M2012" s="1"/>
      <c r="N2012" s="1">
        <v>0</v>
      </c>
    </row>
    <row r="2013" spans="1:14" x14ac:dyDescent="0.35">
      <c r="A2013" s="1" t="s">
        <v>48</v>
      </c>
      <c r="B2013" s="1">
        <v>202401</v>
      </c>
      <c r="C2013" s="1" t="str">
        <f>MID(analisis_productividad__4[[#This Row],[Periodo]],1,4)</f>
        <v>2024</v>
      </c>
      <c r="D2013" s="1" t="str">
        <f>MID(analisis_productividad__4[[#This Row],[Periodo]],5,2)</f>
        <v>01</v>
      </c>
      <c r="E2013" s="1" t="s">
        <v>16</v>
      </c>
      <c r="F2013" s="1" t="s">
        <v>21</v>
      </c>
      <c r="G2013" s="1">
        <v>75180</v>
      </c>
      <c r="H2013" s="1">
        <v>4364031</v>
      </c>
      <c r="I2013" s="1">
        <v>58.047876344086013</v>
      </c>
      <c r="J2013" s="1">
        <v>0</v>
      </c>
      <c r="K2013" s="1">
        <v>56</v>
      </c>
      <c r="L2013" s="1">
        <v>60</v>
      </c>
      <c r="M2013" s="1"/>
      <c r="N2013" s="1">
        <v>0</v>
      </c>
    </row>
    <row r="2014" spans="1:14" x14ac:dyDescent="0.35">
      <c r="A2014" s="1" t="s">
        <v>108</v>
      </c>
      <c r="B2014" s="1">
        <v>202603</v>
      </c>
      <c r="C2014" s="1" t="str">
        <f>MID(analisis_productividad__4[[#This Row],[Periodo]],1,4)</f>
        <v>2026</v>
      </c>
      <c r="D2014" s="1" t="str">
        <f>MID(analisis_productividad__4[[#This Row],[Periodo]],5,2)</f>
        <v>03</v>
      </c>
      <c r="E2014" s="1" t="s">
        <v>11</v>
      </c>
      <c r="F2014" s="1" t="s">
        <v>14</v>
      </c>
      <c r="G2014" s="1">
        <v>75155</v>
      </c>
      <c r="H2014" s="1">
        <v>3314990</v>
      </c>
      <c r="I2014" s="1">
        <v>44.108561827957004</v>
      </c>
      <c r="J2014" s="1">
        <v>84795.749823371763</v>
      </c>
      <c r="K2014" s="1">
        <v>47.5</v>
      </c>
      <c r="L2014" s="1">
        <v>43</v>
      </c>
      <c r="M2014" s="1">
        <v>41.487905995618128</v>
      </c>
      <c r="N2014" s="1">
        <v>3517998</v>
      </c>
    </row>
    <row r="2015" spans="1:14" x14ac:dyDescent="0.35">
      <c r="A2015" s="1" t="s">
        <v>41</v>
      </c>
      <c r="B2015" s="1">
        <v>202409</v>
      </c>
      <c r="C2015" s="1" t="str">
        <f>MID(analisis_productividad__4[[#This Row],[Periodo]],1,4)</f>
        <v>2024</v>
      </c>
      <c r="D2015" s="1" t="str">
        <f>MID(analisis_productividad__4[[#This Row],[Periodo]],5,2)</f>
        <v>09</v>
      </c>
      <c r="E2015" s="1" t="s">
        <v>16</v>
      </c>
      <c r="F2015" s="1" t="s">
        <v>19</v>
      </c>
      <c r="G2015" s="1">
        <v>75145</v>
      </c>
      <c r="H2015" s="1">
        <v>4052969</v>
      </c>
      <c r="I2015" s="1">
        <v>53.935388888888895</v>
      </c>
      <c r="J2015" s="1">
        <v>0</v>
      </c>
      <c r="K2015" s="1">
        <v>57.5</v>
      </c>
      <c r="L2015" s="1">
        <v>56.5</v>
      </c>
      <c r="M2015" s="1"/>
      <c r="N2015" s="1">
        <v>0</v>
      </c>
    </row>
    <row r="2016" spans="1:14" x14ac:dyDescent="0.35">
      <c r="A2016" s="1" t="s">
        <v>72</v>
      </c>
      <c r="B2016" s="1">
        <v>202404</v>
      </c>
      <c r="C2016" s="1" t="str">
        <f>MID(analisis_productividad__4[[#This Row],[Periodo]],1,4)</f>
        <v>2024</v>
      </c>
      <c r="D2016" s="1" t="str">
        <f>MID(analisis_productividad__4[[#This Row],[Periodo]],5,2)</f>
        <v>04</v>
      </c>
      <c r="E2016" s="1" t="s">
        <v>11</v>
      </c>
      <c r="F2016" s="1" t="s">
        <v>14</v>
      </c>
      <c r="G2016" s="1">
        <v>75114</v>
      </c>
      <c r="H2016" s="1">
        <v>4834626</v>
      </c>
      <c r="I2016" s="1">
        <v>64.363784722222221</v>
      </c>
      <c r="J2016" s="1">
        <v>0</v>
      </c>
      <c r="K2016" s="1">
        <v>66</v>
      </c>
      <c r="L2016" s="1">
        <v>64.5</v>
      </c>
      <c r="M2016" s="1"/>
      <c r="N2016" s="1">
        <v>0</v>
      </c>
    </row>
    <row r="2017" spans="1:14" x14ac:dyDescent="0.35">
      <c r="A2017" s="1" t="s">
        <v>90</v>
      </c>
      <c r="B2017" s="1">
        <v>202403</v>
      </c>
      <c r="C2017" s="1" t="str">
        <f>MID(analisis_productividad__4[[#This Row],[Periodo]],1,4)</f>
        <v>2024</v>
      </c>
      <c r="D2017" s="1" t="str">
        <f>MID(analisis_productividad__4[[#This Row],[Periodo]],5,2)</f>
        <v>03</v>
      </c>
      <c r="E2017" s="1" t="s">
        <v>11</v>
      </c>
      <c r="F2017" s="1" t="s">
        <v>14</v>
      </c>
      <c r="G2017" s="1">
        <v>75070</v>
      </c>
      <c r="H2017" s="1">
        <v>6217800</v>
      </c>
      <c r="I2017" s="1">
        <v>82.827123655913979</v>
      </c>
      <c r="J2017" s="1">
        <v>0</v>
      </c>
      <c r="K2017" s="1">
        <v>84.5</v>
      </c>
      <c r="L2017" s="1">
        <v>78.5</v>
      </c>
      <c r="M2017" s="1"/>
      <c r="N2017" s="1">
        <v>0</v>
      </c>
    </row>
    <row r="2018" spans="1:14" x14ac:dyDescent="0.35">
      <c r="A2018" s="1" t="s">
        <v>86</v>
      </c>
      <c r="B2018" s="1">
        <v>202401</v>
      </c>
      <c r="C2018" s="1" t="str">
        <f>MID(analisis_productividad__4[[#This Row],[Periodo]],1,4)</f>
        <v>2024</v>
      </c>
      <c r="D2018" s="1" t="str">
        <f>MID(analisis_productividad__4[[#This Row],[Periodo]],5,2)</f>
        <v>01</v>
      </c>
      <c r="E2018" s="1" t="s">
        <v>11</v>
      </c>
      <c r="F2018" s="1" t="s">
        <v>14</v>
      </c>
      <c r="G2018" s="1">
        <v>75059</v>
      </c>
      <c r="H2018" s="1">
        <v>4709411</v>
      </c>
      <c r="I2018" s="1">
        <v>62.742533602150552</v>
      </c>
      <c r="J2018" s="1">
        <v>0</v>
      </c>
      <c r="K2018" s="1">
        <v>69.5</v>
      </c>
      <c r="L2018" s="1">
        <v>59</v>
      </c>
      <c r="M2018" s="1"/>
      <c r="N2018" s="1">
        <v>0</v>
      </c>
    </row>
    <row r="2019" spans="1:14" x14ac:dyDescent="0.35">
      <c r="A2019" s="1" t="s">
        <v>69</v>
      </c>
      <c r="B2019" s="1">
        <v>202405</v>
      </c>
      <c r="C2019" s="1" t="str">
        <f>MID(analisis_productividad__4[[#This Row],[Periodo]],1,4)</f>
        <v>2024</v>
      </c>
      <c r="D2019" s="1" t="str">
        <f>MID(analisis_productividad__4[[#This Row],[Periodo]],5,2)</f>
        <v>05</v>
      </c>
      <c r="E2019" s="1" t="s">
        <v>11</v>
      </c>
      <c r="F2019" s="1" t="s">
        <v>52</v>
      </c>
      <c r="G2019" s="1">
        <v>75058</v>
      </c>
      <c r="H2019" s="1">
        <v>4748738</v>
      </c>
      <c r="I2019" s="1">
        <v>63.267674731182815</v>
      </c>
      <c r="J2019" s="1">
        <v>0</v>
      </c>
      <c r="K2019" s="1">
        <v>68</v>
      </c>
      <c r="L2019" s="1">
        <v>60.5</v>
      </c>
      <c r="M2019" s="1"/>
      <c r="N2019" s="1">
        <v>0</v>
      </c>
    </row>
    <row r="2020" spans="1:14" x14ac:dyDescent="0.35">
      <c r="A2020" s="1" t="s">
        <v>91</v>
      </c>
      <c r="B2020" s="1">
        <v>202410</v>
      </c>
      <c r="C2020" s="1" t="str">
        <f>MID(analisis_productividad__4[[#This Row],[Periodo]],1,4)</f>
        <v>2024</v>
      </c>
      <c r="D2020" s="1" t="str">
        <f>MID(analisis_productividad__4[[#This Row],[Periodo]],5,2)</f>
        <v>10</v>
      </c>
      <c r="E2020" s="1" t="s">
        <v>11</v>
      </c>
      <c r="F2020" s="1" t="s">
        <v>12</v>
      </c>
      <c r="G2020" s="1">
        <v>75005</v>
      </c>
      <c r="H2020" s="1">
        <v>3631068</v>
      </c>
      <c r="I2020" s="1">
        <v>48.410974462365566</v>
      </c>
      <c r="J2020" s="1">
        <v>0</v>
      </c>
      <c r="K2020" s="1">
        <v>55</v>
      </c>
      <c r="L2020" s="1">
        <v>55.5</v>
      </c>
      <c r="M2020" s="1"/>
      <c r="N2020" s="1">
        <v>0</v>
      </c>
    </row>
    <row r="2021" spans="1:14" x14ac:dyDescent="0.35">
      <c r="A2021" s="1" t="s">
        <v>66</v>
      </c>
      <c r="B2021" s="1">
        <v>202405</v>
      </c>
      <c r="C2021" s="1" t="str">
        <f>MID(analisis_productividad__4[[#This Row],[Periodo]],1,4)</f>
        <v>2024</v>
      </c>
      <c r="D2021" s="1" t="str">
        <f>MID(analisis_productividad__4[[#This Row],[Periodo]],5,2)</f>
        <v>05</v>
      </c>
      <c r="E2021" s="1" t="s">
        <v>11</v>
      </c>
      <c r="F2021" s="1" t="s">
        <v>12</v>
      </c>
      <c r="G2021" s="1">
        <v>74979</v>
      </c>
      <c r="H2021" s="1">
        <v>5849534</v>
      </c>
      <c r="I2021" s="1">
        <v>78.015893817204329</v>
      </c>
      <c r="J2021" s="1">
        <v>0</v>
      </c>
      <c r="K2021" s="1">
        <v>80</v>
      </c>
      <c r="L2021" s="1">
        <v>80.5</v>
      </c>
      <c r="M2021" s="1"/>
      <c r="N2021" s="1">
        <v>0</v>
      </c>
    </row>
    <row r="2022" spans="1:14" x14ac:dyDescent="0.35">
      <c r="A2022" s="1" t="s">
        <v>92</v>
      </c>
      <c r="B2022" s="1">
        <v>202511</v>
      </c>
      <c r="C2022" s="1" t="str">
        <f>MID(analisis_productividad__4[[#This Row],[Periodo]],1,4)</f>
        <v>2025</v>
      </c>
      <c r="D2022" s="1" t="str">
        <f>MID(analisis_productividad__4[[#This Row],[Periodo]],5,2)</f>
        <v>11</v>
      </c>
      <c r="E2022" s="1" t="s">
        <v>11</v>
      </c>
      <c r="F2022" s="1" t="s">
        <v>14</v>
      </c>
      <c r="G2022" s="1">
        <v>74944</v>
      </c>
      <c r="H2022" s="1">
        <v>3676394</v>
      </c>
      <c r="I2022" s="1">
        <v>49.054930555555586</v>
      </c>
      <c r="J2022" s="1">
        <v>65205.360973275463</v>
      </c>
      <c r="K2022" s="1">
        <v>63</v>
      </c>
      <c r="L2022" s="1">
        <v>59</v>
      </c>
      <c r="M2022" s="1">
        <v>56.381776208658323</v>
      </c>
      <c r="N2022" s="1">
        <v>3848820</v>
      </c>
    </row>
    <row r="2023" spans="1:14" x14ac:dyDescent="0.35">
      <c r="A2023" s="1" t="s">
        <v>42</v>
      </c>
      <c r="B2023" s="1">
        <v>202409</v>
      </c>
      <c r="C2023" s="1" t="str">
        <f>MID(analisis_productividad__4[[#This Row],[Periodo]],1,4)</f>
        <v>2024</v>
      </c>
      <c r="D2023" s="1" t="str">
        <f>MID(analisis_productividad__4[[#This Row],[Periodo]],5,2)</f>
        <v>09</v>
      </c>
      <c r="E2023" s="1" t="s">
        <v>16</v>
      </c>
      <c r="F2023" s="1" t="s">
        <v>19</v>
      </c>
      <c r="G2023" s="1">
        <v>74936</v>
      </c>
      <c r="H2023" s="1">
        <v>4322746</v>
      </c>
      <c r="I2023" s="1">
        <v>57.685784722222223</v>
      </c>
      <c r="J2023" s="1">
        <v>0</v>
      </c>
      <c r="K2023" s="1">
        <v>62</v>
      </c>
      <c r="L2023" s="1">
        <v>58</v>
      </c>
      <c r="M2023" s="1"/>
      <c r="N2023" s="1">
        <v>0</v>
      </c>
    </row>
    <row r="2024" spans="1:14" x14ac:dyDescent="0.35">
      <c r="A2024" s="1" t="s">
        <v>90</v>
      </c>
      <c r="B2024" s="1">
        <v>202504</v>
      </c>
      <c r="C2024" s="1" t="str">
        <f>MID(analisis_productividad__4[[#This Row],[Periodo]],1,4)</f>
        <v>2025</v>
      </c>
      <c r="D2024" s="1" t="str">
        <f>MID(analisis_productividad__4[[#This Row],[Periodo]],5,2)</f>
        <v>04</v>
      </c>
      <c r="E2024" s="1" t="s">
        <v>11</v>
      </c>
      <c r="F2024" s="1" t="s">
        <v>14</v>
      </c>
      <c r="G2024" s="1">
        <v>74928</v>
      </c>
      <c r="H2024" s="1">
        <v>5580085</v>
      </c>
      <c r="I2024" s="1">
        <v>74.472756944444441</v>
      </c>
      <c r="J2024" s="1">
        <v>64918.422470237027</v>
      </c>
      <c r="K2024" s="1">
        <v>84.5</v>
      </c>
      <c r="L2024" s="1">
        <v>78.5</v>
      </c>
      <c r="M2024" s="1">
        <v>85.955333134570338</v>
      </c>
      <c r="N2024" s="1">
        <v>6018322</v>
      </c>
    </row>
    <row r="2025" spans="1:14" x14ac:dyDescent="0.35">
      <c r="A2025" s="1" t="s">
        <v>106</v>
      </c>
      <c r="B2025" s="1">
        <v>202408</v>
      </c>
      <c r="C2025" s="1" t="str">
        <f>MID(analisis_productividad__4[[#This Row],[Periodo]],1,4)</f>
        <v>2024</v>
      </c>
      <c r="D2025" s="1" t="str">
        <f>MID(analisis_productividad__4[[#This Row],[Periodo]],5,2)</f>
        <v>08</v>
      </c>
      <c r="E2025" s="1" t="s">
        <v>34</v>
      </c>
      <c r="F2025" s="1" t="s">
        <v>35</v>
      </c>
      <c r="G2025" s="1">
        <v>74928</v>
      </c>
      <c r="H2025" s="1">
        <v>3355617</v>
      </c>
      <c r="I2025" s="1">
        <v>44.784711021505373</v>
      </c>
      <c r="J2025" s="1">
        <v>0</v>
      </c>
      <c r="K2025" s="1">
        <v>51</v>
      </c>
      <c r="L2025" s="1">
        <v>49</v>
      </c>
      <c r="M2025" s="1"/>
      <c r="N2025" s="1">
        <v>0</v>
      </c>
    </row>
    <row r="2026" spans="1:14" x14ac:dyDescent="0.35">
      <c r="A2026" s="1" t="s">
        <v>42</v>
      </c>
      <c r="B2026" s="1">
        <v>202506</v>
      </c>
      <c r="C2026" s="1" t="str">
        <f>MID(analisis_productividad__4[[#This Row],[Periodo]],1,4)</f>
        <v>2025</v>
      </c>
      <c r="D2026" s="1" t="str">
        <f>MID(analisis_productividad__4[[#This Row],[Periodo]],5,2)</f>
        <v>06</v>
      </c>
      <c r="E2026" s="1" t="s">
        <v>16</v>
      </c>
      <c r="F2026" s="1" t="s">
        <v>19</v>
      </c>
      <c r="G2026" s="1">
        <v>74908</v>
      </c>
      <c r="H2026" s="1">
        <v>4512287</v>
      </c>
      <c r="I2026" s="1">
        <v>60.237673611111141</v>
      </c>
      <c r="J2026" s="1">
        <v>79698.670714802254</v>
      </c>
      <c r="K2026" s="1">
        <v>62</v>
      </c>
      <c r="L2026" s="1">
        <v>58</v>
      </c>
      <c r="M2026" s="1">
        <v>56.616839020402175</v>
      </c>
      <c r="N2026" s="1">
        <v>4878582</v>
      </c>
    </row>
    <row r="2027" spans="1:14" x14ac:dyDescent="0.35">
      <c r="A2027" s="1" t="s">
        <v>82</v>
      </c>
      <c r="B2027" s="1">
        <v>202602</v>
      </c>
      <c r="C2027" s="1" t="str">
        <f>MID(analisis_productividad__4[[#This Row],[Periodo]],1,4)</f>
        <v>2026</v>
      </c>
      <c r="D2027" s="1" t="str">
        <f>MID(analisis_productividad__4[[#This Row],[Periodo]],5,2)</f>
        <v>02</v>
      </c>
      <c r="E2027" s="1" t="s">
        <v>11</v>
      </c>
      <c r="F2027" s="1" t="s">
        <v>12</v>
      </c>
      <c r="G2027" s="1">
        <v>74810</v>
      </c>
      <c r="H2027" s="1">
        <v>3908547</v>
      </c>
      <c r="I2027" s="1">
        <v>52.246510416666659</v>
      </c>
      <c r="J2027" s="1">
        <v>78197.936332428129</v>
      </c>
      <c r="K2027" s="1">
        <v>53.5</v>
      </c>
      <c r="L2027" s="1">
        <v>54</v>
      </c>
      <c r="M2027" s="1">
        <v>47.165198395018514</v>
      </c>
      <c r="N2027" s="1">
        <v>3688221</v>
      </c>
    </row>
    <row r="2028" spans="1:14" x14ac:dyDescent="0.35">
      <c r="A2028" s="1" t="s">
        <v>82</v>
      </c>
      <c r="B2028" s="1">
        <v>202411</v>
      </c>
      <c r="C2028" s="1" t="str">
        <f>MID(analisis_productividad__4[[#This Row],[Periodo]],1,4)</f>
        <v>2024</v>
      </c>
      <c r="D2028" s="1" t="str">
        <f>MID(analisis_productividad__4[[#This Row],[Periodo]],5,2)</f>
        <v>11</v>
      </c>
      <c r="E2028" s="1" t="s">
        <v>11</v>
      </c>
      <c r="F2028" s="1" t="s">
        <v>12</v>
      </c>
      <c r="G2028" s="1">
        <v>74806</v>
      </c>
      <c r="H2028" s="1">
        <v>3985576</v>
      </c>
      <c r="I2028" s="1">
        <v>53.278652777777779</v>
      </c>
      <c r="J2028" s="1">
        <v>0</v>
      </c>
      <c r="K2028" s="1">
        <v>53.5</v>
      </c>
      <c r="L2028" s="1">
        <v>54</v>
      </c>
      <c r="M2028" s="1"/>
      <c r="N2028" s="1">
        <v>0</v>
      </c>
    </row>
    <row r="2029" spans="1:14" x14ac:dyDescent="0.35">
      <c r="A2029" s="1" t="s">
        <v>95</v>
      </c>
      <c r="B2029" s="1">
        <v>202410</v>
      </c>
      <c r="C2029" s="1" t="str">
        <f>MID(analisis_productividad__4[[#This Row],[Periodo]],1,4)</f>
        <v>2024</v>
      </c>
      <c r="D2029" s="1" t="str">
        <f>MID(analisis_productividad__4[[#This Row],[Periodo]],5,2)</f>
        <v>10</v>
      </c>
      <c r="E2029" s="1" t="s">
        <v>9</v>
      </c>
      <c r="F2029" s="1" t="s">
        <v>9</v>
      </c>
      <c r="G2029" s="1">
        <v>74722</v>
      </c>
      <c r="H2029" s="1">
        <v>638661</v>
      </c>
      <c r="I2029" s="1">
        <v>8.547197580645161</v>
      </c>
      <c r="J2029" s="1">
        <v>0</v>
      </c>
      <c r="K2029" s="1">
        <v>11</v>
      </c>
      <c r="L2029" s="1">
        <v>11</v>
      </c>
      <c r="M2029" s="1"/>
      <c r="N2029" s="1">
        <v>0</v>
      </c>
    </row>
    <row r="2030" spans="1:14" x14ac:dyDescent="0.35">
      <c r="A2030" s="1" t="s">
        <v>78</v>
      </c>
      <c r="B2030" s="1">
        <v>202401</v>
      </c>
      <c r="C2030" s="1" t="str">
        <f>MID(analisis_productividad__4[[#This Row],[Periodo]],1,4)</f>
        <v>2024</v>
      </c>
      <c r="D2030" s="1" t="str">
        <f>MID(analisis_productividad__4[[#This Row],[Periodo]],5,2)</f>
        <v>01</v>
      </c>
      <c r="E2030" s="1" t="s">
        <v>11</v>
      </c>
      <c r="F2030" s="1" t="s">
        <v>14</v>
      </c>
      <c r="G2030" s="1">
        <v>74669</v>
      </c>
      <c r="H2030" s="1">
        <v>4759244</v>
      </c>
      <c r="I2030" s="1">
        <v>63.738010752688211</v>
      </c>
      <c r="J2030" s="1">
        <v>0</v>
      </c>
      <c r="K2030" s="1">
        <v>79.5</v>
      </c>
      <c r="L2030" s="1">
        <v>67</v>
      </c>
      <c r="M2030" s="1"/>
      <c r="N2030" s="1">
        <v>0</v>
      </c>
    </row>
    <row r="2031" spans="1:14" x14ac:dyDescent="0.35">
      <c r="A2031" s="1" t="s">
        <v>106</v>
      </c>
      <c r="B2031" s="1">
        <v>202604</v>
      </c>
      <c r="C2031" s="1" t="str">
        <f>MID(analisis_productividad__4[[#This Row],[Periodo]],1,4)</f>
        <v>2026</v>
      </c>
      <c r="D2031" s="1" t="str">
        <f>MID(analisis_productividad__4[[#This Row],[Periodo]],5,2)</f>
        <v>04</v>
      </c>
      <c r="E2031" s="1" t="s">
        <v>34</v>
      </c>
      <c r="F2031" s="1" t="s">
        <v>35</v>
      </c>
      <c r="G2031" s="1">
        <v>74649</v>
      </c>
      <c r="H2031" s="1">
        <v>3272377</v>
      </c>
      <c r="I2031" s="1">
        <v>43.836576388888751</v>
      </c>
      <c r="J2031" s="1">
        <v>78220.6883972184</v>
      </c>
      <c r="K2031" s="1">
        <v>51</v>
      </c>
      <c r="L2031" s="1">
        <v>49</v>
      </c>
      <c r="M2031" s="1">
        <v>41.451897990651069</v>
      </c>
      <c r="N2031" s="1">
        <v>3242396</v>
      </c>
    </row>
    <row r="2032" spans="1:14" x14ac:dyDescent="0.35">
      <c r="A2032" s="1" t="s">
        <v>89</v>
      </c>
      <c r="B2032" s="1">
        <v>202503</v>
      </c>
      <c r="C2032" s="1" t="str">
        <f>MID(analisis_productividad__4[[#This Row],[Periodo]],1,4)</f>
        <v>2025</v>
      </c>
      <c r="D2032" s="1" t="str">
        <f>MID(analisis_productividad__4[[#This Row],[Periodo]],5,2)</f>
        <v>03</v>
      </c>
      <c r="E2032" s="1" t="s">
        <v>9</v>
      </c>
      <c r="F2032" s="1" t="s">
        <v>9</v>
      </c>
      <c r="G2032" s="1">
        <v>74643</v>
      </c>
      <c r="H2032" s="1">
        <v>1087934</v>
      </c>
      <c r="I2032" s="1">
        <v>14.575241935483872</v>
      </c>
      <c r="J2032" s="1">
        <v>70365.775449378445</v>
      </c>
      <c r="K2032" s="1">
        <v>17</v>
      </c>
      <c r="L2032" s="1">
        <v>13.5</v>
      </c>
      <c r="M2032" s="1">
        <v>15.461124005983081</v>
      </c>
      <c r="N2032" s="1">
        <v>1168364</v>
      </c>
    </row>
    <row r="2033" spans="1:14" x14ac:dyDescent="0.35">
      <c r="A2033" s="1" t="s">
        <v>86</v>
      </c>
      <c r="B2033" s="1">
        <v>202508</v>
      </c>
      <c r="C2033" s="1" t="str">
        <f>MID(analisis_productividad__4[[#This Row],[Periodo]],1,4)</f>
        <v>2025</v>
      </c>
      <c r="D2033" s="1" t="str">
        <f>MID(analisis_productividad__4[[#This Row],[Periodo]],5,2)</f>
        <v>08</v>
      </c>
      <c r="E2033" s="1" t="s">
        <v>11</v>
      </c>
      <c r="F2033" s="1" t="s">
        <v>14</v>
      </c>
      <c r="G2033" s="1">
        <v>74609</v>
      </c>
      <c r="H2033" s="1">
        <v>4304277</v>
      </c>
      <c r="I2033" s="1">
        <v>57.69077284946237</v>
      </c>
      <c r="J2033" s="1">
        <v>81948.954196625768</v>
      </c>
      <c r="K2033" s="1">
        <v>69.5</v>
      </c>
      <c r="L2033" s="1">
        <v>59</v>
      </c>
      <c r="M2033" s="1">
        <v>52.523875041436803</v>
      </c>
      <c r="N2033" s="1">
        <v>4954131</v>
      </c>
    </row>
    <row r="2034" spans="1:14" x14ac:dyDescent="0.35">
      <c r="A2034" s="1" t="s">
        <v>91</v>
      </c>
      <c r="B2034" s="1">
        <v>202501</v>
      </c>
      <c r="C2034" s="1" t="str">
        <f>MID(analisis_productividad__4[[#This Row],[Periodo]],1,4)</f>
        <v>2025</v>
      </c>
      <c r="D2034" s="1" t="str">
        <f>MID(analisis_productividad__4[[#This Row],[Periodo]],5,2)</f>
        <v>01</v>
      </c>
      <c r="E2034" s="1" t="s">
        <v>11</v>
      </c>
      <c r="F2034" s="1" t="s">
        <v>12</v>
      </c>
      <c r="G2034" s="1">
        <v>74604</v>
      </c>
      <c r="H2034" s="1">
        <v>3886033</v>
      </c>
      <c r="I2034" s="1">
        <v>52.088844086021489</v>
      </c>
      <c r="J2034" s="1">
        <v>73440.866713335679</v>
      </c>
      <c r="K2034" s="1">
        <v>55</v>
      </c>
      <c r="L2034" s="1">
        <v>55.5</v>
      </c>
      <c r="M2034" s="1">
        <v>52.91377367819598</v>
      </c>
      <c r="N2034" s="1">
        <v>3666468</v>
      </c>
    </row>
    <row r="2035" spans="1:14" x14ac:dyDescent="0.35">
      <c r="A2035" s="1" t="s">
        <v>111</v>
      </c>
      <c r="B2035" s="1">
        <v>202412</v>
      </c>
      <c r="C2035" s="1" t="str">
        <f>MID(analisis_productividad__4[[#This Row],[Periodo]],1,4)</f>
        <v>2024</v>
      </c>
      <c r="D2035" s="1" t="str">
        <f>MID(analisis_productividad__4[[#This Row],[Periodo]],5,2)</f>
        <v>12</v>
      </c>
      <c r="E2035" s="1" t="s">
        <v>34</v>
      </c>
      <c r="F2035" s="1" t="s">
        <v>35</v>
      </c>
      <c r="G2035" s="1">
        <v>74584</v>
      </c>
      <c r="H2035" s="1">
        <v>3519612</v>
      </c>
      <c r="I2035" s="1">
        <v>47.189643817204299</v>
      </c>
      <c r="J2035" s="1">
        <v>0</v>
      </c>
      <c r="K2035" s="1">
        <v>45.5</v>
      </c>
      <c r="L2035" s="1">
        <v>42.5</v>
      </c>
      <c r="M2035" s="1"/>
      <c r="N2035" s="1">
        <v>0</v>
      </c>
    </row>
    <row r="2036" spans="1:14" x14ac:dyDescent="0.35">
      <c r="A2036" s="1" t="s">
        <v>98</v>
      </c>
      <c r="B2036" s="1">
        <v>202411</v>
      </c>
      <c r="C2036" s="1" t="str">
        <f>MID(analisis_productividad__4[[#This Row],[Periodo]],1,4)</f>
        <v>2024</v>
      </c>
      <c r="D2036" s="1" t="str">
        <f>MID(analisis_productividad__4[[#This Row],[Periodo]],5,2)</f>
        <v>11</v>
      </c>
      <c r="E2036" s="1" t="s">
        <v>11</v>
      </c>
      <c r="F2036" s="1" t="s">
        <v>14</v>
      </c>
      <c r="G2036" s="1">
        <v>74557</v>
      </c>
      <c r="H2036" s="1">
        <v>3847608</v>
      </c>
      <c r="I2036" s="1">
        <v>51.606041666666691</v>
      </c>
      <c r="J2036" s="1">
        <v>0</v>
      </c>
      <c r="K2036" s="1">
        <v>61.5</v>
      </c>
      <c r="L2036" s="1">
        <v>56</v>
      </c>
      <c r="M2036" s="1"/>
      <c r="N2036" s="1">
        <v>0</v>
      </c>
    </row>
    <row r="2037" spans="1:14" x14ac:dyDescent="0.35">
      <c r="A2037" s="1" t="s">
        <v>96</v>
      </c>
      <c r="B2037" s="1">
        <v>202604</v>
      </c>
      <c r="C2037" s="1" t="str">
        <f>MID(analisis_productividad__4[[#This Row],[Periodo]],1,4)</f>
        <v>2026</v>
      </c>
      <c r="D2037" s="1" t="str">
        <f>MID(analisis_productividad__4[[#This Row],[Periodo]],5,2)</f>
        <v>04</v>
      </c>
      <c r="E2037" s="1" t="s">
        <v>16</v>
      </c>
      <c r="F2037" s="1" t="s">
        <v>17</v>
      </c>
      <c r="G2037" s="1">
        <v>74542</v>
      </c>
      <c r="H2037" s="1">
        <v>5455207</v>
      </c>
      <c r="I2037" s="1">
        <v>73.18290972222384</v>
      </c>
      <c r="J2037" s="1">
        <v>59352.996215476203</v>
      </c>
      <c r="K2037" s="1">
        <v>84</v>
      </c>
      <c r="L2037" s="1">
        <v>76.5</v>
      </c>
      <c r="M2037" s="1">
        <v>84</v>
      </c>
      <c r="N2037" s="1">
        <v>4985652</v>
      </c>
    </row>
    <row r="2038" spans="1:14" x14ac:dyDescent="0.35">
      <c r="A2038" s="1" t="s">
        <v>66</v>
      </c>
      <c r="B2038" s="1">
        <v>202410</v>
      </c>
      <c r="C2038" s="1" t="str">
        <f>MID(analisis_productividad__4[[#This Row],[Periodo]],1,4)</f>
        <v>2024</v>
      </c>
      <c r="D2038" s="1" t="str">
        <f>MID(analisis_productividad__4[[#This Row],[Periodo]],5,2)</f>
        <v>10</v>
      </c>
      <c r="E2038" s="1" t="s">
        <v>11</v>
      </c>
      <c r="F2038" s="1" t="s">
        <v>12</v>
      </c>
      <c r="G2038" s="1">
        <v>74502</v>
      </c>
      <c r="H2038" s="1">
        <v>5317316</v>
      </c>
      <c r="I2038" s="1">
        <v>71.371538978494627</v>
      </c>
      <c r="J2038" s="1">
        <v>0</v>
      </c>
      <c r="K2038" s="1">
        <v>80</v>
      </c>
      <c r="L2038" s="1">
        <v>80.5</v>
      </c>
      <c r="M2038" s="1"/>
      <c r="N2038" s="1">
        <v>0</v>
      </c>
    </row>
    <row r="2039" spans="1:14" x14ac:dyDescent="0.35">
      <c r="A2039" s="1" t="s">
        <v>91</v>
      </c>
      <c r="B2039" s="1">
        <v>202409</v>
      </c>
      <c r="C2039" s="1" t="str">
        <f>MID(analisis_productividad__4[[#This Row],[Periodo]],1,4)</f>
        <v>2024</v>
      </c>
      <c r="D2039" s="1" t="str">
        <f>MID(analisis_productividad__4[[#This Row],[Periodo]],5,2)</f>
        <v>09</v>
      </c>
      <c r="E2039" s="1" t="s">
        <v>11</v>
      </c>
      <c r="F2039" s="1" t="s">
        <v>12</v>
      </c>
      <c r="G2039" s="1">
        <v>74463</v>
      </c>
      <c r="H2039" s="1">
        <v>3616117</v>
      </c>
      <c r="I2039" s="1">
        <v>48.562500000000021</v>
      </c>
      <c r="J2039" s="1">
        <v>0</v>
      </c>
      <c r="K2039" s="1">
        <v>55</v>
      </c>
      <c r="L2039" s="1">
        <v>55.5</v>
      </c>
      <c r="M2039" s="1"/>
      <c r="N2039" s="1">
        <v>0</v>
      </c>
    </row>
    <row r="2040" spans="1:14" x14ac:dyDescent="0.35">
      <c r="A2040" s="1" t="s">
        <v>90</v>
      </c>
      <c r="B2040" s="1">
        <v>202506</v>
      </c>
      <c r="C2040" s="1" t="str">
        <f>MID(analisis_productividad__4[[#This Row],[Periodo]],1,4)</f>
        <v>2025</v>
      </c>
      <c r="D2040" s="1" t="str">
        <f>MID(analisis_productividad__4[[#This Row],[Periodo]],5,2)</f>
        <v>06</v>
      </c>
      <c r="E2040" s="1" t="s">
        <v>11</v>
      </c>
      <c r="F2040" s="1" t="s">
        <v>14</v>
      </c>
      <c r="G2040" s="1">
        <v>74423</v>
      </c>
      <c r="H2040" s="1">
        <v>5329797</v>
      </c>
      <c r="I2040" s="1">
        <v>71.614909722222222</v>
      </c>
      <c r="J2040" s="1">
        <v>71575.027423999723</v>
      </c>
      <c r="K2040" s="1">
        <v>84.5</v>
      </c>
      <c r="L2040" s="1">
        <v>78.5</v>
      </c>
      <c r="M2040" s="1">
        <v>74.464471922966695</v>
      </c>
      <c r="N2040" s="1">
        <v>5965055</v>
      </c>
    </row>
    <row r="2041" spans="1:14" x14ac:dyDescent="0.35">
      <c r="A2041" s="1" t="s">
        <v>103</v>
      </c>
      <c r="B2041" s="1">
        <v>202504</v>
      </c>
      <c r="C2041" s="1" t="str">
        <f>MID(analisis_productividad__4[[#This Row],[Periodo]],1,4)</f>
        <v>2025</v>
      </c>
      <c r="D2041" s="1" t="str">
        <f>MID(analisis_productividad__4[[#This Row],[Periodo]],5,2)</f>
        <v>04</v>
      </c>
      <c r="E2041" s="1" t="s">
        <v>104</v>
      </c>
      <c r="F2041" s="1" t="s">
        <v>104</v>
      </c>
      <c r="G2041" s="1">
        <v>74415</v>
      </c>
      <c r="H2041" s="1">
        <v>5580877</v>
      </c>
      <c r="I2041" s="1">
        <v>74.996249999999975</v>
      </c>
      <c r="J2041" s="1">
        <v>70463.387802782614</v>
      </c>
      <c r="K2041" s="1">
        <v>94</v>
      </c>
      <c r="L2041" s="1">
        <v>77.5</v>
      </c>
      <c r="M2041" s="1">
        <v>79.202506635362369</v>
      </c>
      <c r="N2041" s="1">
        <v>5592512</v>
      </c>
    </row>
    <row r="2042" spans="1:14" x14ac:dyDescent="0.35">
      <c r="A2042" s="1" t="s">
        <v>106</v>
      </c>
      <c r="B2042" s="1">
        <v>202502</v>
      </c>
      <c r="C2042" s="1" t="str">
        <f>MID(analisis_productividad__4[[#This Row],[Periodo]],1,4)</f>
        <v>2025</v>
      </c>
      <c r="D2042" s="1" t="str">
        <f>MID(analisis_productividad__4[[#This Row],[Periodo]],5,2)</f>
        <v>02</v>
      </c>
      <c r="E2042" s="1" t="s">
        <v>34</v>
      </c>
      <c r="F2042" s="1" t="s">
        <v>35</v>
      </c>
      <c r="G2042" s="1">
        <v>74331</v>
      </c>
      <c r="H2042" s="1">
        <v>3056100</v>
      </c>
      <c r="I2042" s="1">
        <v>41.114895833333321</v>
      </c>
      <c r="J2042" s="1">
        <v>75539.4455014001</v>
      </c>
      <c r="K2042" s="1">
        <v>51</v>
      </c>
      <c r="L2042" s="1">
        <v>49</v>
      </c>
      <c r="M2042" s="1">
        <v>40.457007722453518</v>
      </c>
      <c r="N2042" s="1">
        <v>3177678</v>
      </c>
    </row>
    <row r="2043" spans="1:14" x14ac:dyDescent="0.35">
      <c r="A2043" s="1" t="s">
        <v>89</v>
      </c>
      <c r="B2043" s="1">
        <v>202507</v>
      </c>
      <c r="C2043" s="1" t="str">
        <f>MID(analisis_productividad__4[[#This Row],[Periodo]],1,4)</f>
        <v>2025</v>
      </c>
      <c r="D2043" s="1" t="str">
        <f>MID(analisis_productividad__4[[#This Row],[Periodo]],5,2)</f>
        <v>07</v>
      </c>
      <c r="E2043" s="1" t="s">
        <v>9</v>
      </c>
      <c r="F2043" s="1" t="s">
        <v>9</v>
      </c>
      <c r="G2043" s="1">
        <v>74315</v>
      </c>
      <c r="H2043" s="1">
        <v>975142</v>
      </c>
      <c r="I2043" s="1">
        <v>13.121754032258067</v>
      </c>
      <c r="J2043" s="1">
        <v>72041.870350805897</v>
      </c>
      <c r="K2043" s="1">
        <v>17</v>
      </c>
      <c r="L2043" s="1">
        <v>13.5</v>
      </c>
      <c r="M2043" s="1">
        <v>13.535773089337784</v>
      </c>
      <c r="N2043" s="1">
        <v>1125727</v>
      </c>
    </row>
    <row r="2044" spans="1:14" x14ac:dyDescent="0.35">
      <c r="A2044" s="1" t="s">
        <v>88</v>
      </c>
      <c r="B2044" s="1">
        <v>202410</v>
      </c>
      <c r="C2044" s="1" t="str">
        <f>MID(analisis_productividad__4[[#This Row],[Periodo]],1,4)</f>
        <v>2024</v>
      </c>
      <c r="D2044" s="1" t="str">
        <f>MID(analisis_productividad__4[[#This Row],[Periodo]],5,2)</f>
        <v>10</v>
      </c>
      <c r="E2044" s="1" t="s">
        <v>34</v>
      </c>
      <c r="F2044" s="1" t="s">
        <v>35</v>
      </c>
      <c r="G2044" s="1">
        <v>74297</v>
      </c>
      <c r="H2044" s="1">
        <v>1008089</v>
      </c>
      <c r="I2044" s="1">
        <v>13.568427419354839</v>
      </c>
      <c r="J2044" s="1">
        <v>0</v>
      </c>
      <c r="K2044" s="1">
        <v>15.5</v>
      </c>
      <c r="L2044" s="1">
        <v>14.5</v>
      </c>
      <c r="M2044" s="1"/>
      <c r="N2044" s="1">
        <v>0</v>
      </c>
    </row>
    <row r="2045" spans="1:14" x14ac:dyDescent="0.35">
      <c r="A2045" s="1" t="s">
        <v>66</v>
      </c>
      <c r="B2045" s="1">
        <v>202411</v>
      </c>
      <c r="C2045" s="1" t="str">
        <f>MID(analisis_productividad__4[[#This Row],[Periodo]],1,4)</f>
        <v>2024</v>
      </c>
      <c r="D2045" s="1" t="str">
        <f>MID(analisis_productividad__4[[#This Row],[Periodo]],5,2)</f>
        <v>11</v>
      </c>
      <c r="E2045" s="1" t="s">
        <v>11</v>
      </c>
      <c r="F2045" s="1" t="s">
        <v>12</v>
      </c>
      <c r="G2045" s="1">
        <v>74278</v>
      </c>
      <c r="H2045" s="1">
        <v>5738624</v>
      </c>
      <c r="I2045" s="1">
        <v>77.259097222222266</v>
      </c>
      <c r="J2045" s="1">
        <v>0</v>
      </c>
      <c r="K2045" s="1">
        <v>80</v>
      </c>
      <c r="L2045" s="1">
        <v>80.5</v>
      </c>
      <c r="M2045" s="1"/>
      <c r="N2045" s="1">
        <v>0</v>
      </c>
    </row>
    <row r="2046" spans="1:14" x14ac:dyDescent="0.35">
      <c r="A2046" s="1" t="s">
        <v>85</v>
      </c>
      <c r="B2046" s="1">
        <v>202407</v>
      </c>
      <c r="C2046" s="1" t="str">
        <f>MID(analisis_productividad__4[[#This Row],[Periodo]],1,4)</f>
        <v>2024</v>
      </c>
      <c r="D2046" s="1" t="str">
        <f>MID(analisis_productividad__4[[#This Row],[Periodo]],5,2)</f>
        <v>07</v>
      </c>
      <c r="E2046" s="1" t="s">
        <v>11</v>
      </c>
      <c r="F2046" s="1" t="s">
        <v>14</v>
      </c>
      <c r="G2046" s="1">
        <v>74276</v>
      </c>
      <c r="H2046" s="1">
        <v>3931898</v>
      </c>
      <c r="I2046" s="1">
        <v>52.936229838709664</v>
      </c>
      <c r="J2046" s="1">
        <v>0</v>
      </c>
      <c r="K2046" s="1">
        <v>60.5</v>
      </c>
      <c r="L2046" s="1">
        <v>57.5</v>
      </c>
      <c r="M2046" s="1"/>
      <c r="N2046" s="1">
        <v>0</v>
      </c>
    </row>
    <row r="2047" spans="1:14" x14ac:dyDescent="0.35">
      <c r="A2047" s="1" t="s">
        <v>64</v>
      </c>
      <c r="B2047" s="1">
        <v>202406</v>
      </c>
      <c r="C2047" s="1" t="str">
        <f>MID(analisis_productividad__4[[#This Row],[Periodo]],1,4)</f>
        <v>2024</v>
      </c>
      <c r="D2047" s="1" t="str">
        <f>MID(analisis_productividad__4[[#This Row],[Periodo]],5,2)</f>
        <v>06</v>
      </c>
      <c r="E2047" s="1" t="s">
        <v>16</v>
      </c>
      <c r="F2047" s="1" t="s">
        <v>21</v>
      </c>
      <c r="G2047" s="1">
        <v>74274</v>
      </c>
      <c r="H2047" s="1">
        <v>6101532</v>
      </c>
      <c r="I2047" s="1">
        <v>82.148694444444487</v>
      </c>
      <c r="J2047" s="1">
        <v>0</v>
      </c>
      <c r="K2047" s="1">
        <v>88.5</v>
      </c>
      <c r="L2047" s="1">
        <v>92.5</v>
      </c>
      <c r="M2047" s="1"/>
      <c r="N2047" s="1">
        <v>0</v>
      </c>
    </row>
    <row r="2048" spans="1:14" x14ac:dyDescent="0.35">
      <c r="A2048" s="1" t="s">
        <v>33</v>
      </c>
      <c r="B2048" s="1">
        <v>202404</v>
      </c>
      <c r="C2048" s="1" t="str">
        <f>MID(analisis_productividad__4[[#This Row],[Periodo]],1,4)</f>
        <v>2024</v>
      </c>
      <c r="D2048" s="1" t="str">
        <f>MID(analisis_productividad__4[[#This Row],[Periodo]],5,2)</f>
        <v>04</v>
      </c>
      <c r="E2048" s="1" t="s">
        <v>34</v>
      </c>
      <c r="F2048" s="1" t="s">
        <v>35</v>
      </c>
      <c r="G2048" s="1">
        <v>74274</v>
      </c>
      <c r="H2048" s="1">
        <v>984886</v>
      </c>
      <c r="I2048" s="1">
        <v>13.260187500000001</v>
      </c>
      <c r="J2048" s="1">
        <v>0</v>
      </c>
      <c r="K2048" s="1">
        <v>15</v>
      </c>
      <c r="L2048" s="1">
        <v>15</v>
      </c>
      <c r="M2048" s="1"/>
      <c r="N2048" s="1">
        <v>0</v>
      </c>
    </row>
    <row r="2049" spans="1:14" x14ac:dyDescent="0.35">
      <c r="A2049" s="1" t="s">
        <v>82</v>
      </c>
      <c r="B2049" s="1">
        <v>202506</v>
      </c>
      <c r="C2049" s="1" t="str">
        <f>MID(analisis_productividad__4[[#This Row],[Periodo]],1,4)</f>
        <v>2025</v>
      </c>
      <c r="D2049" s="1" t="str">
        <f>MID(analisis_productividad__4[[#This Row],[Periodo]],5,2)</f>
        <v>06</v>
      </c>
      <c r="E2049" s="1" t="s">
        <v>11</v>
      </c>
      <c r="F2049" s="1" t="s">
        <v>12</v>
      </c>
      <c r="G2049" s="1">
        <v>74273</v>
      </c>
      <c r="H2049" s="1">
        <v>3653533</v>
      </c>
      <c r="I2049" s="1">
        <v>49.190458333333332</v>
      </c>
      <c r="J2049" s="1">
        <v>83880.284237086365</v>
      </c>
      <c r="K2049" s="1">
        <v>53.5</v>
      </c>
      <c r="L2049" s="1">
        <v>54</v>
      </c>
      <c r="M2049" s="1">
        <v>43.556518593491433</v>
      </c>
      <c r="N2049" s="1">
        <v>4217836</v>
      </c>
    </row>
    <row r="2050" spans="1:14" x14ac:dyDescent="0.35">
      <c r="A2050" s="1" t="s">
        <v>95</v>
      </c>
      <c r="B2050" s="1">
        <v>202406</v>
      </c>
      <c r="C2050" s="1" t="str">
        <f>MID(analisis_productividad__4[[#This Row],[Periodo]],1,4)</f>
        <v>2024</v>
      </c>
      <c r="D2050" s="1" t="str">
        <f>MID(analisis_productividad__4[[#This Row],[Periodo]],5,2)</f>
        <v>06</v>
      </c>
      <c r="E2050" s="1" t="s">
        <v>9</v>
      </c>
      <c r="F2050" s="1" t="s">
        <v>9</v>
      </c>
      <c r="G2050" s="1">
        <v>74258</v>
      </c>
      <c r="H2050" s="1">
        <v>669361</v>
      </c>
      <c r="I2050" s="1">
        <v>9.0140069444444464</v>
      </c>
      <c r="J2050" s="1">
        <v>0</v>
      </c>
      <c r="K2050" s="1">
        <v>11</v>
      </c>
      <c r="L2050" s="1">
        <v>11</v>
      </c>
      <c r="M2050" s="1"/>
      <c r="N2050" s="1">
        <v>0</v>
      </c>
    </row>
    <row r="2051" spans="1:14" x14ac:dyDescent="0.35">
      <c r="A2051" s="1" t="s">
        <v>71</v>
      </c>
      <c r="B2051" s="1">
        <v>202504</v>
      </c>
      <c r="C2051" s="1" t="str">
        <f>MID(analisis_productividad__4[[#This Row],[Periodo]],1,4)</f>
        <v>2025</v>
      </c>
      <c r="D2051" s="1" t="str">
        <f>MID(analisis_productividad__4[[#This Row],[Periodo]],5,2)</f>
        <v>04</v>
      </c>
      <c r="E2051" s="1" t="s">
        <v>16</v>
      </c>
      <c r="F2051" s="1" t="s">
        <v>19</v>
      </c>
      <c r="G2051" s="1">
        <v>74249</v>
      </c>
      <c r="H2051" s="1">
        <v>2543720</v>
      </c>
      <c r="I2051" s="1">
        <v>34.259263888888896</v>
      </c>
      <c r="J2051" s="1">
        <v>67101.927661152993</v>
      </c>
      <c r="K2051" s="1">
        <v>41.5</v>
      </c>
      <c r="L2051" s="1">
        <v>35.5</v>
      </c>
      <c r="M2051" s="1">
        <v>37.908297252578393</v>
      </c>
      <c r="N2051" s="1">
        <v>2426925</v>
      </c>
    </row>
    <row r="2052" spans="1:14" x14ac:dyDescent="0.35">
      <c r="A2052" s="1" t="s">
        <v>106</v>
      </c>
      <c r="B2052" s="1">
        <v>202409</v>
      </c>
      <c r="C2052" s="1" t="str">
        <f>MID(analisis_productividad__4[[#This Row],[Periodo]],1,4)</f>
        <v>2024</v>
      </c>
      <c r="D2052" s="1" t="str">
        <f>MID(analisis_productividad__4[[#This Row],[Periodo]],5,2)</f>
        <v>09</v>
      </c>
      <c r="E2052" s="1" t="s">
        <v>34</v>
      </c>
      <c r="F2052" s="1" t="s">
        <v>35</v>
      </c>
      <c r="G2052" s="1">
        <v>74224</v>
      </c>
      <c r="H2052" s="1">
        <v>3306817</v>
      </c>
      <c r="I2052" s="1">
        <v>44.551791666666674</v>
      </c>
      <c r="J2052" s="1">
        <v>0</v>
      </c>
      <c r="K2052" s="1">
        <v>51</v>
      </c>
      <c r="L2052" s="1">
        <v>49</v>
      </c>
      <c r="M2052" s="1"/>
      <c r="N2052" s="1">
        <v>0</v>
      </c>
    </row>
    <row r="2053" spans="1:14" x14ac:dyDescent="0.35">
      <c r="A2053" s="1" t="s">
        <v>85</v>
      </c>
      <c r="B2053" s="1">
        <v>202601</v>
      </c>
      <c r="C2053" s="1" t="str">
        <f>MID(analisis_productividad__4[[#This Row],[Periodo]],1,4)</f>
        <v>2026</v>
      </c>
      <c r="D2053" s="1" t="str">
        <f>MID(analisis_productividad__4[[#This Row],[Periodo]],5,2)</f>
        <v>01</v>
      </c>
      <c r="E2053" s="1" t="s">
        <v>11</v>
      </c>
      <c r="F2053" s="1" t="s">
        <v>14</v>
      </c>
      <c r="G2053" s="1">
        <v>74195</v>
      </c>
      <c r="H2053" s="1">
        <v>3565543</v>
      </c>
      <c r="I2053" s="1">
        <v>48.056693548387102</v>
      </c>
      <c r="J2053" s="1">
        <v>69377.560690968239</v>
      </c>
      <c r="K2053" s="1">
        <v>60.5</v>
      </c>
      <c r="L2053" s="1">
        <v>57.5</v>
      </c>
      <c r="M2053" s="1">
        <v>51.161312105083525</v>
      </c>
      <c r="N2053" s="1">
        <v>3549447</v>
      </c>
    </row>
    <row r="2054" spans="1:14" x14ac:dyDescent="0.35">
      <c r="A2054" s="1" t="s">
        <v>100</v>
      </c>
      <c r="B2054" s="1">
        <v>202503</v>
      </c>
      <c r="C2054" s="1" t="str">
        <f>MID(analisis_productividad__4[[#This Row],[Periodo]],1,4)</f>
        <v>2025</v>
      </c>
      <c r="D2054" s="1" t="str">
        <f>MID(analisis_productividad__4[[#This Row],[Periodo]],5,2)</f>
        <v>03</v>
      </c>
      <c r="E2054" s="1" t="s">
        <v>34</v>
      </c>
      <c r="F2054" s="1" t="s">
        <v>35</v>
      </c>
      <c r="G2054" s="1">
        <v>74135</v>
      </c>
      <c r="H2054" s="1">
        <v>2771957</v>
      </c>
      <c r="I2054" s="1">
        <v>37.390819892473125</v>
      </c>
      <c r="J2054" s="1">
        <v>77020.584407557573</v>
      </c>
      <c r="K2054" s="1">
        <v>44</v>
      </c>
      <c r="L2054" s="1">
        <v>40.5</v>
      </c>
      <c r="M2054" s="1">
        <v>35.989821179907906</v>
      </c>
      <c r="N2054" s="1">
        <v>2903506</v>
      </c>
    </row>
    <row r="2055" spans="1:14" x14ac:dyDescent="0.35">
      <c r="A2055" s="1" t="s">
        <v>101</v>
      </c>
      <c r="B2055" s="1">
        <v>202604</v>
      </c>
      <c r="C2055" s="1" t="str">
        <f>MID(analisis_productividad__4[[#This Row],[Periodo]],1,4)</f>
        <v>2026</v>
      </c>
      <c r="D2055" s="1" t="str">
        <f>MID(analisis_productividad__4[[#This Row],[Periodo]],5,2)</f>
        <v>04</v>
      </c>
      <c r="E2055" s="1" t="s">
        <v>9</v>
      </c>
      <c r="F2055" s="1" t="s">
        <v>9</v>
      </c>
      <c r="G2055" s="1">
        <v>74105</v>
      </c>
      <c r="H2055" s="1">
        <v>343397</v>
      </c>
      <c r="I2055" s="1">
        <v>4.6339027777777773</v>
      </c>
      <c r="J2055" s="1">
        <v>49195.819611452709</v>
      </c>
      <c r="K2055" s="1">
        <v>8.5</v>
      </c>
      <c r="L2055" s="1">
        <v>6.5</v>
      </c>
      <c r="M2055" s="1">
        <v>7.4225653700663532</v>
      </c>
      <c r="N2055" s="1">
        <v>365159</v>
      </c>
    </row>
    <row r="2056" spans="1:14" x14ac:dyDescent="0.35">
      <c r="A2056" s="1" t="s">
        <v>48</v>
      </c>
      <c r="B2056" s="1">
        <v>202402</v>
      </c>
      <c r="C2056" s="1" t="str">
        <f>MID(analisis_productividad__4[[#This Row],[Periodo]],1,4)</f>
        <v>2024</v>
      </c>
      <c r="D2056" s="1" t="str">
        <f>MID(analisis_productividad__4[[#This Row],[Periodo]],5,2)</f>
        <v>02</v>
      </c>
      <c r="E2056" s="1" t="s">
        <v>16</v>
      </c>
      <c r="F2056" s="1" t="s">
        <v>21</v>
      </c>
      <c r="G2056" s="1">
        <v>74105</v>
      </c>
      <c r="H2056" s="1">
        <v>4406496</v>
      </c>
      <c r="I2056" s="1">
        <v>59.463038793103429</v>
      </c>
      <c r="J2056" s="1">
        <v>0</v>
      </c>
      <c r="K2056" s="1">
        <v>56</v>
      </c>
      <c r="L2056" s="1">
        <v>60</v>
      </c>
      <c r="M2056" s="1"/>
      <c r="N2056" s="1">
        <v>0</v>
      </c>
    </row>
    <row r="2057" spans="1:14" x14ac:dyDescent="0.35">
      <c r="A2057" s="1" t="s">
        <v>86</v>
      </c>
      <c r="B2057" s="1">
        <v>202409</v>
      </c>
      <c r="C2057" s="1" t="str">
        <f>MID(analisis_productividad__4[[#This Row],[Periodo]],1,4)</f>
        <v>2024</v>
      </c>
      <c r="D2057" s="1" t="str">
        <f>MID(analisis_productividad__4[[#This Row],[Periodo]],5,2)</f>
        <v>09</v>
      </c>
      <c r="E2057" s="1" t="s">
        <v>11</v>
      </c>
      <c r="F2057" s="1" t="s">
        <v>14</v>
      </c>
      <c r="G2057" s="1">
        <v>74092</v>
      </c>
      <c r="H2057" s="1">
        <v>4498150</v>
      </c>
      <c r="I2057" s="1">
        <v>60.710027777777789</v>
      </c>
      <c r="J2057" s="1">
        <v>0</v>
      </c>
      <c r="K2057" s="1">
        <v>69.5</v>
      </c>
      <c r="L2057" s="1">
        <v>59</v>
      </c>
      <c r="M2057" s="1"/>
      <c r="N2057" s="1">
        <v>0</v>
      </c>
    </row>
    <row r="2058" spans="1:14" x14ac:dyDescent="0.35">
      <c r="A2058" s="1" t="s">
        <v>48</v>
      </c>
      <c r="B2058" s="1">
        <v>202406</v>
      </c>
      <c r="C2058" s="1" t="str">
        <f>MID(analisis_productividad__4[[#This Row],[Periodo]],1,4)</f>
        <v>2024</v>
      </c>
      <c r="D2058" s="1" t="str">
        <f>MID(analisis_productividad__4[[#This Row],[Periodo]],5,2)</f>
        <v>06</v>
      </c>
      <c r="E2058" s="1" t="s">
        <v>16</v>
      </c>
      <c r="F2058" s="1" t="s">
        <v>21</v>
      </c>
      <c r="G2058" s="1">
        <v>74056</v>
      </c>
      <c r="H2058" s="1">
        <v>4311110</v>
      </c>
      <c r="I2058" s="1">
        <v>58.213847222222206</v>
      </c>
      <c r="J2058" s="1">
        <v>0</v>
      </c>
      <c r="K2058" s="1">
        <v>56</v>
      </c>
      <c r="L2058" s="1">
        <v>60</v>
      </c>
      <c r="M2058" s="1"/>
      <c r="N2058" s="1">
        <v>0</v>
      </c>
    </row>
    <row r="2059" spans="1:14" x14ac:dyDescent="0.35">
      <c r="A2059" s="1" t="s">
        <v>120</v>
      </c>
      <c r="B2059" s="1">
        <v>202406</v>
      </c>
      <c r="C2059" s="1" t="str">
        <f>MID(analisis_productividad__4[[#This Row],[Periodo]],1,4)</f>
        <v>2024</v>
      </c>
      <c r="D2059" s="1" t="str">
        <f>MID(analisis_productividad__4[[#This Row],[Periodo]],5,2)</f>
        <v>06</v>
      </c>
      <c r="E2059" s="1" t="s">
        <v>9</v>
      </c>
      <c r="F2059" s="1" t="s">
        <v>9</v>
      </c>
      <c r="G2059" s="1">
        <v>74051</v>
      </c>
      <c r="H2059" s="1">
        <v>796514</v>
      </c>
      <c r="I2059" s="1">
        <v>10.756277777777777</v>
      </c>
      <c r="J2059" s="1">
        <v>0</v>
      </c>
      <c r="K2059" s="1">
        <v>11.5</v>
      </c>
      <c r="L2059" s="1">
        <v>12</v>
      </c>
      <c r="M2059" s="1"/>
      <c r="N2059" s="1">
        <v>0</v>
      </c>
    </row>
    <row r="2060" spans="1:14" x14ac:dyDescent="0.35">
      <c r="A2060" s="1" t="s">
        <v>109</v>
      </c>
      <c r="B2060" s="1">
        <v>202606</v>
      </c>
      <c r="C2060" s="1" t="str">
        <f>MID(analisis_productividad__4[[#This Row],[Periodo]],1,4)</f>
        <v>2026</v>
      </c>
      <c r="D2060" s="1" t="str">
        <f>MID(analisis_productividad__4[[#This Row],[Periodo]],5,2)</f>
        <v>06</v>
      </c>
      <c r="E2060" s="1" t="s">
        <v>9</v>
      </c>
      <c r="F2060" s="1" t="s">
        <v>9</v>
      </c>
      <c r="G2060" s="1">
        <v>74037</v>
      </c>
      <c r="H2060" s="1">
        <v>489090</v>
      </c>
      <c r="I2060" s="1">
        <v>6.6060069444444443</v>
      </c>
      <c r="J2060" s="1">
        <v>53405.598474347331</v>
      </c>
      <c r="K2060" s="1">
        <v>10</v>
      </c>
      <c r="L2060" s="1">
        <v>9</v>
      </c>
      <c r="M2060" s="1">
        <v>8.1521894564878892</v>
      </c>
      <c r="N2060" s="1">
        <v>435373</v>
      </c>
    </row>
    <row r="2061" spans="1:14" x14ac:dyDescent="0.35">
      <c r="A2061" s="1" t="s">
        <v>58</v>
      </c>
      <c r="B2061" s="1">
        <v>202411</v>
      </c>
      <c r="C2061" s="1" t="str">
        <f>MID(analisis_productividad__4[[#This Row],[Periodo]],1,4)</f>
        <v>2024</v>
      </c>
      <c r="D2061" s="1" t="str">
        <f>MID(analisis_productividad__4[[#This Row],[Periodo]],5,2)</f>
        <v>11</v>
      </c>
      <c r="E2061" s="1" t="s">
        <v>34</v>
      </c>
      <c r="F2061" s="1" t="s">
        <v>35</v>
      </c>
      <c r="G2061" s="1">
        <v>74001</v>
      </c>
      <c r="H2061" s="1">
        <v>3293911</v>
      </c>
      <c r="I2061" s="1">
        <v>44.511590277777785</v>
      </c>
      <c r="J2061" s="1">
        <v>0</v>
      </c>
      <c r="K2061" s="1">
        <v>53.5</v>
      </c>
      <c r="L2061" s="1">
        <v>52</v>
      </c>
      <c r="M2061" s="1"/>
      <c r="N2061" s="1">
        <v>0</v>
      </c>
    </row>
    <row r="2062" spans="1:14" x14ac:dyDescent="0.35">
      <c r="A2062" s="1" t="s">
        <v>86</v>
      </c>
      <c r="B2062" s="1">
        <v>202405</v>
      </c>
      <c r="C2062" s="1" t="str">
        <f>MID(analisis_productividad__4[[#This Row],[Periodo]],1,4)</f>
        <v>2024</v>
      </c>
      <c r="D2062" s="1" t="str">
        <f>MID(analisis_productividad__4[[#This Row],[Periodo]],5,2)</f>
        <v>05</v>
      </c>
      <c r="E2062" s="1" t="s">
        <v>11</v>
      </c>
      <c r="F2062" s="1" t="s">
        <v>14</v>
      </c>
      <c r="G2062" s="1">
        <v>73990</v>
      </c>
      <c r="H2062" s="1">
        <v>4843053</v>
      </c>
      <c r="I2062" s="1">
        <v>65.455221774193532</v>
      </c>
      <c r="J2062" s="1">
        <v>0</v>
      </c>
      <c r="K2062" s="1">
        <v>69.5</v>
      </c>
      <c r="L2062" s="1">
        <v>59</v>
      </c>
      <c r="M2062" s="1"/>
      <c r="N2062" s="1">
        <v>0</v>
      </c>
    </row>
    <row r="2063" spans="1:14" x14ac:dyDescent="0.35">
      <c r="A2063" s="1" t="s">
        <v>114</v>
      </c>
      <c r="B2063" s="1">
        <v>202401</v>
      </c>
      <c r="C2063" s="1" t="str">
        <f>MID(analisis_productividad__4[[#This Row],[Periodo]],1,4)</f>
        <v>2024</v>
      </c>
      <c r="D2063" s="1" t="str">
        <f>MID(analisis_productividad__4[[#This Row],[Periodo]],5,2)</f>
        <v>01</v>
      </c>
      <c r="E2063" s="1" t="s">
        <v>9</v>
      </c>
      <c r="F2063" s="1" t="s">
        <v>9</v>
      </c>
      <c r="G2063" s="1">
        <v>73981</v>
      </c>
      <c r="H2063" s="1">
        <v>993713</v>
      </c>
      <c r="I2063" s="1">
        <v>13.432096774193548</v>
      </c>
      <c r="J2063" s="1">
        <v>0</v>
      </c>
      <c r="K2063" s="1">
        <v>13.5</v>
      </c>
      <c r="L2063" s="1">
        <v>14.5</v>
      </c>
      <c r="M2063" s="1"/>
      <c r="N2063" s="1">
        <v>0</v>
      </c>
    </row>
    <row r="2064" spans="1:14" x14ac:dyDescent="0.35">
      <c r="A2064" s="1" t="s">
        <v>87</v>
      </c>
      <c r="B2064" s="1">
        <v>202508</v>
      </c>
      <c r="C2064" s="1" t="str">
        <f>MID(analisis_productividad__4[[#This Row],[Periodo]],1,4)</f>
        <v>2025</v>
      </c>
      <c r="D2064" s="1" t="str">
        <f>MID(analisis_productividad__4[[#This Row],[Periodo]],5,2)</f>
        <v>08</v>
      </c>
      <c r="E2064" s="1" t="s">
        <v>9</v>
      </c>
      <c r="F2064" s="1" t="s">
        <v>9</v>
      </c>
      <c r="G2064" s="1">
        <v>73975</v>
      </c>
      <c r="H2064" s="1">
        <v>887713</v>
      </c>
      <c r="I2064" s="1">
        <v>12.000154569892471</v>
      </c>
      <c r="J2064" s="1">
        <v>87803.36417942305</v>
      </c>
      <c r="K2064" s="1">
        <v>13.5</v>
      </c>
      <c r="L2064" s="1">
        <v>12</v>
      </c>
      <c r="M2064" s="1">
        <v>10.110240630256374</v>
      </c>
      <c r="N2064" s="1">
        <v>1032923</v>
      </c>
    </row>
    <row r="2065" spans="1:14" x14ac:dyDescent="0.35">
      <c r="A2065" s="1" t="s">
        <v>18</v>
      </c>
      <c r="B2065" s="1">
        <v>202505</v>
      </c>
      <c r="C2065" s="1" t="str">
        <f>MID(analisis_productividad__4[[#This Row],[Periodo]],1,4)</f>
        <v>2025</v>
      </c>
      <c r="D2065" s="1" t="str">
        <f>MID(analisis_productividad__4[[#This Row],[Periodo]],5,2)</f>
        <v>05</v>
      </c>
      <c r="E2065" s="1" t="s">
        <v>16</v>
      </c>
      <c r="F2065" s="1" t="s">
        <v>19</v>
      </c>
      <c r="G2065" s="1">
        <v>73966</v>
      </c>
      <c r="H2065" s="1">
        <v>4831829</v>
      </c>
      <c r="I2065" s="1">
        <v>65.324771505376361</v>
      </c>
      <c r="J2065" s="1">
        <v>76922.584217211683</v>
      </c>
      <c r="K2065" s="1">
        <v>70.5</v>
      </c>
      <c r="L2065" s="1">
        <v>69.5</v>
      </c>
      <c r="M2065" s="1">
        <v>62.814173225850411</v>
      </c>
      <c r="N2065" s="1">
        <v>4659850</v>
      </c>
    </row>
    <row r="2066" spans="1:14" x14ac:dyDescent="0.35">
      <c r="A2066" s="1" t="s">
        <v>66</v>
      </c>
      <c r="B2066" s="1">
        <v>202406</v>
      </c>
      <c r="C2066" s="1" t="str">
        <f>MID(analisis_productividad__4[[#This Row],[Periodo]],1,4)</f>
        <v>2024</v>
      </c>
      <c r="D2066" s="1" t="str">
        <f>MID(analisis_productividad__4[[#This Row],[Periodo]],5,2)</f>
        <v>06</v>
      </c>
      <c r="E2066" s="1" t="s">
        <v>11</v>
      </c>
      <c r="F2066" s="1" t="s">
        <v>12</v>
      </c>
      <c r="G2066" s="1">
        <v>73959</v>
      </c>
      <c r="H2066" s="1">
        <v>5909546</v>
      </c>
      <c r="I2066" s="1">
        <v>79.902715277777801</v>
      </c>
      <c r="J2066" s="1">
        <v>0</v>
      </c>
      <c r="K2066" s="1">
        <v>80</v>
      </c>
      <c r="L2066" s="1">
        <v>80.5</v>
      </c>
      <c r="M2066" s="1"/>
      <c r="N2066" s="1">
        <v>0</v>
      </c>
    </row>
    <row r="2067" spans="1:14" x14ac:dyDescent="0.35">
      <c r="A2067" s="1" t="s">
        <v>106</v>
      </c>
      <c r="B2067" s="1">
        <v>202606</v>
      </c>
      <c r="C2067" s="1" t="str">
        <f>MID(analisis_productividad__4[[#This Row],[Periodo]],1,4)</f>
        <v>2026</v>
      </c>
      <c r="D2067" s="1" t="str">
        <f>MID(analisis_productividad__4[[#This Row],[Periodo]],5,2)</f>
        <v>06</v>
      </c>
      <c r="E2067" s="1" t="s">
        <v>34</v>
      </c>
      <c r="F2067" s="1" t="s">
        <v>35</v>
      </c>
      <c r="G2067" s="1">
        <v>73943</v>
      </c>
      <c r="H2067" s="1">
        <v>3126983</v>
      </c>
      <c r="I2067" s="1">
        <v>42.289041666666293</v>
      </c>
      <c r="J2067" s="1">
        <v>76177.788076487588</v>
      </c>
      <c r="K2067" s="1">
        <v>51</v>
      </c>
      <c r="L2067" s="1">
        <v>49</v>
      </c>
      <c r="M2067" s="1">
        <v>41.451897990651069</v>
      </c>
      <c r="N2067" s="1">
        <v>3157714</v>
      </c>
    </row>
    <row r="2068" spans="1:14" x14ac:dyDescent="0.35">
      <c r="A2068" s="1" t="s">
        <v>85</v>
      </c>
      <c r="B2068" s="1">
        <v>202602</v>
      </c>
      <c r="C2068" s="1" t="str">
        <f>MID(analisis_productividad__4[[#This Row],[Periodo]],1,4)</f>
        <v>2026</v>
      </c>
      <c r="D2068" s="1" t="str">
        <f>MID(analisis_productividad__4[[#This Row],[Periodo]],5,2)</f>
        <v>02</v>
      </c>
      <c r="E2068" s="1" t="s">
        <v>11</v>
      </c>
      <c r="F2068" s="1" t="s">
        <v>14</v>
      </c>
      <c r="G2068" s="1">
        <v>73922</v>
      </c>
      <c r="H2068" s="1">
        <v>3822749</v>
      </c>
      <c r="I2068" s="1">
        <v>51.713541666666679</v>
      </c>
      <c r="J2068" s="1">
        <v>71304.762110225856</v>
      </c>
      <c r="K2068" s="1">
        <v>60.5</v>
      </c>
      <c r="L2068" s="1">
        <v>57.5</v>
      </c>
      <c r="M2068" s="1">
        <v>51.161312105083525</v>
      </c>
      <c r="N2068" s="1">
        <v>3648045</v>
      </c>
    </row>
    <row r="2069" spans="1:14" x14ac:dyDescent="0.35">
      <c r="A2069" s="1" t="s">
        <v>82</v>
      </c>
      <c r="B2069" s="1">
        <v>202606</v>
      </c>
      <c r="C2069" s="1" t="str">
        <f>MID(analisis_productividad__4[[#This Row],[Periodo]],1,4)</f>
        <v>2026</v>
      </c>
      <c r="D2069" s="1" t="str">
        <f>MID(analisis_productividad__4[[#This Row],[Periodo]],5,2)</f>
        <v>06</v>
      </c>
      <c r="E2069" s="1" t="s">
        <v>11</v>
      </c>
      <c r="F2069" s="1" t="s">
        <v>12</v>
      </c>
      <c r="G2069" s="1">
        <v>73911</v>
      </c>
      <c r="H2069" s="1">
        <v>3678585</v>
      </c>
      <c r="I2069" s="1">
        <v>49.770583333332979</v>
      </c>
      <c r="J2069" s="1">
        <v>83595.802487209105</v>
      </c>
      <c r="K2069" s="1">
        <v>53.5</v>
      </c>
      <c r="L2069" s="1">
        <v>54</v>
      </c>
      <c r="M2069" s="1">
        <v>47.165198395018514</v>
      </c>
      <c r="N2069" s="1">
        <v>3942813</v>
      </c>
    </row>
    <row r="2070" spans="1:14" x14ac:dyDescent="0.35">
      <c r="A2070" s="1" t="s">
        <v>59</v>
      </c>
      <c r="B2070" s="1">
        <v>202401</v>
      </c>
      <c r="C2070" s="1" t="str">
        <f>MID(analisis_productividad__4[[#This Row],[Periodo]],1,4)</f>
        <v>2024</v>
      </c>
      <c r="D2070" s="1" t="str">
        <f>MID(analisis_productividad__4[[#This Row],[Periodo]],5,2)</f>
        <v>01</v>
      </c>
      <c r="E2070" s="1" t="s">
        <v>11</v>
      </c>
      <c r="F2070" s="1" t="s">
        <v>12</v>
      </c>
      <c r="G2070" s="1">
        <v>73885</v>
      </c>
      <c r="H2070" s="1">
        <v>6715409</v>
      </c>
      <c r="I2070" s="1">
        <v>90.890483870967714</v>
      </c>
      <c r="J2070" s="1">
        <v>0</v>
      </c>
      <c r="K2070" s="1">
        <v>94.5</v>
      </c>
      <c r="L2070" s="1">
        <v>97</v>
      </c>
      <c r="M2070" s="1"/>
      <c r="N2070" s="1">
        <v>0</v>
      </c>
    </row>
    <row r="2071" spans="1:14" x14ac:dyDescent="0.35">
      <c r="A2071" s="1" t="s">
        <v>100</v>
      </c>
      <c r="B2071" s="1">
        <v>202508</v>
      </c>
      <c r="C2071" s="1" t="str">
        <f>MID(analisis_productividad__4[[#This Row],[Periodo]],1,4)</f>
        <v>2025</v>
      </c>
      <c r="D2071" s="1" t="str">
        <f>MID(analisis_productividad__4[[#This Row],[Periodo]],5,2)</f>
        <v>08</v>
      </c>
      <c r="E2071" s="1" t="s">
        <v>34</v>
      </c>
      <c r="F2071" s="1" t="s">
        <v>35</v>
      </c>
      <c r="G2071" s="1">
        <v>73845</v>
      </c>
      <c r="H2071" s="1">
        <v>2514628</v>
      </c>
      <c r="I2071" s="1">
        <v>34.052647849462367</v>
      </c>
      <c r="J2071" s="1">
        <v>81306.985637451202</v>
      </c>
      <c r="K2071" s="1">
        <v>44</v>
      </c>
      <c r="L2071" s="1">
        <v>40.5</v>
      </c>
      <c r="M2071" s="1">
        <v>30.927577996960267</v>
      </c>
      <c r="N2071" s="1">
        <v>2716346</v>
      </c>
    </row>
    <row r="2072" spans="1:14" x14ac:dyDescent="0.35">
      <c r="A2072" s="1" t="s">
        <v>120</v>
      </c>
      <c r="B2072" s="1">
        <v>202403</v>
      </c>
      <c r="C2072" s="1" t="str">
        <f>MID(analisis_productividad__4[[#This Row],[Periodo]],1,4)</f>
        <v>2024</v>
      </c>
      <c r="D2072" s="1" t="str">
        <f>MID(analisis_productividad__4[[#This Row],[Periodo]],5,2)</f>
        <v>03</v>
      </c>
      <c r="E2072" s="1" t="s">
        <v>9</v>
      </c>
      <c r="F2072" s="1" t="s">
        <v>9</v>
      </c>
      <c r="G2072" s="1">
        <v>73827</v>
      </c>
      <c r="H2072" s="1">
        <v>847372</v>
      </c>
      <c r="I2072" s="1">
        <v>11.477836021505381</v>
      </c>
      <c r="J2072" s="1">
        <v>0</v>
      </c>
      <c r="K2072" s="1">
        <v>11.5</v>
      </c>
      <c r="L2072" s="1">
        <v>12</v>
      </c>
      <c r="M2072" s="1"/>
      <c r="N2072" s="1">
        <v>0</v>
      </c>
    </row>
    <row r="2073" spans="1:14" x14ac:dyDescent="0.35">
      <c r="A2073" s="1" t="s">
        <v>86</v>
      </c>
      <c r="B2073" s="1">
        <v>202601</v>
      </c>
      <c r="C2073" s="1" t="str">
        <f>MID(analisis_productividad__4[[#This Row],[Periodo]],1,4)</f>
        <v>2026</v>
      </c>
      <c r="D2073" s="1" t="str">
        <f>MID(analisis_productividad__4[[#This Row],[Periodo]],5,2)</f>
        <v>01</v>
      </c>
      <c r="E2073" s="1" t="s">
        <v>11</v>
      </c>
      <c r="F2073" s="1" t="s">
        <v>14</v>
      </c>
      <c r="G2073" s="1">
        <v>73798</v>
      </c>
      <c r="H2073" s="1">
        <v>3993660</v>
      </c>
      <c r="I2073" s="1">
        <v>54.116256720430108</v>
      </c>
      <c r="J2073" s="1">
        <v>80385.83038773913</v>
      </c>
      <c r="K2073" s="1">
        <v>69.5</v>
      </c>
      <c r="L2073" s="1">
        <v>59</v>
      </c>
      <c r="M2073" s="1">
        <v>57.926444284268129</v>
      </c>
      <c r="N2073" s="1">
        <v>4656465</v>
      </c>
    </row>
    <row r="2074" spans="1:14" x14ac:dyDescent="0.35">
      <c r="A2074" s="1" t="s">
        <v>83</v>
      </c>
      <c r="B2074" s="1">
        <v>202409</v>
      </c>
      <c r="C2074" s="1" t="str">
        <f>MID(analisis_productividad__4[[#This Row],[Periodo]],1,4)</f>
        <v>2024</v>
      </c>
      <c r="D2074" s="1" t="str">
        <f>MID(analisis_productividad__4[[#This Row],[Periodo]],5,2)</f>
        <v>09</v>
      </c>
      <c r="E2074" s="1" t="s">
        <v>16</v>
      </c>
      <c r="F2074" s="1" t="s">
        <v>17</v>
      </c>
      <c r="G2074" s="1">
        <v>73795</v>
      </c>
      <c r="H2074" s="1">
        <v>3238743</v>
      </c>
      <c r="I2074" s="1">
        <v>43.888493055555564</v>
      </c>
      <c r="J2074" s="1">
        <v>0</v>
      </c>
      <c r="K2074" s="1">
        <v>52</v>
      </c>
      <c r="L2074" s="1">
        <v>52</v>
      </c>
      <c r="M2074" s="1"/>
      <c r="N2074" s="1">
        <v>0</v>
      </c>
    </row>
    <row r="2075" spans="1:14" x14ac:dyDescent="0.35">
      <c r="A2075" s="1" t="s">
        <v>66</v>
      </c>
      <c r="B2075" s="1">
        <v>202509</v>
      </c>
      <c r="C2075" s="1" t="str">
        <f>MID(analisis_productividad__4[[#This Row],[Periodo]],1,4)</f>
        <v>2025</v>
      </c>
      <c r="D2075" s="1" t="str">
        <f>MID(analisis_productividad__4[[#This Row],[Periodo]],5,2)</f>
        <v>09</v>
      </c>
      <c r="E2075" s="1" t="s">
        <v>11</v>
      </c>
      <c r="F2075" s="1" t="s">
        <v>12</v>
      </c>
      <c r="G2075" s="1">
        <v>73787</v>
      </c>
      <c r="H2075" s="1">
        <v>4966132</v>
      </c>
      <c r="I2075" s="1">
        <v>67.303833333333358</v>
      </c>
      <c r="J2075" s="1">
        <v>74655.010215610964</v>
      </c>
      <c r="K2075" s="1">
        <v>80</v>
      </c>
      <c r="L2075" s="1">
        <v>80.5</v>
      </c>
      <c r="M2075" s="1">
        <v>66.521074950727709</v>
      </c>
      <c r="N2075" s="1">
        <v>6280385</v>
      </c>
    </row>
    <row r="2076" spans="1:14" x14ac:dyDescent="0.35">
      <c r="A2076" s="1" t="s">
        <v>87</v>
      </c>
      <c r="B2076" s="1">
        <v>202502</v>
      </c>
      <c r="C2076" s="1" t="str">
        <f>MID(analisis_productividad__4[[#This Row],[Periodo]],1,4)</f>
        <v>2025</v>
      </c>
      <c r="D2076" s="1" t="str">
        <f>MID(analisis_productividad__4[[#This Row],[Periodo]],5,2)</f>
        <v>02</v>
      </c>
      <c r="E2076" s="1" t="s">
        <v>9</v>
      </c>
      <c r="F2076" s="1" t="s">
        <v>9</v>
      </c>
      <c r="G2076" s="1">
        <v>73759</v>
      </c>
      <c r="H2076" s="1">
        <v>832190</v>
      </c>
      <c r="I2076" s="1">
        <v>11.282552083333334</v>
      </c>
      <c r="J2076" s="1">
        <v>88657.532303219152</v>
      </c>
      <c r="K2076" s="1">
        <v>13.5</v>
      </c>
      <c r="L2076" s="1">
        <v>12</v>
      </c>
      <c r="M2076" s="1">
        <v>9.3865735756530082</v>
      </c>
      <c r="N2076" s="1">
        <v>964835</v>
      </c>
    </row>
    <row r="2077" spans="1:14" x14ac:dyDescent="0.35">
      <c r="A2077" s="1" t="s">
        <v>74</v>
      </c>
      <c r="B2077" s="1">
        <v>202405</v>
      </c>
      <c r="C2077" s="1" t="str">
        <f>MID(analisis_productividad__4[[#This Row],[Periodo]],1,4)</f>
        <v>2024</v>
      </c>
      <c r="D2077" s="1" t="str">
        <f>MID(analisis_productividad__4[[#This Row],[Periodo]],5,2)</f>
        <v>05</v>
      </c>
      <c r="E2077" s="1" t="s">
        <v>16</v>
      </c>
      <c r="F2077" s="1" t="s">
        <v>19</v>
      </c>
      <c r="G2077" s="1">
        <v>73747</v>
      </c>
      <c r="H2077" s="1">
        <v>3772178</v>
      </c>
      <c r="I2077" s="1">
        <v>51.150524193548364</v>
      </c>
      <c r="J2077" s="1">
        <v>0</v>
      </c>
      <c r="K2077" s="1">
        <v>50.5</v>
      </c>
      <c r="L2077" s="1">
        <v>51.5</v>
      </c>
      <c r="M2077" s="1"/>
      <c r="N2077" s="1">
        <v>0</v>
      </c>
    </row>
    <row r="2078" spans="1:14" x14ac:dyDescent="0.35">
      <c r="A2078" s="1" t="s">
        <v>106</v>
      </c>
      <c r="B2078" s="1">
        <v>202509</v>
      </c>
      <c r="C2078" s="1" t="str">
        <f>MID(analisis_productividad__4[[#This Row],[Periodo]],1,4)</f>
        <v>2025</v>
      </c>
      <c r="D2078" s="1" t="str">
        <f>MID(analisis_productividad__4[[#This Row],[Periodo]],5,2)</f>
        <v>09</v>
      </c>
      <c r="E2078" s="1" t="s">
        <v>34</v>
      </c>
      <c r="F2078" s="1" t="s">
        <v>35</v>
      </c>
      <c r="G2078" s="1">
        <v>73721</v>
      </c>
      <c r="H2078" s="1">
        <v>2920182</v>
      </c>
      <c r="I2078" s="1">
        <v>39.611055555555538</v>
      </c>
      <c r="J2078" s="1">
        <v>77935.313252459935</v>
      </c>
      <c r="K2078" s="1">
        <v>51</v>
      </c>
      <c r="L2078" s="1">
        <v>49</v>
      </c>
      <c r="M2078" s="1">
        <v>37.469305994068456</v>
      </c>
      <c r="N2078" s="1">
        <v>3523581</v>
      </c>
    </row>
    <row r="2079" spans="1:14" x14ac:dyDescent="0.35">
      <c r="A2079" s="1" t="s">
        <v>96</v>
      </c>
      <c r="B2079" s="1">
        <v>202603</v>
      </c>
      <c r="C2079" s="1" t="str">
        <f>MID(analisis_productividad__4[[#This Row],[Periodo]],1,4)</f>
        <v>2026</v>
      </c>
      <c r="D2079" s="1" t="str">
        <f>MID(analisis_productividad__4[[#This Row],[Periodo]],5,2)</f>
        <v>03</v>
      </c>
      <c r="E2079" s="1" t="s">
        <v>16</v>
      </c>
      <c r="F2079" s="1" t="s">
        <v>17</v>
      </c>
      <c r="G2079" s="1">
        <v>73717</v>
      </c>
      <c r="H2079" s="1">
        <v>5888404</v>
      </c>
      <c r="I2079" s="1">
        <v>79.87898521505376</v>
      </c>
      <c r="J2079" s="1">
        <v>63297.49062142858</v>
      </c>
      <c r="K2079" s="1">
        <v>84</v>
      </c>
      <c r="L2079" s="1">
        <v>76.5</v>
      </c>
      <c r="M2079" s="1">
        <v>84</v>
      </c>
      <c r="N2079" s="1">
        <v>5316989</v>
      </c>
    </row>
    <row r="2080" spans="1:14" x14ac:dyDescent="0.35">
      <c r="A2080" s="1" t="s">
        <v>95</v>
      </c>
      <c r="B2080" s="1">
        <v>202407</v>
      </c>
      <c r="C2080" s="1" t="str">
        <f>MID(analisis_productividad__4[[#This Row],[Periodo]],1,4)</f>
        <v>2024</v>
      </c>
      <c r="D2080" s="1" t="str">
        <f>MID(analisis_productividad__4[[#This Row],[Periodo]],5,2)</f>
        <v>07</v>
      </c>
      <c r="E2080" s="1" t="s">
        <v>9</v>
      </c>
      <c r="F2080" s="1" t="s">
        <v>9</v>
      </c>
      <c r="G2080" s="1">
        <v>73716</v>
      </c>
      <c r="H2080" s="1">
        <v>688852</v>
      </c>
      <c r="I2080" s="1">
        <v>9.3446706989247321</v>
      </c>
      <c r="J2080" s="1">
        <v>0</v>
      </c>
      <c r="K2080" s="1">
        <v>11</v>
      </c>
      <c r="L2080" s="1">
        <v>11</v>
      </c>
      <c r="M2080" s="1"/>
      <c r="N2080" s="1">
        <v>0</v>
      </c>
    </row>
    <row r="2081" spans="1:14" x14ac:dyDescent="0.35">
      <c r="A2081" s="1" t="s">
        <v>98</v>
      </c>
      <c r="B2081" s="1">
        <v>202410</v>
      </c>
      <c r="C2081" s="1" t="str">
        <f>MID(analisis_productividad__4[[#This Row],[Periodo]],1,4)</f>
        <v>2024</v>
      </c>
      <c r="D2081" s="1" t="str">
        <f>MID(analisis_productividad__4[[#This Row],[Periodo]],5,2)</f>
        <v>10</v>
      </c>
      <c r="E2081" s="1" t="s">
        <v>11</v>
      </c>
      <c r="F2081" s="1" t="s">
        <v>14</v>
      </c>
      <c r="G2081" s="1">
        <v>73703</v>
      </c>
      <c r="H2081" s="1">
        <v>3699229</v>
      </c>
      <c r="I2081" s="1">
        <v>50.19084677419356</v>
      </c>
      <c r="J2081" s="1">
        <v>0</v>
      </c>
      <c r="K2081" s="1">
        <v>61.5</v>
      </c>
      <c r="L2081" s="1">
        <v>56</v>
      </c>
      <c r="M2081" s="1"/>
      <c r="N2081" s="1">
        <v>0</v>
      </c>
    </row>
    <row r="2082" spans="1:14" x14ac:dyDescent="0.35">
      <c r="A2082" s="1" t="s">
        <v>103</v>
      </c>
      <c r="B2082" s="1">
        <v>202605</v>
      </c>
      <c r="C2082" s="1" t="str">
        <f>MID(analisis_productividad__4[[#This Row],[Periodo]],1,4)</f>
        <v>2026</v>
      </c>
      <c r="D2082" s="1" t="str">
        <f>MID(analisis_productividad__4[[#This Row],[Periodo]],5,2)</f>
        <v>05</v>
      </c>
      <c r="E2082" s="1" t="s">
        <v>104</v>
      </c>
      <c r="F2082" s="1" t="s">
        <v>104</v>
      </c>
      <c r="G2082" s="1">
        <v>73684</v>
      </c>
      <c r="H2082" s="1">
        <v>5697147</v>
      </c>
      <c r="I2082" s="1">
        <v>77.318716397849016</v>
      </c>
      <c r="J2082" s="1">
        <v>71502.784526909949</v>
      </c>
      <c r="K2082" s="1">
        <v>94</v>
      </c>
      <c r="L2082" s="1">
        <v>77.5</v>
      </c>
      <c r="M2082" s="1">
        <v>81.023149648384276</v>
      </c>
      <c r="N2082" s="1">
        <v>5793381</v>
      </c>
    </row>
    <row r="2083" spans="1:14" x14ac:dyDescent="0.35">
      <c r="A2083" s="1" t="s">
        <v>82</v>
      </c>
      <c r="B2083" s="1">
        <v>202510</v>
      </c>
      <c r="C2083" s="1" t="str">
        <f>MID(analisis_productividad__4[[#This Row],[Periodo]],1,4)</f>
        <v>2025</v>
      </c>
      <c r="D2083" s="1" t="str">
        <f>MID(analisis_productividad__4[[#This Row],[Periodo]],5,2)</f>
        <v>10</v>
      </c>
      <c r="E2083" s="1" t="s">
        <v>11</v>
      </c>
      <c r="F2083" s="1" t="s">
        <v>12</v>
      </c>
      <c r="G2083" s="1">
        <v>73629</v>
      </c>
      <c r="H2083" s="1">
        <v>3544848</v>
      </c>
      <c r="I2083" s="1">
        <v>48.144852150537616</v>
      </c>
      <c r="J2083" s="1">
        <v>76273.111973167703</v>
      </c>
      <c r="K2083" s="1">
        <v>53.5</v>
      </c>
      <c r="L2083" s="1">
        <v>54</v>
      </c>
      <c r="M2083" s="1">
        <v>46.475727399808349</v>
      </c>
      <c r="N2083" s="1">
        <v>4139919</v>
      </c>
    </row>
    <row r="2084" spans="1:14" x14ac:dyDescent="0.35">
      <c r="A2084" s="1" t="s">
        <v>71</v>
      </c>
      <c r="B2084" s="1">
        <v>202406</v>
      </c>
      <c r="C2084" s="1" t="str">
        <f>MID(analisis_productividad__4[[#This Row],[Periodo]],1,4)</f>
        <v>2024</v>
      </c>
      <c r="D2084" s="1" t="str">
        <f>MID(analisis_productividad__4[[#This Row],[Periodo]],5,2)</f>
        <v>06</v>
      </c>
      <c r="E2084" s="1" t="s">
        <v>16</v>
      </c>
      <c r="F2084" s="1" t="s">
        <v>19</v>
      </c>
      <c r="G2084" s="1">
        <v>73613</v>
      </c>
      <c r="H2084" s="1">
        <v>2351662</v>
      </c>
      <c r="I2084" s="1">
        <v>31.946444444444445</v>
      </c>
      <c r="J2084" s="1">
        <v>0</v>
      </c>
      <c r="K2084" s="1">
        <v>41.5</v>
      </c>
      <c r="L2084" s="1">
        <v>35.5</v>
      </c>
      <c r="M2084" s="1"/>
      <c r="N2084" s="1">
        <v>0</v>
      </c>
    </row>
    <row r="2085" spans="1:14" x14ac:dyDescent="0.35">
      <c r="A2085" s="1" t="s">
        <v>43</v>
      </c>
      <c r="B2085" s="1">
        <v>202502</v>
      </c>
      <c r="C2085" s="1" t="str">
        <f>MID(analisis_productividad__4[[#This Row],[Periodo]],1,4)</f>
        <v>2025</v>
      </c>
      <c r="D2085" s="1" t="str">
        <f>MID(analisis_productividad__4[[#This Row],[Periodo]],5,2)</f>
        <v>02</v>
      </c>
      <c r="E2085" s="1" t="s">
        <v>11</v>
      </c>
      <c r="F2085" s="1" t="s">
        <v>12</v>
      </c>
      <c r="G2085" s="1">
        <v>73610</v>
      </c>
      <c r="H2085" s="1">
        <v>5195536</v>
      </c>
      <c r="I2085" s="1">
        <v>70.582187500000003</v>
      </c>
      <c r="J2085" s="1">
        <v>87532.266105166374</v>
      </c>
      <c r="K2085" s="1">
        <v>84.5</v>
      </c>
      <c r="L2085" s="1">
        <v>86.5</v>
      </c>
      <c r="M2085" s="1">
        <v>59.355668500090928</v>
      </c>
      <c r="N2085" s="1">
        <v>6389988</v>
      </c>
    </row>
    <row r="2086" spans="1:14" x14ac:dyDescent="0.35">
      <c r="A2086" s="1" t="s">
        <v>100</v>
      </c>
      <c r="B2086" s="1">
        <v>202405</v>
      </c>
      <c r="C2086" s="1" t="str">
        <f>MID(analisis_productividad__4[[#This Row],[Periodo]],1,4)</f>
        <v>2024</v>
      </c>
      <c r="D2086" s="1" t="str">
        <f>MID(analisis_productividad__4[[#This Row],[Periodo]],5,2)</f>
        <v>05</v>
      </c>
      <c r="E2086" s="1" t="s">
        <v>34</v>
      </c>
      <c r="F2086" s="1" t="s">
        <v>35</v>
      </c>
      <c r="G2086" s="1">
        <v>73592</v>
      </c>
      <c r="H2086" s="1">
        <v>2583157</v>
      </c>
      <c r="I2086" s="1">
        <v>35.100907258064531</v>
      </c>
      <c r="J2086" s="1">
        <v>0</v>
      </c>
      <c r="K2086" s="1">
        <v>44</v>
      </c>
      <c r="L2086" s="1">
        <v>40.5</v>
      </c>
      <c r="M2086" s="1"/>
      <c r="N2086" s="1">
        <v>0</v>
      </c>
    </row>
    <row r="2087" spans="1:14" x14ac:dyDescent="0.35">
      <c r="A2087" s="1" t="s">
        <v>60</v>
      </c>
      <c r="B2087" s="1">
        <v>202402</v>
      </c>
      <c r="C2087" s="1" t="str">
        <f>MID(analisis_productividad__4[[#This Row],[Periodo]],1,4)</f>
        <v>2024</v>
      </c>
      <c r="D2087" s="1" t="str">
        <f>MID(analisis_productividad__4[[#This Row],[Periodo]],5,2)</f>
        <v>02</v>
      </c>
      <c r="E2087" s="1" t="s">
        <v>11</v>
      </c>
      <c r="F2087" s="1" t="s">
        <v>14</v>
      </c>
      <c r="G2087" s="1">
        <v>73591</v>
      </c>
      <c r="H2087" s="1">
        <v>5403245</v>
      </c>
      <c r="I2087" s="1">
        <v>73.423110632183892</v>
      </c>
      <c r="J2087" s="1">
        <v>0</v>
      </c>
      <c r="K2087" s="1">
        <v>75.5</v>
      </c>
      <c r="L2087" s="1">
        <v>74</v>
      </c>
      <c r="M2087" s="1"/>
      <c r="N2087" s="1">
        <v>0</v>
      </c>
    </row>
    <row r="2088" spans="1:14" x14ac:dyDescent="0.35">
      <c r="A2088" s="1" t="s">
        <v>85</v>
      </c>
      <c r="B2088" s="1">
        <v>202408</v>
      </c>
      <c r="C2088" s="1" t="str">
        <f>MID(analisis_productividad__4[[#This Row],[Periodo]],1,4)</f>
        <v>2024</v>
      </c>
      <c r="D2088" s="1" t="str">
        <f>MID(analisis_productividad__4[[#This Row],[Periodo]],5,2)</f>
        <v>08</v>
      </c>
      <c r="E2088" s="1" t="s">
        <v>11</v>
      </c>
      <c r="F2088" s="1" t="s">
        <v>14</v>
      </c>
      <c r="G2088" s="1">
        <v>73585</v>
      </c>
      <c r="H2088" s="1">
        <v>3677372</v>
      </c>
      <c r="I2088" s="1">
        <v>49.974213709677414</v>
      </c>
      <c r="J2088" s="1">
        <v>0</v>
      </c>
      <c r="K2088" s="1">
        <v>60.5</v>
      </c>
      <c r="L2088" s="1">
        <v>57.5</v>
      </c>
      <c r="M2088" s="1"/>
      <c r="N2088" s="1">
        <v>0</v>
      </c>
    </row>
    <row r="2089" spans="1:14" x14ac:dyDescent="0.35">
      <c r="A2089" s="1" t="s">
        <v>83</v>
      </c>
      <c r="B2089" s="1">
        <v>202509</v>
      </c>
      <c r="C2089" s="1" t="str">
        <f>MID(analisis_productividad__4[[#This Row],[Periodo]],1,4)</f>
        <v>2025</v>
      </c>
      <c r="D2089" s="1" t="str">
        <f>MID(analisis_productividad__4[[#This Row],[Periodo]],5,2)</f>
        <v>09</v>
      </c>
      <c r="E2089" s="1" t="s">
        <v>16</v>
      </c>
      <c r="F2089" s="1" t="s">
        <v>17</v>
      </c>
      <c r="G2089" s="1">
        <v>73569</v>
      </c>
      <c r="H2089" s="1">
        <v>3186003</v>
      </c>
      <c r="I2089" s="1">
        <v>43.306569444444456</v>
      </c>
      <c r="J2089" s="1">
        <v>77484.555136019408</v>
      </c>
      <c r="K2089" s="1">
        <v>52</v>
      </c>
      <c r="L2089" s="1">
        <v>52</v>
      </c>
      <c r="M2089" s="1">
        <v>41.117913039665339</v>
      </c>
      <c r="N2089" s="1">
        <v>3532718</v>
      </c>
    </row>
    <row r="2090" spans="1:14" x14ac:dyDescent="0.35">
      <c r="A2090" s="1" t="s">
        <v>95</v>
      </c>
      <c r="B2090" s="1">
        <v>202603</v>
      </c>
      <c r="C2090" s="1" t="str">
        <f>MID(analisis_productividad__4[[#This Row],[Periodo]],1,4)</f>
        <v>2026</v>
      </c>
      <c r="D2090" s="1" t="str">
        <f>MID(analisis_productividad__4[[#This Row],[Periodo]],5,2)</f>
        <v>03</v>
      </c>
      <c r="E2090" s="1" t="s">
        <v>9</v>
      </c>
      <c r="F2090" s="1" t="s">
        <v>9</v>
      </c>
      <c r="G2090" s="1">
        <v>73555</v>
      </c>
      <c r="H2090" s="1">
        <v>742546</v>
      </c>
      <c r="I2090" s="1">
        <v>10.095147849462366</v>
      </c>
      <c r="J2090" s="1">
        <v>69574.495254115493</v>
      </c>
      <c r="K2090" s="1">
        <v>11</v>
      </c>
      <c r="L2090" s="1">
        <v>11</v>
      </c>
      <c r="M2090" s="1">
        <v>10.04229432420742</v>
      </c>
      <c r="N2090" s="1">
        <v>698688</v>
      </c>
    </row>
    <row r="2091" spans="1:14" x14ac:dyDescent="0.35">
      <c r="A2091" s="1" t="s">
        <v>91</v>
      </c>
      <c r="B2091" s="1">
        <v>202403</v>
      </c>
      <c r="C2091" s="1" t="str">
        <f>MID(analisis_productividad__4[[#This Row],[Periodo]],1,4)</f>
        <v>2024</v>
      </c>
      <c r="D2091" s="1" t="str">
        <f>MID(analisis_productividad__4[[#This Row],[Periodo]],5,2)</f>
        <v>03</v>
      </c>
      <c r="E2091" s="1" t="s">
        <v>11</v>
      </c>
      <c r="F2091" s="1" t="s">
        <v>12</v>
      </c>
      <c r="G2091" s="1">
        <v>73549</v>
      </c>
      <c r="H2091" s="1">
        <v>4347740</v>
      </c>
      <c r="I2091" s="1">
        <v>59.113165322580635</v>
      </c>
      <c r="J2091" s="1">
        <v>0</v>
      </c>
      <c r="K2091" s="1">
        <v>55</v>
      </c>
      <c r="L2091" s="1">
        <v>55.5</v>
      </c>
      <c r="M2091" s="1"/>
      <c r="N2091" s="1">
        <v>0</v>
      </c>
    </row>
    <row r="2092" spans="1:14" x14ac:dyDescent="0.35">
      <c r="A2092" s="1" t="s">
        <v>53</v>
      </c>
      <c r="B2092" s="1">
        <v>202502</v>
      </c>
      <c r="C2092" s="1" t="str">
        <f>MID(analisis_productividad__4[[#This Row],[Periodo]],1,4)</f>
        <v>2025</v>
      </c>
      <c r="D2092" s="1" t="str">
        <f>MID(analisis_productividad__4[[#This Row],[Periodo]],5,2)</f>
        <v>02</v>
      </c>
      <c r="E2092" s="1" t="s">
        <v>11</v>
      </c>
      <c r="F2092" s="1" t="s">
        <v>12</v>
      </c>
      <c r="G2092" s="1">
        <v>73548</v>
      </c>
      <c r="H2092" s="1">
        <v>5643194</v>
      </c>
      <c r="I2092" s="1">
        <v>76.727656249999995</v>
      </c>
      <c r="J2092" s="1">
        <v>94018.511933103538</v>
      </c>
      <c r="K2092" s="1">
        <v>81</v>
      </c>
      <c r="L2092" s="1">
        <v>77</v>
      </c>
      <c r="M2092" s="1">
        <v>60.022160465752428</v>
      </c>
      <c r="N2092" s="1">
        <v>6408999</v>
      </c>
    </row>
    <row r="2093" spans="1:14" x14ac:dyDescent="0.35">
      <c r="A2093" s="1" t="s">
        <v>113</v>
      </c>
      <c r="B2093" s="1">
        <v>202508</v>
      </c>
      <c r="C2093" s="1" t="str">
        <f>MID(analisis_productividad__4[[#This Row],[Periodo]],1,4)</f>
        <v>2025</v>
      </c>
      <c r="D2093" s="1" t="str">
        <f>MID(analisis_productividad__4[[#This Row],[Periodo]],5,2)</f>
        <v>08</v>
      </c>
      <c r="E2093" s="1" t="s">
        <v>9</v>
      </c>
      <c r="F2093" s="1" t="s">
        <v>9</v>
      </c>
      <c r="G2093" s="1">
        <v>73544</v>
      </c>
      <c r="H2093" s="1">
        <v>592531</v>
      </c>
      <c r="I2093" s="1">
        <v>8.0568212365591396</v>
      </c>
      <c r="J2093" s="1">
        <v>60646.399546899738</v>
      </c>
      <c r="K2093" s="1">
        <v>11.5</v>
      </c>
      <c r="L2093" s="1">
        <v>10</v>
      </c>
      <c r="M2093" s="1">
        <v>9.7702542018471785</v>
      </c>
      <c r="N2093" s="1">
        <v>663428</v>
      </c>
    </row>
    <row r="2094" spans="1:14" x14ac:dyDescent="0.35">
      <c r="A2094" s="1" t="s">
        <v>47</v>
      </c>
      <c r="B2094" s="1">
        <v>202406</v>
      </c>
      <c r="C2094" s="1" t="str">
        <f>MID(analisis_productividad__4[[#This Row],[Periodo]],1,4)</f>
        <v>2024</v>
      </c>
      <c r="D2094" s="1" t="str">
        <f>MID(analisis_productividad__4[[#This Row],[Periodo]],5,2)</f>
        <v>06</v>
      </c>
      <c r="E2094" s="1" t="s">
        <v>11</v>
      </c>
      <c r="F2094" s="1" t="s">
        <v>14</v>
      </c>
      <c r="G2094" s="1">
        <v>73535</v>
      </c>
      <c r="H2094" s="1">
        <v>4639843</v>
      </c>
      <c r="I2094" s="1">
        <v>63.096784722222232</v>
      </c>
      <c r="J2094" s="1">
        <v>0</v>
      </c>
      <c r="K2094" s="1">
        <v>61.5</v>
      </c>
      <c r="L2094" s="1">
        <v>48.5</v>
      </c>
      <c r="M2094" s="1"/>
      <c r="N2094" s="1">
        <v>0</v>
      </c>
    </row>
    <row r="2095" spans="1:14" x14ac:dyDescent="0.35">
      <c r="A2095" s="1" t="s">
        <v>107</v>
      </c>
      <c r="B2095" s="1">
        <v>202605</v>
      </c>
      <c r="C2095" s="1" t="str">
        <f>MID(analisis_productividad__4[[#This Row],[Periodo]],1,4)</f>
        <v>2026</v>
      </c>
      <c r="D2095" s="1" t="str">
        <f>MID(analisis_productividad__4[[#This Row],[Periodo]],5,2)</f>
        <v>05</v>
      </c>
      <c r="E2095" s="1" t="s">
        <v>34</v>
      </c>
      <c r="F2095" s="1" t="s">
        <v>35</v>
      </c>
      <c r="G2095" s="1">
        <v>73532</v>
      </c>
      <c r="H2095" s="1">
        <v>5111049</v>
      </c>
      <c r="I2095" s="1">
        <v>69.507788978494958</v>
      </c>
      <c r="J2095" s="1">
        <v>69247.601854526831</v>
      </c>
      <c r="K2095" s="1">
        <v>87</v>
      </c>
      <c r="L2095" s="1">
        <v>77.5</v>
      </c>
      <c r="M2095" s="1">
        <v>73.970842069892498</v>
      </c>
      <c r="N2095" s="1">
        <v>5122303</v>
      </c>
    </row>
    <row r="2096" spans="1:14" x14ac:dyDescent="0.35">
      <c r="A2096" s="1" t="s">
        <v>83</v>
      </c>
      <c r="B2096" s="1">
        <v>202401</v>
      </c>
      <c r="C2096" s="1" t="str">
        <f>MID(analisis_productividad__4[[#This Row],[Periodo]],1,4)</f>
        <v>2024</v>
      </c>
      <c r="D2096" s="1" t="str">
        <f>MID(analisis_productividad__4[[#This Row],[Periodo]],5,2)</f>
        <v>01</v>
      </c>
      <c r="E2096" s="1" t="s">
        <v>16</v>
      </c>
      <c r="F2096" s="1" t="s">
        <v>17</v>
      </c>
      <c r="G2096" s="1">
        <v>73512</v>
      </c>
      <c r="H2096" s="1">
        <v>3495412</v>
      </c>
      <c r="I2096" s="1">
        <v>47.548958333333324</v>
      </c>
      <c r="J2096" s="1">
        <v>0</v>
      </c>
      <c r="K2096" s="1">
        <v>52</v>
      </c>
      <c r="L2096" s="1">
        <v>52</v>
      </c>
      <c r="M2096" s="1"/>
      <c r="N2096" s="1">
        <v>0</v>
      </c>
    </row>
    <row r="2097" spans="1:14" x14ac:dyDescent="0.35">
      <c r="A2097" s="1" t="s">
        <v>100</v>
      </c>
      <c r="B2097" s="1">
        <v>202606</v>
      </c>
      <c r="C2097" s="1" t="str">
        <f>MID(analisis_productividad__4[[#This Row],[Periodo]],1,4)</f>
        <v>2026</v>
      </c>
      <c r="D2097" s="1" t="str">
        <f>MID(analisis_productividad__4[[#This Row],[Periodo]],5,2)</f>
        <v>06</v>
      </c>
      <c r="E2097" s="1" t="s">
        <v>34</v>
      </c>
      <c r="F2097" s="1" t="s">
        <v>35</v>
      </c>
      <c r="G2097" s="1">
        <v>73488</v>
      </c>
      <c r="H2097" s="1">
        <v>2564150</v>
      </c>
      <c r="I2097" s="1">
        <v>34.892277777777515</v>
      </c>
      <c r="J2097" s="1">
        <v>72084.328293413564</v>
      </c>
      <c r="K2097" s="1">
        <v>44</v>
      </c>
      <c r="L2097" s="1">
        <v>40.5</v>
      </c>
      <c r="M2097" s="1">
        <v>35.762421795855829</v>
      </c>
      <c r="N2097" s="1">
        <v>2577910</v>
      </c>
    </row>
    <row r="2098" spans="1:14" x14ac:dyDescent="0.35">
      <c r="A2098" s="1" t="s">
        <v>62</v>
      </c>
      <c r="B2098" s="1">
        <v>202409</v>
      </c>
      <c r="C2098" s="1" t="str">
        <f>MID(analisis_productividad__4[[#This Row],[Periodo]],1,4)</f>
        <v>2024</v>
      </c>
      <c r="D2098" s="1" t="str">
        <f>MID(analisis_productividad__4[[#This Row],[Periodo]],5,2)</f>
        <v>09</v>
      </c>
      <c r="E2098" s="1" t="s">
        <v>16</v>
      </c>
      <c r="F2098" s="1" t="s">
        <v>17</v>
      </c>
      <c r="G2098" s="1">
        <v>73459</v>
      </c>
      <c r="H2098" s="1">
        <v>2033519</v>
      </c>
      <c r="I2098" s="1">
        <v>27.682277777777777</v>
      </c>
      <c r="J2098" s="1">
        <v>0</v>
      </c>
      <c r="K2098" s="1">
        <v>32.5</v>
      </c>
      <c r="L2098" s="1">
        <v>32</v>
      </c>
      <c r="M2098" s="1"/>
      <c r="N2098" s="1">
        <v>0</v>
      </c>
    </row>
    <row r="2099" spans="1:14" x14ac:dyDescent="0.35">
      <c r="A2099" s="1" t="s">
        <v>107</v>
      </c>
      <c r="B2099" s="1">
        <v>202604</v>
      </c>
      <c r="C2099" s="1" t="str">
        <f>MID(analisis_productividad__4[[#This Row],[Periodo]],1,4)</f>
        <v>2026</v>
      </c>
      <c r="D2099" s="1" t="str">
        <f>MID(analisis_productividad__4[[#This Row],[Periodo]],5,2)</f>
        <v>04</v>
      </c>
      <c r="E2099" s="1" t="s">
        <v>34</v>
      </c>
      <c r="F2099" s="1" t="s">
        <v>35</v>
      </c>
      <c r="G2099" s="1">
        <v>73443</v>
      </c>
      <c r="H2099" s="1">
        <v>4982382</v>
      </c>
      <c r="I2099" s="1">
        <v>67.839868055555783</v>
      </c>
      <c r="J2099" s="1">
        <v>66279.986475853919</v>
      </c>
      <c r="K2099" s="1">
        <v>87</v>
      </c>
      <c r="L2099" s="1">
        <v>77.5</v>
      </c>
      <c r="M2099" s="1">
        <v>73.970842069892498</v>
      </c>
      <c r="N2099" s="1">
        <v>4902786</v>
      </c>
    </row>
    <row r="2100" spans="1:14" x14ac:dyDescent="0.35">
      <c r="A2100" s="1" t="s">
        <v>86</v>
      </c>
      <c r="B2100" s="1">
        <v>202501</v>
      </c>
      <c r="C2100" s="1" t="str">
        <f>MID(analisis_productividad__4[[#This Row],[Periodo]],1,4)</f>
        <v>2025</v>
      </c>
      <c r="D2100" s="1" t="str">
        <f>MID(analisis_productividad__4[[#This Row],[Periodo]],5,2)</f>
        <v>01</v>
      </c>
      <c r="E2100" s="1" t="s">
        <v>11</v>
      </c>
      <c r="F2100" s="1" t="s">
        <v>14</v>
      </c>
      <c r="G2100" s="1">
        <v>73443</v>
      </c>
      <c r="H2100" s="1">
        <v>4422922</v>
      </c>
      <c r="I2100" s="1">
        <v>60.22281586021505</v>
      </c>
      <c r="J2100" s="1">
        <v>78812.265963874161</v>
      </c>
      <c r="K2100" s="1">
        <v>69.5</v>
      </c>
      <c r="L2100" s="1">
        <v>59</v>
      </c>
      <c r="M2100" s="1">
        <v>56.119718750725553</v>
      </c>
      <c r="N2100" s="1">
        <v>4869251</v>
      </c>
    </row>
    <row r="2101" spans="1:14" x14ac:dyDescent="0.35">
      <c r="A2101" s="1" t="s">
        <v>92</v>
      </c>
      <c r="B2101" s="1">
        <v>202408</v>
      </c>
      <c r="C2101" s="1" t="str">
        <f>MID(analisis_productividad__4[[#This Row],[Periodo]],1,4)</f>
        <v>2024</v>
      </c>
      <c r="D2101" s="1" t="str">
        <f>MID(analisis_productividad__4[[#This Row],[Periodo]],5,2)</f>
        <v>08</v>
      </c>
      <c r="E2101" s="1" t="s">
        <v>11</v>
      </c>
      <c r="F2101" s="1" t="s">
        <v>14</v>
      </c>
      <c r="G2101" s="1">
        <v>73418</v>
      </c>
      <c r="H2101" s="1">
        <v>3774225</v>
      </c>
      <c r="I2101" s="1">
        <v>51.407284946236565</v>
      </c>
      <c r="J2101" s="1">
        <v>0</v>
      </c>
      <c r="K2101" s="1">
        <v>63</v>
      </c>
      <c r="L2101" s="1">
        <v>59</v>
      </c>
      <c r="M2101" s="1"/>
      <c r="N2101" s="1">
        <v>0</v>
      </c>
    </row>
    <row r="2102" spans="1:14" x14ac:dyDescent="0.35">
      <c r="A2102" s="1" t="s">
        <v>26</v>
      </c>
      <c r="B2102" s="1">
        <v>202405</v>
      </c>
      <c r="C2102" s="1" t="str">
        <f>MID(analisis_productividad__4[[#This Row],[Periodo]],1,4)</f>
        <v>2024</v>
      </c>
      <c r="D2102" s="1" t="str">
        <f>MID(analisis_productividad__4[[#This Row],[Periodo]],5,2)</f>
        <v>05</v>
      </c>
      <c r="E2102" s="1" t="s">
        <v>11</v>
      </c>
      <c r="F2102" s="1" t="s">
        <v>12</v>
      </c>
      <c r="G2102" s="1">
        <v>73391</v>
      </c>
      <c r="H2102" s="1">
        <v>4711532</v>
      </c>
      <c r="I2102" s="1">
        <v>64.197338709677425</v>
      </c>
      <c r="J2102" s="1">
        <v>0</v>
      </c>
      <c r="K2102" s="1">
        <v>65.5</v>
      </c>
      <c r="L2102" s="1">
        <v>63</v>
      </c>
      <c r="M2102" s="1"/>
      <c r="N2102" s="1">
        <v>0</v>
      </c>
    </row>
    <row r="2103" spans="1:14" x14ac:dyDescent="0.35">
      <c r="A2103" s="1" t="s">
        <v>84</v>
      </c>
      <c r="B2103" s="1">
        <v>202402</v>
      </c>
      <c r="C2103" s="1" t="str">
        <f>MID(analisis_productividad__4[[#This Row],[Periodo]],1,4)</f>
        <v>2024</v>
      </c>
      <c r="D2103" s="1" t="str">
        <f>MID(analisis_productividad__4[[#This Row],[Periodo]],5,2)</f>
        <v>02</v>
      </c>
      <c r="E2103" s="1" t="s">
        <v>11</v>
      </c>
      <c r="F2103" s="1" t="s">
        <v>52</v>
      </c>
      <c r="G2103" s="1">
        <v>73387</v>
      </c>
      <c r="H2103" s="1">
        <v>8578090</v>
      </c>
      <c r="I2103" s="1">
        <v>116.8879310344828</v>
      </c>
      <c r="J2103" s="1">
        <v>0</v>
      </c>
      <c r="K2103" s="1">
        <v>123</v>
      </c>
      <c r="L2103" s="1">
        <v>115.5</v>
      </c>
      <c r="M2103" s="1"/>
      <c r="N2103" s="1">
        <v>0</v>
      </c>
    </row>
    <row r="2104" spans="1:14" x14ac:dyDescent="0.35">
      <c r="A2104" s="1" t="s">
        <v>77</v>
      </c>
      <c r="B2104" s="1">
        <v>202406</v>
      </c>
      <c r="C2104" s="1" t="str">
        <f>MID(analisis_productividad__4[[#This Row],[Periodo]],1,4)</f>
        <v>2024</v>
      </c>
      <c r="D2104" s="1" t="str">
        <f>MID(analisis_productividad__4[[#This Row],[Periodo]],5,2)</f>
        <v>06</v>
      </c>
      <c r="E2104" s="1" t="s">
        <v>16</v>
      </c>
      <c r="F2104" s="1" t="s">
        <v>21</v>
      </c>
      <c r="G2104" s="1">
        <v>73383</v>
      </c>
      <c r="H2104" s="1">
        <v>4794611</v>
      </c>
      <c r="I2104" s="1">
        <v>65.336930555555554</v>
      </c>
      <c r="J2104" s="1">
        <v>0</v>
      </c>
      <c r="K2104" s="1">
        <v>60.5</v>
      </c>
      <c r="L2104" s="1">
        <v>60.5</v>
      </c>
      <c r="M2104" s="1"/>
      <c r="N2104" s="1">
        <v>0</v>
      </c>
    </row>
    <row r="2105" spans="1:14" x14ac:dyDescent="0.35">
      <c r="A2105" s="1" t="s">
        <v>106</v>
      </c>
      <c r="B2105" s="1">
        <v>202510</v>
      </c>
      <c r="C2105" s="1" t="str">
        <f>MID(analisis_productividad__4[[#This Row],[Periodo]],1,4)</f>
        <v>2025</v>
      </c>
      <c r="D2105" s="1" t="str">
        <f>MID(analisis_productividad__4[[#This Row],[Periodo]],5,2)</f>
        <v>10</v>
      </c>
      <c r="E2105" s="1" t="s">
        <v>34</v>
      </c>
      <c r="F2105" s="1" t="s">
        <v>35</v>
      </c>
      <c r="G2105" s="1">
        <v>73353</v>
      </c>
      <c r="H2105" s="1">
        <v>3001171</v>
      </c>
      <c r="I2105" s="1">
        <v>40.913870967741936</v>
      </c>
      <c r="J2105" s="1">
        <v>83281.28995008707</v>
      </c>
      <c r="K2105" s="1">
        <v>51</v>
      </c>
      <c r="L2105" s="1">
        <v>49</v>
      </c>
      <c r="M2105" s="1">
        <v>36.03656141491912</v>
      </c>
      <c r="N2105" s="1">
        <v>3624264</v>
      </c>
    </row>
    <row r="2106" spans="1:14" x14ac:dyDescent="0.35">
      <c r="A2106" s="1" t="s">
        <v>100</v>
      </c>
      <c r="B2106" s="1">
        <v>202403</v>
      </c>
      <c r="C2106" s="1" t="str">
        <f>MID(analisis_productividad__4[[#This Row],[Periodo]],1,4)</f>
        <v>2024</v>
      </c>
      <c r="D2106" s="1" t="str">
        <f>MID(analisis_productividad__4[[#This Row],[Periodo]],5,2)</f>
        <v>03</v>
      </c>
      <c r="E2106" s="1" t="s">
        <v>34</v>
      </c>
      <c r="F2106" s="1" t="s">
        <v>35</v>
      </c>
      <c r="G2106" s="1">
        <v>73353</v>
      </c>
      <c r="H2106" s="1">
        <v>2923311</v>
      </c>
      <c r="I2106" s="1">
        <v>39.852674731182788</v>
      </c>
      <c r="J2106" s="1">
        <v>0</v>
      </c>
      <c r="K2106" s="1">
        <v>44</v>
      </c>
      <c r="L2106" s="1">
        <v>40.5</v>
      </c>
      <c r="M2106" s="1"/>
      <c r="N2106" s="1">
        <v>0</v>
      </c>
    </row>
    <row r="2107" spans="1:14" x14ac:dyDescent="0.35">
      <c r="A2107" s="1" t="s">
        <v>106</v>
      </c>
      <c r="B2107" s="1">
        <v>202501</v>
      </c>
      <c r="C2107" s="1" t="str">
        <f>MID(analisis_productividad__4[[#This Row],[Periodo]],1,4)</f>
        <v>2025</v>
      </c>
      <c r="D2107" s="1" t="str">
        <f>MID(analisis_productividad__4[[#This Row],[Periodo]],5,2)</f>
        <v>01</v>
      </c>
      <c r="E2107" s="1" t="s">
        <v>34</v>
      </c>
      <c r="F2107" s="1" t="s">
        <v>35</v>
      </c>
      <c r="G2107" s="1">
        <v>73353</v>
      </c>
      <c r="H2107" s="1">
        <v>3222757</v>
      </c>
      <c r="I2107" s="1">
        <v>43.93506720430107</v>
      </c>
      <c r="J2107" s="1">
        <v>79231.322432734945</v>
      </c>
      <c r="K2107" s="1">
        <v>51</v>
      </c>
      <c r="L2107" s="1">
        <v>49</v>
      </c>
      <c r="M2107" s="1">
        <v>40.675295085930522</v>
      </c>
      <c r="N2107" s="1">
        <v>3386464</v>
      </c>
    </row>
    <row r="2108" spans="1:14" x14ac:dyDescent="0.35">
      <c r="A2108" s="1" t="s">
        <v>37</v>
      </c>
      <c r="B2108" s="1">
        <v>202402</v>
      </c>
      <c r="C2108" s="1" t="str">
        <f>MID(analisis_productividad__4[[#This Row],[Periodo]],1,4)</f>
        <v>2024</v>
      </c>
      <c r="D2108" s="1" t="str">
        <f>MID(analisis_productividad__4[[#This Row],[Periodo]],5,2)</f>
        <v>02</v>
      </c>
      <c r="E2108" s="1" t="s">
        <v>16</v>
      </c>
      <c r="F2108" s="1" t="s">
        <v>17</v>
      </c>
      <c r="G2108" s="1">
        <v>73347</v>
      </c>
      <c r="H2108" s="1">
        <v>7496296</v>
      </c>
      <c r="I2108" s="1">
        <v>102.20326867816098</v>
      </c>
      <c r="J2108" s="1">
        <v>0</v>
      </c>
      <c r="K2108" s="1">
        <v>107.5</v>
      </c>
      <c r="L2108" s="1">
        <v>102.5</v>
      </c>
      <c r="M2108" s="1"/>
      <c r="N2108" s="1">
        <v>0</v>
      </c>
    </row>
    <row r="2109" spans="1:14" x14ac:dyDescent="0.35">
      <c r="A2109" s="1" t="s">
        <v>95</v>
      </c>
      <c r="B2109" s="1">
        <v>202412</v>
      </c>
      <c r="C2109" s="1" t="str">
        <f>MID(analisis_productividad__4[[#This Row],[Periodo]],1,4)</f>
        <v>2024</v>
      </c>
      <c r="D2109" s="1" t="str">
        <f>MID(analisis_productividad__4[[#This Row],[Periodo]],5,2)</f>
        <v>12</v>
      </c>
      <c r="E2109" s="1" t="s">
        <v>9</v>
      </c>
      <c r="F2109" s="1" t="s">
        <v>9</v>
      </c>
      <c r="G2109" s="1">
        <v>73328</v>
      </c>
      <c r="H2109" s="1">
        <v>803609</v>
      </c>
      <c r="I2109" s="1">
        <v>10.959045698924733</v>
      </c>
      <c r="J2109" s="1">
        <v>0</v>
      </c>
      <c r="K2109" s="1">
        <v>11</v>
      </c>
      <c r="L2109" s="1">
        <v>11</v>
      </c>
      <c r="M2109" s="1"/>
      <c r="N2109" s="1">
        <v>0</v>
      </c>
    </row>
    <row r="2110" spans="1:14" x14ac:dyDescent="0.35">
      <c r="A2110" s="1" t="s">
        <v>45</v>
      </c>
      <c r="B2110" s="1">
        <v>202603</v>
      </c>
      <c r="C2110" s="1" t="str">
        <f>MID(analisis_productividad__4[[#This Row],[Periodo]],1,4)</f>
        <v>2026</v>
      </c>
      <c r="D2110" s="1" t="str">
        <f>MID(analisis_productividad__4[[#This Row],[Periodo]],5,2)</f>
        <v>03</v>
      </c>
      <c r="E2110" s="1" t="s">
        <v>34</v>
      </c>
      <c r="F2110" s="1" t="s">
        <v>35</v>
      </c>
      <c r="G2110" s="1">
        <v>73322</v>
      </c>
      <c r="H2110" s="1">
        <v>1656529</v>
      </c>
      <c r="I2110" s="1">
        <v>22.592594086021517</v>
      </c>
      <c r="J2110" s="1">
        <v>97279.004892406097</v>
      </c>
      <c r="K2110" s="1">
        <v>22.5</v>
      </c>
      <c r="L2110" s="1">
        <v>21</v>
      </c>
      <c r="M2110" s="1">
        <v>19.647967156057994</v>
      </c>
      <c r="N2110" s="1">
        <v>1911335</v>
      </c>
    </row>
    <row r="2111" spans="1:14" x14ac:dyDescent="0.35">
      <c r="A2111" s="1" t="s">
        <v>33</v>
      </c>
      <c r="B2111" s="1">
        <v>202508</v>
      </c>
      <c r="C2111" s="1" t="str">
        <f>MID(analisis_productividad__4[[#This Row],[Periodo]],1,4)</f>
        <v>2025</v>
      </c>
      <c r="D2111" s="1" t="str">
        <f>MID(analisis_productividad__4[[#This Row],[Periodo]],5,2)</f>
        <v>08</v>
      </c>
      <c r="E2111" s="1" t="s">
        <v>34</v>
      </c>
      <c r="F2111" s="1" t="s">
        <v>35</v>
      </c>
      <c r="G2111" s="1">
        <v>73303</v>
      </c>
      <c r="H2111" s="1">
        <v>1095381</v>
      </c>
      <c r="I2111" s="1">
        <v>14.943259408602147</v>
      </c>
      <c r="J2111" s="1">
        <v>84746.670876349483</v>
      </c>
      <c r="K2111" s="1">
        <v>15</v>
      </c>
      <c r="L2111" s="1">
        <v>15</v>
      </c>
      <c r="M2111" s="1">
        <v>12.925362243411637</v>
      </c>
      <c r="N2111" s="1">
        <v>1108959</v>
      </c>
    </row>
    <row r="2112" spans="1:14" x14ac:dyDescent="0.35">
      <c r="A2112" s="1" t="s">
        <v>83</v>
      </c>
      <c r="B2112" s="1">
        <v>202411</v>
      </c>
      <c r="C2112" s="1" t="str">
        <f>MID(analisis_productividad__4[[#This Row],[Periodo]],1,4)</f>
        <v>2024</v>
      </c>
      <c r="D2112" s="1" t="str">
        <f>MID(analisis_productividad__4[[#This Row],[Periodo]],5,2)</f>
        <v>11</v>
      </c>
      <c r="E2112" s="1" t="s">
        <v>16</v>
      </c>
      <c r="F2112" s="1" t="s">
        <v>17</v>
      </c>
      <c r="G2112" s="1">
        <v>73297</v>
      </c>
      <c r="H2112" s="1">
        <v>3610543</v>
      </c>
      <c r="I2112" s="1">
        <v>49.259048611111098</v>
      </c>
      <c r="J2112" s="1">
        <v>0</v>
      </c>
      <c r="K2112" s="1">
        <v>52</v>
      </c>
      <c r="L2112" s="1">
        <v>52</v>
      </c>
      <c r="M2112" s="1"/>
      <c r="N2112" s="1">
        <v>0</v>
      </c>
    </row>
    <row r="2113" spans="1:14" x14ac:dyDescent="0.35">
      <c r="A2113" s="1" t="s">
        <v>100</v>
      </c>
      <c r="B2113" s="1">
        <v>202401</v>
      </c>
      <c r="C2113" s="1" t="str">
        <f>MID(analisis_productividad__4[[#This Row],[Periodo]],1,4)</f>
        <v>2024</v>
      </c>
      <c r="D2113" s="1" t="str">
        <f>MID(analisis_productividad__4[[#This Row],[Periodo]],5,2)</f>
        <v>01</v>
      </c>
      <c r="E2113" s="1" t="s">
        <v>34</v>
      </c>
      <c r="F2113" s="1" t="s">
        <v>35</v>
      </c>
      <c r="G2113" s="1">
        <v>73284</v>
      </c>
      <c r="H2113" s="1">
        <v>2644882</v>
      </c>
      <c r="I2113" s="1">
        <v>36.090974462365594</v>
      </c>
      <c r="J2113" s="1">
        <v>0</v>
      </c>
      <c r="K2113" s="1">
        <v>44</v>
      </c>
      <c r="L2113" s="1">
        <v>40.5</v>
      </c>
      <c r="M2113" s="1"/>
      <c r="N2113" s="1">
        <v>0</v>
      </c>
    </row>
    <row r="2114" spans="1:14" x14ac:dyDescent="0.35">
      <c r="A2114" s="1" t="s">
        <v>18</v>
      </c>
      <c r="B2114" s="1">
        <v>202405</v>
      </c>
      <c r="C2114" s="1" t="str">
        <f>MID(analisis_productividad__4[[#This Row],[Periodo]],1,4)</f>
        <v>2024</v>
      </c>
      <c r="D2114" s="1" t="str">
        <f>MID(analisis_productividad__4[[#This Row],[Periodo]],5,2)</f>
        <v>05</v>
      </c>
      <c r="E2114" s="1" t="s">
        <v>16</v>
      </c>
      <c r="F2114" s="1" t="s">
        <v>19</v>
      </c>
      <c r="G2114" s="1">
        <v>73260</v>
      </c>
      <c r="H2114" s="1">
        <v>4625987</v>
      </c>
      <c r="I2114" s="1">
        <v>63.145127688172074</v>
      </c>
      <c r="J2114" s="1">
        <v>0</v>
      </c>
      <c r="K2114" s="1">
        <v>70.5</v>
      </c>
      <c r="L2114" s="1">
        <v>69.5</v>
      </c>
      <c r="M2114" s="1"/>
      <c r="N2114" s="1">
        <v>0</v>
      </c>
    </row>
    <row r="2115" spans="1:14" x14ac:dyDescent="0.35">
      <c r="A2115" s="1" t="s">
        <v>89</v>
      </c>
      <c r="B2115" s="1">
        <v>202506</v>
      </c>
      <c r="C2115" s="1" t="str">
        <f>MID(analisis_productividad__4[[#This Row],[Periodo]],1,4)</f>
        <v>2025</v>
      </c>
      <c r="D2115" s="1" t="str">
        <f>MID(analisis_productividad__4[[#This Row],[Periodo]],5,2)</f>
        <v>06</v>
      </c>
      <c r="E2115" s="1" t="s">
        <v>9</v>
      </c>
      <c r="F2115" s="1" t="s">
        <v>9</v>
      </c>
      <c r="G2115" s="1">
        <v>73258</v>
      </c>
      <c r="H2115" s="1">
        <v>936717</v>
      </c>
      <c r="I2115" s="1">
        <v>12.786520833333336</v>
      </c>
      <c r="J2115" s="1">
        <v>74062.059031598794</v>
      </c>
      <c r="K2115" s="1">
        <v>17</v>
      </c>
      <c r="L2115" s="1">
        <v>13.5</v>
      </c>
      <c r="M2115" s="1">
        <v>12.64772951559917</v>
      </c>
      <c r="N2115" s="1">
        <v>1094734</v>
      </c>
    </row>
    <row r="2116" spans="1:14" x14ac:dyDescent="0.35">
      <c r="A2116" s="1" t="s">
        <v>66</v>
      </c>
      <c r="B2116" s="1">
        <v>202510</v>
      </c>
      <c r="C2116" s="1" t="str">
        <f>MID(analisis_productividad__4[[#This Row],[Periodo]],1,4)</f>
        <v>2025</v>
      </c>
      <c r="D2116" s="1" t="str">
        <f>MID(analisis_productividad__4[[#This Row],[Periodo]],5,2)</f>
        <v>10</v>
      </c>
      <c r="E2116" s="1" t="s">
        <v>11</v>
      </c>
      <c r="F2116" s="1" t="s">
        <v>12</v>
      </c>
      <c r="G2116" s="1">
        <v>73254</v>
      </c>
      <c r="H2116" s="1">
        <v>4954457</v>
      </c>
      <c r="I2116" s="1">
        <v>67.633783602150544</v>
      </c>
      <c r="J2116" s="1">
        <v>78227.004123902967</v>
      </c>
      <c r="K2116" s="1">
        <v>80</v>
      </c>
      <c r="L2116" s="1">
        <v>80.5</v>
      </c>
      <c r="M2116" s="1">
        <v>63.334357559605451</v>
      </c>
      <c r="N2116" s="1">
        <v>6290140</v>
      </c>
    </row>
    <row r="2117" spans="1:14" x14ac:dyDescent="0.35">
      <c r="A2117" s="1" t="s">
        <v>90</v>
      </c>
      <c r="B2117" s="1">
        <v>202601</v>
      </c>
      <c r="C2117" s="1" t="str">
        <f>MID(analisis_productividad__4[[#This Row],[Periodo]],1,4)</f>
        <v>2026</v>
      </c>
      <c r="D2117" s="1" t="str">
        <f>MID(analisis_productividad__4[[#This Row],[Periodo]],5,2)</f>
        <v>01</v>
      </c>
      <c r="E2117" s="1" t="s">
        <v>11</v>
      </c>
      <c r="F2117" s="1" t="s">
        <v>14</v>
      </c>
      <c r="G2117" s="1">
        <v>73234</v>
      </c>
      <c r="H2117" s="1">
        <v>5631449</v>
      </c>
      <c r="I2117" s="1">
        <v>76.89674059139783</v>
      </c>
      <c r="J2117" s="1">
        <v>78326.139695577149</v>
      </c>
      <c r="K2117" s="1">
        <v>84.5</v>
      </c>
      <c r="L2117" s="1">
        <v>78.5</v>
      </c>
      <c r="M2117" s="1">
        <v>72.494656792343278</v>
      </c>
      <c r="N2117" s="1">
        <v>5678227</v>
      </c>
    </row>
    <row r="2118" spans="1:14" x14ac:dyDescent="0.35">
      <c r="A2118" s="1" t="s">
        <v>94</v>
      </c>
      <c r="B2118" s="1">
        <v>202509</v>
      </c>
      <c r="C2118" s="1" t="str">
        <f>MID(analisis_productividad__4[[#This Row],[Periodo]],1,4)</f>
        <v>2025</v>
      </c>
      <c r="D2118" s="1" t="str">
        <f>MID(analisis_productividad__4[[#This Row],[Periodo]],5,2)</f>
        <v>09</v>
      </c>
      <c r="E2118" s="1" t="s">
        <v>11</v>
      </c>
      <c r="F2118" s="1" t="s">
        <v>52</v>
      </c>
      <c r="G2118" s="1">
        <v>73232</v>
      </c>
      <c r="H2118" s="1">
        <v>4336969</v>
      </c>
      <c r="I2118" s="1">
        <v>59.222381944444471</v>
      </c>
      <c r="J2118" s="1">
        <v>71479.203381137835</v>
      </c>
      <c r="K2118" s="1">
        <v>75.5</v>
      </c>
      <c r="L2118" s="1">
        <v>70.5</v>
      </c>
      <c r="M2118" s="1">
        <v>60.67456035953046</v>
      </c>
      <c r="N2118" s="1">
        <v>5321722</v>
      </c>
    </row>
    <row r="2119" spans="1:14" x14ac:dyDescent="0.35">
      <c r="A2119" s="1" t="s">
        <v>110</v>
      </c>
      <c r="B2119" s="1">
        <v>202604</v>
      </c>
      <c r="C2119" s="1" t="str">
        <f>MID(analisis_productividad__4[[#This Row],[Periodo]],1,4)</f>
        <v>2026</v>
      </c>
      <c r="D2119" s="1" t="str">
        <f>MID(analisis_productividad__4[[#This Row],[Periodo]],5,2)</f>
        <v>04</v>
      </c>
      <c r="E2119" s="1" t="s">
        <v>34</v>
      </c>
      <c r="F2119" s="1" t="s">
        <v>35</v>
      </c>
      <c r="G2119" s="1">
        <v>73180</v>
      </c>
      <c r="H2119" s="1">
        <v>2112674</v>
      </c>
      <c r="I2119" s="1">
        <v>28.869506944444428</v>
      </c>
      <c r="J2119" s="1">
        <v>66021.987994702213</v>
      </c>
      <c r="K2119" s="1">
        <v>41.5</v>
      </c>
      <c r="L2119" s="1">
        <v>43</v>
      </c>
      <c r="M2119" s="1">
        <v>33.730466012000377</v>
      </c>
      <c r="N2119" s="1">
        <v>2226952</v>
      </c>
    </row>
    <row r="2120" spans="1:14" x14ac:dyDescent="0.35">
      <c r="A2120" s="1" t="s">
        <v>103</v>
      </c>
      <c r="B2120" s="1">
        <v>202512</v>
      </c>
      <c r="C2120" s="1" t="str">
        <f>MID(analisis_productividad__4[[#This Row],[Periodo]],1,4)</f>
        <v>2025</v>
      </c>
      <c r="D2120" s="1" t="str">
        <f>MID(analisis_productividad__4[[#This Row],[Periodo]],5,2)</f>
        <v>12</v>
      </c>
      <c r="E2120" s="1" t="s">
        <v>104</v>
      </c>
      <c r="F2120" s="1" t="s">
        <v>104</v>
      </c>
      <c r="G2120" s="1">
        <v>73172</v>
      </c>
      <c r="H2120" s="1">
        <v>6243182</v>
      </c>
      <c r="I2120" s="1">
        <v>85.322049731182716</v>
      </c>
      <c r="J2120" s="1">
        <v>76710.920715149448</v>
      </c>
      <c r="K2120" s="1">
        <v>94</v>
      </c>
      <c r="L2120" s="1">
        <v>77.5</v>
      </c>
      <c r="M2120" s="1">
        <v>81.38583231431673</v>
      </c>
      <c r="N2120" s="1">
        <v>6733325</v>
      </c>
    </row>
    <row r="2121" spans="1:14" x14ac:dyDescent="0.35">
      <c r="A2121" s="1" t="s">
        <v>44</v>
      </c>
      <c r="B2121" s="1">
        <v>202506</v>
      </c>
      <c r="C2121" s="1" t="str">
        <f>MID(analisis_productividad__4[[#This Row],[Periodo]],1,4)</f>
        <v>2025</v>
      </c>
      <c r="D2121" s="1" t="str">
        <f>MID(analisis_productividad__4[[#This Row],[Periodo]],5,2)</f>
        <v>06</v>
      </c>
      <c r="E2121" s="1" t="s">
        <v>11</v>
      </c>
      <c r="F2121" s="1" t="s">
        <v>12</v>
      </c>
      <c r="G2121" s="1">
        <v>73156</v>
      </c>
      <c r="H2121" s="1">
        <v>5266541</v>
      </c>
      <c r="I2121" s="1">
        <v>71.990965277777789</v>
      </c>
      <c r="J2121" s="1">
        <v>102171.83682787306</v>
      </c>
      <c r="K2121" s="1">
        <v>78</v>
      </c>
      <c r="L2121" s="1">
        <v>74.5</v>
      </c>
      <c r="M2121" s="1">
        <v>51.545917480885066</v>
      </c>
      <c r="N2121" s="1">
        <v>6014389</v>
      </c>
    </row>
    <row r="2122" spans="1:14" x14ac:dyDescent="0.35">
      <c r="A2122" s="1" t="s">
        <v>103</v>
      </c>
      <c r="B2122" s="1">
        <v>202503</v>
      </c>
      <c r="C2122" s="1" t="str">
        <f>MID(analisis_productividad__4[[#This Row],[Periodo]],1,4)</f>
        <v>2025</v>
      </c>
      <c r="D2122" s="1" t="str">
        <f>MID(analisis_productividad__4[[#This Row],[Periodo]],5,2)</f>
        <v>03</v>
      </c>
      <c r="E2122" s="1" t="s">
        <v>104</v>
      </c>
      <c r="F2122" s="1" t="s">
        <v>104</v>
      </c>
      <c r="G2122" s="1">
        <v>73090</v>
      </c>
      <c r="H2122" s="1">
        <v>5723821</v>
      </c>
      <c r="I2122" s="1">
        <v>78.312358870967785</v>
      </c>
      <c r="J2122" s="1">
        <v>72824.594489602867</v>
      </c>
      <c r="K2122" s="1">
        <v>94</v>
      </c>
      <c r="L2122" s="1">
        <v>77.5</v>
      </c>
      <c r="M2122" s="1">
        <v>78.597365493290681</v>
      </c>
      <c r="N2122" s="1">
        <v>5633688</v>
      </c>
    </row>
    <row r="2123" spans="1:14" x14ac:dyDescent="0.35">
      <c r="A2123" s="1" t="s">
        <v>86</v>
      </c>
      <c r="B2123" s="1">
        <v>202502</v>
      </c>
      <c r="C2123" s="1" t="str">
        <f>MID(analisis_productividad__4[[#This Row],[Periodo]],1,4)</f>
        <v>2025</v>
      </c>
      <c r="D2123" s="1" t="str">
        <f>MID(analisis_productividad__4[[#This Row],[Periodo]],5,2)</f>
        <v>02</v>
      </c>
      <c r="E2123" s="1" t="s">
        <v>11</v>
      </c>
      <c r="F2123" s="1" t="s">
        <v>14</v>
      </c>
      <c r="G2123" s="1">
        <v>73078</v>
      </c>
      <c r="H2123" s="1">
        <v>4529475</v>
      </c>
      <c r="I2123" s="1">
        <v>61.981406250000013</v>
      </c>
      <c r="J2123" s="1">
        <v>81670.789990737147</v>
      </c>
      <c r="K2123" s="1">
        <v>69.5</v>
      </c>
      <c r="L2123" s="1">
        <v>59</v>
      </c>
      <c r="M2123" s="1">
        <v>55.460153997698797</v>
      </c>
      <c r="N2123" s="1">
        <v>5119402</v>
      </c>
    </row>
    <row r="2124" spans="1:14" x14ac:dyDescent="0.35">
      <c r="A2124" s="1" t="s">
        <v>83</v>
      </c>
      <c r="B2124" s="1">
        <v>202510</v>
      </c>
      <c r="C2124" s="1" t="str">
        <f>MID(analisis_productividad__4[[#This Row],[Periodo]],1,4)</f>
        <v>2025</v>
      </c>
      <c r="D2124" s="1" t="str">
        <f>MID(analisis_productividad__4[[#This Row],[Periodo]],5,2)</f>
        <v>10</v>
      </c>
      <c r="E2124" s="1" t="s">
        <v>16</v>
      </c>
      <c r="F2124" s="1" t="s">
        <v>17</v>
      </c>
      <c r="G2124" s="1">
        <v>73074</v>
      </c>
      <c r="H2124" s="1">
        <v>3299508</v>
      </c>
      <c r="I2124" s="1">
        <v>45.152822580645157</v>
      </c>
      <c r="J2124" s="1">
        <v>75390.906769903289</v>
      </c>
      <c r="K2124" s="1">
        <v>52</v>
      </c>
      <c r="L2124" s="1">
        <v>52</v>
      </c>
      <c r="M2124" s="1">
        <v>43.765326766399809</v>
      </c>
      <c r="N2124" s="1">
        <v>3502858</v>
      </c>
    </row>
    <row r="2125" spans="1:14" x14ac:dyDescent="0.35">
      <c r="A2125" s="1" t="s">
        <v>103</v>
      </c>
      <c r="B2125" s="1">
        <v>202412</v>
      </c>
      <c r="C2125" s="1" t="str">
        <f>MID(analisis_productividad__4[[#This Row],[Periodo]],1,4)</f>
        <v>2024</v>
      </c>
      <c r="D2125" s="1" t="str">
        <f>MID(analisis_productividad__4[[#This Row],[Periodo]],5,2)</f>
        <v>12</v>
      </c>
      <c r="E2125" s="1" t="s">
        <v>104</v>
      </c>
      <c r="F2125" s="1" t="s">
        <v>104</v>
      </c>
      <c r="G2125" s="1">
        <v>73058</v>
      </c>
      <c r="H2125" s="1">
        <v>6494566</v>
      </c>
      <c r="I2125" s="1">
        <v>88.896001344086031</v>
      </c>
      <c r="J2125" s="1">
        <v>0</v>
      </c>
      <c r="K2125" s="1">
        <v>94</v>
      </c>
      <c r="L2125" s="1">
        <v>77.5</v>
      </c>
      <c r="M2125" s="1"/>
      <c r="N2125" s="1">
        <v>0</v>
      </c>
    </row>
    <row r="2126" spans="1:14" x14ac:dyDescent="0.35">
      <c r="A2126" s="1" t="s">
        <v>90</v>
      </c>
      <c r="B2126" s="1">
        <v>202501</v>
      </c>
      <c r="C2126" s="1" t="str">
        <f>MID(analisis_productividad__4[[#This Row],[Periodo]],1,4)</f>
        <v>2025</v>
      </c>
      <c r="D2126" s="1" t="str">
        <f>MID(analisis_productividad__4[[#This Row],[Periodo]],5,2)</f>
        <v>01</v>
      </c>
      <c r="E2126" s="1" t="s">
        <v>11</v>
      </c>
      <c r="F2126" s="1" t="s">
        <v>14</v>
      </c>
      <c r="G2126" s="1">
        <v>73057</v>
      </c>
      <c r="H2126" s="1">
        <v>5564635</v>
      </c>
      <c r="I2126" s="1">
        <v>76.168138440860119</v>
      </c>
      <c r="J2126" s="1">
        <v>71183.375077397199</v>
      </c>
      <c r="K2126" s="1">
        <v>84.5</v>
      </c>
      <c r="L2126" s="1">
        <v>78.5</v>
      </c>
      <c r="M2126" s="1">
        <v>78.173245985451089</v>
      </c>
      <c r="N2126" s="1">
        <v>5578169</v>
      </c>
    </row>
    <row r="2127" spans="1:14" x14ac:dyDescent="0.35">
      <c r="A2127" s="1" t="s">
        <v>91</v>
      </c>
      <c r="B2127" s="1">
        <v>202507</v>
      </c>
      <c r="C2127" s="1" t="str">
        <f>MID(analisis_productividad__4[[#This Row],[Periodo]],1,4)</f>
        <v>2025</v>
      </c>
      <c r="D2127" s="1" t="str">
        <f>MID(analisis_productividad__4[[#This Row],[Periodo]],5,2)</f>
        <v>07</v>
      </c>
      <c r="E2127" s="1" t="s">
        <v>11</v>
      </c>
      <c r="F2127" s="1" t="s">
        <v>12</v>
      </c>
      <c r="G2127" s="1">
        <v>73023</v>
      </c>
      <c r="H2127" s="1">
        <v>4188129</v>
      </c>
      <c r="I2127" s="1">
        <v>57.353803763440858</v>
      </c>
      <c r="J2127" s="1">
        <v>83648.713136982347</v>
      </c>
      <c r="K2127" s="1">
        <v>55</v>
      </c>
      <c r="L2127" s="1">
        <v>55.5</v>
      </c>
      <c r="M2127" s="1">
        <v>50.06805786888269</v>
      </c>
      <c r="N2127" s="1">
        <v>4338730</v>
      </c>
    </row>
    <row r="2128" spans="1:14" x14ac:dyDescent="0.35">
      <c r="A2128" s="1" t="s">
        <v>98</v>
      </c>
      <c r="B2128" s="1">
        <v>202401</v>
      </c>
      <c r="C2128" s="1" t="str">
        <f>MID(analisis_productividad__4[[#This Row],[Periodo]],1,4)</f>
        <v>2024</v>
      </c>
      <c r="D2128" s="1" t="str">
        <f>MID(analisis_productividad__4[[#This Row],[Periodo]],5,2)</f>
        <v>01</v>
      </c>
      <c r="E2128" s="1" t="s">
        <v>11</v>
      </c>
      <c r="F2128" s="1" t="s">
        <v>14</v>
      </c>
      <c r="G2128" s="1">
        <v>73004</v>
      </c>
      <c r="H2128" s="1">
        <v>3682621</v>
      </c>
      <c r="I2128" s="1">
        <v>50.444220430107549</v>
      </c>
      <c r="J2128" s="1">
        <v>0</v>
      </c>
      <c r="K2128" s="1">
        <v>61.5</v>
      </c>
      <c r="L2128" s="1">
        <v>56</v>
      </c>
      <c r="M2128" s="1"/>
      <c r="N2128" s="1">
        <v>0</v>
      </c>
    </row>
    <row r="2129" spans="1:14" x14ac:dyDescent="0.35">
      <c r="A2129" s="1" t="s">
        <v>111</v>
      </c>
      <c r="B2129" s="1">
        <v>202603</v>
      </c>
      <c r="C2129" s="1" t="str">
        <f>MID(analisis_productividad__4[[#This Row],[Periodo]],1,4)</f>
        <v>2026</v>
      </c>
      <c r="D2129" s="1" t="str">
        <f>MID(analisis_productividad__4[[#This Row],[Periodo]],5,2)</f>
        <v>03</v>
      </c>
      <c r="E2129" s="1" t="s">
        <v>34</v>
      </c>
      <c r="F2129" s="1" t="s">
        <v>35</v>
      </c>
      <c r="G2129" s="1">
        <v>72993</v>
      </c>
      <c r="H2129" s="1">
        <v>2766432</v>
      </c>
      <c r="I2129" s="1">
        <v>37.899966397849461</v>
      </c>
      <c r="J2129" s="1">
        <v>68513.959981004096</v>
      </c>
      <c r="K2129" s="1">
        <v>45.5</v>
      </c>
      <c r="L2129" s="1">
        <v>42.5</v>
      </c>
      <c r="M2129" s="1">
        <v>36.981595266169094</v>
      </c>
      <c r="N2129" s="1">
        <v>2533756</v>
      </c>
    </row>
    <row r="2130" spans="1:14" x14ac:dyDescent="0.35">
      <c r="A2130" s="1" t="s">
        <v>106</v>
      </c>
      <c r="B2130" s="1">
        <v>202405</v>
      </c>
      <c r="C2130" s="1" t="str">
        <f>MID(analisis_productividad__4[[#This Row],[Periodo]],1,4)</f>
        <v>2024</v>
      </c>
      <c r="D2130" s="1" t="str">
        <f>MID(analisis_productividad__4[[#This Row],[Periodo]],5,2)</f>
        <v>05</v>
      </c>
      <c r="E2130" s="1" t="s">
        <v>34</v>
      </c>
      <c r="F2130" s="1" t="s">
        <v>35</v>
      </c>
      <c r="G2130" s="1">
        <v>72918</v>
      </c>
      <c r="H2130" s="1">
        <v>3348839</v>
      </c>
      <c r="I2130" s="1">
        <v>45.926256720430089</v>
      </c>
      <c r="J2130" s="1">
        <v>0</v>
      </c>
      <c r="K2130" s="1">
        <v>51</v>
      </c>
      <c r="L2130" s="1">
        <v>49</v>
      </c>
      <c r="M2130" s="1"/>
      <c r="N2130" s="1">
        <v>0</v>
      </c>
    </row>
    <row r="2131" spans="1:14" x14ac:dyDescent="0.35">
      <c r="A2131" s="1" t="s">
        <v>60</v>
      </c>
      <c r="B2131" s="1">
        <v>202510</v>
      </c>
      <c r="C2131" s="1" t="str">
        <f>MID(analisis_productividad__4[[#This Row],[Periodo]],1,4)</f>
        <v>2025</v>
      </c>
      <c r="D2131" s="1" t="str">
        <f>MID(analisis_productividad__4[[#This Row],[Periodo]],5,2)</f>
        <v>10</v>
      </c>
      <c r="E2131" s="1" t="s">
        <v>11</v>
      </c>
      <c r="F2131" s="1" t="s">
        <v>14</v>
      </c>
      <c r="G2131" s="1">
        <v>72894</v>
      </c>
      <c r="H2131" s="1">
        <v>4382270</v>
      </c>
      <c r="I2131" s="1">
        <v>60.118380376344106</v>
      </c>
      <c r="J2131" s="1">
        <v>79984.252568728698</v>
      </c>
      <c r="K2131" s="1">
        <v>75.5</v>
      </c>
      <c r="L2131" s="1">
        <v>74</v>
      </c>
      <c r="M2131" s="1">
        <v>54.789163857403196</v>
      </c>
      <c r="N2131" s="1">
        <v>6628934</v>
      </c>
    </row>
    <row r="2132" spans="1:14" x14ac:dyDescent="0.35">
      <c r="A2132" s="1" t="s">
        <v>86</v>
      </c>
      <c r="B2132" s="1">
        <v>202606</v>
      </c>
      <c r="C2132" s="1" t="str">
        <f>MID(analisis_productividad__4[[#This Row],[Periodo]],1,4)</f>
        <v>2026</v>
      </c>
      <c r="D2132" s="1" t="str">
        <f>MID(analisis_productividad__4[[#This Row],[Periodo]],5,2)</f>
        <v>06</v>
      </c>
      <c r="E2132" s="1" t="s">
        <v>11</v>
      </c>
      <c r="F2132" s="1" t="s">
        <v>14</v>
      </c>
      <c r="G2132" s="1">
        <v>72885</v>
      </c>
      <c r="H2132" s="1">
        <v>3636438</v>
      </c>
      <c r="I2132" s="1">
        <v>49.892645833333241</v>
      </c>
      <c r="J2132" s="1">
        <v>74231.660731639335</v>
      </c>
      <c r="K2132" s="1">
        <v>69.5</v>
      </c>
      <c r="L2132" s="1">
        <v>59</v>
      </c>
      <c r="M2132" s="1">
        <v>57.926444284268129</v>
      </c>
      <c r="N2132" s="1">
        <v>4299976</v>
      </c>
    </row>
    <row r="2133" spans="1:14" x14ac:dyDescent="0.35">
      <c r="A2133" s="1" t="s">
        <v>78</v>
      </c>
      <c r="B2133" s="1">
        <v>202509</v>
      </c>
      <c r="C2133" s="1" t="str">
        <f>MID(analisis_productividad__4[[#This Row],[Periodo]],1,4)</f>
        <v>2025</v>
      </c>
      <c r="D2133" s="1" t="str">
        <f>MID(analisis_productividad__4[[#This Row],[Periodo]],5,2)</f>
        <v>09</v>
      </c>
      <c r="E2133" s="1" t="s">
        <v>11</v>
      </c>
      <c r="F2133" s="1" t="s">
        <v>14</v>
      </c>
      <c r="G2133" s="1">
        <v>72883</v>
      </c>
      <c r="H2133" s="1">
        <v>4752266</v>
      </c>
      <c r="I2133" s="1">
        <v>65.204173611111145</v>
      </c>
      <c r="J2133" s="1">
        <v>72504.170119938004</v>
      </c>
      <c r="K2133" s="1">
        <v>79.5</v>
      </c>
      <c r="L2133" s="1">
        <v>67</v>
      </c>
      <c r="M2133" s="1">
        <v>65.544729111976523</v>
      </c>
      <c r="N2133" s="1">
        <v>4983333</v>
      </c>
    </row>
    <row r="2134" spans="1:14" x14ac:dyDescent="0.35">
      <c r="A2134" s="1" t="s">
        <v>107</v>
      </c>
      <c r="B2134" s="1">
        <v>202603</v>
      </c>
      <c r="C2134" s="1" t="str">
        <f>MID(analisis_productividad__4[[#This Row],[Periodo]],1,4)</f>
        <v>2026</v>
      </c>
      <c r="D2134" s="1" t="str">
        <f>MID(analisis_productividad__4[[#This Row],[Periodo]],5,2)</f>
        <v>03</v>
      </c>
      <c r="E2134" s="1" t="s">
        <v>34</v>
      </c>
      <c r="F2134" s="1" t="s">
        <v>35</v>
      </c>
      <c r="G2134" s="1">
        <v>72883</v>
      </c>
      <c r="H2134" s="1">
        <v>5404223</v>
      </c>
      <c r="I2134" s="1">
        <v>74.149758064516135</v>
      </c>
      <c r="J2134" s="1">
        <v>72725.683286355183</v>
      </c>
      <c r="K2134" s="1">
        <v>87</v>
      </c>
      <c r="L2134" s="1">
        <v>77.5</v>
      </c>
      <c r="M2134" s="1">
        <v>73.970842069892498</v>
      </c>
      <c r="N2134" s="1">
        <v>5379580</v>
      </c>
    </row>
    <row r="2135" spans="1:14" x14ac:dyDescent="0.35">
      <c r="A2135" s="1" t="s">
        <v>82</v>
      </c>
      <c r="B2135" s="1">
        <v>202504</v>
      </c>
      <c r="C2135" s="1" t="str">
        <f>MID(analisis_productividad__4[[#This Row],[Periodo]],1,4)</f>
        <v>2025</v>
      </c>
      <c r="D2135" s="1" t="str">
        <f>MID(analisis_productividad__4[[#This Row],[Periodo]],5,2)</f>
        <v>04</v>
      </c>
      <c r="E2135" s="1" t="s">
        <v>11</v>
      </c>
      <c r="F2135" s="1" t="s">
        <v>12</v>
      </c>
      <c r="G2135" s="1">
        <v>72860</v>
      </c>
      <c r="H2135" s="1">
        <v>3736759</v>
      </c>
      <c r="I2135" s="1">
        <v>51.28656944444446</v>
      </c>
      <c r="J2135" s="1">
        <v>64211.291223798486</v>
      </c>
      <c r="K2135" s="1">
        <v>53.5</v>
      </c>
      <c r="L2135" s="1">
        <v>54</v>
      </c>
      <c r="M2135" s="1">
        <v>58.194741279631096</v>
      </c>
      <c r="N2135" s="1">
        <v>4032579</v>
      </c>
    </row>
    <row r="2136" spans="1:14" x14ac:dyDescent="0.35">
      <c r="A2136" s="1" t="s">
        <v>33</v>
      </c>
      <c r="B2136" s="1">
        <v>202501</v>
      </c>
      <c r="C2136" s="1" t="str">
        <f>MID(analisis_productividad__4[[#This Row],[Periodo]],1,4)</f>
        <v>2025</v>
      </c>
      <c r="D2136" s="1" t="str">
        <f>MID(analisis_productividad__4[[#This Row],[Periodo]],5,2)</f>
        <v>01</v>
      </c>
      <c r="E2136" s="1" t="s">
        <v>34</v>
      </c>
      <c r="F2136" s="1" t="s">
        <v>35</v>
      </c>
      <c r="G2136" s="1">
        <v>72853</v>
      </c>
      <c r="H2136" s="1">
        <v>1035404</v>
      </c>
      <c r="I2136" s="1">
        <v>14.212211021505381</v>
      </c>
      <c r="J2136" s="1">
        <v>83327.937777939413</v>
      </c>
      <c r="K2136" s="1">
        <v>15</v>
      </c>
      <c r="L2136" s="1">
        <v>15</v>
      </c>
      <c r="M2136" s="1">
        <v>12.425649999394526</v>
      </c>
      <c r="N2136" s="1">
        <v>1048469</v>
      </c>
    </row>
    <row r="2137" spans="1:14" x14ac:dyDescent="0.35">
      <c r="A2137" s="1" t="s">
        <v>81</v>
      </c>
      <c r="B2137" s="1">
        <v>202411</v>
      </c>
      <c r="C2137" s="1" t="str">
        <f>MID(analisis_productividad__4[[#This Row],[Periodo]],1,4)</f>
        <v>2024</v>
      </c>
      <c r="D2137" s="1" t="str">
        <f>MID(analisis_productividad__4[[#This Row],[Periodo]],5,2)</f>
        <v>11</v>
      </c>
      <c r="E2137" s="1" t="s">
        <v>34</v>
      </c>
      <c r="F2137" s="1" t="s">
        <v>35</v>
      </c>
      <c r="G2137" s="1">
        <v>72846</v>
      </c>
      <c r="H2137" s="1">
        <v>7280778</v>
      </c>
      <c r="I2137" s="1">
        <v>99.947749999999971</v>
      </c>
      <c r="J2137" s="1">
        <v>0</v>
      </c>
      <c r="K2137" s="1">
        <v>106</v>
      </c>
      <c r="L2137" s="1">
        <v>94.5</v>
      </c>
      <c r="M2137" s="1"/>
      <c r="N2137" s="1">
        <v>0</v>
      </c>
    </row>
    <row r="2138" spans="1:14" x14ac:dyDescent="0.35">
      <c r="A2138" s="1" t="s">
        <v>71</v>
      </c>
      <c r="B2138" s="1">
        <v>202501</v>
      </c>
      <c r="C2138" s="1" t="str">
        <f>MID(analisis_productividad__4[[#This Row],[Periodo]],1,4)</f>
        <v>2025</v>
      </c>
      <c r="D2138" s="1" t="str">
        <f>MID(analisis_productividad__4[[#This Row],[Periodo]],5,2)</f>
        <v>01</v>
      </c>
      <c r="E2138" s="1" t="s">
        <v>16</v>
      </c>
      <c r="F2138" s="1" t="s">
        <v>19</v>
      </c>
      <c r="G2138" s="1">
        <v>72842</v>
      </c>
      <c r="H2138" s="1">
        <v>2380725</v>
      </c>
      <c r="I2138" s="1">
        <v>32.683555107526892</v>
      </c>
      <c r="J2138" s="1">
        <v>64571.915303091155</v>
      </c>
      <c r="K2138" s="1">
        <v>41.5</v>
      </c>
      <c r="L2138" s="1">
        <v>35.5</v>
      </c>
      <c r="M2138" s="1">
        <v>36.869355025713958</v>
      </c>
      <c r="N2138" s="1">
        <v>2126328</v>
      </c>
    </row>
    <row r="2139" spans="1:14" x14ac:dyDescent="0.35">
      <c r="A2139" s="1" t="s">
        <v>79</v>
      </c>
      <c r="B2139" s="1">
        <v>202401</v>
      </c>
      <c r="C2139" s="1" t="str">
        <f>MID(analisis_productividad__4[[#This Row],[Periodo]],1,4)</f>
        <v>2024</v>
      </c>
      <c r="D2139" s="1" t="str">
        <f>MID(analisis_productividad__4[[#This Row],[Periodo]],5,2)</f>
        <v>01</v>
      </c>
      <c r="E2139" s="1" t="s">
        <v>11</v>
      </c>
      <c r="F2139" s="1" t="s">
        <v>12</v>
      </c>
      <c r="G2139" s="1">
        <v>72772</v>
      </c>
      <c r="H2139" s="1">
        <v>4915108</v>
      </c>
      <c r="I2139" s="1">
        <v>67.540779569892422</v>
      </c>
      <c r="J2139" s="1">
        <v>0</v>
      </c>
      <c r="K2139" s="1">
        <v>64.5</v>
      </c>
      <c r="L2139" s="1">
        <v>64</v>
      </c>
      <c r="M2139" s="1"/>
      <c r="N2139" s="1">
        <v>0</v>
      </c>
    </row>
    <row r="2140" spans="1:14" x14ac:dyDescent="0.35">
      <c r="A2140" s="1" t="s">
        <v>73</v>
      </c>
      <c r="B2140" s="1">
        <v>202406</v>
      </c>
      <c r="C2140" s="1" t="str">
        <f>MID(analisis_productividad__4[[#This Row],[Periodo]],1,4)</f>
        <v>2024</v>
      </c>
      <c r="D2140" s="1" t="str">
        <f>MID(analisis_productividad__4[[#This Row],[Periodo]],5,2)</f>
        <v>06</v>
      </c>
      <c r="E2140" s="1" t="s">
        <v>16</v>
      </c>
      <c r="F2140" s="1" t="s">
        <v>21</v>
      </c>
      <c r="G2140" s="1">
        <v>72750</v>
      </c>
      <c r="H2140" s="1">
        <v>2912127</v>
      </c>
      <c r="I2140" s="1">
        <v>40.029062500000009</v>
      </c>
      <c r="J2140" s="1">
        <v>0</v>
      </c>
      <c r="K2140" s="1">
        <v>43.5</v>
      </c>
      <c r="L2140" s="1">
        <v>41</v>
      </c>
      <c r="M2140" s="1"/>
      <c r="N2140" s="1">
        <v>0</v>
      </c>
    </row>
    <row r="2141" spans="1:14" x14ac:dyDescent="0.35">
      <c r="A2141" s="1" t="s">
        <v>78</v>
      </c>
      <c r="B2141" s="1">
        <v>202501</v>
      </c>
      <c r="C2141" s="1" t="str">
        <f>MID(analisis_productividad__4[[#This Row],[Periodo]],1,4)</f>
        <v>2025</v>
      </c>
      <c r="D2141" s="1" t="str">
        <f>MID(analisis_productividad__4[[#This Row],[Periodo]],5,2)</f>
        <v>01</v>
      </c>
      <c r="E2141" s="1" t="s">
        <v>11</v>
      </c>
      <c r="F2141" s="1" t="s">
        <v>14</v>
      </c>
      <c r="G2141" s="1">
        <v>72719</v>
      </c>
      <c r="H2141" s="1">
        <v>5042939</v>
      </c>
      <c r="I2141" s="1">
        <v>69.348360215053759</v>
      </c>
      <c r="J2141" s="1">
        <v>78402.290783592398</v>
      </c>
      <c r="K2141" s="1">
        <v>79.5</v>
      </c>
      <c r="L2141" s="1">
        <v>67</v>
      </c>
      <c r="M2141" s="1">
        <v>64.321320838948736</v>
      </c>
      <c r="N2141" s="1">
        <v>5001147</v>
      </c>
    </row>
    <row r="2142" spans="1:14" x14ac:dyDescent="0.35">
      <c r="A2142" s="1" t="s">
        <v>97</v>
      </c>
      <c r="B2142" s="1">
        <v>202405</v>
      </c>
      <c r="C2142" s="1" t="str">
        <f>MID(analisis_productividad__4[[#This Row],[Periodo]],1,4)</f>
        <v>2024</v>
      </c>
      <c r="D2142" s="1" t="str">
        <f>MID(analisis_productividad__4[[#This Row],[Periodo]],5,2)</f>
        <v>05</v>
      </c>
      <c r="E2142" s="1" t="s">
        <v>11</v>
      </c>
      <c r="F2142" s="1" t="s">
        <v>12</v>
      </c>
      <c r="G2142" s="1">
        <v>72691</v>
      </c>
      <c r="H2142" s="1">
        <v>4660940</v>
      </c>
      <c r="I2142" s="1">
        <v>64.120235215053754</v>
      </c>
      <c r="J2142" s="1">
        <v>0</v>
      </c>
      <c r="K2142" s="1">
        <v>66.5</v>
      </c>
      <c r="L2142" s="1">
        <v>63.5</v>
      </c>
      <c r="M2142" s="1"/>
      <c r="N2142" s="1">
        <v>0</v>
      </c>
    </row>
    <row r="2143" spans="1:14" x14ac:dyDescent="0.35">
      <c r="A2143" s="1" t="s">
        <v>89</v>
      </c>
      <c r="B2143" s="1">
        <v>202508</v>
      </c>
      <c r="C2143" s="1" t="str">
        <f>MID(analisis_productividad__4[[#This Row],[Periodo]],1,4)</f>
        <v>2025</v>
      </c>
      <c r="D2143" s="1" t="str">
        <f>MID(analisis_productividad__4[[#This Row],[Periodo]],5,2)</f>
        <v>08</v>
      </c>
      <c r="E2143" s="1" t="s">
        <v>9</v>
      </c>
      <c r="F2143" s="1" t="s">
        <v>9</v>
      </c>
      <c r="G2143" s="1">
        <v>72644</v>
      </c>
      <c r="H2143" s="1">
        <v>960818</v>
      </c>
      <c r="I2143" s="1">
        <v>13.226424731182792</v>
      </c>
      <c r="J2143" s="1">
        <v>69490.023691203591</v>
      </c>
      <c r="K2143" s="1">
        <v>17</v>
      </c>
      <c r="L2143" s="1">
        <v>13.5</v>
      </c>
      <c r="M2143" s="1">
        <v>13.826697545386294</v>
      </c>
      <c r="N2143" s="1">
        <v>1106307</v>
      </c>
    </row>
    <row r="2144" spans="1:14" x14ac:dyDescent="0.35">
      <c r="A2144" s="1" t="s">
        <v>82</v>
      </c>
      <c r="B2144" s="1">
        <v>202410</v>
      </c>
      <c r="C2144" s="1" t="str">
        <f>MID(analisis_productividad__4[[#This Row],[Periodo]],1,4)</f>
        <v>2024</v>
      </c>
      <c r="D2144" s="1" t="str">
        <f>MID(analisis_productividad__4[[#This Row],[Periodo]],5,2)</f>
        <v>10</v>
      </c>
      <c r="E2144" s="1" t="s">
        <v>11</v>
      </c>
      <c r="F2144" s="1" t="s">
        <v>12</v>
      </c>
      <c r="G2144" s="1">
        <v>72641</v>
      </c>
      <c r="H2144" s="1">
        <v>3755473</v>
      </c>
      <c r="I2144" s="1">
        <v>51.699045698924721</v>
      </c>
      <c r="J2144" s="1">
        <v>0</v>
      </c>
      <c r="K2144" s="1">
        <v>53.5</v>
      </c>
      <c r="L2144" s="1">
        <v>54</v>
      </c>
      <c r="M2144" s="1"/>
      <c r="N2144" s="1">
        <v>0</v>
      </c>
    </row>
    <row r="2145" spans="1:14" x14ac:dyDescent="0.35">
      <c r="A2145" s="1" t="s">
        <v>42</v>
      </c>
      <c r="B2145" s="1">
        <v>202404</v>
      </c>
      <c r="C2145" s="1" t="str">
        <f>MID(analisis_productividad__4[[#This Row],[Periodo]],1,4)</f>
        <v>2024</v>
      </c>
      <c r="D2145" s="1" t="str">
        <f>MID(analisis_productividad__4[[#This Row],[Periodo]],5,2)</f>
        <v>04</v>
      </c>
      <c r="E2145" s="1" t="s">
        <v>16</v>
      </c>
      <c r="F2145" s="1" t="s">
        <v>19</v>
      </c>
      <c r="G2145" s="1">
        <v>72608</v>
      </c>
      <c r="H2145" s="1">
        <v>4437183</v>
      </c>
      <c r="I2145" s="1">
        <v>61.111749999999994</v>
      </c>
      <c r="J2145" s="1">
        <v>0</v>
      </c>
      <c r="K2145" s="1">
        <v>62</v>
      </c>
      <c r="L2145" s="1">
        <v>58</v>
      </c>
      <c r="M2145" s="1"/>
      <c r="N2145" s="1">
        <v>0</v>
      </c>
    </row>
    <row r="2146" spans="1:14" x14ac:dyDescent="0.35">
      <c r="A2146" s="1" t="s">
        <v>71</v>
      </c>
      <c r="B2146" s="1">
        <v>202409</v>
      </c>
      <c r="C2146" s="1" t="str">
        <f>MID(analisis_productividad__4[[#This Row],[Periodo]],1,4)</f>
        <v>2024</v>
      </c>
      <c r="D2146" s="1" t="str">
        <f>MID(analisis_productividad__4[[#This Row],[Periodo]],5,2)</f>
        <v>09</v>
      </c>
      <c r="E2146" s="1" t="s">
        <v>16</v>
      </c>
      <c r="F2146" s="1" t="s">
        <v>19</v>
      </c>
      <c r="G2146" s="1">
        <v>72601</v>
      </c>
      <c r="H2146" s="1">
        <v>2573365</v>
      </c>
      <c r="I2146" s="1">
        <v>35.445083333333329</v>
      </c>
      <c r="J2146" s="1">
        <v>0</v>
      </c>
      <c r="K2146" s="1">
        <v>41.5</v>
      </c>
      <c r="L2146" s="1">
        <v>35.5</v>
      </c>
      <c r="M2146" s="1"/>
      <c r="N2146" s="1">
        <v>0</v>
      </c>
    </row>
    <row r="2147" spans="1:14" x14ac:dyDescent="0.35">
      <c r="A2147" s="1" t="s">
        <v>97</v>
      </c>
      <c r="B2147" s="1">
        <v>202404</v>
      </c>
      <c r="C2147" s="1" t="str">
        <f>MID(analisis_productividad__4[[#This Row],[Periodo]],1,4)</f>
        <v>2024</v>
      </c>
      <c r="D2147" s="1" t="str">
        <f>MID(analisis_productividad__4[[#This Row],[Periodo]],5,2)</f>
        <v>04</v>
      </c>
      <c r="E2147" s="1" t="s">
        <v>11</v>
      </c>
      <c r="F2147" s="1" t="s">
        <v>12</v>
      </c>
      <c r="G2147" s="1">
        <v>72585</v>
      </c>
      <c r="H2147" s="1">
        <v>4708195</v>
      </c>
      <c r="I2147" s="1">
        <v>64.864187500000014</v>
      </c>
      <c r="J2147" s="1">
        <v>0</v>
      </c>
      <c r="K2147" s="1">
        <v>66.5</v>
      </c>
      <c r="L2147" s="1">
        <v>63.5</v>
      </c>
      <c r="M2147" s="1"/>
      <c r="N2147" s="1">
        <v>0</v>
      </c>
    </row>
    <row r="2148" spans="1:14" x14ac:dyDescent="0.35">
      <c r="A2148" s="1" t="s">
        <v>118</v>
      </c>
      <c r="B2148" s="1">
        <v>202412</v>
      </c>
      <c r="C2148" s="1" t="str">
        <f>MID(analisis_productividad__4[[#This Row],[Periodo]],1,4)</f>
        <v>2024</v>
      </c>
      <c r="D2148" s="1" t="str">
        <f>MID(analisis_productividad__4[[#This Row],[Periodo]],5,2)</f>
        <v>12</v>
      </c>
      <c r="E2148" s="1" t="s">
        <v>34</v>
      </c>
      <c r="F2148" s="1" t="s">
        <v>35</v>
      </c>
      <c r="G2148" s="1">
        <v>72564</v>
      </c>
      <c r="H2148" s="1">
        <v>1532013</v>
      </c>
      <c r="I2148" s="1">
        <v>21.112479838709675</v>
      </c>
      <c r="J2148" s="1">
        <v>0</v>
      </c>
      <c r="K2148" s="1">
        <v>19</v>
      </c>
      <c r="L2148" s="1">
        <v>21.5</v>
      </c>
      <c r="M2148" s="1"/>
      <c r="N2148" s="1">
        <v>0</v>
      </c>
    </row>
    <row r="2149" spans="1:14" x14ac:dyDescent="0.35">
      <c r="A2149" s="1" t="s">
        <v>8</v>
      </c>
      <c r="B2149" s="1">
        <v>202403</v>
      </c>
      <c r="C2149" s="1" t="str">
        <f>MID(analisis_productividad__4[[#This Row],[Periodo]],1,4)</f>
        <v>2024</v>
      </c>
      <c r="D2149" s="1" t="str">
        <f>MID(analisis_productividad__4[[#This Row],[Periodo]],5,2)</f>
        <v>03</v>
      </c>
      <c r="E2149" s="1" t="s">
        <v>9</v>
      </c>
      <c r="F2149" s="1" t="s">
        <v>9</v>
      </c>
      <c r="G2149" s="1">
        <v>72564</v>
      </c>
      <c r="H2149" s="1">
        <v>960131</v>
      </c>
      <c r="I2149" s="1">
        <v>13.231599462365594</v>
      </c>
      <c r="J2149" s="1">
        <v>0</v>
      </c>
      <c r="K2149" s="1">
        <v>13.5</v>
      </c>
      <c r="L2149" s="1">
        <v>12.5</v>
      </c>
      <c r="M2149" s="1"/>
      <c r="N2149" s="1">
        <v>0</v>
      </c>
    </row>
    <row r="2150" spans="1:14" x14ac:dyDescent="0.35">
      <c r="A2150" s="1" t="s">
        <v>116</v>
      </c>
      <c r="B2150" s="1">
        <v>202412</v>
      </c>
      <c r="C2150" s="1" t="str">
        <f>MID(analisis_productividad__4[[#This Row],[Periodo]],1,4)</f>
        <v>2024</v>
      </c>
      <c r="D2150" s="1" t="str">
        <f>MID(analisis_productividad__4[[#This Row],[Periodo]],5,2)</f>
        <v>12</v>
      </c>
      <c r="E2150" s="1" t="s">
        <v>9</v>
      </c>
      <c r="F2150" s="1" t="s">
        <v>9</v>
      </c>
      <c r="G2150" s="1">
        <v>72552</v>
      </c>
      <c r="H2150" s="1">
        <v>816362</v>
      </c>
      <c r="I2150" s="1">
        <v>11.252170698924735</v>
      </c>
      <c r="J2150" s="1">
        <v>0</v>
      </c>
      <c r="K2150" s="1">
        <v>11.5</v>
      </c>
      <c r="L2150" s="1">
        <v>10</v>
      </c>
      <c r="M2150" s="1"/>
      <c r="N2150" s="1">
        <v>0</v>
      </c>
    </row>
    <row r="2151" spans="1:14" x14ac:dyDescent="0.35">
      <c r="A2151" s="1" t="s">
        <v>85</v>
      </c>
      <c r="B2151" s="1">
        <v>202501</v>
      </c>
      <c r="C2151" s="1" t="str">
        <f>MID(analisis_productividad__4[[#This Row],[Periodo]],1,4)</f>
        <v>2025</v>
      </c>
      <c r="D2151" s="1" t="str">
        <f>MID(analisis_productividad__4[[#This Row],[Periodo]],5,2)</f>
        <v>01</v>
      </c>
      <c r="E2151" s="1" t="s">
        <v>11</v>
      </c>
      <c r="F2151" s="1" t="s">
        <v>14</v>
      </c>
      <c r="G2151" s="1">
        <v>72530</v>
      </c>
      <c r="H2151" s="1">
        <v>3618133</v>
      </c>
      <c r="I2151" s="1">
        <v>49.884361559139812</v>
      </c>
      <c r="J2151" s="1">
        <v>69997.757721901507</v>
      </c>
      <c r="K2151" s="1">
        <v>60.5</v>
      </c>
      <c r="L2151" s="1">
        <v>57.5</v>
      </c>
      <c r="M2151" s="1">
        <v>51.689263024320105</v>
      </c>
      <c r="N2151" s="1">
        <v>3361862</v>
      </c>
    </row>
    <row r="2152" spans="1:14" x14ac:dyDescent="0.35">
      <c r="A2152" s="1" t="s">
        <v>90</v>
      </c>
      <c r="B2152" s="1">
        <v>202511</v>
      </c>
      <c r="C2152" s="1" t="str">
        <f>MID(analisis_productividad__4[[#This Row],[Periodo]],1,4)</f>
        <v>2025</v>
      </c>
      <c r="D2152" s="1" t="str">
        <f>MID(analisis_productividad__4[[#This Row],[Periodo]],5,2)</f>
        <v>11</v>
      </c>
      <c r="E2152" s="1" t="s">
        <v>11</v>
      </c>
      <c r="F2152" s="1" t="s">
        <v>14</v>
      </c>
      <c r="G2152" s="1">
        <v>72498</v>
      </c>
      <c r="H2152" s="1">
        <v>5624534</v>
      </c>
      <c r="I2152" s="1">
        <v>77.582361111111211</v>
      </c>
      <c r="J2152" s="1">
        <v>74494.673903316143</v>
      </c>
      <c r="K2152" s="1">
        <v>84.5</v>
      </c>
      <c r="L2152" s="1">
        <v>78.5</v>
      </c>
      <c r="M2152" s="1">
        <v>75.502498706147406</v>
      </c>
      <c r="N2152" s="1">
        <v>5798059</v>
      </c>
    </row>
    <row r="2153" spans="1:14" x14ac:dyDescent="0.35">
      <c r="A2153" s="1" t="s">
        <v>120</v>
      </c>
      <c r="B2153" s="1">
        <v>202503</v>
      </c>
      <c r="C2153" s="1" t="str">
        <f>MID(analisis_productividad__4[[#This Row],[Periodo]],1,4)</f>
        <v>2025</v>
      </c>
      <c r="D2153" s="1" t="str">
        <f>MID(analisis_productividad__4[[#This Row],[Periodo]],5,2)</f>
        <v>03</v>
      </c>
      <c r="E2153" s="1" t="s">
        <v>9</v>
      </c>
      <c r="F2153" s="1" t="s">
        <v>9</v>
      </c>
      <c r="G2153" s="1">
        <v>72466</v>
      </c>
      <c r="H2153" s="1">
        <v>814927</v>
      </c>
      <c r="I2153" s="1">
        <v>11.245584677419355</v>
      </c>
      <c r="J2153" s="1">
        <v>77518.152405465866</v>
      </c>
      <c r="K2153" s="1">
        <v>11.5</v>
      </c>
      <c r="L2153" s="1">
        <v>12</v>
      </c>
      <c r="M2153" s="1">
        <v>10.512726306187592</v>
      </c>
      <c r="N2153" s="1">
        <v>828927</v>
      </c>
    </row>
    <row r="2154" spans="1:14" x14ac:dyDescent="0.35">
      <c r="A2154" s="1" t="s">
        <v>106</v>
      </c>
      <c r="B2154" s="1">
        <v>202601</v>
      </c>
      <c r="C2154" s="1" t="str">
        <f>MID(analisis_productividad__4[[#This Row],[Periodo]],1,4)</f>
        <v>2026</v>
      </c>
      <c r="D2154" s="1" t="str">
        <f>MID(analisis_productividad__4[[#This Row],[Periodo]],5,2)</f>
        <v>01</v>
      </c>
      <c r="E2154" s="1" t="s">
        <v>34</v>
      </c>
      <c r="F2154" s="1" t="s">
        <v>35</v>
      </c>
      <c r="G2154" s="1">
        <v>72434</v>
      </c>
      <c r="H2154" s="1">
        <v>3047886</v>
      </c>
      <c r="I2154" s="1">
        <v>42.077950268817197</v>
      </c>
      <c r="J2154" s="1">
        <v>84340.915088821697</v>
      </c>
      <c r="K2154" s="1">
        <v>51</v>
      </c>
      <c r="L2154" s="1">
        <v>49</v>
      </c>
      <c r="M2154" s="1">
        <v>41.451897990651069</v>
      </c>
      <c r="N2154" s="1">
        <v>3496091</v>
      </c>
    </row>
    <row r="2155" spans="1:14" x14ac:dyDescent="0.35">
      <c r="A2155" s="1" t="s">
        <v>99</v>
      </c>
      <c r="B2155" s="1">
        <v>202412</v>
      </c>
      <c r="C2155" s="1" t="str">
        <f>MID(analisis_productividad__4[[#This Row],[Periodo]],1,4)</f>
        <v>2024</v>
      </c>
      <c r="D2155" s="1" t="str">
        <f>MID(analisis_productividad__4[[#This Row],[Periodo]],5,2)</f>
        <v>12</v>
      </c>
      <c r="E2155" s="1" t="s">
        <v>11</v>
      </c>
      <c r="F2155" s="1" t="s">
        <v>12</v>
      </c>
      <c r="G2155" s="1">
        <v>72431</v>
      </c>
      <c r="H2155" s="1">
        <v>2149342</v>
      </c>
      <c r="I2155" s="1">
        <v>29.674448924731184</v>
      </c>
      <c r="J2155" s="1">
        <v>0</v>
      </c>
      <c r="K2155" s="1">
        <v>27</v>
      </c>
      <c r="L2155" s="1">
        <v>27</v>
      </c>
      <c r="M2155" s="1"/>
      <c r="N2155" s="1">
        <v>0</v>
      </c>
    </row>
    <row r="2156" spans="1:14" x14ac:dyDescent="0.35">
      <c r="A2156" s="1" t="s">
        <v>91</v>
      </c>
      <c r="B2156" s="1">
        <v>202502</v>
      </c>
      <c r="C2156" s="1" t="str">
        <f>MID(analisis_productividad__4[[#This Row],[Periodo]],1,4)</f>
        <v>2025</v>
      </c>
      <c r="D2156" s="1" t="str">
        <f>MID(analisis_productividad__4[[#This Row],[Periodo]],5,2)</f>
        <v>02</v>
      </c>
      <c r="E2156" s="1" t="s">
        <v>11</v>
      </c>
      <c r="F2156" s="1" t="s">
        <v>12</v>
      </c>
      <c r="G2156" s="1">
        <v>72430</v>
      </c>
      <c r="H2156" s="1">
        <v>3734887</v>
      </c>
      <c r="I2156" s="1">
        <v>51.56541666666665</v>
      </c>
      <c r="J2156" s="1">
        <v>66736.408601227798</v>
      </c>
      <c r="K2156" s="1">
        <v>55</v>
      </c>
      <c r="L2156" s="1">
        <v>55.5</v>
      </c>
      <c r="M2156" s="1">
        <v>55.964759690878644</v>
      </c>
      <c r="N2156" s="1">
        <v>3481997</v>
      </c>
    </row>
    <row r="2157" spans="1:14" x14ac:dyDescent="0.35">
      <c r="A2157" s="1" t="s">
        <v>58</v>
      </c>
      <c r="B2157" s="1">
        <v>202604</v>
      </c>
      <c r="C2157" s="1" t="str">
        <f>MID(analisis_productividad__4[[#This Row],[Periodo]],1,4)</f>
        <v>2026</v>
      </c>
      <c r="D2157" s="1" t="str">
        <f>MID(analisis_productividad__4[[#This Row],[Periodo]],5,2)</f>
        <v>04</v>
      </c>
      <c r="E2157" s="1" t="s">
        <v>34</v>
      </c>
      <c r="F2157" s="1" t="s">
        <v>35</v>
      </c>
      <c r="G2157" s="1">
        <v>72425</v>
      </c>
      <c r="H2157" s="1">
        <v>3010500</v>
      </c>
      <c r="I2157" s="1">
        <v>41.566972222222326</v>
      </c>
      <c r="J2157" s="1">
        <v>70225.550716718993</v>
      </c>
      <c r="K2157" s="1">
        <v>53.5</v>
      </c>
      <c r="L2157" s="1">
        <v>52</v>
      </c>
      <c r="M2157" s="1">
        <v>43.483853774506514</v>
      </c>
      <c r="N2157" s="1">
        <v>3053678</v>
      </c>
    </row>
    <row r="2158" spans="1:14" x14ac:dyDescent="0.35">
      <c r="A2158" s="1" t="s">
        <v>112</v>
      </c>
      <c r="B2158" s="1">
        <v>202604</v>
      </c>
      <c r="C2158" s="1" t="str">
        <f>MID(analisis_productividad__4[[#This Row],[Periodo]],1,4)</f>
        <v>2026</v>
      </c>
      <c r="D2158" s="1" t="str">
        <f>MID(analisis_productividad__4[[#This Row],[Periodo]],5,2)</f>
        <v>04</v>
      </c>
      <c r="E2158" s="1" t="s">
        <v>34</v>
      </c>
      <c r="F2158" s="1" t="s">
        <v>35</v>
      </c>
      <c r="G2158" s="1">
        <v>72382</v>
      </c>
      <c r="H2158" s="1">
        <v>1607803</v>
      </c>
      <c r="I2158" s="1">
        <v>22.212749999999989</v>
      </c>
      <c r="J2158" s="1">
        <v>54606.774989499521</v>
      </c>
      <c r="K2158" s="1">
        <v>31</v>
      </c>
      <c r="L2158" s="1">
        <v>27</v>
      </c>
      <c r="M2158" s="1">
        <v>27.070532526124346</v>
      </c>
      <c r="N2158" s="1">
        <v>1478234</v>
      </c>
    </row>
    <row r="2159" spans="1:14" x14ac:dyDescent="0.35">
      <c r="A2159" s="1" t="s">
        <v>90</v>
      </c>
      <c r="B2159" s="1">
        <v>202602</v>
      </c>
      <c r="C2159" s="1" t="str">
        <f>MID(analisis_productividad__4[[#This Row],[Periodo]],1,4)</f>
        <v>2026</v>
      </c>
      <c r="D2159" s="1" t="str">
        <f>MID(analisis_productividad__4[[#This Row],[Periodo]],5,2)</f>
        <v>02</v>
      </c>
      <c r="E2159" s="1" t="s">
        <v>11</v>
      </c>
      <c r="F2159" s="1" t="s">
        <v>14</v>
      </c>
      <c r="G2159" s="1">
        <v>72365</v>
      </c>
      <c r="H2159" s="1">
        <v>5584141</v>
      </c>
      <c r="I2159" s="1">
        <v>77.166562499999998</v>
      </c>
      <c r="J2159" s="1">
        <v>75062.822124771192</v>
      </c>
      <c r="K2159" s="1">
        <v>84.5</v>
      </c>
      <c r="L2159" s="1">
        <v>78.5</v>
      </c>
      <c r="M2159" s="1">
        <v>72.494656792343278</v>
      </c>
      <c r="N2159" s="1">
        <v>5441654</v>
      </c>
    </row>
    <row r="2160" spans="1:14" x14ac:dyDescent="0.35">
      <c r="A2160" s="1" t="s">
        <v>64</v>
      </c>
      <c r="B2160" s="1">
        <v>202405</v>
      </c>
      <c r="C2160" s="1" t="str">
        <f>MID(analisis_productividad__4[[#This Row],[Periodo]],1,4)</f>
        <v>2024</v>
      </c>
      <c r="D2160" s="1" t="str">
        <f>MID(analisis_productividad__4[[#This Row],[Periodo]],5,2)</f>
        <v>05</v>
      </c>
      <c r="E2160" s="1" t="s">
        <v>16</v>
      </c>
      <c r="F2160" s="1" t="s">
        <v>21</v>
      </c>
      <c r="G2160" s="1">
        <v>72249</v>
      </c>
      <c r="H2160" s="1">
        <v>5971887</v>
      </c>
      <c r="I2160" s="1">
        <v>82.657486559139812</v>
      </c>
      <c r="J2160" s="1">
        <v>0</v>
      </c>
      <c r="K2160" s="1">
        <v>88.5</v>
      </c>
      <c r="L2160" s="1">
        <v>92.5</v>
      </c>
      <c r="M2160" s="1"/>
      <c r="N2160" s="1">
        <v>0</v>
      </c>
    </row>
    <row r="2161" spans="1:14" x14ac:dyDescent="0.35">
      <c r="A2161" s="1" t="s">
        <v>94</v>
      </c>
      <c r="B2161" s="1">
        <v>202601</v>
      </c>
      <c r="C2161" s="1" t="str">
        <f>MID(analisis_productividad__4[[#This Row],[Periodo]],1,4)</f>
        <v>2026</v>
      </c>
      <c r="D2161" s="1" t="str">
        <f>MID(analisis_productividad__4[[#This Row],[Periodo]],5,2)</f>
        <v>01</v>
      </c>
      <c r="E2161" s="1" t="s">
        <v>11</v>
      </c>
      <c r="F2161" s="1" t="s">
        <v>52</v>
      </c>
      <c r="G2161" s="1">
        <v>72234</v>
      </c>
      <c r="H2161" s="1">
        <v>4956015</v>
      </c>
      <c r="I2161" s="1">
        <v>68.610772849462379</v>
      </c>
      <c r="J2161" s="1">
        <v>77006.41506107639</v>
      </c>
      <c r="K2161" s="1">
        <v>75.5</v>
      </c>
      <c r="L2161" s="1">
        <v>70.5</v>
      </c>
      <c r="M2161" s="1">
        <v>63.423114179855602</v>
      </c>
      <c r="N2161" s="1">
        <v>4883987</v>
      </c>
    </row>
    <row r="2162" spans="1:14" x14ac:dyDescent="0.35">
      <c r="A2162" s="1" t="s">
        <v>124</v>
      </c>
      <c r="B2162" s="1">
        <v>202412</v>
      </c>
      <c r="C2162" s="1" t="str">
        <f>MID(analisis_productividad__4[[#This Row],[Periodo]],1,4)</f>
        <v>2024</v>
      </c>
      <c r="D2162" s="1" t="str">
        <f>MID(analisis_productividad__4[[#This Row],[Periodo]],5,2)</f>
        <v>12</v>
      </c>
      <c r="E2162" s="1" t="s">
        <v>9</v>
      </c>
      <c r="F2162" s="1" t="s">
        <v>9</v>
      </c>
      <c r="G2162" s="1">
        <v>72219</v>
      </c>
      <c r="H2162" s="1">
        <v>793260</v>
      </c>
      <c r="I2162" s="1">
        <v>10.984025537634411</v>
      </c>
      <c r="J2162" s="1">
        <v>0</v>
      </c>
      <c r="K2162" s="1">
        <v>11</v>
      </c>
      <c r="L2162" s="1">
        <v>12</v>
      </c>
      <c r="M2162" s="1"/>
      <c r="N2162" s="1">
        <v>0</v>
      </c>
    </row>
    <row r="2163" spans="1:14" x14ac:dyDescent="0.35">
      <c r="A2163" s="1" t="s">
        <v>97</v>
      </c>
      <c r="B2163" s="1">
        <v>202602</v>
      </c>
      <c r="C2163" s="1" t="str">
        <f>MID(analisis_productividad__4[[#This Row],[Periodo]],1,4)</f>
        <v>2026</v>
      </c>
      <c r="D2163" s="1" t="str">
        <f>MID(analisis_productividad__4[[#This Row],[Periodo]],5,2)</f>
        <v>02</v>
      </c>
      <c r="E2163" s="1" t="s">
        <v>11</v>
      </c>
      <c r="F2163" s="1" t="s">
        <v>12</v>
      </c>
      <c r="G2163" s="1">
        <v>72204</v>
      </c>
      <c r="H2163" s="1">
        <v>4465768</v>
      </c>
      <c r="I2163" s="1">
        <v>61.849322916666658</v>
      </c>
      <c r="J2163" s="1">
        <v>96079.222940984459</v>
      </c>
      <c r="K2163" s="1">
        <v>66.5</v>
      </c>
      <c r="L2163" s="1">
        <v>63.5</v>
      </c>
      <c r="M2163" s="1">
        <v>54.652141241039438</v>
      </c>
      <c r="N2163" s="1">
        <v>5250935</v>
      </c>
    </row>
    <row r="2164" spans="1:14" x14ac:dyDescent="0.35">
      <c r="A2164" s="1" t="s">
        <v>62</v>
      </c>
      <c r="B2164" s="1">
        <v>202510</v>
      </c>
      <c r="C2164" s="1" t="str">
        <f>MID(analisis_productividad__4[[#This Row],[Periodo]],1,4)</f>
        <v>2025</v>
      </c>
      <c r="D2164" s="1" t="str">
        <f>MID(analisis_productividad__4[[#This Row],[Periodo]],5,2)</f>
        <v>10</v>
      </c>
      <c r="E2164" s="1" t="s">
        <v>16</v>
      </c>
      <c r="F2164" s="1" t="s">
        <v>17</v>
      </c>
      <c r="G2164" s="1">
        <v>72144</v>
      </c>
      <c r="H2164" s="1">
        <v>2259933</v>
      </c>
      <c r="I2164" s="1">
        <v>31.325094086021508</v>
      </c>
      <c r="J2164" s="1">
        <v>83962.654350323384</v>
      </c>
      <c r="K2164" s="1">
        <v>32.5</v>
      </c>
      <c r="L2164" s="1">
        <v>32</v>
      </c>
      <c r="M2164" s="1">
        <v>26.915931106354975</v>
      </c>
      <c r="N2164" s="1">
        <v>2262924</v>
      </c>
    </row>
    <row r="2165" spans="1:14" x14ac:dyDescent="0.35">
      <c r="A2165" s="1" t="s">
        <v>33</v>
      </c>
      <c r="B2165" s="1">
        <v>202510</v>
      </c>
      <c r="C2165" s="1" t="str">
        <f>MID(analisis_productividad__4[[#This Row],[Periodo]],1,4)</f>
        <v>2025</v>
      </c>
      <c r="D2165" s="1" t="str">
        <f>MID(analisis_productividad__4[[#This Row],[Periodo]],5,2)</f>
        <v>10</v>
      </c>
      <c r="E2165" s="1" t="s">
        <v>34</v>
      </c>
      <c r="F2165" s="1" t="s">
        <v>35</v>
      </c>
      <c r="G2165" s="1">
        <v>72133</v>
      </c>
      <c r="H2165" s="1">
        <v>1045521</v>
      </c>
      <c r="I2165" s="1">
        <v>14.494327956989247</v>
      </c>
      <c r="J2165" s="1">
        <v>88267.452543987223</v>
      </c>
      <c r="K2165" s="1">
        <v>15</v>
      </c>
      <c r="L2165" s="1">
        <v>15</v>
      </c>
      <c r="M2165" s="1">
        <v>11.844920181410865</v>
      </c>
      <c r="N2165" s="1">
        <v>1070703</v>
      </c>
    </row>
    <row r="2166" spans="1:14" x14ac:dyDescent="0.35">
      <c r="A2166" s="1" t="s">
        <v>33</v>
      </c>
      <c r="B2166" s="1">
        <v>202505</v>
      </c>
      <c r="C2166" s="1" t="str">
        <f>MID(analisis_productividad__4[[#This Row],[Periodo]],1,4)</f>
        <v>2025</v>
      </c>
      <c r="D2166" s="1" t="str">
        <f>MID(analisis_productividad__4[[#This Row],[Periodo]],5,2)</f>
        <v>05</v>
      </c>
      <c r="E2166" s="1" t="s">
        <v>34</v>
      </c>
      <c r="F2166" s="1" t="s">
        <v>35</v>
      </c>
      <c r="G2166" s="1">
        <v>72109</v>
      </c>
      <c r="H2166" s="1">
        <v>1074969</v>
      </c>
      <c r="I2166" s="1">
        <v>14.90750672043011</v>
      </c>
      <c r="J2166" s="1">
        <v>81553.2871903286</v>
      </c>
      <c r="K2166" s="1">
        <v>15</v>
      </c>
      <c r="L2166" s="1">
        <v>15</v>
      </c>
      <c r="M2166" s="1">
        <v>13.181180269180864</v>
      </c>
      <c r="N2166" s="1">
        <v>1126548</v>
      </c>
    </row>
    <row r="2167" spans="1:14" x14ac:dyDescent="0.35">
      <c r="A2167" s="1" t="s">
        <v>97</v>
      </c>
      <c r="B2167" s="1">
        <v>202402</v>
      </c>
      <c r="C2167" s="1" t="str">
        <f>MID(analisis_productividad__4[[#This Row],[Periodo]],1,4)</f>
        <v>2024</v>
      </c>
      <c r="D2167" s="1" t="str">
        <f>MID(analisis_productividad__4[[#This Row],[Periodo]],5,2)</f>
        <v>02</v>
      </c>
      <c r="E2167" s="1" t="s">
        <v>11</v>
      </c>
      <c r="F2167" s="1" t="s">
        <v>12</v>
      </c>
      <c r="G2167" s="1">
        <v>72037</v>
      </c>
      <c r="H2167" s="1">
        <v>4725625</v>
      </c>
      <c r="I2167" s="1">
        <v>65.599856321839098</v>
      </c>
      <c r="J2167" s="1">
        <v>0</v>
      </c>
      <c r="K2167" s="1">
        <v>66.5</v>
      </c>
      <c r="L2167" s="1">
        <v>63.5</v>
      </c>
      <c r="M2167" s="1"/>
      <c r="N2167" s="1">
        <v>0</v>
      </c>
    </row>
    <row r="2168" spans="1:14" x14ac:dyDescent="0.35">
      <c r="A2168" s="1" t="s">
        <v>91</v>
      </c>
      <c r="B2168" s="1">
        <v>202505</v>
      </c>
      <c r="C2168" s="1" t="str">
        <f>MID(analisis_productividad__4[[#This Row],[Periodo]],1,4)</f>
        <v>2025</v>
      </c>
      <c r="D2168" s="1" t="str">
        <f>MID(analisis_productividad__4[[#This Row],[Periodo]],5,2)</f>
        <v>05</v>
      </c>
      <c r="E2168" s="1" t="s">
        <v>11</v>
      </c>
      <c r="F2168" s="1" t="s">
        <v>12</v>
      </c>
      <c r="G2168" s="1">
        <v>72037</v>
      </c>
      <c r="H2168" s="1">
        <v>3962713</v>
      </c>
      <c r="I2168" s="1">
        <v>55.00950940860217</v>
      </c>
      <c r="J2168" s="1">
        <v>70010.566028617148</v>
      </c>
      <c r="K2168" s="1">
        <v>55</v>
      </c>
      <c r="L2168" s="1">
        <v>55.5</v>
      </c>
      <c r="M2168" s="1">
        <v>56.601641506229534</v>
      </c>
      <c r="N2168" s="1">
        <v>3869134</v>
      </c>
    </row>
    <row r="2169" spans="1:14" x14ac:dyDescent="0.35">
      <c r="A2169" s="1" t="s">
        <v>120</v>
      </c>
      <c r="B2169" s="1">
        <v>202501</v>
      </c>
      <c r="C2169" s="1" t="str">
        <f>MID(analisis_productividad__4[[#This Row],[Periodo]],1,4)</f>
        <v>2025</v>
      </c>
      <c r="D2169" s="1" t="str">
        <f>MID(analisis_productividad__4[[#This Row],[Periodo]],5,2)</f>
        <v>01</v>
      </c>
      <c r="E2169" s="1" t="s">
        <v>9</v>
      </c>
      <c r="F2169" s="1" t="s">
        <v>9</v>
      </c>
      <c r="G2169" s="1">
        <v>72009</v>
      </c>
      <c r="H2169" s="1">
        <v>750959</v>
      </c>
      <c r="I2169" s="1">
        <v>10.428682795698927</v>
      </c>
      <c r="J2169" s="1">
        <v>78947.918384486911</v>
      </c>
      <c r="K2169" s="1">
        <v>11.5</v>
      </c>
      <c r="L2169" s="1">
        <v>12</v>
      </c>
      <c r="M2169" s="1">
        <v>9.5120782835936275</v>
      </c>
      <c r="N2169" s="1">
        <v>835410</v>
      </c>
    </row>
    <row r="2170" spans="1:14" x14ac:dyDescent="0.35">
      <c r="A2170" s="1" t="s">
        <v>94</v>
      </c>
      <c r="B2170" s="1">
        <v>202406</v>
      </c>
      <c r="C2170" s="1" t="str">
        <f>MID(analisis_productividad__4[[#This Row],[Periodo]],1,4)</f>
        <v>2024</v>
      </c>
      <c r="D2170" s="1" t="str">
        <f>MID(analisis_productividad__4[[#This Row],[Periodo]],5,2)</f>
        <v>06</v>
      </c>
      <c r="E2170" s="1" t="s">
        <v>11</v>
      </c>
      <c r="F2170" s="1" t="s">
        <v>52</v>
      </c>
      <c r="G2170" s="1">
        <v>71979</v>
      </c>
      <c r="H2170" s="1">
        <v>5462441</v>
      </c>
      <c r="I2170" s="1">
        <v>75.889770833333358</v>
      </c>
      <c r="J2170" s="1">
        <v>0</v>
      </c>
      <c r="K2170" s="1">
        <v>75.5</v>
      </c>
      <c r="L2170" s="1">
        <v>70.5</v>
      </c>
      <c r="M2170" s="1"/>
      <c r="N2170" s="1">
        <v>0</v>
      </c>
    </row>
    <row r="2171" spans="1:14" x14ac:dyDescent="0.35">
      <c r="A2171" s="1" t="s">
        <v>71</v>
      </c>
      <c r="B2171" s="1">
        <v>202410</v>
      </c>
      <c r="C2171" s="1" t="str">
        <f>MID(analisis_productividad__4[[#This Row],[Periodo]],1,4)</f>
        <v>2024</v>
      </c>
      <c r="D2171" s="1" t="str">
        <f>MID(analisis_productividad__4[[#This Row],[Periodo]],5,2)</f>
        <v>10</v>
      </c>
      <c r="E2171" s="1" t="s">
        <v>16</v>
      </c>
      <c r="F2171" s="1" t="s">
        <v>19</v>
      </c>
      <c r="G2171" s="1">
        <v>71949</v>
      </c>
      <c r="H2171" s="1">
        <v>2606113</v>
      </c>
      <c r="I2171" s="1">
        <v>36.221518817204284</v>
      </c>
      <c r="J2171" s="1">
        <v>0</v>
      </c>
      <c r="K2171" s="1">
        <v>41.5</v>
      </c>
      <c r="L2171" s="1">
        <v>35.5</v>
      </c>
      <c r="M2171" s="1"/>
      <c r="N2171" s="1">
        <v>0</v>
      </c>
    </row>
    <row r="2172" spans="1:14" x14ac:dyDescent="0.35">
      <c r="A2172" s="1" t="s">
        <v>106</v>
      </c>
      <c r="B2172" s="1">
        <v>202402</v>
      </c>
      <c r="C2172" s="1" t="str">
        <f>MID(analisis_productividad__4[[#This Row],[Periodo]],1,4)</f>
        <v>2024</v>
      </c>
      <c r="D2172" s="1" t="str">
        <f>MID(analisis_productividad__4[[#This Row],[Periodo]],5,2)</f>
        <v>02</v>
      </c>
      <c r="E2172" s="1" t="s">
        <v>34</v>
      </c>
      <c r="F2172" s="1" t="s">
        <v>35</v>
      </c>
      <c r="G2172" s="1">
        <v>71942</v>
      </c>
      <c r="H2172" s="1">
        <v>3209254</v>
      </c>
      <c r="I2172" s="1">
        <v>44.608706896551723</v>
      </c>
      <c r="J2172" s="1">
        <v>0</v>
      </c>
      <c r="K2172" s="1">
        <v>51</v>
      </c>
      <c r="L2172" s="1">
        <v>49</v>
      </c>
      <c r="M2172" s="1"/>
      <c r="N2172" s="1">
        <v>0</v>
      </c>
    </row>
    <row r="2173" spans="1:14" x14ac:dyDescent="0.35">
      <c r="A2173" s="1" t="s">
        <v>113</v>
      </c>
      <c r="B2173" s="1">
        <v>202605</v>
      </c>
      <c r="C2173" s="1" t="str">
        <f>MID(analisis_productividad__4[[#This Row],[Periodo]],1,4)</f>
        <v>2026</v>
      </c>
      <c r="D2173" s="1" t="str">
        <f>MID(analisis_productividad__4[[#This Row],[Periodo]],5,2)</f>
        <v>05</v>
      </c>
      <c r="E2173" s="1" t="s">
        <v>9</v>
      </c>
      <c r="F2173" s="1" t="s">
        <v>9</v>
      </c>
      <c r="G2173" s="1">
        <v>71932</v>
      </c>
      <c r="H2173" s="1">
        <v>629010</v>
      </c>
      <c r="I2173" s="1">
        <v>8.7444959677419316</v>
      </c>
      <c r="J2173" s="1">
        <v>57870.213084584815</v>
      </c>
      <c r="K2173" s="1">
        <v>11.5</v>
      </c>
      <c r="L2173" s="1">
        <v>10</v>
      </c>
      <c r="M2173" s="1">
        <v>10.042294324207418</v>
      </c>
      <c r="N2173" s="1">
        <v>581150</v>
      </c>
    </row>
    <row r="2174" spans="1:14" x14ac:dyDescent="0.35">
      <c r="A2174" s="1" t="s">
        <v>47</v>
      </c>
      <c r="B2174" s="1">
        <v>202402</v>
      </c>
      <c r="C2174" s="1" t="str">
        <f>MID(analisis_productividad__4[[#This Row],[Periodo]],1,4)</f>
        <v>2024</v>
      </c>
      <c r="D2174" s="1" t="str">
        <f>MID(analisis_productividad__4[[#This Row],[Periodo]],5,2)</f>
        <v>02</v>
      </c>
      <c r="E2174" s="1" t="s">
        <v>11</v>
      </c>
      <c r="F2174" s="1" t="s">
        <v>14</v>
      </c>
      <c r="G2174" s="1">
        <v>71870</v>
      </c>
      <c r="H2174" s="1">
        <v>4454557</v>
      </c>
      <c r="I2174" s="1">
        <v>61.981077586206915</v>
      </c>
      <c r="J2174" s="1">
        <v>0</v>
      </c>
      <c r="K2174" s="1">
        <v>61.5</v>
      </c>
      <c r="L2174" s="1">
        <v>48.5</v>
      </c>
      <c r="M2174" s="1"/>
      <c r="N2174" s="1">
        <v>0</v>
      </c>
    </row>
    <row r="2175" spans="1:14" x14ac:dyDescent="0.35">
      <c r="A2175" s="1" t="s">
        <v>105</v>
      </c>
      <c r="B2175" s="1">
        <v>202603</v>
      </c>
      <c r="C2175" s="1" t="str">
        <f>MID(analisis_productividad__4[[#This Row],[Periodo]],1,4)</f>
        <v>2026</v>
      </c>
      <c r="D2175" s="1" t="str">
        <f>MID(analisis_productividad__4[[#This Row],[Periodo]],5,2)</f>
        <v>03</v>
      </c>
      <c r="E2175" s="1" t="s">
        <v>34</v>
      </c>
      <c r="F2175" s="1" t="s">
        <v>35</v>
      </c>
      <c r="G2175" s="1">
        <v>71867</v>
      </c>
      <c r="H2175" s="1">
        <v>2134888</v>
      </c>
      <c r="I2175" s="1">
        <v>29.706014784946237</v>
      </c>
      <c r="J2175" s="1">
        <v>0</v>
      </c>
      <c r="K2175" s="1">
        <v>33</v>
      </c>
      <c r="L2175" s="1">
        <v>31.5</v>
      </c>
      <c r="M2175" s="1">
        <v>35.22317754154448</v>
      </c>
      <c r="N2175" s="1">
        <v>0</v>
      </c>
    </row>
    <row r="2176" spans="1:14" x14ac:dyDescent="0.35">
      <c r="A2176" s="1" t="s">
        <v>107</v>
      </c>
      <c r="B2176" s="1">
        <v>202410</v>
      </c>
      <c r="C2176" s="1" t="str">
        <f>MID(analisis_productividad__4[[#This Row],[Periodo]],1,4)</f>
        <v>2024</v>
      </c>
      <c r="D2176" s="1" t="str">
        <f>MID(analisis_productividad__4[[#This Row],[Periodo]],5,2)</f>
        <v>10</v>
      </c>
      <c r="E2176" s="1" t="s">
        <v>34</v>
      </c>
      <c r="F2176" s="1" t="s">
        <v>35</v>
      </c>
      <c r="G2176" s="1">
        <v>71855</v>
      </c>
      <c r="H2176" s="1">
        <v>5529380</v>
      </c>
      <c r="I2176" s="1">
        <v>76.952110215053736</v>
      </c>
      <c r="J2176" s="1">
        <v>0</v>
      </c>
      <c r="K2176" s="1">
        <v>87</v>
      </c>
      <c r="L2176" s="1">
        <v>77.5</v>
      </c>
      <c r="M2176" s="1"/>
      <c r="N2176" s="1">
        <v>0</v>
      </c>
    </row>
    <row r="2177" spans="1:14" x14ac:dyDescent="0.35">
      <c r="A2177" s="1" t="s">
        <v>88</v>
      </c>
      <c r="B2177" s="1">
        <v>202508</v>
      </c>
      <c r="C2177" s="1" t="str">
        <f>MID(analisis_productividad__4[[#This Row],[Periodo]],1,4)</f>
        <v>2025</v>
      </c>
      <c r="D2177" s="1" t="str">
        <f>MID(analisis_productividad__4[[#This Row],[Periodo]],5,2)</f>
        <v>08</v>
      </c>
      <c r="E2177" s="1" t="s">
        <v>34</v>
      </c>
      <c r="F2177" s="1" t="s">
        <v>35</v>
      </c>
      <c r="G2177" s="1">
        <v>71848</v>
      </c>
      <c r="H2177" s="1">
        <v>1090271</v>
      </c>
      <c r="I2177" s="1">
        <v>15.174758064516125</v>
      </c>
      <c r="J2177" s="1">
        <v>86839.824264342169</v>
      </c>
      <c r="K2177" s="1">
        <v>15.5</v>
      </c>
      <c r="L2177" s="1">
        <v>14.5</v>
      </c>
      <c r="M2177" s="1">
        <v>12.554963454108265</v>
      </c>
      <c r="N2177" s="1">
        <v>1109423</v>
      </c>
    </row>
    <row r="2178" spans="1:14" x14ac:dyDescent="0.35">
      <c r="A2178" s="1" t="s">
        <v>83</v>
      </c>
      <c r="B2178" s="1">
        <v>202410</v>
      </c>
      <c r="C2178" s="1" t="str">
        <f>MID(analisis_productividad__4[[#This Row],[Periodo]],1,4)</f>
        <v>2024</v>
      </c>
      <c r="D2178" s="1" t="str">
        <f>MID(analisis_productividad__4[[#This Row],[Periodo]],5,2)</f>
        <v>10</v>
      </c>
      <c r="E2178" s="1" t="s">
        <v>16</v>
      </c>
      <c r="F2178" s="1" t="s">
        <v>17</v>
      </c>
      <c r="G2178" s="1">
        <v>71801</v>
      </c>
      <c r="H2178" s="1">
        <v>3378276</v>
      </c>
      <c r="I2178" s="1">
        <v>47.050631720430104</v>
      </c>
      <c r="J2178" s="1">
        <v>0</v>
      </c>
      <c r="K2178" s="1">
        <v>52</v>
      </c>
      <c r="L2178" s="1">
        <v>52</v>
      </c>
      <c r="M2178" s="1"/>
      <c r="N2178" s="1">
        <v>0</v>
      </c>
    </row>
    <row r="2179" spans="1:14" x14ac:dyDescent="0.35">
      <c r="A2179" s="1" t="s">
        <v>73</v>
      </c>
      <c r="B2179" s="1">
        <v>202501</v>
      </c>
      <c r="C2179" s="1" t="str">
        <f>MID(analisis_productividad__4[[#This Row],[Periodo]],1,4)</f>
        <v>2025</v>
      </c>
      <c r="D2179" s="1" t="str">
        <f>MID(analisis_productividad__4[[#This Row],[Periodo]],5,2)</f>
        <v>01</v>
      </c>
      <c r="E2179" s="1" t="s">
        <v>16</v>
      </c>
      <c r="F2179" s="1" t="s">
        <v>21</v>
      </c>
      <c r="G2179" s="1">
        <v>71775</v>
      </c>
      <c r="H2179" s="1">
        <v>2843180</v>
      </c>
      <c r="I2179" s="1">
        <v>39.612661290322599</v>
      </c>
      <c r="J2179" s="1">
        <v>69521.171297107896</v>
      </c>
      <c r="K2179" s="1">
        <v>43.5</v>
      </c>
      <c r="L2179" s="1">
        <v>41</v>
      </c>
      <c r="M2179" s="1">
        <v>40.896605407427558</v>
      </c>
      <c r="N2179" s="1">
        <v>3003677</v>
      </c>
    </row>
    <row r="2180" spans="1:14" x14ac:dyDescent="0.35">
      <c r="A2180" s="1" t="s">
        <v>64</v>
      </c>
      <c r="B2180" s="1">
        <v>202510</v>
      </c>
      <c r="C2180" s="1" t="str">
        <f>MID(analisis_productividad__4[[#This Row],[Periodo]],1,4)</f>
        <v>2025</v>
      </c>
      <c r="D2180" s="1" t="str">
        <f>MID(analisis_productividad__4[[#This Row],[Periodo]],5,2)</f>
        <v>10</v>
      </c>
      <c r="E2180" s="1" t="s">
        <v>16</v>
      </c>
      <c r="F2180" s="1" t="s">
        <v>21</v>
      </c>
      <c r="G2180" s="1">
        <v>71767</v>
      </c>
      <c r="H2180" s="1">
        <v>8080249</v>
      </c>
      <c r="I2180" s="1">
        <v>112.58940188172052</v>
      </c>
      <c r="J2180" s="1">
        <v>81000.243443003492</v>
      </c>
      <c r="K2180" s="1">
        <v>88.5</v>
      </c>
      <c r="L2180" s="1">
        <v>92.5</v>
      </c>
      <c r="M2180" s="1">
        <v>99.755858705359771</v>
      </c>
      <c r="N2180" s="1">
        <v>6368843</v>
      </c>
    </row>
    <row r="2181" spans="1:14" x14ac:dyDescent="0.35">
      <c r="A2181" s="1" t="s">
        <v>102</v>
      </c>
      <c r="B2181" s="1">
        <v>202503</v>
      </c>
      <c r="C2181" s="1" t="str">
        <f>MID(analisis_productividad__4[[#This Row],[Periodo]],1,4)</f>
        <v>2025</v>
      </c>
      <c r="D2181" s="1" t="str">
        <f>MID(analisis_productividad__4[[#This Row],[Periodo]],5,2)</f>
        <v>03</v>
      </c>
      <c r="E2181" s="1" t="s">
        <v>11</v>
      </c>
      <c r="F2181" s="1" t="s">
        <v>12</v>
      </c>
      <c r="G2181" s="1">
        <v>71746</v>
      </c>
      <c r="H2181" s="1">
        <v>2479490</v>
      </c>
      <c r="I2181" s="1">
        <v>34.559159946236555</v>
      </c>
      <c r="J2181" s="1">
        <v>71840.276422153634</v>
      </c>
      <c r="K2181" s="1">
        <v>34</v>
      </c>
      <c r="L2181" s="1">
        <v>34</v>
      </c>
      <c r="M2181" s="1">
        <v>34.513924827207255</v>
      </c>
      <c r="N2181" s="1">
        <v>2416430</v>
      </c>
    </row>
    <row r="2182" spans="1:14" x14ac:dyDescent="0.35">
      <c r="A2182" s="1" t="s">
        <v>77</v>
      </c>
      <c r="B2182" s="1">
        <v>202411</v>
      </c>
      <c r="C2182" s="1" t="str">
        <f>MID(analisis_productividad__4[[#This Row],[Periodo]],1,4)</f>
        <v>2024</v>
      </c>
      <c r="D2182" s="1" t="str">
        <f>MID(analisis_productividad__4[[#This Row],[Periodo]],5,2)</f>
        <v>11</v>
      </c>
      <c r="E2182" s="1" t="s">
        <v>16</v>
      </c>
      <c r="F2182" s="1" t="s">
        <v>21</v>
      </c>
      <c r="G2182" s="1">
        <v>71746</v>
      </c>
      <c r="H2182" s="1">
        <v>4582563</v>
      </c>
      <c r="I2182" s="1">
        <v>63.872423611111081</v>
      </c>
      <c r="J2182" s="1">
        <v>0</v>
      </c>
      <c r="K2182" s="1">
        <v>60.5</v>
      </c>
      <c r="L2182" s="1">
        <v>60.5</v>
      </c>
      <c r="M2182" s="1"/>
      <c r="N2182" s="1">
        <v>0</v>
      </c>
    </row>
    <row r="2183" spans="1:14" x14ac:dyDescent="0.35">
      <c r="A2183" s="1" t="s">
        <v>103</v>
      </c>
      <c r="B2183" s="1">
        <v>202604</v>
      </c>
      <c r="C2183" s="1" t="str">
        <f>MID(analisis_productividad__4[[#This Row],[Periodo]],1,4)</f>
        <v>2026</v>
      </c>
      <c r="D2183" s="1" t="str">
        <f>MID(analisis_productividad__4[[#This Row],[Periodo]],5,2)</f>
        <v>04</v>
      </c>
      <c r="E2183" s="1" t="s">
        <v>104</v>
      </c>
      <c r="F2183" s="1" t="s">
        <v>104</v>
      </c>
      <c r="G2183" s="1">
        <v>71742</v>
      </c>
      <c r="H2183" s="1">
        <v>5606053</v>
      </c>
      <c r="I2183" s="1">
        <v>78.141729166668043</v>
      </c>
      <c r="J2183" s="1">
        <v>71887.976023851748</v>
      </c>
      <c r="K2183" s="1">
        <v>94</v>
      </c>
      <c r="L2183" s="1">
        <v>77.5</v>
      </c>
      <c r="M2183" s="1">
        <v>81.023149648384276</v>
      </c>
      <c r="N2183" s="1">
        <v>5824590</v>
      </c>
    </row>
    <row r="2184" spans="1:14" x14ac:dyDescent="0.35">
      <c r="A2184" s="1" t="s">
        <v>120</v>
      </c>
      <c r="B2184" s="1">
        <v>202505</v>
      </c>
      <c r="C2184" s="1" t="str">
        <f>MID(analisis_productividad__4[[#This Row],[Periodo]],1,4)</f>
        <v>2025</v>
      </c>
      <c r="D2184" s="1" t="str">
        <f>MID(analisis_productividad__4[[#This Row],[Periodo]],5,2)</f>
        <v>05</v>
      </c>
      <c r="E2184" s="1" t="s">
        <v>9</v>
      </c>
      <c r="F2184" s="1" t="s">
        <v>9</v>
      </c>
      <c r="G2184" s="1">
        <v>71737</v>
      </c>
      <c r="H2184" s="1">
        <v>752476</v>
      </c>
      <c r="I2184" s="1">
        <v>10.489415322580646</v>
      </c>
      <c r="J2184" s="1">
        <v>74944.557617107945</v>
      </c>
      <c r="K2184" s="1">
        <v>11.5</v>
      </c>
      <c r="L2184" s="1">
        <v>12</v>
      </c>
      <c r="M2184" s="1">
        <v>10.040433674242259</v>
      </c>
      <c r="N2184" s="1">
        <v>820972</v>
      </c>
    </row>
    <row r="2185" spans="1:14" x14ac:dyDescent="0.35">
      <c r="A2185" s="1" t="s">
        <v>88</v>
      </c>
      <c r="B2185" s="1">
        <v>202404</v>
      </c>
      <c r="C2185" s="1" t="str">
        <f>MID(analisis_productividad__4[[#This Row],[Periodo]],1,4)</f>
        <v>2024</v>
      </c>
      <c r="D2185" s="1" t="str">
        <f>MID(analisis_productividad__4[[#This Row],[Periodo]],5,2)</f>
        <v>04</v>
      </c>
      <c r="E2185" s="1" t="s">
        <v>34</v>
      </c>
      <c r="F2185" s="1" t="s">
        <v>35</v>
      </c>
      <c r="G2185" s="1">
        <v>71733</v>
      </c>
      <c r="H2185" s="1">
        <v>1041122</v>
      </c>
      <c r="I2185" s="1">
        <v>14.513819444444444</v>
      </c>
      <c r="J2185" s="1">
        <v>0</v>
      </c>
      <c r="K2185" s="1">
        <v>15.5</v>
      </c>
      <c r="L2185" s="1">
        <v>14.5</v>
      </c>
      <c r="M2185" s="1"/>
      <c r="N2185" s="1">
        <v>0</v>
      </c>
    </row>
    <row r="2186" spans="1:14" x14ac:dyDescent="0.35">
      <c r="A2186" s="1" t="s">
        <v>100</v>
      </c>
      <c r="B2186" s="1">
        <v>202504</v>
      </c>
      <c r="C2186" s="1" t="str">
        <f>MID(analisis_productividad__4[[#This Row],[Periodo]],1,4)</f>
        <v>2025</v>
      </c>
      <c r="D2186" s="1" t="str">
        <f>MID(analisis_productividad__4[[#This Row],[Periodo]],5,2)</f>
        <v>04</v>
      </c>
      <c r="E2186" s="1" t="s">
        <v>34</v>
      </c>
      <c r="F2186" s="1" t="s">
        <v>35</v>
      </c>
      <c r="G2186" s="1">
        <v>71725</v>
      </c>
      <c r="H2186" s="1">
        <v>2544245</v>
      </c>
      <c r="I2186" s="1">
        <v>35.472159722222216</v>
      </c>
      <c r="J2186" s="1">
        <v>72354.913017415325</v>
      </c>
      <c r="K2186" s="1">
        <v>44</v>
      </c>
      <c r="L2186" s="1">
        <v>40.5</v>
      </c>
      <c r="M2186" s="1">
        <v>35.163406517918389</v>
      </c>
      <c r="N2186" s="1">
        <v>2741018</v>
      </c>
    </row>
    <row r="2187" spans="1:14" x14ac:dyDescent="0.35">
      <c r="A2187" s="1" t="s">
        <v>105</v>
      </c>
      <c r="B2187" s="1">
        <v>202604</v>
      </c>
      <c r="C2187" s="1" t="str">
        <f>MID(analisis_productividad__4[[#This Row],[Periodo]],1,4)</f>
        <v>2026</v>
      </c>
      <c r="D2187" s="1" t="str">
        <f>MID(analisis_productividad__4[[#This Row],[Periodo]],5,2)</f>
        <v>04</v>
      </c>
      <c r="E2187" s="1" t="s">
        <v>34</v>
      </c>
      <c r="F2187" s="1" t="s">
        <v>35</v>
      </c>
      <c r="G2187" s="1">
        <v>71680</v>
      </c>
      <c r="H2187" s="1">
        <v>2039024</v>
      </c>
      <c r="I2187" s="1">
        <v>28.446201388888674</v>
      </c>
      <c r="J2187" s="1">
        <v>0</v>
      </c>
      <c r="K2187" s="1">
        <v>33</v>
      </c>
      <c r="L2187" s="1">
        <v>31.5</v>
      </c>
      <c r="M2187" s="1">
        <v>35.22317754154448</v>
      </c>
      <c r="N2187" s="1"/>
    </row>
    <row r="2188" spans="1:14" x14ac:dyDescent="0.35">
      <c r="A2188" s="1" t="s">
        <v>86</v>
      </c>
      <c r="B2188" s="1">
        <v>202602</v>
      </c>
      <c r="C2188" s="1" t="str">
        <f>MID(analisis_productividad__4[[#This Row],[Periodo]],1,4)</f>
        <v>2026</v>
      </c>
      <c r="D2188" s="1" t="str">
        <f>MID(analisis_productividad__4[[#This Row],[Periodo]],5,2)</f>
        <v>02</v>
      </c>
      <c r="E2188" s="1" t="s">
        <v>11</v>
      </c>
      <c r="F2188" s="1" t="s">
        <v>14</v>
      </c>
      <c r="G2188" s="1">
        <v>71669</v>
      </c>
      <c r="H2188" s="1">
        <v>4138428</v>
      </c>
      <c r="I2188" s="1">
        <v>57.743645833333332</v>
      </c>
      <c r="J2188" s="1">
        <v>83303.730995802282</v>
      </c>
      <c r="K2188" s="1">
        <v>69.5</v>
      </c>
      <c r="L2188" s="1">
        <v>59</v>
      </c>
      <c r="M2188" s="1">
        <v>57.926444284268129</v>
      </c>
      <c r="N2188" s="1">
        <v>4825489</v>
      </c>
    </row>
    <row r="2189" spans="1:14" x14ac:dyDescent="0.35">
      <c r="A2189" s="1" t="s">
        <v>85</v>
      </c>
      <c r="B2189" s="1">
        <v>202511</v>
      </c>
      <c r="C2189" s="1" t="str">
        <f>MID(analisis_productividad__4[[#This Row],[Periodo]],1,4)</f>
        <v>2025</v>
      </c>
      <c r="D2189" s="1" t="str">
        <f>MID(analisis_productividad__4[[#This Row],[Periodo]],5,2)</f>
        <v>11</v>
      </c>
      <c r="E2189" s="1" t="s">
        <v>11</v>
      </c>
      <c r="F2189" s="1" t="s">
        <v>14</v>
      </c>
      <c r="G2189" s="1">
        <v>71643</v>
      </c>
      <c r="H2189" s="1">
        <v>3769598</v>
      </c>
      <c r="I2189" s="1">
        <v>52.616277777777782</v>
      </c>
      <c r="J2189" s="1">
        <v>72733.90955278599</v>
      </c>
      <c r="K2189" s="1">
        <v>60.5</v>
      </c>
      <c r="L2189" s="1">
        <v>57.5</v>
      </c>
      <c r="M2189" s="1">
        <v>51.827245547198956</v>
      </c>
      <c r="N2189" s="1">
        <v>3660767</v>
      </c>
    </row>
    <row r="2190" spans="1:14" x14ac:dyDescent="0.35">
      <c r="A2190" s="1" t="s">
        <v>107</v>
      </c>
      <c r="B2190" s="1">
        <v>202506</v>
      </c>
      <c r="C2190" s="1" t="str">
        <f>MID(analisis_productividad__4[[#This Row],[Periodo]],1,4)</f>
        <v>2025</v>
      </c>
      <c r="D2190" s="1" t="str">
        <f>MID(analisis_productividad__4[[#This Row],[Periodo]],5,2)</f>
        <v>06</v>
      </c>
      <c r="E2190" s="1" t="s">
        <v>34</v>
      </c>
      <c r="F2190" s="1" t="s">
        <v>35</v>
      </c>
      <c r="G2190" s="1">
        <v>71633</v>
      </c>
      <c r="H2190" s="1">
        <v>5241607</v>
      </c>
      <c r="I2190" s="1">
        <v>73.173527777777821</v>
      </c>
      <c r="J2190" s="1">
        <v>62695.975172654558</v>
      </c>
      <c r="K2190" s="1">
        <v>87</v>
      </c>
      <c r="L2190" s="1">
        <v>77.5</v>
      </c>
      <c r="M2190" s="1">
        <v>83.60356666541135</v>
      </c>
      <c r="N2190" s="1">
        <v>5318382</v>
      </c>
    </row>
    <row r="2191" spans="1:14" x14ac:dyDescent="0.35">
      <c r="A2191" s="1" t="s">
        <v>18</v>
      </c>
      <c r="B2191" s="1">
        <v>202409</v>
      </c>
      <c r="C2191" s="1" t="str">
        <f>MID(analisis_productividad__4[[#This Row],[Periodo]],1,4)</f>
        <v>2024</v>
      </c>
      <c r="D2191" s="1" t="str">
        <f>MID(analisis_productividad__4[[#This Row],[Periodo]],5,2)</f>
        <v>09</v>
      </c>
      <c r="E2191" s="1" t="s">
        <v>16</v>
      </c>
      <c r="F2191" s="1" t="s">
        <v>19</v>
      </c>
      <c r="G2191" s="1">
        <v>71592</v>
      </c>
      <c r="H2191" s="1">
        <v>4583148</v>
      </c>
      <c r="I2191" s="1">
        <v>64.017284722222243</v>
      </c>
      <c r="J2191" s="1">
        <v>0</v>
      </c>
      <c r="K2191" s="1">
        <v>70.5</v>
      </c>
      <c r="L2191" s="1">
        <v>69.5</v>
      </c>
      <c r="M2191" s="1"/>
      <c r="N2191" s="1">
        <v>0</v>
      </c>
    </row>
    <row r="2192" spans="1:14" x14ac:dyDescent="0.35">
      <c r="A2192" s="1" t="s">
        <v>90</v>
      </c>
      <c r="B2192" s="1">
        <v>202502</v>
      </c>
      <c r="C2192" s="1" t="str">
        <f>MID(analisis_productividad__4[[#This Row],[Periodo]],1,4)</f>
        <v>2025</v>
      </c>
      <c r="D2192" s="1" t="str">
        <f>MID(analisis_productividad__4[[#This Row],[Periodo]],5,2)</f>
        <v>02</v>
      </c>
      <c r="E2192" s="1" t="s">
        <v>11</v>
      </c>
      <c r="F2192" s="1" t="s">
        <v>14</v>
      </c>
      <c r="G2192" s="1">
        <v>71586</v>
      </c>
      <c r="H2192" s="1">
        <v>5423674</v>
      </c>
      <c r="I2192" s="1">
        <v>75.764062500000023</v>
      </c>
      <c r="J2192" s="1">
        <v>65727.196999850275</v>
      </c>
      <c r="K2192" s="1">
        <v>84.5</v>
      </c>
      <c r="L2192" s="1">
        <v>78.5</v>
      </c>
      <c r="M2192" s="1">
        <v>82.517962389486271</v>
      </c>
      <c r="N2192" s="1">
        <v>5350985</v>
      </c>
    </row>
    <row r="2193" spans="1:14" x14ac:dyDescent="0.35">
      <c r="A2193" s="1" t="s">
        <v>100</v>
      </c>
      <c r="B2193" s="1">
        <v>202402</v>
      </c>
      <c r="C2193" s="1" t="str">
        <f>MID(analisis_productividad__4[[#This Row],[Periodo]],1,4)</f>
        <v>2024</v>
      </c>
      <c r="D2193" s="1" t="str">
        <f>MID(analisis_productividad__4[[#This Row],[Periodo]],5,2)</f>
        <v>02</v>
      </c>
      <c r="E2193" s="1" t="s">
        <v>34</v>
      </c>
      <c r="F2193" s="1" t="s">
        <v>35</v>
      </c>
      <c r="G2193" s="1">
        <v>71549</v>
      </c>
      <c r="H2193" s="1">
        <v>2573890</v>
      </c>
      <c r="I2193" s="1">
        <v>35.973663793103455</v>
      </c>
      <c r="J2193" s="1">
        <v>0</v>
      </c>
      <c r="K2193" s="1">
        <v>44</v>
      </c>
      <c r="L2193" s="1">
        <v>40.5</v>
      </c>
      <c r="M2193" s="1"/>
      <c r="N2193" s="1">
        <v>0</v>
      </c>
    </row>
    <row r="2194" spans="1:14" x14ac:dyDescent="0.35">
      <c r="A2194" s="1" t="s">
        <v>86</v>
      </c>
      <c r="B2194" s="1">
        <v>202509</v>
      </c>
      <c r="C2194" s="1" t="str">
        <f>MID(analisis_productividad__4[[#This Row],[Periodo]],1,4)</f>
        <v>2025</v>
      </c>
      <c r="D2194" s="1" t="str">
        <f>MID(analisis_productividad__4[[#This Row],[Periodo]],5,2)</f>
        <v>09</v>
      </c>
      <c r="E2194" s="1" t="s">
        <v>11</v>
      </c>
      <c r="F2194" s="1" t="s">
        <v>14</v>
      </c>
      <c r="G2194" s="1">
        <v>71548</v>
      </c>
      <c r="H2194" s="1">
        <v>3775263</v>
      </c>
      <c r="I2194" s="1">
        <v>52.765270833333361</v>
      </c>
      <c r="J2194" s="1">
        <v>77796.983989007858</v>
      </c>
      <c r="K2194" s="1">
        <v>69.5</v>
      </c>
      <c r="L2194" s="1">
        <v>59</v>
      </c>
      <c r="M2194" s="1">
        <v>48.527118358899592</v>
      </c>
      <c r="N2194" s="1">
        <v>4978333</v>
      </c>
    </row>
    <row r="2195" spans="1:14" x14ac:dyDescent="0.35">
      <c r="A2195" s="1" t="s">
        <v>91</v>
      </c>
      <c r="B2195" s="1">
        <v>202508</v>
      </c>
      <c r="C2195" s="1" t="str">
        <f>MID(analisis_productividad__4[[#This Row],[Periodo]],1,4)</f>
        <v>2025</v>
      </c>
      <c r="D2195" s="1" t="str">
        <f>MID(analisis_productividad__4[[#This Row],[Periodo]],5,2)</f>
        <v>08</v>
      </c>
      <c r="E2195" s="1" t="s">
        <v>11</v>
      </c>
      <c r="F2195" s="1" t="s">
        <v>12</v>
      </c>
      <c r="G2195" s="1">
        <v>71540</v>
      </c>
      <c r="H2195" s="1">
        <v>3918882</v>
      </c>
      <c r="I2195" s="1">
        <v>54.778575268817235</v>
      </c>
      <c r="J2195" s="1">
        <v>85359.837322305844</v>
      </c>
      <c r="K2195" s="1">
        <v>55</v>
      </c>
      <c r="L2195" s="1">
        <v>55.5</v>
      </c>
      <c r="M2195" s="1">
        <v>45.910143375776272</v>
      </c>
      <c r="N2195" s="1">
        <v>4037493</v>
      </c>
    </row>
    <row r="2196" spans="1:14" x14ac:dyDescent="0.35">
      <c r="A2196" s="1" t="s">
        <v>47</v>
      </c>
      <c r="B2196" s="1">
        <v>202405</v>
      </c>
      <c r="C2196" s="1" t="str">
        <f>MID(analisis_productividad__4[[#This Row],[Periodo]],1,4)</f>
        <v>2024</v>
      </c>
      <c r="D2196" s="1" t="str">
        <f>MID(analisis_productividad__4[[#This Row],[Periodo]],5,2)</f>
        <v>05</v>
      </c>
      <c r="E2196" s="1" t="s">
        <v>11</v>
      </c>
      <c r="F2196" s="1" t="s">
        <v>14</v>
      </c>
      <c r="G2196" s="1">
        <v>71536</v>
      </c>
      <c r="H2196" s="1">
        <v>4561203</v>
      </c>
      <c r="I2196" s="1">
        <v>63.760920698924728</v>
      </c>
      <c r="J2196" s="1">
        <v>0</v>
      </c>
      <c r="K2196" s="1">
        <v>61.5</v>
      </c>
      <c r="L2196" s="1">
        <v>48.5</v>
      </c>
      <c r="M2196" s="1"/>
      <c r="N2196" s="1">
        <v>0</v>
      </c>
    </row>
    <row r="2197" spans="1:14" x14ac:dyDescent="0.35">
      <c r="A2197" s="1" t="s">
        <v>107</v>
      </c>
      <c r="B2197" s="1">
        <v>202403</v>
      </c>
      <c r="C2197" s="1" t="str">
        <f>MID(analisis_productividad__4[[#This Row],[Periodo]],1,4)</f>
        <v>2024</v>
      </c>
      <c r="D2197" s="1" t="str">
        <f>MID(analisis_productividad__4[[#This Row],[Periodo]],5,2)</f>
        <v>03</v>
      </c>
      <c r="E2197" s="1" t="s">
        <v>34</v>
      </c>
      <c r="F2197" s="1" t="s">
        <v>35</v>
      </c>
      <c r="G2197" s="1">
        <v>71441</v>
      </c>
      <c r="H2197" s="1">
        <v>5363460</v>
      </c>
      <c r="I2197" s="1">
        <v>75.07537634408601</v>
      </c>
      <c r="J2197" s="1">
        <v>0</v>
      </c>
      <c r="K2197" s="1">
        <v>87</v>
      </c>
      <c r="L2197" s="1">
        <v>77.5</v>
      </c>
      <c r="M2197" s="1"/>
      <c r="N2197" s="1">
        <v>0</v>
      </c>
    </row>
    <row r="2198" spans="1:14" x14ac:dyDescent="0.35">
      <c r="A2198" s="1" t="s">
        <v>77</v>
      </c>
      <c r="B2198" s="1">
        <v>202402</v>
      </c>
      <c r="C2198" s="1" t="str">
        <f>MID(analisis_productividad__4[[#This Row],[Periodo]],1,4)</f>
        <v>2024</v>
      </c>
      <c r="D2198" s="1" t="str">
        <f>MID(analisis_productividad__4[[#This Row],[Periodo]],5,2)</f>
        <v>02</v>
      </c>
      <c r="E2198" s="1" t="s">
        <v>16</v>
      </c>
      <c r="F2198" s="1" t="s">
        <v>21</v>
      </c>
      <c r="G2198" s="1">
        <v>71395</v>
      </c>
      <c r="H2198" s="1">
        <v>4789909</v>
      </c>
      <c r="I2198" s="1">
        <v>67.090323275862076</v>
      </c>
      <c r="J2198" s="1">
        <v>0</v>
      </c>
      <c r="K2198" s="1">
        <v>60.5</v>
      </c>
      <c r="L2198" s="1">
        <v>60.5</v>
      </c>
      <c r="M2198" s="1"/>
      <c r="N2198" s="1">
        <v>0</v>
      </c>
    </row>
    <row r="2199" spans="1:14" x14ac:dyDescent="0.35">
      <c r="A2199" s="1" t="s">
        <v>77</v>
      </c>
      <c r="B2199" s="1">
        <v>202409</v>
      </c>
      <c r="C2199" s="1" t="str">
        <f>MID(analisis_productividad__4[[#This Row],[Periodo]],1,4)</f>
        <v>2024</v>
      </c>
      <c r="D2199" s="1" t="str">
        <f>MID(analisis_productividad__4[[#This Row],[Periodo]],5,2)</f>
        <v>09</v>
      </c>
      <c r="E2199" s="1" t="s">
        <v>16</v>
      </c>
      <c r="F2199" s="1" t="s">
        <v>21</v>
      </c>
      <c r="G2199" s="1">
        <v>71394</v>
      </c>
      <c r="H2199" s="1">
        <v>4267169</v>
      </c>
      <c r="I2199" s="1">
        <v>59.769208333333317</v>
      </c>
      <c r="J2199" s="1">
        <v>0</v>
      </c>
      <c r="K2199" s="1">
        <v>60.5</v>
      </c>
      <c r="L2199" s="1">
        <v>60.5</v>
      </c>
      <c r="M2199" s="1"/>
      <c r="N2199" s="1">
        <v>0</v>
      </c>
    </row>
    <row r="2200" spans="1:14" x14ac:dyDescent="0.35">
      <c r="A2200" s="1" t="s">
        <v>120</v>
      </c>
      <c r="B2200" s="1">
        <v>202405</v>
      </c>
      <c r="C2200" s="1" t="str">
        <f>MID(analisis_productividad__4[[#This Row],[Periodo]],1,4)</f>
        <v>2024</v>
      </c>
      <c r="D2200" s="1" t="str">
        <f>MID(analisis_productividad__4[[#This Row],[Periodo]],5,2)</f>
        <v>05</v>
      </c>
      <c r="E2200" s="1" t="s">
        <v>9</v>
      </c>
      <c r="F2200" s="1" t="s">
        <v>9</v>
      </c>
      <c r="G2200" s="1">
        <v>71376</v>
      </c>
      <c r="H2200" s="1">
        <v>791350</v>
      </c>
      <c r="I2200" s="1">
        <v>11.087096774193547</v>
      </c>
      <c r="J2200" s="1">
        <v>0</v>
      </c>
      <c r="K2200" s="1">
        <v>11.5</v>
      </c>
      <c r="L2200" s="1">
        <v>12</v>
      </c>
      <c r="M2200" s="1"/>
      <c r="N2200" s="1">
        <v>0</v>
      </c>
    </row>
    <row r="2201" spans="1:14" x14ac:dyDescent="0.35">
      <c r="A2201" s="1" t="s">
        <v>107</v>
      </c>
      <c r="B2201" s="1">
        <v>202508</v>
      </c>
      <c r="C2201" s="1" t="str">
        <f>MID(analisis_productividad__4[[#This Row],[Periodo]],1,4)</f>
        <v>2025</v>
      </c>
      <c r="D2201" s="1" t="str">
        <f>MID(analisis_productividad__4[[#This Row],[Periodo]],5,2)</f>
        <v>08</v>
      </c>
      <c r="E2201" s="1" t="s">
        <v>34</v>
      </c>
      <c r="F2201" s="1" t="s">
        <v>35</v>
      </c>
      <c r="G2201" s="1">
        <v>71336</v>
      </c>
      <c r="H2201" s="1">
        <v>5175514</v>
      </c>
      <c r="I2201" s="1">
        <v>72.551048387096785</v>
      </c>
      <c r="J2201" s="1">
        <v>66488.263656043186</v>
      </c>
      <c r="K2201" s="1">
        <v>87</v>
      </c>
      <c r="L2201" s="1">
        <v>77.5</v>
      </c>
      <c r="M2201" s="1">
        <v>77.841013517422354</v>
      </c>
      <c r="N2201" s="1">
        <v>5462962</v>
      </c>
    </row>
    <row r="2202" spans="1:14" x14ac:dyDescent="0.35">
      <c r="A2202" s="1" t="s">
        <v>106</v>
      </c>
      <c r="B2202" s="1">
        <v>202406</v>
      </c>
      <c r="C2202" s="1" t="str">
        <f>MID(analisis_productividad__4[[#This Row],[Periodo]],1,4)</f>
        <v>2024</v>
      </c>
      <c r="D2202" s="1" t="str">
        <f>MID(analisis_productividad__4[[#This Row],[Periodo]],5,2)</f>
        <v>06</v>
      </c>
      <c r="E2202" s="1" t="s">
        <v>34</v>
      </c>
      <c r="F2202" s="1" t="s">
        <v>35</v>
      </c>
      <c r="G2202" s="1">
        <v>71335</v>
      </c>
      <c r="H2202" s="1">
        <v>3308607</v>
      </c>
      <c r="I2202" s="1">
        <v>46.381270833333346</v>
      </c>
      <c r="J2202" s="1">
        <v>0</v>
      </c>
      <c r="K2202" s="1">
        <v>51</v>
      </c>
      <c r="L2202" s="1">
        <v>49</v>
      </c>
      <c r="M2202" s="1"/>
      <c r="N2202" s="1">
        <v>0</v>
      </c>
    </row>
    <row r="2203" spans="1:14" x14ac:dyDescent="0.35">
      <c r="A2203" s="1" t="s">
        <v>88</v>
      </c>
      <c r="B2203" s="1">
        <v>202406</v>
      </c>
      <c r="C2203" s="1" t="str">
        <f>MID(analisis_productividad__4[[#This Row],[Periodo]],1,4)</f>
        <v>2024</v>
      </c>
      <c r="D2203" s="1" t="str">
        <f>MID(analisis_productividad__4[[#This Row],[Periodo]],5,2)</f>
        <v>06</v>
      </c>
      <c r="E2203" s="1" t="s">
        <v>34</v>
      </c>
      <c r="F2203" s="1" t="s">
        <v>35</v>
      </c>
      <c r="G2203" s="1">
        <v>71334</v>
      </c>
      <c r="H2203" s="1">
        <v>1037031</v>
      </c>
      <c r="I2203" s="1">
        <v>14.537687500000006</v>
      </c>
      <c r="J2203" s="1">
        <v>0</v>
      </c>
      <c r="K2203" s="1">
        <v>15.5</v>
      </c>
      <c r="L2203" s="1">
        <v>14.5</v>
      </c>
      <c r="M2203" s="1"/>
      <c r="N2203" s="1">
        <v>0</v>
      </c>
    </row>
    <row r="2204" spans="1:14" x14ac:dyDescent="0.35">
      <c r="A2204" s="1" t="s">
        <v>91</v>
      </c>
      <c r="B2204" s="1">
        <v>202406</v>
      </c>
      <c r="C2204" s="1" t="str">
        <f>MID(analisis_productividad__4[[#This Row],[Periodo]],1,4)</f>
        <v>2024</v>
      </c>
      <c r="D2204" s="1" t="str">
        <f>MID(analisis_productividad__4[[#This Row],[Periodo]],5,2)</f>
        <v>06</v>
      </c>
      <c r="E2204" s="1" t="s">
        <v>11</v>
      </c>
      <c r="F2204" s="1" t="s">
        <v>12</v>
      </c>
      <c r="G2204" s="1">
        <v>71317</v>
      </c>
      <c r="H2204" s="1">
        <v>3691100</v>
      </c>
      <c r="I2204" s="1">
        <v>51.756055555555555</v>
      </c>
      <c r="J2204" s="1">
        <v>0</v>
      </c>
      <c r="K2204" s="1">
        <v>55</v>
      </c>
      <c r="L2204" s="1">
        <v>55.5</v>
      </c>
      <c r="M2204" s="1"/>
      <c r="N2204" s="1">
        <v>0</v>
      </c>
    </row>
    <row r="2205" spans="1:14" x14ac:dyDescent="0.35">
      <c r="A2205" s="1" t="s">
        <v>86</v>
      </c>
      <c r="B2205" s="1">
        <v>202507</v>
      </c>
      <c r="C2205" s="1" t="str">
        <f>MID(analisis_productividad__4[[#This Row],[Periodo]],1,4)</f>
        <v>2025</v>
      </c>
      <c r="D2205" s="1" t="str">
        <f>MID(analisis_productividad__4[[#This Row],[Periodo]],5,2)</f>
        <v>07</v>
      </c>
      <c r="E2205" s="1" t="s">
        <v>11</v>
      </c>
      <c r="F2205" s="1" t="s">
        <v>14</v>
      </c>
      <c r="G2205" s="1">
        <v>71299</v>
      </c>
      <c r="H2205" s="1">
        <v>4398569</v>
      </c>
      <c r="I2205" s="1">
        <v>61.691451612903229</v>
      </c>
      <c r="J2205" s="1">
        <v>82779.102495847124</v>
      </c>
      <c r="K2205" s="1">
        <v>69.5</v>
      </c>
      <c r="L2205" s="1">
        <v>59</v>
      </c>
      <c r="M2205" s="1">
        <v>53.136223000493025</v>
      </c>
      <c r="N2205" s="1">
        <v>5248901</v>
      </c>
    </row>
    <row r="2206" spans="1:14" x14ac:dyDescent="0.35">
      <c r="A2206" s="1" t="s">
        <v>112</v>
      </c>
      <c r="B2206" s="1">
        <v>202605</v>
      </c>
      <c r="C2206" s="1" t="str">
        <f>MID(analisis_productividad__4[[#This Row],[Periodo]],1,4)</f>
        <v>2026</v>
      </c>
      <c r="D2206" s="1" t="str">
        <f>MID(analisis_productividad__4[[#This Row],[Periodo]],5,2)</f>
        <v>05</v>
      </c>
      <c r="E2206" s="1" t="s">
        <v>34</v>
      </c>
      <c r="F2206" s="1" t="s">
        <v>35</v>
      </c>
      <c r="G2206" s="1">
        <v>71291</v>
      </c>
      <c r="H2206" s="1">
        <v>1731113</v>
      </c>
      <c r="I2206" s="1">
        <v>24.282190860215206</v>
      </c>
      <c r="J2206" s="1">
        <v>58931.556494518583</v>
      </c>
      <c r="K2206" s="1">
        <v>31</v>
      </c>
      <c r="L2206" s="1">
        <v>27</v>
      </c>
      <c r="M2206" s="1">
        <v>27.070532526124346</v>
      </c>
      <c r="N2206" s="1">
        <v>1595309</v>
      </c>
    </row>
    <row r="2207" spans="1:14" x14ac:dyDescent="0.35">
      <c r="A2207" s="1" t="s">
        <v>98</v>
      </c>
      <c r="B2207" s="1">
        <v>202502</v>
      </c>
      <c r="C2207" s="1" t="str">
        <f>MID(analisis_productividad__4[[#This Row],[Periodo]],1,4)</f>
        <v>2025</v>
      </c>
      <c r="D2207" s="1" t="str">
        <f>MID(analisis_productividad__4[[#This Row],[Periodo]],5,2)</f>
        <v>02</v>
      </c>
      <c r="E2207" s="1" t="s">
        <v>11</v>
      </c>
      <c r="F2207" s="1" t="s">
        <v>14</v>
      </c>
      <c r="G2207" s="1">
        <v>71287</v>
      </c>
      <c r="H2207" s="1">
        <v>3811966</v>
      </c>
      <c r="I2207" s="1">
        <v>53.47369791666668</v>
      </c>
      <c r="J2207" s="1">
        <v>68211.041530521819</v>
      </c>
      <c r="K2207" s="1">
        <v>61.5</v>
      </c>
      <c r="L2207" s="1">
        <v>56</v>
      </c>
      <c r="M2207" s="1">
        <v>55.884889080520665</v>
      </c>
      <c r="N2207" s="1">
        <v>3723168</v>
      </c>
    </row>
    <row r="2208" spans="1:14" x14ac:dyDescent="0.35">
      <c r="A2208" s="1" t="s">
        <v>58</v>
      </c>
      <c r="B2208" s="1">
        <v>202402</v>
      </c>
      <c r="C2208" s="1" t="str">
        <f>MID(analisis_productividad__4[[#This Row],[Periodo]],1,4)</f>
        <v>2024</v>
      </c>
      <c r="D2208" s="1" t="str">
        <f>MID(analisis_productividad__4[[#This Row],[Periodo]],5,2)</f>
        <v>02</v>
      </c>
      <c r="E2208" s="1" t="s">
        <v>34</v>
      </c>
      <c r="F2208" s="1" t="s">
        <v>35</v>
      </c>
      <c r="G2208" s="1">
        <v>71261</v>
      </c>
      <c r="H2208" s="1">
        <v>3687926</v>
      </c>
      <c r="I2208" s="1">
        <v>51.752277298850608</v>
      </c>
      <c r="J2208" s="1">
        <v>0</v>
      </c>
      <c r="K2208" s="1">
        <v>53.5</v>
      </c>
      <c r="L2208" s="1">
        <v>52</v>
      </c>
      <c r="M2208" s="1"/>
      <c r="N2208" s="1">
        <v>0</v>
      </c>
    </row>
    <row r="2209" spans="1:14" x14ac:dyDescent="0.35">
      <c r="A2209" s="1" t="s">
        <v>73</v>
      </c>
      <c r="B2209" s="1">
        <v>202411</v>
      </c>
      <c r="C2209" s="1" t="str">
        <f>MID(analisis_productividad__4[[#This Row],[Periodo]],1,4)</f>
        <v>2024</v>
      </c>
      <c r="D2209" s="1" t="str">
        <f>MID(analisis_productividad__4[[#This Row],[Periodo]],5,2)</f>
        <v>11</v>
      </c>
      <c r="E2209" s="1" t="s">
        <v>16</v>
      </c>
      <c r="F2209" s="1" t="s">
        <v>21</v>
      </c>
      <c r="G2209" s="1">
        <v>71256</v>
      </c>
      <c r="H2209" s="1">
        <v>2693860</v>
      </c>
      <c r="I2209" s="1">
        <v>37.805395833333343</v>
      </c>
      <c r="J2209" s="1">
        <v>0</v>
      </c>
      <c r="K2209" s="1">
        <v>43.5</v>
      </c>
      <c r="L2209" s="1">
        <v>41</v>
      </c>
      <c r="M2209" s="1"/>
      <c r="N2209" s="1">
        <v>0</v>
      </c>
    </row>
    <row r="2210" spans="1:14" x14ac:dyDescent="0.35">
      <c r="A2210" s="1" t="s">
        <v>83</v>
      </c>
      <c r="B2210" s="1">
        <v>202402</v>
      </c>
      <c r="C2210" s="1" t="str">
        <f>MID(analisis_productividad__4[[#This Row],[Periodo]],1,4)</f>
        <v>2024</v>
      </c>
      <c r="D2210" s="1" t="str">
        <f>MID(analisis_productividad__4[[#This Row],[Periodo]],5,2)</f>
        <v>02</v>
      </c>
      <c r="E2210" s="1" t="s">
        <v>16</v>
      </c>
      <c r="F2210" s="1" t="s">
        <v>17</v>
      </c>
      <c r="G2210" s="1">
        <v>71250</v>
      </c>
      <c r="H2210" s="1">
        <v>3384962</v>
      </c>
      <c r="I2210" s="1">
        <v>47.508074712643669</v>
      </c>
      <c r="J2210" s="1">
        <v>0</v>
      </c>
      <c r="K2210" s="1">
        <v>52</v>
      </c>
      <c r="L2210" s="1">
        <v>52</v>
      </c>
      <c r="M2210" s="1"/>
      <c r="N2210" s="1">
        <v>0</v>
      </c>
    </row>
    <row r="2211" spans="1:14" x14ac:dyDescent="0.35">
      <c r="A2211" s="1" t="s">
        <v>69</v>
      </c>
      <c r="B2211" s="1">
        <v>202402</v>
      </c>
      <c r="C2211" s="1" t="str">
        <f>MID(analisis_productividad__4[[#This Row],[Periodo]],1,4)</f>
        <v>2024</v>
      </c>
      <c r="D2211" s="1" t="str">
        <f>MID(analisis_productividad__4[[#This Row],[Periodo]],5,2)</f>
        <v>02</v>
      </c>
      <c r="E2211" s="1" t="s">
        <v>11</v>
      </c>
      <c r="F2211" s="1" t="s">
        <v>52</v>
      </c>
      <c r="G2211" s="1">
        <v>71247</v>
      </c>
      <c r="H2211" s="1">
        <v>4671774</v>
      </c>
      <c r="I2211" s="1">
        <v>65.571192528735665</v>
      </c>
      <c r="J2211" s="1">
        <v>0</v>
      </c>
      <c r="K2211" s="1">
        <v>68</v>
      </c>
      <c r="L2211" s="1">
        <v>60.5</v>
      </c>
      <c r="M2211" s="1"/>
      <c r="N2211" s="1">
        <v>0</v>
      </c>
    </row>
    <row r="2212" spans="1:14" x14ac:dyDescent="0.35">
      <c r="A2212" s="1" t="s">
        <v>95</v>
      </c>
      <c r="B2212" s="1">
        <v>202604</v>
      </c>
      <c r="C2212" s="1" t="str">
        <f>MID(analisis_productividad__4[[#This Row],[Periodo]],1,4)</f>
        <v>2026</v>
      </c>
      <c r="D2212" s="1" t="str">
        <f>MID(analisis_productividad__4[[#This Row],[Periodo]],5,2)</f>
        <v>04</v>
      </c>
      <c r="E2212" s="1" t="s">
        <v>9</v>
      </c>
      <c r="F2212" s="1" t="s">
        <v>9</v>
      </c>
      <c r="G2212" s="1">
        <v>71246</v>
      </c>
      <c r="H2212" s="1">
        <v>679758</v>
      </c>
      <c r="I2212" s="1">
        <v>9.5409999999999933</v>
      </c>
      <c r="J2212" s="1">
        <v>67766.15641104606</v>
      </c>
      <c r="K2212" s="1">
        <v>11</v>
      </c>
      <c r="L2212" s="1">
        <v>11</v>
      </c>
      <c r="M2212" s="1">
        <v>10.04229432420742</v>
      </c>
      <c r="N2212" s="1">
        <v>680528</v>
      </c>
    </row>
    <row r="2213" spans="1:14" x14ac:dyDescent="0.35">
      <c r="A2213" s="1" t="s">
        <v>98</v>
      </c>
      <c r="B2213" s="1">
        <v>202501</v>
      </c>
      <c r="C2213" s="1" t="str">
        <f>MID(analisis_productividad__4[[#This Row],[Periodo]],1,4)</f>
        <v>2025</v>
      </c>
      <c r="D2213" s="1" t="str">
        <f>MID(analisis_productividad__4[[#This Row],[Periodo]],5,2)</f>
        <v>01</v>
      </c>
      <c r="E2213" s="1" t="s">
        <v>11</v>
      </c>
      <c r="F2213" s="1" t="s">
        <v>14</v>
      </c>
      <c r="G2213" s="1">
        <v>71241</v>
      </c>
      <c r="H2213" s="1">
        <v>3628386</v>
      </c>
      <c r="I2213" s="1">
        <v>50.931303763440873</v>
      </c>
      <c r="J2213" s="1">
        <v>76654.013116478571</v>
      </c>
      <c r="K2213" s="1">
        <v>61.5</v>
      </c>
      <c r="L2213" s="1">
        <v>56</v>
      </c>
      <c r="M2213" s="1">
        <v>47.334588398999223</v>
      </c>
      <c r="N2213" s="1">
        <v>3820388</v>
      </c>
    </row>
    <row r="2214" spans="1:14" x14ac:dyDescent="0.35">
      <c r="A2214" s="1" t="s">
        <v>124</v>
      </c>
      <c r="B2214" s="1">
        <v>202401</v>
      </c>
      <c r="C2214" s="1" t="str">
        <f>MID(analisis_productividad__4[[#This Row],[Periodo]],1,4)</f>
        <v>2024</v>
      </c>
      <c r="D2214" s="1" t="str">
        <f>MID(analisis_productividad__4[[#This Row],[Periodo]],5,2)</f>
        <v>01</v>
      </c>
      <c r="E2214" s="1" t="s">
        <v>9</v>
      </c>
      <c r="F2214" s="1" t="s">
        <v>9</v>
      </c>
      <c r="G2214" s="1">
        <v>71237</v>
      </c>
      <c r="H2214" s="1">
        <v>721389</v>
      </c>
      <c r="I2214" s="1">
        <v>10.126572580645162</v>
      </c>
      <c r="J2214" s="1">
        <v>0</v>
      </c>
      <c r="K2214" s="1">
        <v>11</v>
      </c>
      <c r="L2214" s="1">
        <v>12</v>
      </c>
      <c r="M2214" s="1"/>
      <c r="N2214" s="1">
        <v>0</v>
      </c>
    </row>
    <row r="2215" spans="1:14" x14ac:dyDescent="0.35">
      <c r="A2215" s="1" t="s">
        <v>71</v>
      </c>
      <c r="B2215" s="1">
        <v>202503</v>
      </c>
      <c r="C2215" s="1" t="str">
        <f>MID(analisis_productividad__4[[#This Row],[Periodo]],1,4)</f>
        <v>2025</v>
      </c>
      <c r="D2215" s="1" t="str">
        <f>MID(analisis_productividad__4[[#This Row],[Periodo]],5,2)</f>
        <v>03</v>
      </c>
      <c r="E2215" s="1" t="s">
        <v>16</v>
      </c>
      <c r="F2215" s="1" t="s">
        <v>19</v>
      </c>
      <c r="G2215" s="1">
        <v>71148</v>
      </c>
      <c r="H2215" s="1">
        <v>2573285</v>
      </c>
      <c r="I2215" s="1">
        <v>36.167842741935488</v>
      </c>
      <c r="J2215" s="1">
        <v>68548.90710025336</v>
      </c>
      <c r="K2215" s="1">
        <v>41.5</v>
      </c>
      <c r="L2215" s="1">
        <v>35.5</v>
      </c>
      <c r="M2215" s="1">
        <v>37.539407539153729</v>
      </c>
      <c r="N2215" s="1">
        <v>2454686</v>
      </c>
    </row>
    <row r="2216" spans="1:14" x14ac:dyDescent="0.35">
      <c r="A2216" s="1" t="s">
        <v>103</v>
      </c>
      <c r="B2216" s="1">
        <v>202505</v>
      </c>
      <c r="C2216" s="1" t="str">
        <f>MID(analisis_productividad__4[[#This Row],[Periodo]],1,4)</f>
        <v>2025</v>
      </c>
      <c r="D2216" s="1" t="str">
        <f>MID(analisis_productividad__4[[#This Row],[Periodo]],5,2)</f>
        <v>05</v>
      </c>
      <c r="E2216" s="1" t="s">
        <v>104</v>
      </c>
      <c r="F2216" s="1" t="s">
        <v>104</v>
      </c>
      <c r="G2216" s="1">
        <v>71144</v>
      </c>
      <c r="H2216" s="1">
        <v>5558760</v>
      </c>
      <c r="I2216" s="1">
        <v>78.133501344086028</v>
      </c>
      <c r="J2216" s="1">
        <v>66564.511309523441</v>
      </c>
      <c r="K2216" s="1">
        <v>94</v>
      </c>
      <c r="L2216" s="1">
        <v>77.5</v>
      </c>
      <c r="M2216" s="1">
        <v>83.509360177706313</v>
      </c>
      <c r="N2216" s="1">
        <v>5550094</v>
      </c>
    </row>
    <row r="2217" spans="1:14" x14ac:dyDescent="0.35">
      <c r="A2217" s="1" t="s">
        <v>77</v>
      </c>
      <c r="B2217" s="1">
        <v>202405</v>
      </c>
      <c r="C2217" s="1" t="str">
        <f>MID(analisis_productividad__4[[#This Row],[Periodo]],1,4)</f>
        <v>2024</v>
      </c>
      <c r="D2217" s="1" t="str">
        <f>MID(analisis_productividad__4[[#This Row],[Periodo]],5,2)</f>
        <v>05</v>
      </c>
      <c r="E2217" s="1" t="s">
        <v>16</v>
      </c>
      <c r="F2217" s="1" t="s">
        <v>21</v>
      </c>
      <c r="G2217" s="1">
        <v>71136</v>
      </c>
      <c r="H2217" s="1">
        <v>4580161</v>
      </c>
      <c r="I2217" s="1">
        <v>64.386122311827975</v>
      </c>
      <c r="J2217" s="1">
        <v>0</v>
      </c>
      <c r="K2217" s="1">
        <v>60.5</v>
      </c>
      <c r="L2217" s="1">
        <v>60.5</v>
      </c>
      <c r="M2217" s="1"/>
      <c r="N2217" s="1">
        <v>0</v>
      </c>
    </row>
    <row r="2218" spans="1:14" x14ac:dyDescent="0.35">
      <c r="A2218" s="1" t="s">
        <v>66</v>
      </c>
      <c r="B2218" s="1">
        <v>202409</v>
      </c>
      <c r="C2218" s="1" t="str">
        <f>MID(analisis_productividad__4[[#This Row],[Periodo]],1,4)</f>
        <v>2024</v>
      </c>
      <c r="D2218" s="1" t="str">
        <f>MID(analisis_productividad__4[[#This Row],[Periodo]],5,2)</f>
        <v>09</v>
      </c>
      <c r="E2218" s="1" t="s">
        <v>11</v>
      </c>
      <c r="F2218" s="1" t="s">
        <v>12</v>
      </c>
      <c r="G2218" s="1">
        <v>71100</v>
      </c>
      <c r="H2218" s="1">
        <v>5325657</v>
      </c>
      <c r="I2218" s="1">
        <v>74.903743055555566</v>
      </c>
      <c r="J2218" s="1">
        <v>0</v>
      </c>
      <c r="K2218" s="1">
        <v>80</v>
      </c>
      <c r="L2218" s="1">
        <v>80.5</v>
      </c>
      <c r="M2218" s="1"/>
      <c r="N2218" s="1">
        <v>0</v>
      </c>
    </row>
    <row r="2219" spans="1:14" x14ac:dyDescent="0.35">
      <c r="A2219" s="1" t="s">
        <v>71</v>
      </c>
      <c r="B2219" s="1">
        <v>202411</v>
      </c>
      <c r="C2219" s="1" t="str">
        <f>MID(analisis_productividad__4[[#This Row],[Periodo]],1,4)</f>
        <v>2024</v>
      </c>
      <c r="D2219" s="1" t="str">
        <f>MID(analisis_productividad__4[[#This Row],[Periodo]],5,2)</f>
        <v>11</v>
      </c>
      <c r="E2219" s="1" t="s">
        <v>16</v>
      </c>
      <c r="F2219" s="1" t="s">
        <v>19</v>
      </c>
      <c r="G2219" s="1">
        <v>71064</v>
      </c>
      <c r="H2219" s="1">
        <v>2730367</v>
      </c>
      <c r="I2219" s="1">
        <v>38.421006944444436</v>
      </c>
      <c r="J2219" s="1">
        <v>0</v>
      </c>
      <c r="K2219" s="1">
        <v>41.5</v>
      </c>
      <c r="L2219" s="1">
        <v>35.5</v>
      </c>
      <c r="M2219" s="1"/>
      <c r="N2219" s="1">
        <v>0</v>
      </c>
    </row>
    <row r="2220" spans="1:14" x14ac:dyDescent="0.35">
      <c r="A2220" s="1" t="s">
        <v>62</v>
      </c>
      <c r="B2220" s="1">
        <v>202509</v>
      </c>
      <c r="C2220" s="1" t="str">
        <f>MID(analisis_productividad__4[[#This Row],[Periodo]],1,4)</f>
        <v>2025</v>
      </c>
      <c r="D2220" s="1" t="str">
        <f>MID(analisis_productividad__4[[#This Row],[Periodo]],5,2)</f>
        <v>09</v>
      </c>
      <c r="E2220" s="1" t="s">
        <v>16</v>
      </c>
      <c r="F2220" s="1" t="s">
        <v>17</v>
      </c>
      <c r="G2220" s="1">
        <v>71059</v>
      </c>
      <c r="H2220" s="1">
        <v>2151722</v>
      </c>
      <c r="I2220" s="1">
        <v>30.28083333333333</v>
      </c>
      <c r="J2220" s="1">
        <v>77132.204009384266</v>
      </c>
      <c r="K2220" s="1">
        <v>32.5</v>
      </c>
      <c r="L2220" s="1">
        <v>32</v>
      </c>
      <c r="M2220" s="1">
        <v>27.896549795701571</v>
      </c>
      <c r="N2220" s="1">
        <v>2167554</v>
      </c>
    </row>
    <row r="2221" spans="1:14" x14ac:dyDescent="0.35">
      <c r="A2221" s="1" t="s">
        <v>93</v>
      </c>
      <c r="B2221" s="1">
        <v>202601</v>
      </c>
      <c r="C2221" s="1" t="str">
        <f>MID(analisis_productividad__4[[#This Row],[Periodo]],1,4)</f>
        <v>2026</v>
      </c>
      <c r="D2221" s="1" t="str">
        <f>MID(analisis_productividad__4[[#This Row],[Periodo]],5,2)</f>
        <v>01</v>
      </c>
      <c r="E2221" s="1" t="s">
        <v>16</v>
      </c>
      <c r="F2221" s="1" t="s">
        <v>17</v>
      </c>
      <c r="G2221" s="1">
        <v>71055</v>
      </c>
      <c r="H2221" s="1">
        <v>6021223</v>
      </c>
      <c r="I2221" s="1">
        <v>84.740315860215006</v>
      </c>
      <c r="J2221" s="1">
        <v>84608.166271428563</v>
      </c>
      <c r="K2221" s="1">
        <v>84</v>
      </c>
      <c r="L2221" s="1">
        <v>76</v>
      </c>
      <c r="M2221" s="1">
        <v>84</v>
      </c>
      <c r="N2221" s="1">
        <v>7107086</v>
      </c>
    </row>
    <row r="2222" spans="1:14" x14ac:dyDescent="0.35">
      <c r="A2222" s="1" t="s">
        <v>74</v>
      </c>
      <c r="B2222" s="1">
        <v>202404</v>
      </c>
      <c r="C2222" s="1" t="str">
        <f>MID(analisis_productividad__4[[#This Row],[Periodo]],1,4)</f>
        <v>2024</v>
      </c>
      <c r="D2222" s="1" t="str">
        <f>MID(analisis_productividad__4[[#This Row],[Periodo]],5,2)</f>
        <v>04</v>
      </c>
      <c r="E2222" s="1" t="s">
        <v>16</v>
      </c>
      <c r="F2222" s="1" t="s">
        <v>19</v>
      </c>
      <c r="G2222" s="1">
        <v>71048</v>
      </c>
      <c r="H2222" s="1">
        <v>3646882</v>
      </c>
      <c r="I2222" s="1">
        <v>51.329541666666685</v>
      </c>
      <c r="J2222" s="1">
        <v>0</v>
      </c>
      <c r="K2222" s="1">
        <v>50.5</v>
      </c>
      <c r="L2222" s="1">
        <v>51.5</v>
      </c>
      <c r="M2222" s="1"/>
      <c r="N2222" s="1">
        <v>0</v>
      </c>
    </row>
    <row r="2223" spans="1:14" x14ac:dyDescent="0.35">
      <c r="A2223" s="1" t="s">
        <v>107</v>
      </c>
      <c r="B2223" s="1">
        <v>202503</v>
      </c>
      <c r="C2223" s="1" t="str">
        <f>MID(analisis_productividad__4[[#This Row],[Periodo]],1,4)</f>
        <v>2025</v>
      </c>
      <c r="D2223" s="1" t="str">
        <f>MID(analisis_productividad__4[[#This Row],[Periodo]],5,2)</f>
        <v>03</v>
      </c>
      <c r="E2223" s="1" t="s">
        <v>34</v>
      </c>
      <c r="F2223" s="1" t="s">
        <v>35</v>
      </c>
      <c r="G2223" s="1">
        <v>71034</v>
      </c>
      <c r="H2223" s="1">
        <v>5331605</v>
      </c>
      <c r="I2223" s="1">
        <v>75.056935483870973</v>
      </c>
      <c r="J2223" s="1">
        <v>75013.053476935747</v>
      </c>
      <c r="K2223" s="1">
        <v>87</v>
      </c>
      <c r="L2223" s="1">
        <v>77.5</v>
      </c>
      <c r="M2223" s="1">
        <v>71.07569953327264</v>
      </c>
      <c r="N2223" s="1">
        <v>5407039</v>
      </c>
    </row>
    <row r="2224" spans="1:14" x14ac:dyDescent="0.35">
      <c r="A2224" s="1" t="s">
        <v>66</v>
      </c>
      <c r="B2224" s="1">
        <v>202404</v>
      </c>
      <c r="C2224" s="1" t="str">
        <f>MID(analisis_productividad__4[[#This Row],[Periodo]],1,4)</f>
        <v>2024</v>
      </c>
      <c r="D2224" s="1" t="str">
        <f>MID(analisis_productividad__4[[#This Row],[Periodo]],5,2)</f>
        <v>04</v>
      </c>
      <c r="E2224" s="1" t="s">
        <v>11</v>
      </c>
      <c r="F2224" s="1" t="s">
        <v>12</v>
      </c>
      <c r="G2224" s="1">
        <v>71021</v>
      </c>
      <c r="H2224" s="1">
        <v>5846282</v>
      </c>
      <c r="I2224" s="1">
        <v>82.317277777777775</v>
      </c>
      <c r="J2224" s="1">
        <v>0</v>
      </c>
      <c r="K2224" s="1">
        <v>80</v>
      </c>
      <c r="L2224" s="1">
        <v>80.5</v>
      </c>
      <c r="M2224" s="1"/>
      <c r="N2224" s="1">
        <v>0</v>
      </c>
    </row>
    <row r="2225" spans="1:14" x14ac:dyDescent="0.35">
      <c r="A2225" s="1" t="s">
        <v>113</v>
      </c>
      <c r="B2225" s="1">
        <v>202511</v>
      </c>
      <c r="C2225" s="1" t="str">
        <f>MID(analisis_productividad__4[[#This Row],[Periodo]],1,4)</f>
        <v>2025</v>
      </c>
      <c r="D2225" s="1" t="str">
        <f>MID(analisis_productividad__4[[#This Row],[Periodo]],5,2)</f>
        <v>11</v>
      </c>
      <c r="E2225" s="1" t="s">
        <v>9</v>
      </c>
      <c r="F2225" s="1" t="s">
        <v>9</v>
      </c>
      <c r="G2225" s="1">
        <v>71015</v>
      </c>
      <c r="H2225" s="1">
        <v>579949</v>
      </c>
      <c r="I2225" s="1">
        <v>8.1666180555555563</v>
      </c>
      <c r="J2225" s="1">
        <v>58434.685114101325</v>
      </c>
      <c r="K2225" s="1">
        <v>11.5</v>
      </c>
      <c r="L2225" s="1">
        <v>10</v>
      </c>
      <c r="M2225" s="1">
        <v>9.9247321837633766</v>
      </c>
      <c r="N2225" s="1">
        <v>646973</v>
      </c>
    </row>
    <row r="2226" spans="1:14" x14ac:dyDescent="0.35">
      <c r="A2226" s="1" t="s">
        <v>119</v>
      </c>
      <c r="B2226" s="1">
        <v>202407</v>
      </c>
      <c r="C2226" s="1" t="str">
        <f>MID(analisis_productividad__4[[#This Row],[Periodo]],1,4)</f>
        <v>2024</v>
      </c>
      <c r="D2226" s="1" t="str">
        <f>MID(analisis_productividad__4[[#This Row],[Periodo]],5,2)</f>
        <v>07</v>
      </c>
      <c r="E2226" s="1" t="s">
        <v>16</v>
      </c>
      <c r="F2226" s="1" t="s">
        <v>21</v>
      </c>
      <c r="G2226" s="1">
        <v>70959</v>
      </c>
      <c r="H2226" s="1">
        <v>3833552</v>
      </c>
      <c r="I2226" s="1">
        <v>54.024522849462365</v>
      </c>
      <c r="J2226" s="1">
        <v>0</v>
      </c>
      <c r="K2226" s="1">
        <v>52.5</v>
      </c>
      <c r="L2226" s="1">
        <v>52.5</v>
      </c>
      <c r="M2226" s="1"/>
      <c r="N2226" s="1">
        <v>0</v>
      </c>
    </row>
    <row r="2227" spans="1:14" x14ac:dyDescent="0.35">
      <c r="A2227" s="1" t="s">
        <v>90</v>
      </c>
      <c r="B2227" s="1">
        <v>202411</v>
      </c>
      <c r="C2227" s="1" t="str">
        <f>MID(analisis_productividad__4[[#This Row],[Periodo]],1,4)</f>
        <v>2024</v>
      </c>
      <c r="D2227" s="1" t="str">
        <f>MID(analisis_productividad__4[[#This Row],[Periodo]],5,2)</f>
        <v>11</v>
      </c>
      <c r="E2227" s="1" t="s">
        <v>11</v>
      </c>
      <c r="F2227" s="1" t="s">
        <v>14</v>
      </c>
      <c r="G2227" s="1">
        <v>70947</v>
      </c>
      <c r="H2227" s="1">
        <v>5649673</v>
      </c>
      <c r="I2227" s="1">
        <v>79.631951388888908</v>
      </c>
      <c r="J2227" s="1">
        <v>0</v>
      </c>
      <c r="K2227" s="1">
        <v>84.5</v>
      </c>
      <c r="L2227" s="1">
        <v>78.5</v>
      </c>
      <c r="M2227" s="1"/>
      <c r="N2227" s="1">
        <v>0</v>
      </c>
    </row>
    <row r="2228" spans="1:14" x14ac:dyDescent="0.35">
      <c r="A2228" s="1" t="s">
        <v>58</v>
      </c>
      <c r="B2228" s="1">
        <v>202508</v>
      </c>
      <c r="C2228" s="1" t="str">
        <f>MID(analisis_productividad__4[[#This Row],[Periodo]],1,4)</f>
        <v>2025</v>
      </c>
      <c r="D2228" s="1" t="str">
        <f>MID(analisis_productividad__4[[#This Row],[Periodo]],5,2)</f>
        <v>08</v>
      </c>
      <c r="E2228" s="1" t="s">
        <v>34</v>
      </c>
      <c r="F2228" s="1" t="s">
        <v>35</v>
      </c>
      <c r="G2228" s="1">
        <v>70917</v>
      </c>
      <c r="H2228" s="1">
        <v>2982382</v>
      </c>
      <c r="I2228" s="1">
        <v>42.054428763440839</v>
      </c>
      <c r="J2228" s="1">
        <v>68258.789738159176</v>
      </c>
      <c r="K2228" s="1">
        <v>53.5</v>
      </c>
      <c r="L2228" s="1">
        <v>52</v>
      </c>
      <c r="M2228" s="1">
        <v>43.692275990248611</v>
      </c>
      <c r="N2228" s="1">
        <v>3249228</v>
      </c>
    </row>
    <row r="2229" spans="1:14" x14ac:dyDescent="0.35">
      <c r="A2229" s="1" t="s">
        <v>92</v>
      </c>
      <c r="B2229" s="1">
        <v>202407</v>
      </c>
      <c r="C2229" s="1" t="str">
        <f>MID(analisis_productividad__4[[#This Row],[Periodo]],1,4)</f>
        <v>2024</v>
      </c>
      <c r="D2229" s="1" t="str">
        <f>MID(analisis_productividad__4[[#This Row],[Periodo]],5,2)</f>
        <v>07</v>
      </c>
      <c r="E2229" s="1" t="s">
        <v>11</v>
      </c>
      <c r="F2229" s="1" t="s">
        <v>14</v>
      </c>
      <c r="G2229" s="1">
        <v>70904</v>
      </c>
      <c r="H2229" s="1">
        <v>3769582</v>
      </c>
      <c r="I2229" s="1">
        <v>53.164341397849462</v>
      </c>
      <c r="J2229" s="1">
        <v>0</v>
      </c>
      <c r="K2229" s="1">
        <v>63</v>
      </c>
      <c r="L2229" s="1">
        <v>59</v>
      </c>
      <c r="M2229" s="1"/>
      <c r="N2229" s="1">
        <v>0</v>
      </c>
    </row>
    <row r="2230" spans="1:14" x14ac:dyDescent="0.35">
      <c r="A2230" s="1" t="s">
        <v>80</v>
      </c>
      <c r="B2230" s="1">
        <v>202502</v>
      </c>
      <c r="C2230" s="1" t="str">
        <f>MID(analisis_productividad__4[[#This Row],[Periodo]],1,4)</f>
        <v>2025</v>
      </c>
      <c r="D2230" s="1" t="str">
        <f>MID(analisis_productividad__4[[#This Row],[Periodo]],5,2)</f>
        <v>02</v>
      </c>
      <c r="E2230" s="1" t="s">
        <v>16</v>
      </c>
      <c r="F2230" s="1" t="s">
        <v>17</v>
      </c>
      <c r="G2230" s="1">
        <v>70899</v>
      </c>
      <c r="H2230" s="1">
        <v>3810704</v>
      </c>
      <c r="I2230" s="1">
        <v>53.748645833333356</v>
      </c>
      <c r="J2230" s="1">
        <v>80387.399760346962</v>
      </c>
      <c r="K2230" s="1">
        <v>58</v>
      </c>
      <c r="L2230" s="1">
        <v>58.5</v>
      </c>
      <c r="M2230" s="1">
        <v>47.404249563495931</v>
      </c>
      <c r="N2230" s="1">
        <v>4046501</v>
      </c>
    </row>
    <row r="2231" spans="1:14" x14ac:dyDescent="0.35">
      <c r="A2231" s="1" t="s">
        <v>65</v>
      </c>
      <c r="B2231" s="1">
        <v>202402</v>
      </c>
      <c r="C2231" s="1" t="str">
        <f>MID(analisis_productividad__4[[#This Row],[Periodo]],1,4)</f>
        <v>2024</v>
      </c>
      <c r="D2231" s="1" t="str">
        <f>MID(analisis_productividad__4[[#This Row],[Periodo]],5,2)</f>
        <v>02</v>
      </c>
      <c r="E2231" s="1" t="s">
        <v>16</v>
      </c>
      <c r="F2231" s="1" t="s">
        <v>19</v>
      </c>
      <c r="G2231" s="1">
        <v>70893</v>
      </c>
      <c r="H2231" s="1">
        <v>4474720</v>
      </c>
      <c r="I2231" s="1">
        <v>63.119331896551756</v>
      </c>
      <c r="J2231" s="1">
        <v>0</v>
      </c>
      <c r="K2231" s="1">
        <v>68</v>
      </c>
      <c r="L2231" s="1">
        <v>68.5</v>
      </c>
      <c r="M2231" s="1"/>
      <c r="N2231" s="1">
        <v>0</v>
      </c>
    </row>
    <row r="2232" spans="1:14" x14ac:dyDescent="0.35">
      <c r="A2232" s="1" t="s">
        <v>90</v>
      </c>
      <c r="B2232" s="1">
        <v>202410</v>
      </c>
      <c r="C2232" s="1" t="str">
        <f>MID(analisis_productividad__4[[#This Row],[Periodo]],1,4)</f>
        <v>2024</v>
      </c>
      <c r="D2232" s="1" t="str">
        <f>MID(analisis_productividad__4[[#This Row],[Periodo]],5,2)</f>
        <v>10</v>
      </c>
      <c r="E2232" s="1" t="s">
        <v>11</v>
      </c>
      <c r="F2232" s="1" t="s">
        <v>14</v>
      </c>
      <c r="G2232" s="1">
        <v>70893</v>
      </c>
      <c r="H2232" s="1">
        <v>5418427</v>
      </c>
      <c r="I2232" s="1">
        <v>76.431108870967762</v>
      </c>
      <c r="J2232" s="1">
        <v>0</v>
      </c>
      <c r="K2232" s="1">
        <v>84.5</v>
      </c>
      <c r="L2232" s="1">
        <v>78.5</v>
      </c>
      <c r="M2232" s="1"/>
      <c r="N2232" s="1">
        <v>0</v>
      </c>
    </row>
    <row r="2233" spans="1:14" x14ac:dyDescent="0.35">
      <c r="A2233" s="1" t="s">
        <v>95</v>
      </c>
      <c r="B2233" s="1">
        <v>202504</v>
      </c>
      <c r="C2233" s="1" t="str">
        <f>MID(analisis_productividad__4[[#This Row],[Periodo]],1,4)</f>
        <v>2025</v>
      </c>
      <c r="D2233" s="1" t="str">
        <f>MID(analisis_productividad__4[[#This Row],[Periodo]],5,2)</f>
        <v>04</v>
      </c>
      <c r="E2233" s="1" t="s">
        <v>9</v>
      </c>
      <c r="F2233" s="1" t="s">
        <v>9</v>
      </c>
      <c r="G2233" s="1">
        <v>70822</v>
      </c>
      <c r="H2233" s="1">
        <v>657392</v>
      </c>
      <c r="I2233" s="1">
        <v>9.282243055555556</v>
      </c>
      <c r="J2233" s="1">
        <v>66285.165630220232</v>
      </c>
      <c r="K2233" s="1">
        <v>11</v>
      </c>
      <c r="L2233" s="1">
        <v>11</v>
      </c>
      <c r="M2233" s="1">
        <v>9.9176274774259117</v>
      </c>
      <c r="N2233" s="1">
        <v>698243</v>
      </c>
    </row>
    <row r="2234" spans="1:14" x14ac:dyDescent="0.35">
      <c r="A2234" s="1" t="s">
        <v>71</v>
      </c>
      <c r="B2234" s="1">
        <v>202601</v>
      </c>
      <c r="C2234" s="1" t="str">
        <f>MID(analisis_productividad__4[[#This Row],[Periodo]],1,4)</f>
        <v>2026</v>
      </c>
      <c r="D2234" s="1" t="str">
        <f>MID(analisis_productividad__4[[#This Row],[Periodo]],5,2)</f>
        <v>01</v>
      </c>
      <c r="E2234" s="1" t="s">
        <v>16</v>
      </c>
      <c r="F2234" s="1" t="s">
        <v>19</v>
      </c>
      <c r="G2234" s="1">
        <v>70812</v>
      </c>
      <c r="H2234" s="1">
        <v>2723288</v>
      </c>
      <c r="I2234" s="1">
        <v>38.457802419354827</v>
      </c>
      <c r="J2234" s="1">
        <v>63000.275387293863</v>
      </c>
      <c r="K2234" s="1">
        <v>41.5</v>
      </c>
      <c r="L2234" s="1">
        <v>35.5</v>
      </c>
      <c r="M2234" s="1">
        <v>37.124878906032741</v>
      </c>
      <c r="N2234" s="1">
        <v>2338878</v>
      </c>
    </row>
    <row r="2235" spans="1:14" x14ac:dyDescent="0.35">
      <c r="A2235" s="1" t="s">
        <v>94</v>
      </c>
      <c r="B2235" s="1">
        <v>202602</v>
      </c>
      <c r="C2235" s="1" t="str">
        <f>MID(analisis_productividad__4[[#This Row],[Periodo]],1,4)</f>
        <v>2026</v>
      </c>
      <c r="D2235" s="1" t="str">
        <f>MID(analisis_productividad__4[[#This Row],[Periodo]],5,2)</f>
        <v>02</v>
      </c>
      <c r="E2235" s="1" t="s">
        <v>11</v>
      </c>
      <c r="F2235" s="1" t="s">
        <v>52</v>
      </c>
      <c r="G2235" s="1">
        <v>70812</v>
      </c>
      <c r="H2235" s="1">
        <v>4837239</v>
      </c>
      <c r="I2235" s="1">
        <v>68.310937499999994</v>
      </c>
      <c r="J2235" s="1">
        <v>72935.799661020879</v>
      </c>
      <c r="K2235" s="1">
        <v>75.5</v>
      </c>
      <c r="L2235" s="1">
        <v>70.5</v>
      </c>
      <c r="M2235" s="1">
        <v>63.423114179855602</v>
      </c>
      <c r="N2235" s="1">
        <v>4625816</v>
      </c>
    </row>
    <row r="2236" spans="1:14" x14ac:dyDescent="0.35">
      <c r="A2236" s="1" t="s">
        <v>94</v>
      </c>
      <c r="B2236" s="1">
        <v>202405</v>
      </c>
      <c r="C2236" s="1" t="str">
        <f>MID(analisis_productividad__4[[#This Row],[Periodo]],1,4)</f>
        <v>2024</v>
      </c>
      <c r="D2236" s="1" t="str">
        <f>MID(analisis_productividad__4[[#This Row],[Periodo]],5,2)</f>
        <v>05</v>
      </c>
      <c r="E2236" s="1" t="s">
        <v>11</v>
      </c>
      <c r="F2236" s="1" t="s">
        <v>52</v>
      </c>
      <c r="G2236" s="1">
        <v>70808</v>
      </c>
      <c r="H2236" s="1">
        <v>5276871</v>
      </c>
      <c r="I2236" s="1">
        <v>74.523467741935519</v>
      </c>
      <c r="J2236" s="1">
        <v>0</v>
      </c>
      <c r="K2236" s="1">
        <v>75.5</v>
      </c>
      <c r="L2236" s="1">
        <v>70.5</v>
      </c>
      <c r="M2236" s="1"/>
      <c r="N2236" s="1">
        <v>0</v>
      </c>
    </row>
    <row r="2237" spans="1:14" x14ac:dyDescent="0.35">
      <c r="A2237" s="1" t="s">
        <v>107</v>
      </c>
      <c r="B2237" s="1">
        <v>202401</v>
      </c>
      <c r="C2237" s="1" t="str">
        <f>MID(analisis_productividad__4[[#This Row],[Periodo]],1,4)</f>
        <v>2024</v>
      </c>
      <c r="D2237" s="1" t="str">
        <f>MID(analisis_productividad__4[[#This Row],[Periodo]],5,2)</f>
        <v>01</v>
      </c>
      <c r="E2237" s="1" t="s">
        <v>34</v>
      </c>
      <c r="F2237" s="1" t="s">
        <v>35</v>
      </c>
      <c r="G2237" s="1">
        <v>70783</v>
      </c>
      <c r="H2237" s="1">
        <v>5077161</v>
      </c>
      <c r="I2237" s="1">
        <v>71.728783602150543</v>
      </c>
      <c r="J2237" s="1">
        <v>0</v>
      </c>
      <c r="K2237" s="1">
        <v>87</v>
      </c>
      <c r="L2237" s="1">
        <v>77.5</v>
      </c>
      <c r="M2237" s="1"/>
      <c r="N2237" s="1">
        <v>0</v>
      </c>
    </row>
    <row r="2238" spans="1:14" x14ac:dyDescent="0.35">
      <c r="A2238" s="1" t="s">
        <v>83</v>
      </c>
      <c r="B2238" s="1">
        <v>202506</v>
      </c>
      <c r="C2238" s="1" t="str">
        <f>MID(analisis_productividad__4[[#This Row],[Periodo]],1,4)</f>
        <v>2025</v>
      </c>
      <c r="D2238" s="1" t="str">
        <f>MID(analisis_productividad__4[[#This Row],[Periodo]],5,2)</f>
        <v>06</v>
      </c>
      <c r="E2238" s="1" t="s">
        <v>16</v>
      </c>
      <c r="F2238" s="1" t="s">
        <v>17</v>
      </c>
      <c r="G2238" s="1">
        <v>70744</v>
      </c>
      <c r="H2238" s="1">
        <v>3300782</v>
      </c>
      <c r="I2238" s="1">
        <v>46.657965277777777</v>
      </c>
      <c r="J2238" s="1">
        <v>74256.967469096315</v>
      </c>
      <c r="K2238" s="1">
        <v>52</v>
      </c>
      <c r="L2238" s="1">
        <v>52</v>
      </c>
      <c r="M2238" s="1">
        <v>44.450810913786555</v>
      </c>
      <c r="N2238" s="1">
        <v>3274226</v>
      </c>
    </row>
    <row r="2239" spans="1:14" x14ac:dyDescent="0.35">
      <c r="A2239" s="1" t="s">
        <v>8</v>
      </c>
      <c r="B2239" s="1">
        <v>202412</v>
      </c>
      <c r="C2239" s="1" t="str">
        <f>MID(analisis_productividad__4[[#This Row],[Periodo]],1,4)</f>
        <v>2024</v>
      </c>
      <c r="D2239" s="1" t="str">
        <f>MID(analisis_productividad__4[[#This Row],[Periodo]],5,2)</f>
        <v>12</v>
      </c>
      <c r="E2239" s="1" t="s">
        <v>9</v>
      </c>
      <c r="F2239" s="1" t="s">
        <v>9</v>
      </c>
      <c r="G2239" s="1">
        <v>70744</v>
      </c>
      <c r="H2239" s="1">
        <v>1051277</v>
      </c>
      <c r="I2239" s="1">
        <v>14.860369623655917</v>
      </c>
      <c r="J2239" s="1">
        <v>0</v>
      </c>
      <c r="K2239" s="1">
        <v>13.5</v>
      </c>
      <c r="L2239" s="1">
        <v>12.5</v>
      </c>
      <c r="M2239" s="1"/>
      <c r="N2239" s="1">
        <v>0</v>
      </c>
    </row>
    <row r="2240" spans="1:14" x14ac:dyDescent="0.35">
      <c r="A2240" s="1" t="s">
        <v>83</v>
      </c>
      <c r="B2240" s="1">
        <v>202406</v>
      </c>
      <c r="C2240" s="1" t="str">
        <f>MID(analisis_productividad__4[[#This Row],[Periodo]],1,4)</f>
        <v>2024</v>
      </c>
      <c r="D2240" s="1" t="str">
        <f>MID(analisis_productividad__4[[#This Row],[Periodo]],5,2)</f>
        <v>06</v>
      </c>
      <c r="E2240" s="1" t="s">
        <v>16</v>
      </c>
      <c r="F2240" s="1" t="s">
        <v>17</v>
      </c>
      <c r="G2240" s="1">
        <v>70721</v>
      </c>
      <c r="H2240" s="1">
        <v>3358151</v>
      </c>
      <c r="I2240" s="1">
        <v>47.484548611111101</v>
      </c>
      <c r="J2240" s="1">
        <v>0</v>
      </c>
      <c r="K2240" s="1">
        <v>52</v>
      </c>
      <c r="L2240" s="1">
        <v>52</v>
      </c>
      <c r="M2240" s="1"/>
      <c r="N2240" s="1">
        <v>0</v>
      </c>
    </row>
    <row r="2241" spans="1:14" x14ac:dyDescent="0.35">
      <c r="A2241" s="1" t="s">
        <v>83</v>
      </c>
      <c r="B2241" s="1">
        <v>202504</v>
      </c>
      <c r="C2241" s="1" t="str">
        <f>MID(analisis_productividad__4[[#This Row],[Periodo]],1,4)</f>
        <v>2025</v>
      </c>
      <c r="D2241" s="1" t="str">
        <f>MID(analisis_productividad__4[[#This Row],[Periodo]],5,2)</f>
        <v>04</v>
      </c>
      <c r="E2241" s="1" t="s">
        <v>16</v>
      </c>
      <c r="F2241" s="1" t="s">
        <v>17</v>
      </c>
      <c r="G2241" s="1">
        <v>70689</v>
      </c>
      <c r="H2241" s="1">
        <v>3458485</v>
      </c>
      <c r="I2241" s="1">
        <v>48.925041666666651</v>
      </c>
      <c r="J2241" s="1">
        <v>69245.925712147931</v>
      </c>
      <c r="K2241" s="1">
        <v>52</v>
      </c>
      <c r="L2241" s="1">
        <v>52</v>
      </c>
      <c r="M2241" s="1">
        <v>49.944962023856256</v>
      </c>
      <c r="N2241" s="1">
        <v>3535540</v>
      </c>
    </row>
    <row r="2242" spans="1:14" x14ac:dyDescent="0.35">
      <c r="A2242" s="1" t="s">
        <v>80</v>
      </c>
      <c r="B2242" s="1">
        <v>202404</v>
      </c>
      <c r="C2242" s="1" t="str">
        <f>MID(analisis_productividad__4[[#This Row],[Periodo]],1,4)</f>
        <v>2024</v>
      </c>
      <c r="D2242" s="1" t="str">
        <f>MID(analisis_productividad__4[[#This Row],[Periodo]],5,2)</f>
        <v>04</v>
      </c>
      <c r="E2242" s="1" t="s">
        <v>16</v>
      </c>
      <c r="F2242" s="1" t="s">
        <v>17</v>
      </c>
      <c r="G2242" s="1">
        <v>70656</v>
      </c>
      <c r="H2242" s="1">
        <v>3990675</v>
      </c>
      <c r="I2242" s="1">
        <v>56.480277777777786</v>
      </c>
      <c r="J2242" s="1">
        <v>0</v>
      </c>
      <c r="K2242" s="1">
        <v>58</v>
      </c>
      <c r="L2242" s="1">
        <v>58.5</v>
      </c>
      <c r="M2242" s="1"/>
      <c r="N2242" s="1">
        <v>0</v>
      </c>
    </row>
    <row r="2243" spans="1:14" x14ac:dyDescent="0.35">
      <c r="A2243" s="1" t="s">
        <v>85</v>
      </c>
      <c r="B2243" s="1">
        <v>202409</v>
      </c>
      <c r="C2243" s="1" t="str">
        <f>MID(analisis_productividad__4[[#This Row],[Periodo]],1,4)</f>
        <v>2024</v>
      </c>
      <c r="D2243" s="1" t="str">
        <f>MID(analisis_productividad__4[[#This Row],[Periodo]],5,2)</f>
        <v>09</v>
      </c>
      <c r="E2243" s="1" t="s">
        <v>11</v>
      </c>
      <c r="F2243" s="1" t="s">
        <v>14</v>
      </c>
      <c r="G2243" s="1">
        <v>70633</v>
      </c>
      <c r="H2243" s="1">
        <v>3468131</v>
      </c>
      <c r="I2243" s="1">
        <v>49.101013888888879</v>
      </c>
      <c r="J2243" s="1">
        <v>0</v>
      </c>
      <c r="K2243" s="1">
        <v>60.5</v>
      </c>
      <c r="L2243" s="1">
        <v>57.5</v>
      </c>
      <c r="M2243" s="1"/>
      <c r="N2243" s="1">
        <v>0</v>
      </c>
    </row>
    <row r="2244" spans="1:14" x14ac:dyDescent="0.35">
      <c r="A2244" s="1" t="s">
        <v>103</v>
      </c>
      <c r="B2244" s="1">
        <v>202603</v>
      </c>
      <c r="C2244" s="1" t="str">
        <f>MID(analisis_productividad__4[[#This Row],[Periodo]],1,4)</f>
        <v>2026</v>
      </c>
      <c r="D2244" s="1" t="str">
        <f>MID(analisis_productividad__4[[#This Row],[Periodo]],5,2)</f>
        <v>03</v>
      </c>
      <c r="E2244" s="1" t="s">
        <v>104</v>
      </c>
      <c r="F2244" s="1" t="s">
        <v>104</v>
      </c>
      <c r="G2244" s="1">
        <v>70618</v>
      </c>
      <c r="H2244" s="1">
        <v>5651567</v>
      </c>
      <c r="I2244" s="1">
        <v>80.03004032258066</v>
      </c>
      <c r="J2244" s="1">
        <v>71839.239239153336</v>
      </c>
      <c r="K2244" s="1">
        <v>94</v>
      </c>
      <c r="L2244" s="1">
        <v>77.5</v>
      </c>
      <c r="M2244" s="1">
        <v>81.023149648384276</v>
      </c>
      <c r="N2244" s="1">
        <v>5820641</v>
      </c>
    </row>
    <row r="2245" spans="1:14" x14ac:dyDescent="0.35">
      <c r="A2245" s="1" t="s">
        <v>91</v>
      </c>
      <c r="B2245" s="1">
        <v>202411</v>
      </c>
      <c r="C2245" s="1" t="str">
        <f>MID(analisis_productividad__4[[#This Row],[Periodo]],1,4)</f>
        <v>2024</v>
      </c>
      <c r="D2245" s="1" t="str">
        <f>MID(analisis_productividad__4[[#This Row],[Periodo]],5,2)</f>
        <v>11</v>
      </c>
      <c r="E2245" s="1" t="s">
        <v>11</v>
      </c>
      <c r="F2245" s="1" t="s">
        <v>12</v>
      </c>
      <c r="G2245" s="1">
        <v>70550</v>
      </c>
      <c r="H2245" s="1">
        <v>3654668</v>
      </c>
      <c r="I2245" s="1">
        <v>51.802673611111111</v>
      </c>
      <c r="J2245" s="1">
        <v>0</v>
      </c>
      <c r="K2245" s="1">
        <v>55</v>
      </c>
      <c r="L2245" s="1">
        <v>55.5</v>
      </c>
      <c r="M2245" s="1"/>
      <c r="N2245" s="1">
        <v>0</v>
      </c>
    </row>
    <row r="2246" spans="1:14" x14ac:dyDescent="0.35">
      <c r="A2246" s="1" t="s">
        <v>58</v>
      </c>
      <c r="B2246" s="1">
        <v>202406</v>
      </c>
      <c r="C2246" s="1" t="str">
        <f>MID(analisis_productividad__4[[#This Row],[Periodo]],1,4)</f>
        <v>2024</v>
      </c>
      <c r="D2246" s="1" t="str">
        <f>MID(analisis_productividad__4[[#This Row],[Periodo]],5,2)</f>
        <v>06</v>
      </c>
      <c r="E2246" s="1" t="s">
        <v>34</v>
      </c>
      <c r="F2246" s="1" t="s">
        <v>35</v>
      </c>
      <c r="G2246" s="1">
        <v>70549</v>
      </c>
      <c r="H2246" s="1">
        <v>3291870</v>
      </c>
      <c r="I2246" s="1">
        <v>46.660687500000023</v>
      </c>
      <c r="J2246" s="1">
        <v>0</v>
      </c>
      <c r="K2246" s="1">
        <v>53.5</v>
      </c>
      <c r="L2246" s="1">
        <v>52</v>
      </c>
      <c r="M2246" s="1"/>
      <c r="N2246" s="1">
        <v>0</v>
      </c>
    </row>
    <row r="2247" spans="1:14" x14ac:dyDescent="0.35">
      <c r="A2247" s="1" t="s">
        <v>48</v>
      </c>
      <c r="B2247" s="1">
        <v>202408</v>
      </c>
      <c r="C2247" s="1" t="str">
        <f>MID(analisis_productividad__4[[#This Row],[Periodo]],1,4)</f>
        <v>2024</v>
      </c>
      <c r="D2247" s="1" t="str">
        <f>MID(analisis_productividad__4[[#This Row],[Periodo]],5,2)</f>
        <v>08</v>
      </c>
      <c r="E2247" s="1" t="s">
        <v>16</v>
      </c>
      <c r="F2247" s="1" t="s">
        <v>21</v>
      </c>
      <c r="G2247" s="1">
        <v>70548</v>
      </c>
      <c r="H2247" s="1">
        <v>4017919</v>
      </c>
      <c r="I2247" s="1">
        <v>56.952762096774201</v>
      </c>
      <c r="J2247" s="1">
        <v>0</v>
      </c>
      <c r="K2247" s="1">
        <v>56</v>
      </c>
      <c r="L2247" s="1">
        <v>60</v>
      </c>
      <c r="M2247" s="1"/>
      <c r="N2247" s="1">
        <v>0</v>
      </c>
    </row>
    <row r="2248" spans="1:14" x14ac:dyDescent="0.35">
      <c r="A2248" s="1" t="s">
        <v>89</v>
      </c>
      <c r="B2248" s="1">
        <v>202406</v>
      </c>
      <c r="C2248" s="1" t="str">
        <f>MID(analisis_productividad__4[[#This Row],[Periodo]],1,4)</f>
        <v>2024</v>
      </c>
      <c r="D2248" s="1" t="str">
        <f>MID(analisis_productividad__4[[#This Row],[Periodo]],5,2)</f>
        <v>06</v>
      </c>
      <c r="E2248" s="1" t="s">
        <v>9</v>
      </c>
      <c r="F2248" s="1" t="s">
        <v>9</v>
      </c>
      <c r="G2248" s="1">
        <v>70535</v>
      </c>
      <c r="H2248" s="1">
        <v>1046908</v>
      </c>
      <c r="I2248" s="1">
        <v>14.842333333333336</v>
      </c>
      <c r="J2248" s="1">
        <v>0</v>
      </c>
      <c r="K2248" s="1">
        <v>17</v>
      </c>
      <c r="L2248" s="1">
        <v>13.5</v>
      </c>
      <c r="M2248" s="1"/>
      <c r="N2248" s="1">
        <v>0</v>
      </c>
    </row>
    <row r="2249" spans="1:14" x14ac:dyDescent="0.35">
      <c r="A2249" s="1" t="s">
        <v>45</v>
      </c>
      <c r="B2249" s="1">
        <v>202512</v>
      </c>
      <c r="C2249" s="1" t="str">
        <f>MID(analisis_productividad__4[[#This Row],[Periodo]],1,4)</f>
        <v>2025</v>
      </c>
      <c r="D2249" s="1" t="str">
        <f>MID(analisis_productividad__4[[#This Row],[Periodo]],5,2)</f>
        <v>12</v>
      </c>
      <c r="E2249" s="1" t="s">
        <v>34</v>
      </c>
      <c r="F2249" s="1" t="s">
        <v>35</v>
      </c>
      <c r="G2249" s="1">
        <v>70518</v>
      </c>
      <c r="H2249" s="1">
        <v>1861936</v>
      </c>
      <c r="I2249" s="1">
        <v>26.403642473118239</v>
      </c>
      <c r="J2249" s="1">
        <v>68137.126129965865</v>
      </c>
      <c r="K2249" s="1">
        <v>22.5</v>
      </c>
      <c r="L2249" s="1">
        <v>21</v>
      </c>
      <c r="M2249" s="1">
        <v>27.326309689793966</v>
      </c>
      <c r="N2249" s="1">
        <v>1509344</v>
      </c>
    </row>
    <row r="2250" spans="1:14" x14ac:dyDescent="0.35">
      <c r="A2250" s="1" t="s">
        <v>92</v>
      </c>
      <c r="B2250" s="1">
        <v>202501</v>
      </c>
      <c r="C2250" s="1" t="str">
        <f>MID(analisis_productividad__4[[#This Row],[Periodo]],1,4)</f>
        <v>2025</v>
      </c>
      <c r="D2250" s="1" t="str">
        <f>MID(analisis_productividad__4[[#This Row],[Periodo]],5,2)</f>
        <v>01</v>
      </c>
      <c r="E2250" s="1" t="s">
        <v>11</v>
      </c>
      <c r="F2250" s="1" t="s">
        <v>14</v>
      </c>
      <c r="G2250" s="1">
        <v>70516</v>
      </c>
      <c r="H2250" s="1">
        <v>3637023</v>
      </c>
      <c r="I2250" s="1">
        <v>51.577251344086015</v>
      </c>
      <c r="J2250" s="1">
        <v>70196.308244983738</v>
      </c>
      <c r="K2250" s="1">
        <v>63</v>
      </c>
      <c r="L2250" s="1">
        <v>59</v>
      </c>
      <c r="M2250" s="1">
        <v>51.812175183157201</v>
      </c>
      <c r="N2250" s="1">
        <v>3729324</v>
      </c>
    </row>
    <row r="2251" spans="1:14" x14ac:dyDescent="0.35">
      <c r="A2251" s="1" t="s">
        <v>94</v>
      </c>
      <c r="B2251" s="1">
        <v>202502</v>
      </c>
      <c r="C2251" s="1" t="str">
        <f>MID(analisis_productividad__4[[#This Row],[Periodo]],1,4)</f>
        <v>2025</v>
      </c>
      <c r="D2251" s="1" t="str">
        <f>MID(analisis_productividad__4[[#This Row],[Periodo]],5,2)</f>
        <v>02</v>
      </c>
      <c r="E2251" s="1" t="s">
        <v>11</v>
      </c>
      <c r="F2251" s="1" t="s">
        <v>52</v>
      </c>
      <c r="G2251" s="1">
        <v>70511</v>
      </c>
      <c r="H2251" s="1">
        <v>4768710</v>
      </c>
      <c r="I2251" s="1">
        <v>67.630312500000002</v>
      </c>
      <c r="J2251" s="1">
        <v>68841.652684011482</v>
      </c>
      <c r="K2251" s="1">
        <v>75.5</v>
      </c>
      <c r="L2251" s="1">
        <v>70.5</v>
      </c>
      <c r="M2251" s="1">
        <v>69.270707254643469</v>
      </c>
      <c r="N2251" s="1">
        <v>5013216</v>
      </c>
    </row>
    <row r="2252" spans="1:14" x14ac:dyDescent="0.35">
      <c r="A2252" s="1" t="s">
        <v>94</v>
      </c>
      <c r="B2252" s="1">
        <v>202407</v>
      </c>
      <c r="C2252" s="1" t="str">
        <f>MID(analisis_productividad__4[[#This Row],[Periodo]],1,4)</f>
        <v>2024</v>
      </c>
      <c r="D2252" s="1" t="str">
        <f>MID(analisis_productividad__4[[#This Row],[Periodo]],5,2)</f>
        <v>07</v>
      </c>
      <c r="E2252" s="1" t="s">
        <v>11</v>
      </c>
      <c r="F2252" s="1" t="s">
        <v>52</v>
      </c>
      <c r="G2252" s="1">
        <v>70508</v>
      </c>
      <c r="H2252" s="1">
        <v>5385002</v>
      </c>
      <c r="I2252" s="1">
        <v>76.374139784946266</v>
      </c>
      <c r="J2252" s="1">
        <v>0</v>
      </c>
      <c r="K2252" s="1">
        <v>75.5</v>
      </c>
      <c r="L2252" s="1">
        <v>70.5</v>
      </c>
      <c r="M2252" s="1"/>
      <c r="N2252" s="1">
        <v>0</v>
      </c>
    </row>
    <row r="2253" spans="1:14" x14ac:dyDescent="0.35">
      <c r="A2253" s="1" t="s">
        <v>73</v>
      </c>
      <c r="B2253" s="1">
        <v>202606</v>
      </c>
      <c r="C2253" s="1" t="str">
        <f>MID(analisis_productividad__4[[#This Row],[Periodo]],1,4)</f>
        <v>2026</v>
      </c>
      <c r="D2253" s="1" t="str">
        <f>MID(analisis_productividad__4[[#This Row],[Periodo]],5,2)</f>
        <v>06</v>
      </c>
      <c r="E2253" s="1" t="s">
        <v>16</v>
      </c>
      <c r="F2253" s="1" t="s">
        <v>21</v>
      </c>
      <c r="G2253" s="1">
        <v>70493</v>
      </c>
      <c r="H2253" s="1">
        <v>2564085</v>
      </c>
      <c r="I2253" s="1">
        <v>36.37370138888847</v>
      </c>
      <c r="J2253" s="1">
        <v>70630.528090339227</v>
      </c>
      <c r="K2253" s="1">
        <v>43.5</v>
      </c>
      <c r="L2253" s="1">
        <v>41</v>
      </c>
      <c r="M2253" s="1">
        <v>38.914029696684921</v>
      </c>
      <c r="N2253" s="1">
        <v>2748518</v>
      </c>
    </row>
    <row r="2254" spans="1:14" x14ac:dyDescent="0.35">
      <c r="A2254" s="1" t="s">
        <v>88</v>
      </c>
      <c r="B2254" s="1">
        <v>202502</v>
      </c>
      <c r="C2254" s="1" t="str">
        <f>MID(analisis_productividad__4[[#This Row],[Periodo]],1,4)</f>
        <v>2025</v>
      </c>
      <c r="D2254" s="1" t="str">
        <f>MID(analisis_productividad__4[[#This Row],[Periodo]],5,2)</f>
        <v>02</v>
      </c>
      <c r="E2254" s="1" t="s">
        <v>34</v>
      </c>
      <c r="F2254" s="1" t="s">
        <v>35</v>
      </c>
      <c r="G2254" s="1">
        <v>70440</v>
      </c>
      <c r="H2254" s="1">
        <v>955543</v>
      </c>
      <c r="I2254" s="1">
        <v>13.565312499999999</v>
      </c>
      <c r="J2254" s="1">
        <v>84249.261670013162</v>
      </c>
      <c r="K2254" s="1">
        <v>15.5</v>
      </c>
      <c r="L2254" s="1">
        <v>14.5</v>
      </c>
      <c r="M2254" s="1">
        <v>11.341855715515504</v>
      </c>
      <c r="N2254" s="1">
        <v>1026553</v>
      </c>
    </row>
    <row r="2255" spans="1:14" x14ac:dyDescent="0.35">
      <c r="A2255" s="1" t="s">
        <v>58</v>
      </c>
      <c r="B2255" s="1">
        <v>202507</v>
      </c>
      <c r="C2255" s="1" t="str">
        <f>MID(analisis_productividad__4[[#This Row],[Periodo]],1,4)</f>
        <v>2025</v>
      </c>
      <c r="D2255" s="1" t="str">
        <f>MID(analisis_productividad__4[[#This Row],[Periodo]],5,2)</f>
        <v>07</v>
      </c>
      <c r="E2255" s="1" t="s">
        <v>34</v>
      </c>
      <c r="F2255" s="1" t="s">
        <v>35</v>
      </c>
      <c r="G2255" s="1">
        <v>70411</v>
      </c>
      <c r="H2255" s="1">
        <v>2992467</v>
      </c>
      <c r="I2255" s="1">
        <v>42.499973118279563</v>
      </c>
      <c r="J2255" s="1">
        <v>69566.043170247998</v>
      </c>
      <c r="K2255" s="1">
        <v>53.5</v>
      </c>
      <c r="L2255" s="1">
        <v>52</v>
      </c>
      <c r="M2255" s="1">
        <v>43.01620623551316</v>
      </c>
      <c r="N2255" s="1">
        <v>3250088</v>
      </c>
    </row>
    <row r="2256" spans="1:14" x14ac:dyDescent="0.35">
      <c r="A2256" s="1" t="s">
        <v>112</v>
      </c>
      <c r="B2256" s="1">
        <v>202603</v>
      </c>
      <c r="C2256" s="1" t="str">
        <f>MID(analisis_productividad__4[[#This Row],[Periodo]],1,4)</f>
        <v>2026</v>
      </c>
      <c r="D2256" s="1" t="str">
        <f>MID(analisis_productividad__4[[#This Row],[Periodo]],5,2)</f>
        <v>03</v>
      </c>
      <c r="E2256" s="1" t="s">
        <v>34</v>
      </c>
      <c r="F2256" s="1" t="s">
        <v>35</v>
      </c>
      <c r="G2256" s="1">
        <v>70390</v>
      </c>
      <c r="H2256" s="1">
        <v>1751367</v>
      </c>
      <c r="I2256" s="1">
        <v>24.880954301075274</v>
      </c>
      <c r="J2256" s="1">
        <v>76494.195457796741</v>
      </c>
      <c r="K2256" s="1">
        <v>31</v>
      </c>
      <c r="L2256" s="1">
        <v>27</v>
      </c>
      <c r="M2256" s="1">
        <v>27.070532526124346</v>
      </c>
      <c r="N2256" s="1">
        <v>2070739</v>
      </c>
    </row>
    <row r="2257" spans="1:14" x14ac:dyDescent="0.35">
      <c r="A2257" s="1" t="s">
        <v>88</v>
      </c>
      <c r="B2257" s="1">
        <v>202407</v>
      </c>
      <c r="C2257" s="1" t="str">
        <f>MID(analisis_productividad__4[[#This Row],[Periodo]],1,4)</f>
        <v>2024</v>
      </c>
      <c r="D2257" s="1" t="str">
        <f>MID(analisis_productividad__4[[#This Row],[Periodo]],5,2)</f>
        <v>07</v>
      </c>
      <c r="E2257" s="1" t="s">
        <v>34</v>
      </c>
      <c r="F2257" s="1" t="s">
        <v>35</v>
      </c>
      <c r="G2257" s="1">
        <v>70370</v>
      </c>
      <c r="H2257" s="1">
        <v>1018812</v>
      </c>
      <c r="I2257" s="1">
        <v>14.477862903225811</v>
      </c>
      <c r="J2257" s="1">
        <v>0</v>
      </c>
      <c r="K2257" s="1">
        <v>15.5</v>
      </c>
      <c r="L2257" s="1">
        <v>14.5</v>
      </c>
      <c r="M2257" s="1"/>
      <c r="N2257" s="1">
        <v>0</v>
      </c>
    </row>
    <row r="2258" spans="1:14" x14ac:dyDescent="0.35">
      <c r="A2258" s="1" t="s">
        <v>98</v>
      </c>
      <c r="B2258" s="1">
        <v>202408</v>
      </c>
      <c r="C2258" s="1" t="str">
        <f>MID(analisis_productividad__4[[#This Row],[Periodo]],1,4)</f>
        <v>2024</v>
      </c>
      <c r="D2258" s="1" t="str">
        <f>MID(analisis_productividad__4[[#This Row],[Periodo]],5,2)</f>
        <v>08</v>
      </c>
      <c r="E2258" s="1" t="s">
        <v>11</v>
      </c>
      <c r="F2258" s="1" t="s">
        <v>14</v>
      </c>
      <c r="G2258" s="1">
        <v>70366</v>
      </c>
      <c r="H2258" s="1">
        <v>3602962</v>
      </c>
      <c r="I2258" s="1">
        <v>51.203118279569871</v>
      </c>
      <c r="J2258" s="1">
        <v>0</v>
      </c>
      <c r="K2258" s="1">
        <v>61.5</v>
      </c>
      <c r="L2258" s="1">
        <v>56</v>
      </c>
      <c r="M2258" s="1"/>
      <c r="N2258" s="1">
        <v>0</v>
      </c>
    </row>
    <row r="2259" spans="1:14" x14ac:dyDescent="0.35">
      <c r="A2259" s="1" t="s">
        <v>58</v>
      </c>
      <c r="B2259" s="1">
        <v>202401</v>
      </c>
      <c r="C2259" s="1" t="str">
        <f>MID(analisis_productividad__4[[#This Row],[Periodo]],1,4)</f>
        <v>2024</v>
      </c>
      <c r="D2259" s="1" t="str">
        <f>MID(analisis_productividad__4[[#This Row],[Periodo]],5,2)</f>
        <v>01</v>
      </c>
      <c r="E2259" s="1" t="s">
        <v>34</v>
      </c>
      <c r="F2259" s="1" t="s">
        <v>35</v>
      </c>
      <c r="G2259" s="1">
        <v>70361</v>
      </c>
      <c r="H2259" s="1">
        <v>3228787</v>
      </c>
      <c r="I2259" s="1">
        <v>45.888810483870955</v>
      </c>
      <c r="J2259" s="1">
        <v>0</v>
      </c>
      <c r="K2259" s="1">
        <v>53.5</v>
      </c>
      <c r="L2259" s="1">
        <v>52</v>
      </c>
      <c r="M2259" s="1"/>
      <c r="N2259" s="1">
        <v>0</v>
      </c>
    </row>
    <row r="2260" spans="1:14" x14ac:dyDescent="0.35">
      <c r="A2260" s="1" t="s">
        <v>89</v>
      </c>
      <c r="B2260" s="1">
        <v>202602</v>
      </c>
      <c r="C2260" s="1" t="str">
        <f>MID(analisis_productividad__4[[#This Row],[Periodo]],1,4)</f>
        <v>2026</v>
      </c>
      <c r="D2260" s="1" t="str">
        <f>MID(analisis_productividad__4[[#This Row],[Periodo]],5,2)</f>
        <v>02</v>
      </c>
      <c r="E2260" s="1" t="s">
        <v>9</v>
      </c>
      <c r="F2260" s="1" t="s">
        <v>9</v>
      </c>
      <c r="G2260" s="1">
        <v>70360</v>
      </c>
      <c r="H2260" s="1">
        <v>930383</v>
      </c>
      <c r="I2260" s="1">
        <v>13.223177083333333</v>
      </c>
      <c r="J2260" s="1">
        <v>67875.893660940055</v>
      </c>
      <c r="K2260" s="1">
        <v>17</v>
      </c>
      <c r="L2260" s="1">
        <v>13.5</v>
      </c>
      <c r="M2260" s="1">
        <v>14.845130740132706</v>
      </c>
      <c r="N2260" s="1">
        <v>1007627</v>
      </c>
    </row>
    <row r="2261" spans="1:14" x14ac:dyDescent="0.35">
      <c r="A2261" s="1" t="s">
        <v>73</v>
      </c>
      <c r="B2261" s="1">
        <v>202504</v>
      </c>
      <c r="C2261" s="1" t="str">
        <f>MID(analisis_productividad__4[[#This Row],[Periodo]],1,4)</f>
        <v>2025</v>
      </c>
      <c r="D2261" s="1" t="str">
        <f>MID(analisis_productividad__4[[#This Row],[Periodo]],5,2)</f>
        <v>04</v>
      </c>
      <c r="E2261" s="1" t="s">
        <v>16</v>
      </c>
      <c r="F2261" s="1" t="s">
        <v>21</v>
      </c>
      <c r="G2261" s="1">
        <v>70330</v>
      </c>
      <c r="H2261" s="1">
        <v>2803706</v>
      </c>
      <c r="I2261" s="1">
        <v>39.864805555555563</v>
      </c>
      <c r="J2261" s="1">
        <v>65592.681755390629</v>
      </c>
      <c r="K2261" s="1">
        <v>43.5</v>
      </c>
      <c r="L2261" s="1">
        <v>41</v>
      </c>
      <c r="M2261" s="1">
        <v>42.744192415483646</v>
      </c>
      <c r="N2261" s="1">
        <v>3004173</v>
      </c>
    </row>
    <row r="2262" spans="1:14" x14ac:dyDescent="0.35">
      <c r="A2262" s="1" t="s">
        <v>90</v>
      </c>
      <c r="B2262" s="1">
        <v>202409</v>
      </c>
      <c r="C2262" s="1" t="str">
        <f>MID(analisis_productividad__4[[#This Row],[Periodo]],1,4)</f>
        <v>2024</v>
      </c>
      <c r="D2262" s="1" t="str">
        <f>MID(analisis_productividad__4[[#This Row],[Periodo]],5,2)</f>
        <v>09</v>
      </c>
      <c r="E2262" s="1" t="s">
        <v>11</v>
      </c>
      <c r="F2262" s="1" t="s">
        <v>14</v>
      </c>
      <c r="G2262" s="1">
        <v>70319</v>
      </c>
      <c r="H2262" s="1">
        <v>5410453</v>
      </c>
      <c r="I2262" s="1">
        <v>76.941375000000008</v>
      </c>
      <c r="J2262" s="1">
        <v>0</v>
      </c>
      <c r="K2262" s="1">
        <v>84.5</v>
      </c>
      <c r="L2262" s="1">
        <v>78.5</v>
      </c>
      <c r="M2262" s="1"/>
      <c r="N2262" s="1">
        <v>0</v>
      </c>
    </row>
    <row r="2263" spans="1:14" x14ac:dyDescent="0.35">
      <c r="A2263" s="1" t="s">
        <v>98</v>
      </c>
      <c r="B2263" s="1">
        <v>202606</v>
      </c>
      <c r="C2263" s="1" t="str">
        <f>MID(analisis_productividad__4[[#This Row],[Periodo]],1,4)</f>
        <v>2026</v>
      </c>
      <c r="D2263" s="1" t="str">
        <f>MID(analisis_productividad__4[[#This Row],[Periodo]],5,2)</f>
        <v>06</v>
      </c>
      <c r="E2263" s="1" t="s">
        <v>11</v>
      </c>
      <c r="F2263" s="1" t="s">
        <v>14</v>
      </c>
      <c r="G2263" s="1">
        <v>70314</v>
      </c>
      <c r="H2263" s="1">
        <v>3578619</v>
      </c>
      <c r="I2263" s="1">
        <v>50.894715277777991</v>
      </c>
      <c r="J2263" s="1">
        <v>68502.847204589416</v>
      </c>
      <c r="K2263" s="1">
        <v>61.5</v>
      </c>
      <c r="L2263" s="1">
        <v>56</v>
      </c>
      <c r="M2263" s="1">
        <v>52.842490794418893</v>
      </c>
      <c r="N2263" s="1">
        <v>3619861</v>
      </c>
    </row>
    <row r="2264" spans="1:14" x14ac:dyDescent="0.35">
      <c r="A2264" s="1" t="s">
        <v>73</v>
      </c>
      <c r="B2264" s="1">
        <v>202410</v>
      </c>
      <c r="C2264" s="1" t="str">
        <f>MID(analisis_productividad__4[[#This Row],[Periodo]],1,4)</f>
        <v>2024</v>
      </c>
      <c r="D2264" s="1" t="str">
        <f>MID(analisis_productividad__4[[#This Row],[Periodo]],5,2)</f>
        <v>10</v>
      </c>
      <c r="E2264" s="1" t="s">
        <v>16</v>
      </c>
      <c r="F2264" s="1" t="s">
        <v>21</v>
      </c>
      <c r="G2264" s="1">
        <v>70296</v>
      </c>
      <c r="H2264" s="1">
        <v>2523442</v>
      </c>
      <c r="I2264" s="1">
        <v>35.897157258064517</v>
      </c>
      <c r="J2264" s="1">
        <v>0</v>
      </c>
      <c r="K2264" s="1">
        <v>43.5</v>
      </c>
      <c r="L2264" s="1">
        <v>41</v>
      </c>
      <c r="M2264" s="1"/>
      <c r="N2264" s="1">
        <v>0</v>
      </c>
    </row>
    <row r="2265" spans="1:14" x14ac:dyDescent="0.35">
      <c r="A2265" s="1" t="s">
        <v>107</v>
      </c>
      <c r="B2265" s="1">
        <v>202412</v>
      </c>
      <c r="C2265" s="1" t="str">
        <f>MID(analisis_productividad__4[[#This Row],[Periodo]],1,4)</f>
        <v>2024</v>
      </c>
      <c r="D2265" s="1" t="str">
        <f>MID(analisis_productividad__4[[#This Row],[Periodo]],5,2)</f>
        <v>12</v>
      </c>
      <c r="E2265" s="1" t="s">
        <v>34</v>
      </c>
      <c r="F2265" s="1" t="s">
        <v>35</v>
      </c>
      <c r="G2265" s="1">
        <v>70255</v>
      </c>
      <c r="H2265" s="1">
        <v>6132746</v>
      </c>
      <c r="I2265" s="1">
        <v>87.292399193548349</v>
      </c>
      <c r="J2265" s="1">
        <v>0</v>
      </c>
      <c r="K2265" s="1">
        <v>87</v>
      </c>
      <c r="L2265" s="1">
        <v>77.5</v>
      </c>
      <c r="M2265" s="1"/>
      <c r="N2265" s="1">
        <v>0</v>
      </c>
    </row>
    <row r="2266" spans="1:14" x14ac:dyDescent="0.35">
      <c r="A2266" s="1" t="s">
        <v>58</v>
      </c>
      <c r="B2266" s="1">
        <v>202601</v>
      </c>
      <c r="C2266" s="1" t="str">
        <f>MID(analisis_productividad__4[[#This Row],[Periodo]],1,4)</f>
        <v>2026</v>
      </c>
      <c r="D2266" s="1" t="str">
        <f>MID(analisis_productividad__4[[#This Row],[Periodo]],5,2)</f>
        <v>01</v>
      </c>
      <c r="E2266" s="1" t="s">
        <v>34</v>
      </c>
      <c r="F2266" s="1" t="s">
        <v>35</v>
      </c>
      <c r="G2266" s="1">
        <v>70242</v>
      </c>
      <c r="H2266" s="1">
        <v>2990520</v>
      </c>
      <c r="I2266" s="1">
        <v>42.574583333333337</v>
      </c>
      <c r="J2266" s="1">
        <v>72859.643322539327</v>
      </c>
      <c r="K2266" s="1">
        <v>53.5</v>
      </c>
      <c r="L2266" s="1">
        <v>52</v>
      </c>
      <c r="M2266" s="1">
        <v>43.483853774506514</v>
      </c>
      <c r="N2266" s="1">
        <v>3168218</v>
      </c>
    </row>
    <row r="2267" spans="1:14" x14ac:dyDescent="0.35">
      <c r="A2267" s="1" t="s">
        <v>33</v>
      </c>
      <c r="B2267" s="1">
        <v>202509</v>
      </c>
      <c r="C2267" s="1" t="str">
        <f>MID(analisis_productividad__4[[#This Row],[Periodo]],1,4)</f>
        <v>2025</v>
      </c>
      <c r="D2267" s="1" t="str">
        <f>MID(analisis_productividad__4[[#This Row],[Periodo]],5,2)</f>
        <v>09</v>
      </c>
      <c r="E2267" s="1" t="s">
        <v>34</v>
      </c>
      <c r="F2267" s="1" t="s">
        <v>35</v>
      </c>
      <c r="G2267" s="1">
        <v>70223</v>
      </c>
      <c r="H2267" s="1">
        <v>1018441</v>
      </c>
      <c r="I2267" s="1">
        <v>14.502881944444439</v>
      </c>
      <c r="J2267" s="1">
        <v>85196.494534109312</v>
      </c>
      <c r="K2267" s="1">
        <v>15</v>
      </c>
      <c r="L2267" s="1">
        <v>15</v>
      </c>
      <c r="M2267" s="1">
        <v>11.954025873591037</v>
      </c>
      <c r="N2267" s="1">
        <v>983476</v>
      </c>
    </row>
    <row r="2268" spans="1:14" x14ac:dyDescent="0.35">
      <c r="A2268" s="1" t="s">
        <v>85</v>
      </c>
      <c r="B2268" s="1">
        <v>202406</v>
      </c>
      <c r="C2268" s="1" t="str">
        <f>MID(analisis_productividad__4[[#This Row],[Periodo]],1,4)</f>
        <v>2024</v>
      </c>
      <c r="D2268" s="1" t="str">
        <f>MID(analisis_productividad__4[[#This Row],[Periodo]],5,2)</f>
        <v>06</v>
      </c>
      <c r="E2268" s="1" t="s">
        <v>11</v>
      </c>
      <c r="F2268" s="1" t="s">
        <v>14</v>
      </c>
      <c r="G2268" s="1">
        <v>70200</v>
      </c>
      <c r="H2268" s="1">
        <v>3731997</v>
      </c>
      <c r="I2268" s="1">
        <v>53.162666666666667</v>
      </c>
      <c r="J2268" s="1">
        <v>0</v>
      </c>
      <c r="K2268" s="1">
        <v>60.5</v>
      </c>
      <c r="L2268" s="1">
        <v>57.5</v>
      </c>
      <c r="M2268" s="1"/>
      <c r="N2268" s="1">
        <v>0</v>
      </c>
    </row>
    <row r="2269" spans="1:14" x14ac:dyDescent="0.35">
      <c r="A2269" s="1" t="s">
        <v>98</v>
      </c>
      <c r="B2269" s="1">
        <v>202511</v>
      </c>
      <c r="C2269" s="1" t="str">
        <f>MID(analisis_productividad__4[[#This Row],[Periodo]],1,4)</f>
        <v>2025</v>
      </c>
      <c r="D2269" s="1" t="str">
        <f>MID(analisis_productividad__4[[#This Row],[Periodo]],5,2)</f>
        <v>11</v>
      </c>
      <c r="E2269" s="1" t="s">
        <v>11</v>
      </c>
      <c r="F2269" s="1" t="s">
        <v>14</v>
      </c>
      <c r="G2269" s="1">
        <v>70188</v>
      </c>
      <c r="H2269" s="1">
        <v>3660686</v>
      </c>
      <c r="I2269" s="1">
        <v>52.155250000000024</v>
      </c>
      <c r="J2269" s="1">
        <v>78285.192257043527</v>
      </c>
      <c r="K2269" s="1">
        <v>61.5</v>
      </c>
      <c r="L2269" s="1">
        <v>56</v>
      </c>
      <c r="M2269" s="1">
        <v>46.760904514105448</v>
      </c>
      <c r="N2269" s="1">
        <v>3798326</v>
      </c>
    </row>
    <row r="2270" spans="1:14" x14ac:dyDescent="0.35">
      <c r="A2270" s="1" t="s">
        <v>98</v>
      </c>
      <c r="B2270" s="1">
        <v>202602</v>
      </c>
      <c r="C2270" s="1" t="str">
        <f>MID(analisis_productividad__4[[#This Row],[Periodo]],1,4)</f>
        <v>2026</v>
      </c>
      <c r="D2270" s="1" t="str">
        <f>MID(analisis_productividad__4[[#This Row],[Periodo]],5,2)</f>
        <v>02</v>
      </c>
      <c r="E2270" s="1" t="s">
        <v>11</v>
      </c>
      <c r="F2270" s="1" t="s">
        <v>14</v>
      </c>
      <c r="G2270" s="1">
        <v>70178</v>
      </c>
      <c r="H2270" s="1">
        <v>3926842</v>
      </c>
      <c r="I2270" s="1">
        <v>55.955520833333317</v>
      </c>
      <c r="J2270" s="1">
        <v>74826.504166560117</v>
      </c>
      <c r="K2270" s="1">
        <v>61.5</v>
      </c>
      <c r="L2270" s="1">
        <v>56</v>
      </c>
      <c r="M2270" s="1">
        <v>52.842490794418893</v>
      </c>
      <c r="N2270" s="1">
        <v>3954019</v>
      </c>
    </row>
    <row r="2271" spans="1:14" x14ac:dyDescent="0.35">
      <c r="A2271" s="1" t="s">
        <v>88</v>
      </c>
      <c r="B2271" s="1">
        <v>202405</v>
      </c>
      <c r="C2271" s="1" t="str">
        <f>MID(analisis_productividad__4[[#This Row],[Periodo]],1,4)</f>
        <v>2024</v>
      </c>
      <c r="D2271" s="1" t="str">
        <f>MID(analisis_productividad__4[[#This Row],[Periodo]],5,2)</f>
        <v>05</v>
      </c>
      <c r="E2271" s="1" t="s">
        <v>34</v>
      </c>
      <c r="F2271" s="1" t="s">
        <v>35</v>
      </c>
      <c r="G2271" s="1">
        <v>70150</v>
      </c>
      <c r="H2271" s="1">
        <v>1035298</v>
      </c>
      <c r="I2271" s="1">
        <v>14.758333333333338</v>
      </c>
      <c r="J2271" s="1">
        <v>0</v>
      </c>
      <c r="K2271" s="1">
        <v>15.5</v>
      </c>
      <c r="L2271" s="1">
        <v>14.5</v>
      </c>
      <c r="M2271" s="1"/>
      <c r="N2271" s="1">
        <v>0</v>
      </c>
    </row>
    <row r="2272" spans="1:14" x14ac:dyDescent="0.35">
      <c r="A2272" s="1" t="s">
        <v>82</v>
      </c>
      <c r="B2272" s="1">
        <v>202401</v>
      </c>
      <c r="C2272" s="1" t="str">
        <f>MID(analisis_productividad__4[[#This Row],[Periodo]],1,4)</f>
        <v>2024</v>
      </c>
      <c r="D2272" s="1" t="str">
        <f>MID(analisis_productividad__4[[#This Row],[Periodo]],5,2)</f>
        <v>01</v>
      </c>
      <c r="E2272" s="1" t="s">
        <v>11</v>
      </c>
      <c r="F2272" s="1" t="s">
        <v>12</v>
      </c>
      <c r="G2272" s="1">
        <v>70149</v>
      </c>
      <c r="H2272" s="1">
        <v>3587589</v>
      </c>
      <c r="I2272" s="1">
        <v>51.142056451612909</v>
      </c>
      <c r="J2272" s="1">
        <v>0</v>
      </c>
      <c r="K2272" s="1">
        <v>53.5</v>
      </c>
      <c r="L2272" s="1">
        <v>54</v>
      </c>
      <c r="M2272" s="1"/>
      <c r="N2272" s="1">
        <v>0</v>
      </c>
    </row>
    <row r="2273" spans="1:14" x14ac:dyDescent="0.35">
      <c r="A2273" s="1" t="s">
        <v>83</v>
      </c>
      <c r="B2273" s="1">
        <v>202505</v>
      </c>
      <c r="C2273" s="1" t="str">
        <f>MID(analisis_productividad__4[[#This Row],[Periodo]],1,4)</f>
        <v>2025</v>
      </c>
      <c r="D2273" s="1" t="str">
        <f>MID(analisis_productividad__4[[#This Row],[Periodo]],5,2)</f>
        <v>05</v>
      </c>
      <c r="E2273" s="1" t="s">
        <v>16</v>
      </c>
      <c r="F2273" s="1" t="s">
        <v>17</v>
      </c>
      <c r="G2273" s="1">
        <v>70149</v>
      </c>
      <c r="H2273" s="1">
        <v>3582139</v>
      </c>
      <c r="I2273" s="1">
        <v>51.064482526881697</v>
      </c>
      <c r="J2273" s="1">
        <v>71777.200461531625</v>
      </c>
      <c r="K2273" s="1">
        <v>52</v>
      </c>
      <c r="L2273" s="1">
        <v>52</v>
      </c>
      <c r="M2273" s="1">
        <v>49.906362563134756</v>
      </c>
      <c r="N2273" s="1">
        <v>3538124</v>
      </c>
    </row>
    <row r="2274" spans="1:14" x14ac:dyDescent="0.35">
      <c r="A2274" s="1" t="s">
        <v>58</v>
      </c>
      <c r="B2274" s="1">
        <v>202605</v>
      </c>
      <c r="C2274" s="1" t="str">
        <f>MID(analisis_productividad__4[[#This Row],[Periodo]],1,4)</f>
        <v>2026</v>
      </c>
      <c r="D2274" s="1" t="str">
        <f>MID(analisis_productividad__4[[#This Row],[Periodo]],5,2)</f>
        <v>05</v>
      </c>
      <c r="E2274" s="1" t="s">
        <v>34</v>
      </c>
      <c r="F2274" s="1" t="s">
        <v>35</v>
      </c>
      <c r="G2274" s="1">
        <v>70139</v>
      </c>
      <c r="H2274" s="1">
        <v>3170605</v>
      </c>
      <c r="I2274" s="1">
        <v>45.204852150537803</v>
      </c>
      <c r="J2274" s="1">
        <v>73725.175832495152</v>
      </c>
      <c r="K2274" s="1">
        <v>53.5</v>
      </c>
      <c r="L2274" s="1">
        <v>52</v>
      </c>
      <c r="M2274" s="1">
        <v>43.483853774506514</v>
      </c>
      <c r="N2274" s="1">
        <v>3205855</v>
      </c>
    </row>
    <row r="2275" spans="1:14" x14ac:dyDescent="0.35">
      <c r="A2275" s="1" t="s">
        <v>100</v>
      </c>
      <c r="B2275" s="1">
        <v>202509</v>
      </c>
      <c r="C2275" s="1" t="str">
        <f>MID(analisis_productividad__4[[#This Row],[Periodo]],1,4)</f>
        <v>2025</v>
      </c>
      <c r="D2275" s="1" t="str">
        <f>MID(analisis_productividad__4[[#This Row],[Periodo]],5,2)</f>
        <v>09</v>
      </c>
      <c r="E2275" s="1" t="s">
        <v>34</v>
      </c>
      <c r="F2275" s="1" t="s">
        <v>35</v>
      </c>
      <c r="G2275" s="1">
        <v>70113</v>
      </c>
      <c r="H2275" s="1">
        <v>2340837</v>
      </c>
      <c r="I2275" s="1">
        <v>33.386791666666674</v>
      </c>
      <c r="J2275" s="1">
        <v>70259.926068114321</v>
      </c>
      <c r="K2275" s="1">
        <v>44</v>
      </c>
      <c r="L2275" s="1">
        <v>40.5</v>
      </c>
      <c r="M2275" s="1">
        <v>33.316808613357324</v>
      </c>
      <c r="N2275" s="1">
        <v>2773529</v>
      </c>
    </row>
    <row r="2276" spans="1:14" x14ac:dyDescent="0.35">
      <c r="A2276" s="1" t="s">
        <v>107</v>
      </c>
      <c r="B2276" s="1">
        <v>202601</v>
      </c>
      <c r="C2276" s="1" t="str">
        <f>MID(analisis_productividad__4[[#This Row],[Periodo]],1,4)</f>
        <v>2026</v>
      </c>
      <c r="D2276" s="1" t="str">
        <f>MID(analisis_productividad__4[[#This Row],[Periodo]],5,2)</f>
        <v>01</v>
      </c>
      <c r="E2276" s="1" t="s">
        <v>34</v>
      </c>
      <c r="F2276" s="1" t="s">
        <v>35</v>
      </c>
      <c r="G2276" s="1">
        <v>70105</v>
      </c>
      <c r="H2276" s="1">
        <v>4804352</v>
      </c>
      <c r="I2276" s="1">
        <v>68.530987903225807</v>
      </c>
      <c r="J2276" s="1">
        <v>75710.403406093581</v>
      </c>
      <c r="K2276" s="1">
        <v>87</v>
      </c>
      <c r="L2276" s="1">
        <v>77.5</v>
      </c>
      <c r="M2276" s="1">
        <v>73.970842069892498</v>
      </c>
      <c r="N2276" s="1">
        <v>5600362</v>
      </c>
    </row>
    <row r="2277" spans="1:14" x14ac:dyDescent="0.35">
      <c r="A2277" s="1" t="s">
        <v>107</v>
      </c>
      <c r="B2277" s="1">
        <v>202510</v>
      </c>
      <c r="C2277" s="1" t="str">
        <f>MID(analisis_productividad__4[[#This Row],[Periodo]],1,4)</f>
        <v>2025</v>
      </c>
      <c r="D2277" s="1" t="str">
        <f>MID(analisis_productividad__4[[#This Row],[Periodo]],5,2)</f>
        <v>10</v>
      </c>
      <c r="E2277" s="1" t="s">
        <v>34</v>
      </c>
      <c r="F2277" s="1" t="s">
        <v>35</v>
      </c>
      <c r="G2277" s="1">
        <v>70051</v>
      </c>
      <c r="H2277" s="1">
        <v>4876260</v>
      </c>
      <c r="I2277" s="1">
        <v>69.60996639784949</v>
      </c>
      <c r="J2277" s="1">
        <v>75447.556249915957</v>
      </c>
      <c r="K2277" s="1">
        <v>87</v>
      </c>
      <c r="L2277" s="1">
        <v>77.5</v>
      </c>
      <c r="M2277" s="1">
        <v>64.631117724312404</v>
      </c>
      <c r="N2277" s="1">
        <v>5460769</v>
      </c>
    </row>
    <row r="2278" spans="1:14" x14ac:dyDescent="0.35">
      <c r="A2278" s="1" t="s">
        <v>88</v>
      </c>
      <c r="B2278" s="1">
        <v>202507</v>
      </c>
      <c r="C2278" s="1" t="str">
        <f>MID(analisis_productividad__4[[#This Row],[Periodo]],1,4)</f>
        <v>2025</v>
      </c>
      <c r="D2278" s="1" t="str">
        <f>MID(analisis_productividad__4[[#This Row],[Periodo]],5,2)</f>
        <v>07</v>
      </c>
      <c r="E2278" s="1" t="s">
        <v>34</v>
      </c>
      <c r="F2278" s="1" t="s">
        <v>35</v>
      </c>
      <c r="G2278" s="1">
        <v>70041</v>
      </c>
      <c r="H2278" s="1">
        <v>1039442</v>
      </c>
      <c r="I2278" s="1">
        <v>14.840470430107526</v>
      </c>
      <c r="J2278" s="1">
        <v>73888.81602557849</v>
      </c>
      <c r="K2278" s="1">
        <v>15.5</v>
      </c>
      <c r="L2278" s="1">
        <v>14.5</v>
      </c>
      <c r="M2278" s="1">
        <v>14.067648338554656</v>
      </c>
      <c r="N2278" s="1">
        <v>1071057</v>
      </c>
    </row>
    <row r="2279" spans="1:14" x14ac:dyDescent="0.35">
      <c r="A2279" s="1" t="s">
        <v>107</v>
      </c>
      <c r="B2279" s="1">
        <v>202411</v>
      </c>
      <c r="C2279" s="1" t="str">
        <f>MID(analisis_productividad__4[[#This Row],[Periodo]],1,4)</f>
        <v>2024</v>
      </c>
      <c r="D2279" s="1" t="str">
        <f>MID(analisis_productividad__4[[#This Row],[Periodo]],5,2)</f>
        <v>11</v>
      </c>
      <c r="E2279" s="1" t="s">
        <v>34</v>
      </c>
      <c r="F2279" s="1" t="s">
        <v>35</v>
      </c>
      <c r="G2279" s="1">
        <v>70035</v>
      </c>
      <c r="H2279" s="1">
        <v>5447213</v>
      </c>
      <c r="I2279" s="1">
        <v>77.777972222222218</v>
      </c>
      <c r="J2279" s="1">
        <v>0</v>
      </c>
      <c r="K2279" s="1">
        <v>87</v>
      </c>
      <c r="L2279" s="1">
        <v>77.5</v>
      </c>
      <c r="M2279" s="1"/>
      <c r="N2279" s="1">
        <v>0</v>
      </c>
    </row>
    <row r="2280" spans="1:14" x14ac:dyDescent="0.35">
      <c r="A2280" s="1" t="s">
        <v>101</v>
      </c>
      <c r="B2280" s="1">
        <v>202508</v>
      </c>
      <c r="C2280" s="1" t="str">
        <f>MID(analisis_productividad__4[[#This Row],[Periodo]],1,4)</f>
        <v>2025</v>
      </c>
      <c r="D2280" s="1" t="str">
        <f>MID(analisis_productividad__4[[#This Row],[Periodo]],5,2)</f>
        <v>08</v>
      </c>
      <c r="E2280" s="1" t="s">
        <v>9</v>
      </c>
      <c r="F2280" s="1" t="s">
        <v>9</v>
      </c>
      <c r="G2280" s="1">
        <v>69984</v>
      </c>
      <c r="H2280" s="1">
        <v>328881</v>
      </c>
      <c r="I2280" s="1">
        <v>4.6993615591397848</v>
      </c>
      <c r="J2280" s="1">
        <v>53413.00596444527</v>
      </c>
      <c r="K2280" s="1">
        <v>8.5</v>
      </c>
      <c r="L2280" s="1">
        <v>6.5</v>
      </c>
      <c r="M2280" s="1">
        <v>6.1573211254749811</v>
      </c>
      <c r="N2280" s="1">
        <v>379288</v>
      </c>
    </row>
    <row r="2281" spans="1:14" x14ac:dyDescent="0.35">
      <c r="A2281" s="1" t="s">
        <v>95</v>
      </c>
      <c r="B2281" s="1">
        <v>202401</v>
      </c>
      <c r="C2281" s="1" t="str">
        <f>MID(analisis_productividad__4[[#This Row],[Periodo]],1,4)</f>
        <v>2024</v>
      </c>
      <c r="D2281" s="1" t="str">
        <f>MID(analisis_productividad__4[[#This Row],[Periodo]],5,2)</f>
        <v>01</v>
      </c>
      <c r="E2281" s="1" t="s">
        <v>9</v>
      </c>
      <c r="F2281" s="1" t="s">
        <v>9</v>
      </c>
      <c r="G2281" s="1">
        <v>69982</v>
      </c>
      <c r="H2281" s="1">
        <v>649660</v>
      </c>
      <c r="I2281" s="1">
        <v>9.2832795698924766</v>
      </c>
      <c r="J2281" s="1">
        <v>0</v>
      </c>
      <c r="K2281" s="1">
        <v>11</v>
      </c>
      <c r="L2281" s="1">
        <v>11</v>
      </c>
      <c r="M2281" s="1"/>
      <c r="N2281" s="1">
        <v>0</v>
      </c>
    </row>
    <row r="2282" spans="1:14" x14ac:dyDescent="0.35">
      <c r="A2282" s="1" t="s">
        <v>91</v>
      </c>
      <c r="B2282" s="1">
        <v>202401</v>
      </c>
      <c r="C2282" s="1" t="str">
        <f>MID(analisis_productividad__4[[#This Row],[Periodo]],1,4)</f>
        <v>2024</v>
      </c>
      <c r="D2282" s="1" t="str">
        <f>MID(analisis_productividad__4[[#This Row],[Periodo]],5,2)</f>
        <v>01</v>
      </c>
      <c r="E2282" s="1" t="s">
        <v>11</v>
      </c>
      <c r="F2282" s="1" t="s">
        <v>12</v>
      </c>
      <c r="G2282" s="1">
        <v>69944</v>
      </c>
      <c r="H2282" s="1">
        <v>3497009</v>
      </c>
      <c r="I2282" s="1">
        <v>49.997499999999995</v>
      </c>
      <c r="J2282" s="1">
        <v>0</v>
      </c>
      <c r="K2282" s="1">
        <v>55</v>
      </c>
      <c r="L2282" s="1">
        <v>55.5</v>
      </c>
      <c r="M2282" s="1"/>
      <c r="N2282" s="1">
        <v>0</v>
      </c>
    </row>
    <row r="2283" spans="1:14" x14ac:dyDescent="0.35">
      <c r="A2283" s="1" t="s">
        <v>73</v>
      </c>
      <c r="B2283" s="1">
        <v>202402</v>
      </c>
      <c r="C2283" s="1" t="str">
        <f>MID(analisis_productividad__4[[#This Row],[Periodo]],1,4)</f>
        <v>2024</v>
      </c>
      <c r="D2283" s="1" t="str">
        <f>MID(analisis_productividad__4[[#This Row],[Periodo]],5,2)</f>
        <v>02</v>
      </c>
      <c r="E2283" s="1" t="s">
        <v>16</v>
      </c>
      <c r="F2283" s="1" t="s">
        <v>21</v>
      </c>
      <c r="G2283" s="1">
        <v>69936</v>
      </c>
      <c r="H2283" s="1">
        <v>3053011</v>
      </c>
      <c r="I2283" s="1">
        <v>43.654554597701143</v>
      </c>
      <c r="J2283" s="1">
        <v>0</v>
      </c>
      <c r="K2283" s="1">
        <v>43.5</v>
      </c>
      <c r="L2283" s="1">
        <v>41</v>
      </c>
      <c r="M2283" s="1"/>
      <c r="N2283" s="1">
        <v>0</v>
      </c>
    </row>
    <row r="2284" spans="1:14" x14ac:dyDescent="0.35">
      <c r="A2284" s="1" t="s">
        <v>105</v>
      </c>
      <c r="B2284" s="1">
        <v>202606</v>
      </c>
      <c r="C2284" s="1" t="str">
        <f>MID(analisis_productividad__4[[#This Row],[Periodo]],1,4)</f>
        <v>2026</v>
      </c>
      <c r="D2284" s="1" t="str">
        <f>MID(analisis_productividad__4[[#This Row],[Periodo]],5,2)</f>
        <v>06</v>
      </c>
      <c r="E2284" s="1" t="s">
        <v>34</v>
      </c>
      <c r="F2284" s="1" t="s">
        <v>35</v>
      </c>
      <c r="G2284" s="1">
        <v>69936</v>
      </c>
      <c r="H2284" s="1">
        <v>1986541</v>
      </c>
      <c r="I2284" s="1">
        <v>28.405319444444427</v>
      </c>
      <c r="J2284" s="1">
        <v>0</v>
      </c>
      <c r="K2284" s="1">
        <v>33</v>
      </c>
      <c r="L2284" s="1">
        <v>31.5</v>
      </c>
      <c r="M2284" s="1">
        <v>35.22317754154448</v>
      </c>
      <c r="N2284" s="1"/>
    </row>
    <row r="2285" spans="1:14" x14ac:dyDescent="0.35">
      <c r="A2285" s="1" t="s">
        <v>120</v>
      </c>
      <c r="B2285" s="1">
        <v>202507</v>
      </c>
      <c r="C2285" s="1" t="str">
        <f>MID(analisis_productividad__4[[#This Row],[Periodo]],1,4)</f>
        <v>2025</v>
      </c>
      <c r="D2285" s="1" t="str">
        <f>MID(analisis_productividad__4[[#This Row],[Periodo]],5,2)</f>
        <v>07</v>
      </c>
      <c r="E2285" s="1" t="s">
        <v>9</v>
      </c>
      <c r="F2285" s="1" t="s">
        <v>9</v>
      </c>
      <c r="G2285" s="1">
        <v>69935</v>
      </c>
      <c r="H2285" s="1">
        <v>719985</v>
      </c>
      <c r="I2285" s="1">
        <v>10.29508064516129</v>
      </c>
      <c r="J2285" s="1">
        <v>82577.291277390177</v>
      </c>
      <c r="K2285" s="1">
        <v>11.5</v>
      </c>
      <c r="L2285" s="1">
        <v>12</v>
      </c>
      <c r="M2285" s="1">
        <v>8.7189279142307416</v>
      </c>
      <c r="N2285" s="1">
        <v>888569</v>
      </c>
    </row>
    <row r="2286" spans="1:14" x14ac:dyDescent="0.35">
      <c r="A2286" s="1" t="s">
        <v>92</v>
      </c>
      <c r="B2286" s="1">
        <v>202508</v>
      </c>
      <c r="C2286" s="1" t="str">
        <f>MID(analisis_productividad__4[[#This Row],[Periodo]],1,4)</f>
        <v>2025</v>
      </c>
      <c r="D2286" s="1" t="str">
        <f>MID(analisis_productividad__4[[#This Row],[Periodo]],5,2)</f>
        <v>08</v>
      </c>
      <c r="E2286" s="1" t="s">
        <v>11</v>
      </c>
      <c r="F2286" s="1" t="s">
        <v>14</v>
      </c>
      <c r="G2286" s="1">
        <v>69927</v>
      </c>
      <c r="H2286" s="1">
        <v>3498120</v>
      </c>
      <c r="I2286" s="1">
        <v>50.025255376344091</v>
      </c>
      <c r="J2286" s="1">
        <v>77089.001182314329</v>
      </c>
      <c r="K2286" s="1">
        <v>63</v>
      </c>
      <c r="L2286" s="1">
        <v>59</v>
      </c>
      <c r="M2286" s="1">
        <v>45.377683409426965</v>
      </c>
      <c r="N2286" s="1">
        <v>3970265</v>
      </c>
    </row>
    <row r="2287" spans="1:14" x14ac:dyDescent="0.35">
      <c r="A2287" s="1" t="s">
        <v>98</v>
      </c>
      <c r="B2287" s="1">
        <v>202601</v>
      </c>
      <c r="C2287" s="1" t="str">
        <f>MID(analisis_productividad__4[[#This Row],[Periodo]],1,4)</f>
        <v>2026</v>
      </c>
      <c r="D2287" s="1" t="str">
        <f>MID(analisis_productividad__4[[#This Row],[Periodo]],5,2)</f>
        <v>01</v>
      </c>
      <c r="E2287" s="1" t="s">
        <v>11</v>
      </c>
      <c r="F2287" s="1" t="s">
        <v>14</v>
      </c>
      <c r="G2287" s="1">
        <v>69897</v>
      </c>
      <c r="H2287" s="1">
        <v>3799222</v>
      </c>
      <c r="I2287" s="1">
        <v>54.354247311827969</v>
      </c>
      <c r="J2287" s="1">
        <v>71821.342059084825</v>
      </c>
      <c r="K2287" s="1">
        <v>61.5</v>
      </c>
      <c r="L2287" s="1">
        <v>56</v>
      </c>
      <c r="M2287" s="1">
        <v>52.842490794418893</v>
      </c>
      <c r="N2287" s="1">
        <v>3795219</v>
      </c>
    </row>
    <row r="2288" spans="1:14" x14ac:dyDescent="0.35">
      <c r="A2288" s="1" t="s">
        <v>98</v>
      </c>
      <c r="B2288" s="1">
        <v>202409</v>
      </c>
      <c r="C2288" s="1" t="str">
        <f>MID(analisis_productividad__4[[#This Row],[Periodo]],1,4)</f>
        <v>2024</v>
      </c>
      <c r="D2288" s="1" t="str">
        <f>MID(analisis_productividad__4[[#This Row],[Periodo]],5,2)</f>
        <v>09</v>
      </c>
      <c r="E2288" s="1" t="s">
        <v>11</v>
      </c>
      <c r="F2288" s="1" t="s">
        <v>14</v>
      </c>
      <c r="G2288" s="1">
        <v>69853</v>
      </c>
      <c r="H2288" s="1">
        <v>3378992</v>
      </c>
      <c r="I2288" s="1">
        <v>48.373062500000017</v>
      </c>
      <c r="J2288" s="1">
        <v>0</v>
      </c>
      <c r="K2288" s="1">
        <v>61.5</v>
      </c>
      <c r="L2288" s="1">
        <v>56</v>
      </c>
      <c r="M2288" s="1"/>
      <c r="N2288" s="1">
        <v>0</v>
      </c>
    </row>
    <row r="2289" spans="1:14" x14ac:dyDescent="0.35">
      <c r="A2289" s="1" t="s">
        <v>114</v>
      </c>
      <c r="B2289" s="1">
        <v>202603</v>
      </c>
      <c r="C2289" s="1" t="str">
        <f>MID(analisis_productividad__4[[#This Row],[Periodo]],1,4)</f>
        <v>2026</v>
      </c>
      <c r="D2289" s="1" t="str">
        <f>MID(analisis_productividad__4[[#This Row],[Periodo]],5,2)</f>
        <v>03</v>
      </c>
      <c r="E2289" s="1" t="s">
        <v>9</v>
      </c>
      <c r="F2289" s="1" t="s">
        <v>9</v>
      </c>
      <c r="G2289" s="1">
        <v>69811</v>
      </c>
      <c r="H2289" s="1">
        <v>999878</v>
      </c>
      <c r="I2289" s="1">
        <v>14.322668010752686</v>
      </c>
      <c r="J2289" s="1">
        <v>62586.084885250384</v>
      </c>
      <c r="K2289" s="1">
        <v>13.5</v>
      </c>
      <c r="L2289" s="1">
        <v>14.5</v>
      </c>
      <c r="M2289" s="1">
        <v>13.189776457714554</v>
      </c>
      <c r="N2289" s="1">
        <v>825496</v>
      </c>
    </row>
    <row r="2290" spans="1:14" x14ac:dyDescent="0.35">
      <c r="A2290" s="1" t="s">
        <v>103</v>
      </c>
      <c r="B2290" s="1">
        <v>202501</v>
      </c>
      <c r="C2290" s="1" t="str">
        <f>MID(analisis_productividad__4[[#This Row],[Periodo]],1,4)</f>
        <v>2025</v>
      </c>
      <c r="D2290" s="1" t="str">
        <f>MID(analisis_productividad__4[[#This Row],[Periodo]],5,2)</f>
        <v>01</v>
      </c>
      <c r="E2290" s="1" t="s">
        <v>104</v>
      </c>
      <c r="F2290" s="1" t="s">
        <v>104</v>
      </c>
      <c r="G2290" s="1">
        <v>69803</v>
      </c>
      <c r="H2290" s="1">
        <v>5320582</v>
      </c>
      <c r="I2290" s="1">
        <v>76.222379032258061</v>
      </c>
      <c r="J2290" s="1">
        <v>68388.997441059095</v>
      </c>
      <c r="K2290" s="1">
        <v>94</v>
      </c>
      <c r="L2290" s="1">
        <v>77.5</v>
      </c>
      <c r="M2290" s="1">
        <v>77.798803449129807</v>
      </c>
      <c r="N2290" s="1">
        <v>5172297</v>
      </c>
    </row>
    <row r="2291" spans="1:14" x14ac:dyDescent="0.35">
      <c r="A2291" s="1" t="s">
        <v>103</v>
      </c>
      <c r="B2291" s="1">
        <v>202508</v>
      </c>
      <c r="C2291" s="1" t="str">
        <f>MID(analisis_productividad__4[[#This Row],[Periodo]],1,4)</f>
        <v>2025</v>
      </c>
      <c r="D2291" s="1" t="str">
        <f>MID(analisis_productividad__4[[#This Row],[Periodo]],5,2)</f>
        <v>08</v>
      </c>
      <c r="E2291" s="1" t="s">
        <v>104</v>
      </c>
      <c r="F2291" s="1" t="s">
        <v>104</v>
      </c>
      <c r="G2291" s="1">
        <v>69789</v>
      </c>
      <c r="H2291" s="1">
        <v>5398976</v>
      </c>
      <c r="I2291" s="1">
        <v>77.361760752688184</v>
      </c>
      <c r="J2291" s="1">
        <v>71586.952448746131</v>
      </c>
      <c r="K2291" s="1">
        <v>94</v>
      </c>
      <c r="L2291" s="1">
        <v>77.5</v>
      </c>
      <c r="M2291" s="1">
        <v>75.41843974801813</v>
      </c>
      <c r="N2291" s="1">
        <v>5557073</v>
      </c>
    </row>
    <row r="2292" spans="1:14" x14ac:dyDescent="0.35">
      <c r="A2292" s="1" t="s">
        <v>95</v>
      </c>
      <c r="B2292" s="1">
        <v>202408</v>
      </c>
      <c r="C2292" s="1" t="str">
        <f>MID(analisis_productividad__4[[#This Row],[Periodo]],1,4)</f>
        <v>2024</v>
      </c>
      <c r="D2292" s="1" t="str">
        <f>MID(analisis_productividad__4[[#This Row],[Periodo]],5,2)</f>
        <v>08</v>
      </c>
      <c r="E2292" s="1" t="s">
        <v>9</v>
      </c>
      <c r="F2292" s="1" t="s">
        <v>9</v>
      </c>
      <c r="G2292" s="1">
        <v>69746</v>
      </c>
      <c r="H2292" s="1">
        <v>665656</v>
      </c>
      <c r="I2292" s="1">
        <v>9.5440389784946262</v>
      </c>
      <c r="J2292" s="1">
        <v>0</v>
      </c>
      <c r="K2292" s="1">
        <v>11</v>
      </c>
      <c r="L2292" s="1">
        <v>11</v>
      </c>
      <c r="M2292" s="1"/>
      <c r="N2292" s="1">
        <v>0</v>
      </c>
    </row>
    <row r="2293" spans="1:14" x14ac:dyDescent="0.35">
      <c r="A2293" s="1" t="s">
        <v>88</v>
      </c>
      <c r="B2293" s="1">
        <v>202509</v>
      </c>
      <c r="C2293" s="1" t="str">
        <f>MID(analisis_productividad__4[[#This Row],[Periodo]],1,4)</f>
        <v>2025</v>
      </c>
      <c r="D2293" s="1" t="str">
        <f>MID(analisis_productividad__4[[#This Row],[Periodo]],5,2)</f>
        <v>09</v>
      </c>
      <c r="E2293" s="1" t="s">
        <v>34</v>
      </c>
      <c r="F2293" s="1" t="s">
        <v>35</v>
      </c>
      <c r="G2293" s="1">
        <v>69728</v>
      </c>
      <c r="H2293" s="1">
        <v>1006904</v>
      </c>
      <c r="I2293" s="1">
        <v>14.440465277777774</v>
      </c>
      <c r="J2293" s="1">
        <v>81223.637300053</v>
      </c>
      <c r="K2293" s="1">
        <v>15.5</v>
      </c>
      <c r="L2293" s="1">
        <v>14.5</v>
      </c>
      <c r="M2293" s="1">
        <v>12.396685785941072</v>
      </c>
      <c r="N2293" s="1">
        <v>1215443</v>
      </c>
    </row>
    <row r="2294" spans="1:14" x14ac:dyDescent="0.35">
      <c r="A2294" s="1" t="s">
        <v>71</v>
      </c>
      <c r="B2294" s="1">
        <v>202506</v>
      </c>
      <c r="C2294" s="1" t="str">
        <f>MID(analisis_productividad__4[[#This Row],[Periodo]],1,4)</f>
        <v>2025</v>
      </c>
      <c r="D2294" s="1" t="str">
        <f>MID(analisis_productividad__4[[#This Row],[Periodo]],5,2)</f>
        <v>06</v>
      </c>
      <c r="E2294" s="1" t="s">
        <v>16</v>
      </c>
      <c r="F2294" s="1" t="s">
        <v>19</v>
      </c>
      <c r="G2294" s="1">
        <v>69711</v>
      </c>
      <c r="H2294" s="1">
        <v>2536119</v>
      </c>
      <c r="I2294" s="1">
        <v>36.380555555555553</v>
      </c>
      <c r="J2294" s="1">
        <v>77293.265946827698</v>
      </c>
      <c r="K2294" s="1">
        <v>41.5</v>
      </c>
      <c r="L2294" s="1">
        <v>35.5</v>
      </c>
      <c r="M2294" s="1">
        <v>32.811636420495816</v>
      </c>
      <c r="N2294" s="1">
        <v>2568338</v>
      </c>
    </row>
    <row r="2295" spans="1:14" x14ac:dyDescent="0.35">
      <c r="A2295" s="1" t="s">
        <v>100</v>
      </c>
      <c r="B2295" s="1">
        <v>202407</v>
      </c>
      <c r="C2295" s="1" t="str">
        <f>MID(analisis_productividad__4[[#This Row],[Periodo]],1,4)</f>
        <v>2024</v>
      </c>
      <c r="D2295" s="1" t="str">
        <f>MID(analisis_productividad__4[[#This Row],[Periodo]],5,2)</f>
        <v>07</v>
      </c>
      <c r="E2295" s="1" t="s">
        <v>34</v>
      </c>
      <c r="F2295" s="1" t="s">
        <v>35</v>
      </c>
      <c r="G2295" s="1">
        <v>69697</v>
      </c>
      <c r="H2295" s="1">
        <v>2595941</v>
      </c>
      <c r="I2295" s="1">
        <v>37.246209677419351</v>
      </c>
      <c r="J2295" s="1">
        <v>0</v>
      </c>
      <c r="K2295" s="1">
        <v>44</v>
      </c>
      <c r="L2295" s="1">
        <v>40.5</v>
      </c>
      <c r="M2295" s="1"/>
      <c r="N2295" s="1">
        <v>0</v>
      </c>
    </row>
    <row r="2296" spans="1:14" x14ac:dyDescent="0.35">
      <c r="A2296" s="1" t="s">
        <v>120</v>
      </c>
      <c r="B2296" s="1">
        <v>202402</v>
      </c>
      <c r="C2296" s="1" t="str">
        <f>MID(analisis_productividad__4[[#This Row],[Periodo]],1,4)</f>
        <v>2024</v>
      </c>
      <c r="D2296" s="1" t="str">
        <f>MID(analisis_productividad__4[[#This Row],[Periodo]],5,2)</f>
        <v>02</v>
      </c>
      <c r="E2296" s="1" t="s">
        <v>9</v>
      </c>
      <c r="F2296" s="1" t="s">
        <v>9</v>
      </c>
      <c r="G2296" s="1">
        <v>69686</v>
      </c>
      <c r="H2296" s="1">
        <v>788843</v>
      </c>
      <c r="I2296" s="1">
        <v>11.31998563218391</v>
      </c>
      <c r="J2296" s="1">
        <v>0</v>
      </c>
      <c r="K2296" s="1">
        <v>11.5</v>
      </c>
      <c r="L2296" s="1">
        <v>12</v>
      </c>
      <c r="M2296" s="1"/>
      <c r="N2296" s="1">
        <v>0</v>
      </c>
    </row>
    <row r="2297" spans="1:14" x14ac:dyDescent="0.35">
      <c r="A2297" s="1" t="s">
        <v>107</v>
      </c>
      <c r="B2297" s="1">
        <v>202511</v>
      </c>
      <c r="C2297" s="1" t="str">
        <f>MID(analisis_productividad__4[[#This Row],[Periodo]],1,4)</f>
        <v>2025</v>
      </c>
      <c r="D2297" s="1" t="str">
        <f>MID(analisis_productividad__4[[#This Row],[Periodo]],5,2)</f>
        <v>11</v>
      </c>
      <c r="E2297" s="1" t="s">
        <v>34</v>
      </c>
      <c r="F2297" s="1" t="s">
        <v>35</v>
      </c>
      <c r="G2297" s="1">
        <v>69644</v>
      </c>
      <c r="H2297" s="1">
        <v>4891799</v>
      </c>
      <c r="I2297" s="1">
        <v>70.24004166666667</v>
      </c>
      <c r="J2297" s="1">
        <v>73537.185582036036</v>
      </c>
      <c r="K2297" s="1">
        <v>87</v>
      </c>
      <c r="L2297" s="1">
        <v>77.5</v>
      </c>
      <c r="M2297" s="1">
        <v>66.521437981099297</v>
      </c>
      <c r="N2297" s="1">
        <v>5441491</v>
      </c>
    </row>
    <row r="2298" spans="1:14" x14ac:dyDescent="0.35">
      <c r="A2298" s="1" t="s">
        <v>115</v>
      </c>
      <c r="B2298" s="1">
        <v>202412</v>
      </c>
      <c r="C2298" s="1" t="str">
        <f>MID(analisis_productividad__4[[#This Row],[Periodo]],1,4)</f>
        <v>2024</v>
      </c>
      <c r="D2298" s="1" t="str">
        <f>MID(analisis_productividad__4[[#This Row],[Periodo]],5,2)</f>
        <v>12</v>
      </c>
      <c r="E2298" s="1" t="s">
        <v>34</v>
      </c>
      <c r="F2298" s="1" t="s">
        <v>35</v>
      </c>
      <c r="G2298" s="1">
        <v>69629</v>
      </c>
      <c r="H2298" s="1">
        <v>4111245</v>
      </c>
      <c r="I2298" s="1">
        <v>59.04481182795702</v>
      </c>
      <c r="J2298" s="1">
        <v>0</v>
      </c>
      <c r="K2298" s="1">
        <v>53.5</v>
      </c>
      <c r="L2298" s="1">
        <v>51</v>
      </c>
      <c r="M2298" s="1"/>
      <c r="N2298" s="1">
        <v>0</v>
      </c>
    </row>
    <row r="2299" spans="1:14" x14ac:dyDescent="0.35">
      <c r="A2299" s="1" t="s">
        <v>108</v>
      </c>
      <c r="B2299" s="1">
        <v>202503</v>
      </c>
      <c r="C2299" s="1" t="str">
        <f>MID(analisis_productividad__4[[#This Row],[Periodo]],1,4)</f>
        <v>2025</v>
      </c>
      <c r="D2299" s="1" t="str">
        <f>MID(analisis_productividad__4[[#This Row],[Periodo]],5,2)</f>
        <v>03</v>
      </c>
      <c r="E2299" s="1" t="s">
        <v>11</v>
      </c>
      <c r="F2299" s="1" t="s">
        <v>14</v>
      </c>
      <c r="G2299" s="1">
        <v>69617</v>
      </c>
      <c r="H2299" s="1">
        <v>3465965</v>
      </c>
      <c r="I2299" s="1">
        <v>49.786041666666662</v>
      </c>
      <c r="J2299" s="1">
        <v>80360.202417633787</v>
      </c>
      <c r="K2299" s="1">
        <v>47.5</v>
      </c>
      <c r="L2299" s="1">
        <v>43</v>
      </c>
      <c r="M2299" s="1">
        <v>43.130371324692533</v>
      </c>
      <c r="N2299" s="1">
        <v>3956911</v>
      </c>
    </row>
    <row r="2300" spans="1:14" x14ac:dyDescent="0.35">
      <c r="A2300" s="1" t="s">
        <v>89</v>
      </c>
      <c r="B2300" s="1">
        <v>202505</v>
      </c>
      <c r="C2300" s="1" t="str">
        <f>MID(analisis_productividad__4[[#This Row],[Periodo]],1,4)</f>
        <v>2025</v>
      </c>
      <c r="D2300" s="1" t="str">
        <f>MID(analisis_productividad__4[[#This Row],[Periodo]],5,2)</f>
        <v>05</v>
      </c>
      <c r="E2300" s="1" t="s">
        <v>9</v>
      </c>
      <c r="F2300" s="1" t="s">
        <v>9</v>
      </c>
      <c r="G2300" s="1">
        <v>69598</v>
      </c>
      <c r="H2300" s="1">
        <v>1000164</v>
      </c>
      <c r="I2300" s="1">
        <v>14.370510752688176</v>
      </c>
      <c r="J2300" s="1">
        <v>84060.725206066098</v>
      </c>
      <c r="K2300" s="1">
        <v>17</v>
      </c>
      <c r="L2300" s="1">
        <v>13.5</v>
      </c>
      <c r="M2300" s="1">
        <v>11.898109819397858</v>
      </c>
      <c r="N2300" s="1">
        <v>1090567</v>
      </c>
    </row>
    <row r="2301" spans="1:14" x14ac:dyDescent="0.35">
      <c r="A2301" s="1" t="s">
        <v>18</v>
      </c>
      <c r="B2301" s="1">
        <v>202510</v>
      </c>
      <c r="C2301" s="1" t="str">
        <f>MID(analisis_productividad__4[[#This Row],[Periodo]],1,4)</f>
        <v>2025</v>
      </c>
      <c r="D2301" s="1" t="str">
        <f>MID(analisis_productividad__4[[#This Row],[Periodo]],5,2)</f>
        <v>10</v>
      </c>
      <c r="E2301" s="1" t="s">
        <v>16</v>
      </c>
      <c r="F2301" s="1" t="s">
        <v>19</v>
      </c>
      <c r="G2301" s="1">
        <v>69594</v>
      </c>
      <c r="H2301" s="1">
        <v>4269464</v>
      </c>
      <c r="I2301" s="1">
        <v>61.347849462365573</v>
      </c>
      <c r="J2301" s="1">
        <v>81165.451874847902</v>
      </c>
      <c r="K2301" s="1">
        <v>70.5</v>
      </c>
      <c r="L2301" s="1">
        <v>69.5</v>
      </c>
      <c r="M2301" s="1">
        <v>52.601989410263492</v>
      </c>
      <c r="N2301" s="1">
        <v>5217601</v>
      </c>
    </row>
    <row r="2302" spans="1:14" x14ac:dyDescent="0.35">
      <c r="A2302" s="1" t="s">
        <v>106</v>
      </c>
      <c r="B2302" s="1">
        <v>202407</v>
      </c>
      <c r="C2302" s="1" t="str">
        <f>MID(analisis_productividad__4[[#This Row],[Periodo]],1,4)</f>
        <v>2024</v>
      </c>
      <c r="D2302" s="1" t="str">
        <f>MID(analisis_productividad__4[[#This Row],[Periodo]],5,2)</f>
        <v>07</v>
      </c>
      <c r="E2302" s="1" t="s">
        <v>34</v>
      </c>
      <c r="F2302" s="1" t="s">
        <v>35</v>
      </c>
      <c r="G2302" s="1">
        <v>69585</v>
      </c>
      <c r="H2302" s="1">
        <v>3256569</v>
      </c>
      <c r="I2302" s="1">
        <v>46.800127688172033</v>
      </c>
      <c r="J2302" s="1">
        <v>0</v>
      </c>
      <c r="K2302" s="1">
        <v>51</v>
      </c>
      <c r="L2302" s="1">
        <v>49</v>
      </c>
      <c r="M2302" s="1"/>
      <c r="N2302" s="1">
        <v>0</v>
      </c>
    </row>
    <row r="2303" spans="1:14" x14ac:dyDescent="0.35">
      <c r="A2303" s="1" t="s">
        <v>105</v>
      </c>
      <c r="B2303" s="1">
        <v>202508</v>
      </c>
      <c r="C2303" s="1" t="str">
        <f>MID(analisis_productividad__4[[#This Row],[Periodo]],1,4)</f>
        <v>2025</v>
      </c>
      <c r="D2303" s="1" t="str">
        <f>MID(analisis_productividad__4[[#This Row],[Periodo]],5,2)</f>
        <v>08</v>
      </c>
      <c r="E2303" s="1" t="s">
        <v>34</v>
      </c>
      <c r="F2303" s="1" t="s">
        <v>35</v>
      </c>
      <c r="G2303" s="1">
        <v>69567</v>
      </c>
      <c r="H2303" s="1">
        <v>2243869</v>
      </c>
      <c r="I2303" s="1">
        <v>32.254993279569895</v>
      </c>
      <c r="J2303" s="1">
        <v>59099.758750926645</v>
      </c>
      <c r="K2303" s="1">
        <v>33</v>
      </c>
      <c r="L2303" s="1">
        <v>31.5</v>
      </c>
      <c r="M2303" s="1">
        <v>37.967479519784284</v>
      </c>
      <c r="N2303" s="1">
        <v>2524542</v>
      </c>
    </row>
    <row r="2304" spans="1:14" x14ac:dyDescent="0.35">
      <c r="A2304" s="1" t="s">
        <v>107</v>
      </c>
      <c r="B2304" s="1">
        <v>202505</v>
      </c>
      <c r="C2304" s="1" t="str">
        <f>MID(analisis_productividad__4[[#This Row],[Periodo]],1,4)</f>
        <v>2025</v>
      </c>
      <c r="D2304" s="1" t="str">
        <f>MID(analisis_productividad__4[[#This Row],[Periodo]],5,2)</f>
        <v>05</v>
      </c>
      <c r="E2304" s="1" t="s">
        <v>34</v>
      </c>
      <c r="F2304" s="1" t="s">
        <v>35</v>
      </c>
      <c r="G2304" s="1">
        <v>69526</v>
      </c>
      <c r="H2304" s="1">
        <v>5120724</v>
      </c>
      <c r="I2304" s="1">
        <v>73.652090053763445</v>
      </c>
      <c r="J2304" s="1">
        <v>65970.444233809394</v>
      </c>
      <c r="K2304" s="1">
        <v>87</v>
      </c>
      <c r="L2304" s="1">
        <v>77.5</v>
      </c>
      <c r="M2304" s="1">
        <v>77.621481247744356</v>
      </c>
      <c r="N2304" s="1">
        <v>5606297</v>
      </c>
    </row>
    <row r="2305" spans="1:14" x14ac:dyDescent="0.35">
      <c r="A2305" s="1" t="s">
        <v>74</v>
      </c>
      <c r="B2305" s="1">
        <v>202402</v>
      </c>
      <c r="C2305" s="1" t="str">
        <f>MID(analisis_productividad__4[[#This Row],[Periodo]],1,4)</f>
        <v>2024</v>
      </c>
      <c r="D2305" s="1" t="str">
        <f>MID(analisis_productividad__4[[#This Row],[Periodo]],5,2)</f>
        <v>02</v>
      </c>
      <c r="E2305" s="1" t="s">
        <v>16</v>
      </c>
      <c r="F2305" s="1" t="s">
        <v>19</v>
      </c>
      <c r="G2305" s="1">
        <v>69499</v>
      </c>
      <c r="H2305" s="1">
        <v>3815119</v>
      </c>
      <c r="I2305" s="1">
        <v>54.894683908045977</v>
      </c>
      <c r="J2305" s="1">
        <v>0</v>
      </c>
      <c r="K2305" s="1">
        <v>50.5</v>
      </c>
      <c r="L2305" s="1">
        <v>51.5</v>
      </c>
      <c r="M2305" s="1"/>
      <c r="N2305" s="1">
        <v>0</v>
      </c>
    </row>
    <row r="2306" spans="1:14" x14ac:dyDescent="0.35">
      <c r="A2306" s="1" t="s">
        <v>89</v>
      </c>
      <c r="B2306" s="1">
        <v>202401</v>
      </c>
      <c r="C2306" s="1" t="str">
        <f>MID(analisis_productividad__4[[#This Row],[Periodo]],1,4)</f>
        <v>2024</v>
      </c>
      <c r="D2306" s="1" t="str">
        <f>MID(analisis_productividad__4[[#This Row],[Periodo]],5,2)</f>
        <v>01</v>
      </c>
      <c r="E2306" s="1" t="s">
        <v>9</v>
      </c>
      <c r="F2306" s="1" t="s">
        <v>9</v>
      </c>
      <c r="G2306" s="1">
        <v>69467</v>
      </c>
      <c r="H2306" s="1">
        <v>1018705</v>
      </c>
      <c r="I2306" s="1">
        <v>14.664576612903225</v>
      </c>
      <c r="J2306" s="1">
        <v>0</v>
      </c>
      <c r="K2306" s="1">
        <v>17</v>
      </c>
      <c r="L2306" s="1">
        <v>13.5</v>
      </c>
      <c r="M2306" s="1"/>
      <c r="N2306" s="1">
        <v>0</v>
      </c>
    </row>
    <row r="2307" spans="1:14" x14ac:dyDescent="0.35">
      <c r="A2307" s="1" t="s">
        <v>99</v>
      </c>
      <c r="B2307" s="1">
        <v>202503</v>
      </c>
      <c r="C2307" s="1" t="str">
        <f>MID(analisis_productividad__4[[#This Row],[Periodo]],1,4)</f>
        <v>2025</v>
      </c>
      <c r="D2307" s="1" t="str">
        <f>MID(analisis_productividad__4[[#This Row],[Periodo]],5,2)</f>
        <v>03</v>
      </c>
      <c r="E2307" s="1" t="s">
        <v>11</v>
      </c>
      <c r="F2307" s="1" t="s">
        <v>12</v>
      </c>
      <c r="G2307" s="1">
        <v>69426</v>
      </c>
      <c r="H2307" s="1">
        <v>1823537</v>
      </c>
      <c r="I2307" s="1">
        <v>26.265806451612917</v>
      </c>
      <c r="J2307" s="1">
        <v>68787.720419018064</v>
      </c>
      <c r="K2307" s="1">
        <v>27</v>
      </c>
      <c r="L2307" s="1">
        <v>27</v>
      </c>
      <c r="M2307" s="1">
        <v>26.509624666902589</v>
      </c>
      <c r="N2307" s="1">
        <v>1779198</v>
      </c>
    </row>
    <row r="2308" spans="1:14" x14ac:dyDescent="0.35">
      <c r="A2308" s="1" t="s">
        <v>107</v>
      </c>
      <c r="B2308" s="1">
        <v>202404</v>
      </c>
      <c r="C2308" s="1" t="str">
        <f>MID(analisis_productividad__4[[#This Row],[Periodo]],1,4)</f>
        <v>2024</v>
      </c>
      <c r="D2308" s="1" t="str">
        <f>MID(analisis_productividad__4[[#This Row],[Periodo]],5,2)</f>
        <v>04</v>
      </c>
      <c r="E2308" s="1" t="s">
        <v>34</v>
      </c>
      <c r="F2308" s="1" t="s">
        <v>35</v>
      </c>
      <c r="G2308" s="1">
        <v>69418</v>
      </c>
      <c r="H2308" s="1">
        <v>5245136</v>
      </c>
      <c r="I2308" s="1">
        <v>75.558534722222234</v>
      </c>
      <c r="J2308" s="1">
        <v>0</v>
      </c>
      <c r="K2308" s="1">
        <v>87</v>
      </c>
      <c r="L2308" s="1">
        <v>77.5</v>
      </c>
      <c r="M2308" s="1"/>
      <c r="N2308" s="1">
        <v>0</v>
      </c>
    </row>
    <row r="2309" spans="1:14" x14ac:dyDescent="0.35">
      <c r="A2309" s="1" t="s">
        <v>64</v>
      </c>
      <c r="B2309" s="1">
        <v>202509</v>
      </c>
      <c r="C2309" s="1" t="str">
        <f>MID(analisis_productividad__4[[#This Row],[Periodo]],1,4)</f>
        <v>2025</v>
      </c>
      <c r="D2309" s="1" t="str">
        <f>MID(analisis_productividad__4[[#This Row],[Periodo]],5,2)</f>
        <v>09</v>
      </c>
      <c r="E2309" s="1" t="s">
        <v>16</v>
      </c>
      <c r="F2309" s="1" t="s">
        <v>21</v>
      </c>
      <c r="G2309" s="1">
        <v>69413</v>
      </c>
      <c r="H2309" s="1">
        <v>8045446</v>
      </c>
      <c r="I2309" s="1">
        <v>115.90629166666677</v>
      </c>
      <c r="J2309" s="1">
        <v>81772.043333732538</v>
      </c>
      <c r="K2309" s="1">
        <v>88.5</v>
      </c>
      <c r="L2309" s="1">
        <v>92.5</v>
      </c>
      <c r="M2309" s="1">
        <v>98.388709050163826</v>
      </c>
      <c r="N2309" s="1">
        <v>6210214</v>
      </c>
    </row>
    <row r="2310" spans="1:14" x14ac:dyDescent="0.35">
      <c r="A2310" s="1" t="s">
        <v>98</v>
      </c>
      <c r="B2310" s="1">
        <v>202403</v>
      </c>
      <c r="C2310" s="1" t="str">
        <f>MID(analisis_productividad__4[[#This Row],[Periodo]],1,4)</f>
        <v>2024</v>
      </c>
      <c r="D2310" s="1" t="str">
        <f>MID(analisis_productividad__4[[#This Row],[Periodo]],5,2)</f>
        <v>03</v>
      </c>
      <c r="E2310" s="1" t="s">
        <v>11</v>
      </c>
      <c r="F2310" s="1" t="s">
        <v>14</v>
      </c>
      <c r="G2310" s="1">
        <v>69396</v>
      </c>
      <c r="H2310" s="1">
        <v>4362813</v>
      </c>
      <c r="I2310" s="1">
        <v>62.868467741935497</v>
      </c>
      <c r="J2310" s="1">
        <v>0</v>
      </c>
      <c r="K2310" s="1">
        <v>61.5</v>
      </c>
      <c r="L2310" s="1">
        <v>56</v>
      </c>
      <c r="M2310" s="1"/>
      <c r="N2310" s="1">
        <v>0</v>
      </c>
    </row>
    <row r="2311" spans="1:14" x14ac:dyDescent="0.35">
      <c r="A2311" s="1" t="s">
        <v>103</v>
      </c>
      <c r="B2311" s="1">
        <v>202403</v>
      </c>
      <c r="C2311" s="1" t="str">
        <f>MID(analisis_productividad__4[[#This Row],[Periodo]],1,4)</f>
        <v>2024</v>
      </c>
      <c r="D2311" s="1" t="str">
        <f>MID(analisis_productividad__4[[#This Row],[Periodo]],5,2)</f>
        <v>03</v>
      </c>
      <c r="E2311" s="1" t="s">
        <v>104</v>
      </c>
      <c r="F2311" s="1" t="s">
        <v>104</v>
      </c>
      <c r="G2311" s="1">
        <v>69357</v>
      </c>
      <c r="H2311" s="1">
        <v>5572566</v>
      </c>
      <c r="I2311" s="1">
        <v>80.346404569892513</v>
      </c>
      <c r="J2311" s="1">
        <v>0</v>
      </c>
      <c r="K2311" s="1">
        <v>94</v>
      </c>
      <c r="L2311" s="1">
        <v>77.5</v>
      </c>
      <c r="M2311" s="1"/>
      <c r="N2311" s="1">
        <v>0</v>
      </c>
    </row>
    <row r="2312" spans="1:14" x14ac:dyDescent="0.35">
      <c r="A2312" s="1" t="s">
        <v>58</v>
      </c>
      <c r="B2312" s="1">
        <v>202410</v>
      </c>
      <c r="C2312" s="1" t="str">
        <f>MID(analisis_productividad__4[[#This Row],[Periodo]],1,4)</f>
        <v>2024</v>
      </c>
      <c r="D2312" s="1" t="str">
        <f>MID(analisis_productividad__4[[#This Row],[Periodo]],5,2)</f>
        <v>10</v>
      </c>
      <c r="E2312" s="1" t="s">
        <v>34</v>
      </c>
      <c r="F2312" s="1" t="s">
        <v>35</v>
      </c>
      <c r="G2312" s="1">
        <v>69350</v>
      </c>
      <c r="H2312" s="1">
        <v>3226436</v>
      </c>
      <c r="I2312" s="1">
        <v>46.523985215053756</v>
      </c>
      <c r="J2312" s="1">
        <v>0</v>
      </c>
      <c r="K2312" s="1">
        <v>53.5</v>
      </c>
      <c r="L2312" s="1">
        <v>52</v>
      </c>
      <c r="M2312" s="1"/>
      <c r="N2312" s="1">
        <v>0</v>
      </c>
    </row>
    <row r="2313" spans="1:14" x14ac:dyDescent="0.35">
      <c r="A2313" s="1" t="s">
        <v>105</v>
      </c>
      <c r="B2313" s="1">
        <v>202505</v>
      </c>
      <c r="C2313" s="1" t="str">
        <f>MID(analisis_productividad__4[[#This Row],[Periodo]],1,4)</f>
        <v>2025</v>
      </c>
      <c r="D2313" s="1" t="str">
        <f>MID(analisis_productividad__4[[#This Row],[Periodo]],5,2)</f>
        <v>05</v>
      </c>
      <c r="E2313" s="1" t="s">
        <v>34</v>
      </c>
      <c r="F2313" s="1" t="s">
        <v>35</v>
      </c>
      <c r="G2313" s="1">
        <v>69337</v>
      </c>
      <c r="H2313" s="1">
        <v>2358692</v>
      </c>
      <c r="I2313" s="1">
        <v>34.017836021505374</v>
      </c>
      <c r="J2313" s="1">
        <v>60133.840312378794</v>
      </c>
      <c r="K2313" s="1">
        <v>33</v>
      </c>
      <c r="L2313" s="1">
        <v>31.5</v>
      </c>
      <c r="M2313" s="1">
        <v>39.224041367510225</v>
      </c>
      <c r="N2313" s="1">
        <v>2590234</v>
      </c>
    </row>
    <row r="2314" spans="1:14" x14ac:dyDescent="0.35">
      <c r="A2314" s="1" t="s">
        <v>69</v>
      </c>
      <c r="B2314" s="1">
        <v>202502</v>
      </c>
      <c r="C2314" s="1" t="str">
        <f>MID(analisis_productividad__4[[#This Row],[Periodo]],1,4)</f>
        <v>2025</v>
      </c>
      <c r="D2314" s="1" t="str">
        <f>MID(analisis_productividad__4[[#This Row],[Periodo]],5,2)</f>
        <v>02</v>
      </c>
      <c r="E2314" s="1" t="s">
        <v>11</v>
      </c>
      <c r="F2314" s="1" t="s">
        <v>52</v>
      </c>
      <c r="G2314" s="1">
        <v>69324</v>
      </c>
      <c r="H2314" s="1">
        <v>4604128</v>
      </c>
      <c r="I2314" s="1">
        <v>66.415104166666652</v>
      </c>
      <c r="J2314" s="1">
        <v>74809.724161266306</v>
      </c>
      <c r="K2314" s="1">
        <v>68</v>
      </c>
      <c r="L2314" s="1">
        <v>60.5</v>
      </c>
      <c r="M2314" s="1">
        <v>61.544518999628202</v>
      </c>
      <c r="N2314" s="1">
        <v>4732624</v>
      </c>
    </row>
    <row r="2315" spans="1:14" x14ac:dyDescent="0.35">
      <c r="A2315" s="1" t="s">
        <v>47</v>
      </c>
      <c r="B2315" s="1">
        <v>202404</v>
      </c>
      <c r="C2315" s="1" t="str">
        <f>MID(analisis_productividad__4[[#This Row],[Periodo]],1,4)</f>
        <v>2024</v>
      </c>
      <c r="D2315" s="1" t="str">
        <f>MID(analisis_productividad__4[[#This Row],[Periodo]],5,2)</f>
        <v>04</v>
      </c>
      <c r="E2315" s="1" t="s">
        <v>11</v>
      </c>
      <c r="F2315" s="1" t="s">
        <v>14</v>
      </c>
      <c r="G2315" s="1">
        <v>69299</v>
      </c>
      <c r="H2315" s="1">
        <v>4445652</v>
      </c>
      <c r="I2315" s="1">
        <v>64.152083333333337</v>
      </c>
      <c r="J2315" s="1">
        <v>0</v>
      </c>
      <c r="K2315" s="1">
        <v>61.5</v>
      </c>
      <c r="L2315" s="1">
        <v>48.5</v>
      </c>
      <c r="M2315" s="1"/>
      <c r="N2315" s="1">
        <v>0</v>
      </c>
    </row>
    <row r="2316" spans="1:14" x14ac:dyDescent="0.35">
      <c r="A2316" s="1" t="s">
        <v>86</v>
      </c>
      <c r="B2316" s="1">
        <v>202504</v>
      </c>
      <c r="C2316" s="1" t="str">
        <f>MID(analisis_productividad__4[[#This Row],[Periodo]],1,4)</f>
        <v>2025</v>
      </c>
      <c r="D2316" s="1" t="str">
        <f>MID(analisis_productividad__4[[#This Row],[Periodo]],5,2)</f>
        <v>04</v>
      </c>
      <c r="E2316" s="1" t="s">
        <v>11</v>
      </c>
      <c r="F2316" s="1" t="s">
        <v>14</v>
      </c>
      <c r="G2316" s="1">
        <v>69296</v>
      </c>
      <c r="H2316" s="1">
        <v>4241333</v>
      </c>
      <c r="I2316" s="1">
        <v>61.20566666666668</v>
      </c>
      <c r="J2316" s="1">
        <v>79980.22752204827</v>
      </c>
      <c r="K2316" s="1">
        <v>69.5</v>
      </c>
      <c r="L2316" s="1">
        <v>59</v>
      </c>
      <c r="M2316" s="1">
        <v>53.029772500094289</v>
      </c>
      <c r="N2316" s="1">
        <v>5098134</v>
      </c>
    </row>
    <row r="2317" spans="1:14" x14ac:dyDescent="0.35">
      <c r="A2317" s="1" t="s">
        <v>90</v>
      </c>
      <c r="B2317" s="1">
        <v>202407</v>
      </c>
      <c r="C2317" s="1" t="str">
        <f>MID(analisis_productividad__4[[#This Row],[Periodo]],1,4)</f>
        <v>2024</v>
      </c>
      <c r="D2317" s="1" t="str">
        <f>MID(analisis_productividad__4[[#This Row],[Periodo]],5,2)</f>
        <v>07</v>
      </c>
      <c r="E2317" s="1" t="s">
        <v>11</v>
      </c>
      <c r="F2317" s="1" t="s">
        <v>14</v>
      </c>
      <c r="G2317" s="1">
        <v>69288</v>
      </c>
      <c r="H2317" s="1">
        <v>5884099</v>
      </c>
      <c r="I2317" s="1">
        <v>84.921760752688201</v>
      </c>
      <c r="J2317" s="1">
        <v>0</v>
      </c>
      <c r="K2317" s="1">
        <v>84.5</v>
      </c>
      <c r="L2317" s="1">
        <v>78.5</v>
      </c>
      <c r="M2317" s="1"/>
      <c r="N2317" s="1">
        <v>0</v>
      </c>
    </row>
    <row r="2318" spans="1:14" x14ac:dyDescent="0.35">
      <c r="A2318" s="1" t="s">
        <v>85</v>
      </c>
      <c r="B2318" s="1">
        <v>202411</v>
      </c>
      <c r="C2318" s="1" t="str">
        <f>MID(analisis_productividad__4[[#This Row],[Periodo]],1,4)</f>
        <v>2024</v>
      </c>
      <c r="D2318" s="1" t="str">
        <f>MID(analisis_productividad__4[[#This Row],[Periodo]],5,2)</f>
        <v>11</v>
      </c>
      <c r="E2318" s="1" t="s">
        <v>11</v>
      </c>
      <c r="F2318" s="1" t="s">
        <v>14</v>
      </c>
      <c r="G2318" s="1">
        <v>69270</v>
      </c>
      <c r="H2318" s="1">
        <v>3567039</v>
      </c>
      <c r="I2318" s="1">
        <v>51.494430555555581</v>
      </c>
      <c r="J2318" s="1">
        <v>0</v>
      </c>
      <c r="K2318" s="1">
        <v>60.5</v>
      </c>
      <c r="L2318" s="1">
        <v>57.5</v>
      </c>
      <c r="M2318" s="1"/>
      <c r="N2318" s="1">
        <v>0</v>
      </c>
    </row>
    <row r="2319" spans="1:14" x14ac:dyDescent="0.35">
      <c r="A2319" s="1" t="s">
        <v>78</v>
      </c>
      <c r="B2319" s="1">
        <v>202410</v>
      </c>
      <c r="C2319" s="1" t="str">
        <f>MID(analisis_productividad__4[[#This Row],[Periodo]],1,4)</f>
        <v>2024</v>
      </c>
      <c r="D2319" s="1" t="str">
        <f>MID(analisis_productividad__4[[#This Row],[Periodo]],5,2)</f>
        <v>10</v>
      </c>
      <c r="E2319" s="1" t="s">
        <v>11</v>
      </c>
      <c r="F2319" s="1" t="s">
        <v>14</v>
      </c>
      <c r="G2319" s="1">
        <v>69260</v>
      </c>
      <c r="H2319" s="1">
        <v>4833644</v>
      </c>
      <c r="I2319" s="1">
        <v>69.789670698924724</v>
      </c>
      <c r="J2319" s="1">
        <v>0</v>
      </c>
      <c r="K2319" s="1">
        <v>79.5</v>
      </c>
      <c r="L2319" s="1">
        <v>67</v>
      </c>
      <c r="M2319" s="1"/>
      <c r="N2319" s="1">
        <v>0</v>
      </c>
    </row>
    <row r="2320" spans="1:14" x14ac:dyDescent="0.35">
      <c r="A2320" s="1" t="s">
        <v>109</v>
      </c>
      <c r="B2320" s="1">
        <v>202403</v>
      </c>
      <c r="C2320" s="1" t="str">
        <f>MID(analisis_productividad__4[[#This Row],[Periodo]],1,4)</f>
        <v>2024</v>
      </c>
      <c r="D2320" s="1" t="str">
        <f>MID(analisis_productividad__4[[#This Row],[Periodo]],5,2)</f>
        <v>03</v>
      </c>
      <c r="E2320" s="1" t="s">
        <v>9</v>
      </c>
      <c r="F2320" s="1" t="s">
        <v>9</v>
      </c>
      <c r="G2320" s="1">
        <v>69259</v>
      </c>
      <c r="H2320" s="1">
        <v>582289</v>
      </c>
      <c r="I2320" s="1">
        <v>8.4073857526881728</v>
      </c>
      <c r="J2320" s="1">
        <v>0</v>
      </c>
      <c r="K2320" s="1">
        <v>10</v>
      </c>
      <c r="L2320" s="1">
        <v>9</v>
      </c>
      <c r="M2320" s="1"/>
      <c r="N2320" s="1">
        <v>0</v>
      </c>
    </row>
    <row r="2321" spans="1:14" x14ac:dyDescent="0.35">
      <c r="A2321" s="1" t="s">
        <v>115</v>
      </c>
      <c r="B2321" s="1">
        <v>202606</v>
      </c>
      <c r="C2321" s="1" t="str">
        <f>MID(analisis_productividad__4[[#This Row],[Periodo]],1,4)</f>
        <v>2026</v>
      </c>
      <c r="D2321" s="1" t="str">
        <f>MID(analisis_productividad__4[[#This Row],[Periodo]],5,2)</f>
        <v>06</v>
      </c>
      <c r="E2321" s="1" t="s">
        <v>34</v>
      </c>
      <c r="F2321" s="1" t="s">
        <v>35</v>
      </c>
      <c r="G2321" s="1">
        <v>69154</v>
      </c>
      <c r="H2321" s="1">
        <v>2929767</v>
      </c>
      <c r="I2321" s="1">
        <v>42.365895833333198</v>
      </c>
      <c r="J2321" s="1">
        <v>65058.938479453682</v>
      </c>
      <c r="K2321" s="1">
        <v>53.5</v>
      </c>
      <c r="L2321" s="1">
        <v>51</v>
      </c>
      <c r="M2321" s="1">
        <v>45.515809558361951</v>
      </c>
      <c r="N2321" s="1">
        <v>2961210</v>
      </c>
    </row>
    <row r="2322" spans="1:14" x14ac:dyDescent="0.35">
      <c r="A2322" s="1" t="s">
        <v>95</v>
      </c>
      <c r="B2322" s="1">
        <v>202409</v>
      </c>
      <c r="C2322" s="1" t="str">
        <f>MID(analisis_productividad__4[[#This Row],[Periodo]],1,4)</f>
        <v>2024</v>
      </c>
      <c r="D2322" s="1" t="str">
        <f>MID(analisis_productividad__4[[#This Row],[Periodo]],5,2)</f>
        <v>09</v>
      </c>
      <c r="E2322" s="1" t="s">
        <v>9</v>
      </c>
      <c r="F2322" s="1" t="s">
        <v>9</v>
      </c>
      <c r="G2322" s="1">
        <v>69135</v>
      </c>
      <c r="H2322" s="1">
        <v>634753</v>
      </c>
      <c r="I2322" s="1">
        <v>9.1813263888888912</v>
      </c>
      <c r="J2322" s="1">
        <v>0</v>
      </c>
      <c r="K2322" s="1">
        <v>11</v>
      </c>
      <c r="L2322" s="1">
        <v>11</v>
      </c>
      <c r="M2322" s="1"/>
      <c r="N2322" s="1">
        <v>0</v>
      </c>
    </row>
    <row r="2323" spans="1:14" x14ac:dyDescent="0.35">
      <c r="A2323" s="1" t="s">
        <v>112</v>
      </c>
      <c r="B2323" s="1">
        <v>202606</v>
      </c>
      <c r="C2323" s="1" t="str">
        <f>MID(analisis_productividad__4[[#This Row],[Periodo]],1,4)</f>
        <v>2026</v>
      </c>
      <c r="D2323" s="1" t="str">
        <f>MID(analisis_productividad__4[[#This Row],[Periodo]],5,2)</f>
        <v>06</v>
      </c>
      <c r="E2323" s="1" t="s">
        <v>34</v>
      </c>
      <c r="F2323" s="1" t="s">
        <v>35</v>
      </c>
      <c r="G2323" s="1">
        <v>69056</v>
      </c>
      <c r="H2323" s="1">
        <v>1641535</v>
      </c>
      <c r="I2323" s="1">
        <v>23.771222222222271</v>
      </c>
      <c r="J2323" s="1">
        <v>57171.470313944978</v>
      </c>
      <c r="K2323" s="1">
        <v>31</v>
      </c>
      <c r="L2323" s="1">
        <v>27</v>
      </c>
      <c r="M2323" s="1">
        <v>27.070532526124346</v>
      </c>
      <c r="N2323" s="1">
        <v>1547662</v>
      </c>
    </row>
    <row r="2324" spans="1:14" x14ac:dyDescent="0.35">
      <c r="A2324" s="1" t="s">
        <v>78</v>
      </c>
      <c r="B2324" s="1">
        <v>202409</v>
      </c>
      <c r="C2324" s="1" t="str">
        <f>MID(analisis_productividad__4[[#This Row],[Periodo]],1,4)</f>
        <v>2024</v>
      </c>
      <c r="D2324" s="1" t="str">
        <f>MID(analisis_productividad__4[[#This Row],[Periodo]],5,2)</f>
        <v>09</v>
      </c>
      <c r="E2324" s="1" t="s">
        <v>11</v>
      </c>
      <c r="F2324" s="1" t="s">
        <v>14</v>
      </c>
      <c r="G2324" s="1">
        <v>69052</v>
      </c>
      <c r="H2324" s="1">
        <v>4776219</v>
      </c>
      <c r="I2324" s="1">
        <v>69.168847222222226</v>
      </c>
      <c r="J2324" s="1">
        <v>0</v>
      </c>
      <c r="K2324" s="1">
        <v>79.5</v>
      </c>
      <c r="L2324" s="1">
        <v>67</v>
      </c>
      <c r="M2324" s="1"/>
      <c r="N2324" s="1">
        <v>0</v>
      </c>
    </row>
    <row r="2325" spans="1:14" x14ac:dyDescent="0.35">
      <c r="A2325" s="1" t="s">
        <v>64</v>
      </c>
      <c r="B2325" s="1">
        <v>202404</v>
      </c>
      <c r="C2325" s="1" t="str">
        <f>MID(analisis_productividad__4[[#This Row],[Periodo]],1,4)</f>
        <v>2024</v>
      </c>
      <c r="D2325" s="1" t="str">
        <f>MID(analisis_productividad__4[[#This Row],[Periodo]],5,2)</f>
        <v>04</v>
      </c>
      <c r="E2325" s="1" t="s">
        <v>16</v>
      </c>
      <c r="F2325" s="1" t="s">
        <v>21</v>
      </c>
      <c r="G2325" s="1">
        <v>69045</v>
      </c>
      <c r="H2325" s="1">
        <v>5627454</v>
      </c>
      <c r="I2325" s="1">
        <v>81.504645833333328</v>
      </c>
      <c r="J2325" s="1">
        <v>0</v>
      </c>
      <c r="K2325" s="1">
        <v>88.5</v>
      </c>
      <c r="L2325" s="1">
        <v>92.5</v>
      </c>
      <c r="M2325" s="1"/>
      <c r="N2325" s="1">
        <v>0</v>
      </c>
    </row>
    <row r="2326" spans="1:14" x14ac:dyDescent="0.35">
      <c r="A2326" s="1" t="s">
        <v>94</v>
      </c>
      <c r="B2326" s="1">
        <v>202401</v>
      </c>
      <c r="C2326" s="1" t="str">
        <f>MID(analisis_productividad__4[[#This Row],[Periodo]],1,4)</f>
        <v>2024</v>
      </c>
      <c r="D2326" s="1" t="str">
        <f>MID(analisis_productividad__4[[#This Row],[Periodo]],5,2)</f>
        <v>01</v>
      </c>
      <c r="E2326" s="1" t="s">
        <v>11</v>
      </c>
      <c r="F2326" s="1" t="s">
        <v>52</v>
      </c>
      <c r="G2326" s="1">
        <v>69021</v>
      </c>
      <c r="H2326" s="1">
        <v>5052296</v>
      </c>
      <c r="I2326" s="1">
        <v>73.199536290322541</v>
      </c>
      <c r="J2326" s="1">
        <v>0</v>
      </c>
      <c r="K2326" s="1">
        <v>75.5</v>
      </c>
      <c r="L2326" s="1">
        <v>70.5</v>
      </c>
      <c r="M2326" s="1"/>
      <c r="N2326" s="1">
        <v>0</v>
      </c>
    </row>
    <row r="2327" spans="1:14" x14ac:dyDescent="0.35">
      <c r="A2327" s="1" t="s">
        <v>98</v>
      </c>
      <c r="B2327" s="1">
        <v>202504</v>
      </c>
      <c r="C2327" s="1" t="str">
        <f>MID(analisis_productividad__4[[#This Row],[Periodo]],1,4)</f>
        <v>2025</v>
      </c>
      <c r="D2327" s="1" t="str">
        <f>MID(analisis_productividad__4[[#This Row],[Periodo]],5,2)</f>
        <v>04</v>
      </c>
      <c r="E2327" s="1" t="s">
        <v>11</v>
      </c>
      <c r="F2327" s="1" t="s">
        <v>14</v>
      </c>
      <c r="G2327" s="1">
        <v>68990</v>
      </c>
      <c r="H2327" s="1">
        <v>3569671</v>
      </c>
      <c r="I2327" s="1">
        <v>51.741763888888897</v>
      </c>
      <c r="J2327" s="1">
        <v>64328.061858291352</v>
      </c>
      <c r="K2327" s="1">
        <v>61.5</v>
      </c>
      <c r="L2327" s="1">
        <v>56</v>
      </c>
      <c r="M2327" s="1">
        <v>55.491655536951313</v>
      </c>
      <c r="N2327" s="1">
        <v>3964103</v>
      </c>
    </row>
    <row r="2328" spans="1:14" x14ac:dyDescent="0.35">
      <c r="A2328" s="1" t="s">
        <v>58</v>
      </c>
      <c r="B2328" s="1">
        <v>202502</v>
      </c>
      <c r="C2328" s="1" t="str">
        <f>MID(analisis_productividad__4[[#This Row],[Periodo]],1,4)</f>
        <v>2025</v>
      </c>
      <c r="D2328" s="1" t="str">
        <f>MID(analisis_productividad__4[[#This Row],[Periodo]],5,2)</f>
        <v>02</v>
      </c>
      <c r="E2328" s="1" t="s">
        <v>34</v>
      </c>
      <c r="F2328" s="1" t="s">
        <v>35</v>
      </c>
      <c r="G2328" s="1">
        <v>68981</v>
      </c>
      <c r="H2328" s="1">
        <v>3056310</v>
      </c>
      <c r="I2328" s="1">
        <v>44.306718750000002</v>
      </c>
      <c r="J2328" s="1">
        <v>74824.192578787304</v>
      </c>
      <c r="K2328" s="1">
        <v>53.5</v>
      </c>
      <c r="L2328" s="1">
        <v>52</v>
      </c>
      <c r="M2328" s="1">
        <v>40.846547816494109</v>
      </c>
      <c r="N2328" s="1">
        <v>3421756</v>
      </c>
    </row>
    <row r="2329" spans="1:14" x14ac:dyDescent="0.35">
      <c r="A2329" s="1" t="s">
        <v>113</v>
      </c>
      <c r="B2329" s="1">
        <v>202507</v>
      </c>
      <c r="C2329" s="1" t="str">
        <f>MID(analisis_productividad__4[[#This Row],[Periodo]],1,4)</f>
        <v>2025</v>
      </c>
      <c r="D2329" s="1" t="str">
        <f>MID(analisis_productividad__4[[#This Row],[Periodo]],5,2)</f>
        <v>07</v>
      </c>
      <c r="E2329" s="1" t="s">
        <v>9</v>
      </c>
      <c r="F2329" s="1" t="s">
        <v>9</v>
      </c>
      <c r="G2329" s="1">
        <v>68979</v>
      </c>
      <c r="H2329" s="1">
        <v>598305</v>
      </c>
      <c r="I2329" s="1">
        <v>8.673790322580647</v>
      </c>
      <c r="J2329" s="1">
        <v>68438.707285598284</v>
      </c>
      <c r="K2329" s="1">
        <v>11.5</v>
      </c>
      <c r="L2329" s="1">
        <v>10</v>
      </c>
      <c r="M2329" s="1">
        <v>8.7422044297716131</v>
      </c>
      <c r="N2329" s="1">
        <v>678355</v>
      </c>
    </row>
    <row r="2330" spans="1:14" x14ac:dyDescent="0.35">
      <c r="A2330" s="1" t="s">
        <v>77</v>
      </c>
      <c r="B2330" s="1">
        <v>202404</v>
      </c>
      <c r="C2330" s="1" t="str">
        <f>MID(analisis_productividad__4[[#This Row],[Periodo]],1,4)</f>
        <v>2024</v>
      </c>
      <c r="D2330" s="1" t="str">
        <f>MID(analisis_productividad__4[[#This Row],[Periodo]],5,2)</f>
        <v>04</v>
      </c>
      <c r="E2330" s="1" t="s">
        <v>16</v>
      </c>
      <c r="F2330" s="1" t="s">
        <v>21</v>
      </c>
      <c r="G2330" s="1">
        <v>68963</v>
      </c>
      <c r="H2330" s="1">
        <v>4550700</v>
      </c>
      <c r="I2330" s="1">
        <v>65.987444444444435</v>
      </c>
      <c r="J2330" s="1">
        <v>0</v>
      </c>
      <c r="K2330" s="1">
        <v>60.5</v>
      </c>
      <c r="L2330" s="1">
        <v>60.5</v>
      </c>
      <c r="M2330" s="1"/>
      <c r="N2330" s="1">
        <v>0</v>
      </c>
    </row>
    <row r="2331" spans="1:14" x14ac:dyDescent="0.35">
      <c r="A2331" s="1" t="s">
        <v>78</v>
      </c>
      <c r="B2331" s="1">
        <v>202506</v>
      </c>
      <c r="C2331" s="1" t="str">
        <f>MID(analisis_productividad__4[[#This Row],[Periodo]],1,4)</f>
        <v>2025</v>
      </c>
      <c r="D2331" s="1" t="str">
        <f>MID(analisis_productividad__4[[#This Row],[Periodo]],5,2)</f>
        <v>06</v>
      </c>
      <c r="E2331" s="1" t="s">
        <v>11</v>
      </c>
      <c r="F2331" s="1" t="s">
        <v>14</v>
      </c>
      <c r="G2331" s="1">
        <v>68942</v>
      </c>
      <c r="H2331" s="1">
        <v>4864150</v>
      </c>
      <c r="I2331" s="1">
        <v>70.553923611111102</v>
      </c>
      <c r="J2331" s="1">
        <v>79688.842944106204</v>
      </c>
      <c r="K2331" s="1">
        <v>79.5</v>
      </c>
      <c r="L2331" s="1">
        <v>67</v>
      </c>
      <c r="M2331" s="1">
        <v>61.039287939112356</v>
      </c>
      <c r="N2331" s="1">
        <v>5574830</v>
      </c>
    </row>
    <row r="2332" spans="1:14" x14ac:dyDescent="0.35">
      <c r="A2332" s="1" t="s">
        <v>88</v>
      </c>
      <c r="B2332" s="1">
        <v>202506</v>
      </c>
      <c r="C2332" s="1" t="str">
        <f>MID(analisis_productividad__4[[#This Row],[Periodo]],1,4)</f>
        <v>2025</v>
      </c>
      <c r="D2332" s="1" t="str">
        <f>MID(analisis_productividad__4[[#This Row],[Periodo]],5,2)</f>
        <v>06</v>
      </c>
      <c r="E2332" s="1" t="s">
        <v>34</v>
      </c>
      <c r="F2332" s="1" t="s">
        <v>35</v>
      </c>
      <c r="G2332" s="1">
        <v>68936</v>
      </c>
      <c r="H2332" s="1">
        <v>1033362</v>
      </c>
      <c r="I2332" s="1">
        <v>14.990159722222224</v>
      </c>
      <c r="J2332" s="1">
        <v>74900.673267326711</v>
      </c>
      <c r="K2332" s="1">
        <v>15.5</v>
      </c>
      <c r="L2332" s="1">
        <v>14.5</v>
      </c>
      <c r="M2332" s="1">
        <v>13.796425785277616</v>
      </c>
      <c r="N2332" s="1">
        <v>1086062</v>
      </c>
    </row>
    <row r="2333" spans="1:14" x14ac:dyDescent="0.35">
      <c r="A2333" s="1" t="s">
        <v>100</v>
      </c>
      <c r="B2333" s="1">
        <v>202404</v>
      </c>
      <c r="C2333" s="1" t="str">
        <f>MID(analisis_productividad__4[[#This Row],[Periodo]],1,4)</f>
        <v>2024</v>
      </c>
      <c r="D2333" s="1" t="str">
        <f>MID(analisis_productividad__4[[#This Row],[Periodo]],5,2)</f>
        <v>04</v>
      </c>
      <c r="E2333" s="1" t="s">
        <v>34</v>
      </c>
      <c r="F2333" s="1" t="s">
        <v>35</v>
      </c>
      <c r="G2333" s="1">
        <v>68909</v>
      </c>
      <c r="H2333" s="1">
        <v>2564931</v>
      </c>
      <c r="I2333" s="1">
        <v>37.221770833333338</v>
      </c>
      <c r="J2333" s="1">
        <v>0</v>
      </c>
      <c r="K2333" s="1">
        <v>44</v>
      </c>
      <c r="L2333" s="1">
        <v>40.5</v>
      </c>
      <c r="M2333" s="1"/>
      <c r="N2333" s="1">
        <v>0</v>
      </c>
    </row>
    <row r="2334" spans="1:14" x14ac:dyDescent="0.35">
      <c r="A2334" s="1" t="s">
        <v>103</v>
      </c>
      <c r="B2334" s="1">
        <v>202601</v>
      </c>
      <c r="C2334" s="1" t="str">
        <f>MID(analisis_productividad__4[[#This Row],[Periodo]],1,4)</f>
        <v>2026</v>
      </c>
      <c r="D2334" s="1" t="str">
        <f>MID(analisis_productividad__4[[#This Row],[Periodo]],5,2)</f>
        <v>01</v>
      </c>
      <c r="E2334" s="1" t="s">
        <v>104</v>
      </c>
      <c r="F2334" s="1" t="s">
        <v>104</v>
      </c>
      <c r="G2334" s="1">
        <v>68903</v>
      </c>
      <c r="H2334" s="1">
        <v>5175743</v>
      </c>
      <c r="I2334" s="1">
        <v>75.116162634408568</v>
      </c>
      <c r="J2334" s="1">
        <v>67196.4127157154</v>
      </c>
      <c r="K2334" s="1">
        <v>94</v>
      </c>
      <c r="L2334" s="1">
        <v>77.5</v>
      </c>
      <c r="M2334" s="1">
        <v>81.023149648384276</v>
      </c>
      <c r="N2334" s="1">
        <v>5444465</v>
      </c>
    </row>
    <row r="2335" spans="1:14" x14ac:dyDescent="0.35">
      <c r="A2335" s="1" t="s">
        <v>106</v>
      </c>
      <c r="B2335" s="1">
        <v>202404</v>
      </c>
      <c r="C2335" s="1" t="str">
        <f>MID(analisis_productividad__4[[#This Row],[Periodo]],1,4)</f>
        <v>2024</v>
      </c>
      <c r="D2335" s="1" t="str">
        <f>MID(analisis_productividad__4[[#This Row],[Periodo]],5,2)</f>
        <v>04</v>
      </c>
      <c r="E2335" s="1" t="s">
        <v>34</v>
      </c>
      <c r="F2335" s="1" t="s">
        <v>35</v>
      </c>
      <c r="G2335" s="1">
        <v>68807</v>
      </c>
      <c r="H2335" s="1">
        <v>3359027</v>
      </c>
      <c r="I2335" s="1">
        <v>48.817756944444447</v>
      </c>
      <c r="J2335" s="1">
        <v>0</v>
      </c>
      <c r="K2335" s="1">
        <v>51</v>
      </c>
      <c r="L2335" s="1">
        <v>49</v>
      </c>
      <c r="M2335" s="1"/>
      <c r="N2335" s="1">
        <v>0</v>
      </c>
    </row>
    <row r="2336" spans="1:14" x14ac:dyDescent="0.35">
      <c r="A2336" s="1" t="s">
        <v>119</v>
      </c>
      <c r="B2336" s="1">
        <v>202408</v>
      </c>
      <c r="C2336" s="1" t="str">
        <f>MID(analisis_productividad__4[[#This Row],[Periodo]],1,4)</f>
        <v>2024</v>
      </c>
      <c r="D2336" s="1" t="str">
        <f>MID(analisis_productividad__4[[#This Row],[Periodo]],5,2)</f>
        <v>08</v>
      </c>
      <c r="E2336" s="1" t="s">
        <v>16</v>
      </c>
      <c r="F2336" s="1" t="s">
        <v>21</v>
      </c>
      <c r="G2336" s="1">
        <v>68799</v>
      </c>
      <c r="H2336" s="1">
        <v>3556032</v>
      </c>
      <c r="I2336" s="1">
        <v>51.686908602150538</v>
      </c>
      <c r="J2336" s="1">
        <v>0</v>
      </c>
      <c r="K2336" s="1">
        <v>52.5</v>
      </c>
      <c r="L2336" s="1">
        <v>52.5</v>
      </c>
      <c r="M2336" s="1"/>
      <c r="N2336" s="1">
        <v>0</v>
      </c>
    </row>
    <row r="2337" spans="1:14" x14ac:dyDescent="0.35">
      <c r="A2337" s="1" t="s">
        <v>116</v>
      </c>
      <c r="B2337" s="1">
        <v>202605</v>
      </c>
      <c r="C2337" s="1" t="str">
        <f>MID(analisis_productividad__4[[#This Row],[Periodo]],1,4)</f>
        <v>2026</v>
      </c>
      <c r="D2337" s="1" t="str">
        <f>MID(analisis_productividad__4[[#This Row],[Periodo]],5,2)</f>
        <v>05</v>
      </c>
      <c r="E2337" s="1" t="s">
        <v>9</v>
      </c>
      <c r="F2337" s="1" t="s">
        <v>9</v>
      </c>
      <c r="G2337" s="1">
        <v>68767</v>
      </c>
      <c r="H2337" s="1">
        <v>657953</v>
      </c>
      <c r="I2337" s="1">
        <v>9.5677956989247388</v>
      </c>
      <c r="J2337" s="1">
        <v>61076.217754492849</v>
      </c>
      <c r="K2337" s="1">
        <v>11.5</v>
      </c>
      <c r="L2337" s="1">
        <v>10</v>
      </c>
      <c r="M2337" s="1">
        <v>10.042294324207418</v>
      </c>
      <c r="N2337" s="1">
        <v>613345</v>
      </c>
    </row>
    <row r="2338" spans="1:14" x14ac:dyDescent="0.35">
      <c r="A2338" s="1" t="s">
        <v>18</v>
      </c>
      <c r="B2338" s="1">
        <v>202509</v>
      </c>
      <c r="C2338" s="1" t="str">
        <f>MID(analisis_productividad__4[[#This Row],[Periodo]],1,4)</f>
        <v>2025</v>
      </c>
      <c r="D2338" s="1" t="str">
        <f>MID(analisis_productividad__4[[#This Row],[Periodo]],5,2)</f>
        <v>09</v>
      </c>
      <c r="E2338" s="1" t="s">
        <v>16</v>
      </c>
      <c r="F2338" s="1" t="s">
        <v>19</v>
      </c>
      <c r="G2338" s="1">
        <v>68734</v>
      </c>
      <c r="H2338" s="1">
        <v>4292560</v>
      </c>
      <c r="I2338" s="1">
        <v>62.452152777777805</v>
      </c>
      <c r="J2338" s="1">
        <v>75171.977769458725</v>
      </c>
      <c r="K2338" s="1">
        <v>70.5</v>
      </c>
      <c r="L2338" s="1">
        <v>69.5</v>
      </c>
      <c r="M2338" s="1">
        <v>57.103188945814921</v>
      </c>
      <c r="N2338" s="1">
        <v>4925299</v>
      </c>
    </row>
    <row r="2339" spans="1:14" x14ac:dyDescent="0.35">
      <c r="A2339" s="1" t="s">
        <v>85</v>
      </c>
      <c r="B2339" s="1">
        <v>202410</v>
      </c>
      <c r="C2339" s="1" t="str">
        <f>MID(analisis_productividad__4[[#This Row],[Periodo]],1,4)</f>
        <v>2024</v>
      </c>
      <c r="D2339" s="1" t="str">
        <f>MID(analisis_productividad__4[[#This Row],[Periodo]],5,2)</f>
        <v>10</v>
      </c>
      <c r="E2339" s="1" t="s">
        <v>11</v>
      </c>
      <c r="F2339" s="1" t="s">
        <v>14</v>
      </c>
      <c r="G2339" s="1">
        <v>68717</v>
      </c>
      <c r="H2339" s="1">
        <v>3492481</v>
      </c>
      <c r="I2339" s="1">
        <v>50.824422043010749</v>
      </c>
      <c r="J2339" s="1">
        <v>0</v>
      </c>
      <c r="K2339" s="1">
        <v>60.5</v>
      </c>
      <c r="L2339" s="1">
        <v>57.5</v>
      </c>
      <c r="M2339" s="1"/>
      <c r="N2339" s="1">
        <v>0</v>
      </c>
    </row>
    <row r="2340" spans="1:14" x14ac:dyDescent="0.35">
      <c r="A2340" s="1" t="s">
        <v>81</v>
      </c>
      <c r="B2340" s="1">
        <v>202502</v>
      </c>
      <c r="C2340" s="1" t="str">
        <f>MID(analisis_productividad__4[[#This Row],[Periodo]],1,4)</f>
        <v>2025</v>
      </c>
      <c r="D2340" s="1" t="str">
        <f>MID(analisis_productividad__4[[#This Row],[Periodo]],5,2)</f>
        <v>02</v>
      </c>
      <c r="E2340" s="1" t="s">
        <v>34</v>
      </c>
      <c r="F2340" s="1" t="s">
        <v>35</v>
      </c>
      <c r="G2340" s="1">
        <v>68621</v>
      </c>
      <c r="H2340" s="1">
        <v>6659969</v>
      </c>
      <c r="I2340" s="1">
        <v>97.053749999999994</v>
      </c>
      <c r="J2340" s="1">
        <v>83583.715735030972</v>
      </c>
      <c r="K2340" s="1">
        <v>106</v>
      </c>
      <c r="L2340" s="1">
        <v>94.5</v>
      </c>
      <c r="M2340" s="1">
        <v>79.680220859201711</v>
      </c>
      <c r="N2340" s="1">
        <v>6974699</v>
      </c>
    </row>
    <row r="2341" spans="1:14" x14ac:dyDescent="0.35">
      <c r="A2341" s="1" t="s">
        <v>89</v>
      </c>
      <c r="B2341" s="1">
        <v>202407</v>
      </c>
      <c r="C2341" s="1" t="str">
        <f>MID(analisis_productividad__4[[#This Row],[Periodo]],1,4)</f>
        <v>2024</v>
      </c>
      <c r="D2341" s="1" t="str">
        <f>MID(analisis_productividad__4[[#This Row],[Periodo]],5,2)</f>
        <v>07</v>
      </c>
      <c r="E2341" s="1" t="s">
        <v>9</v>
      </c>
      <c r="F2341" s="1" t="s">
        <v>9</v>
      </c>
      <c r="G2341" s="1">
        <v>68611</v>
      </c>
      <c r="H2341" s="1">
        <v>1072349</v>
      </c>
      <c r="I2341" s="1">
        <v>15.629334677419358</v>
      </c>
      <c r="J2341" s="1">
        <v>0</v>
      </c>
      <c r="K2341" s="1">
        <v>17</v>
      </c>
      <c r="L2341" s="1">
        <v>13.5</v>
      </c>
      <c r="M2341" s="1"/>
      <c r="N2341" s="1">
        <v>0</v>
      </c>
    </row>
    <row r="2342" spans="1:14" x14ac:dyDescent="0.35">
      <c r="A2342" s="1" t="s">
        <v>110</v>
      </c>
      <c r="B2342" s="1">
        <v>202603</v>
      </c>
      <c r="C2342" s="1" t="str">
        <f>MID(analisis_productividad__4[[#This Row],[Periodo]],1,4)</f>
        <v>2026</v>
      </c>
      <c r="D2342" s="1" t="str">
        <f>MID(analisis_productividad__4[[#This Row],[Periodo]],5,2)</f>
        <v>03</v>
      </c>
      <c r="E2342" s="1" t="s">
        <v>34</v>
      </c>
      <c r="F2342" s="1" t="s">
        <v>35</v>
      </c>
      <c r="G2342" s="1">
        <v>68611</v>
      </c>
      <c r="H2342" s="1">
        <v>2244985</v>
      </c>
      <c r="I2342" s="1">
        <v>32.72048387096774</v>
      </c>
      <c r="J2342" s="1">
        <v>68538.880218183403</v>
      </c>
      <c r="K2342" s="1">
        <v>41.5</v>
      </c>
      <c r="L2342" s="1">
        <v>43</v>
      </c>
      <c r="M2342" s="1">
        <v>33.730466012000377</v>
      </c>
      <c r="N2342" s="1">
        <v>2311848</v>
      </c>
    </row>
    <row r="2343" spans="1:14" x14ac:dyDescent="0.35">
      <c r="A2343" s="1" t="s">
        <v>73</v>
      </c>
      <c r="B2343" s="1">
        <v>202409</v>
      </c>
      <c r="C2343" s="1" t="str">
        <f>MID(analisis_productividad__4[[#This Row],[Periodo]],1,4)</f>
        <v>2024</v>
      </c>
      <c r="D2343" s="1" t="str">
        <f>MID(analisis_productividad__4[[#This Row],[Periodo]],5,2)</f>
        <v>09</v>
      </c>
      <c r="E2343" s="1" t="s">
        <v>16</v>
      </c>
      <c r="F2343" s="1" t="s">
        <v>21</v>
      </c>
      <c r="G2343" s="1">
        <v>68609</v>
      </c>
      <c r="H2343" s="1">
        <v>2688404</v>
      </c>
      <c r="I2343" s="1">
        <v>39.184590277777751</v>
      </c>
      <c r="J2343" s="1">
        <v>0</v>
      </c>
      <c r="K2343" s="1">
        <v>43.5</v>
      </c>
      <c r="L2343" s="1">
        <v>41</v>
      </c>
      <c r="M2343" s="1"/>
      <c r="N2343" s="1">
        <v>0</v>
      </c>
    </row>
    <row r="2344" spans="1:14" x14ac:dyDescent="0.35">
      <c r="A2344" s="1" t="s">
        <v>94</v>
      </c>
      <c r="B2344" s="1">
        <v>202411</v>
      </c>
      <c r="C2344" s="1" t="str">
        <f>MID(analisis_productividad__4[[#This Row],[Periodo]],1,4)</f>
        <v>2024</v>
      </c>
      <c r="D2344" s="1" t="str">
        <f>MID(analisis_productividad__4[[#This Row],[Periodo]],5,2)</f>
        <v>11</v>
      </c>
      <c r="E2344" s="1" t="s">
        <v>11</v>
      </c>
      <c r="F2344" s="1" t="s">
        <v>52</v>
      </c>
      <c r="G2344" s="1">
        <v>68589</v>
      </c>
      <c r="H2344" s="1">
        <v>5053187</v>
      </c>
      <c r="I2344" s="1">
        <v>73.673347222222233</v>
      </c>
      <c r="J2344" s="1">
        <v>0</v>
      </c>
      <c r="K2344" s="1">
        <v>75.5</v>
      </c>
      <c r="L2344" s="1">
        <v>70.5</v>
      </c>
      <c r="M2344" s="1"/>
      <c r="N2344" s="1">
        <v>0</v>
      </c>
    </row>
    <row r="2345" spans="1:14" x14ac:dyDescent="0.35">
      <c r="A2345" s="1" t="s">
        <v>58</v>
      </c>
      <c r="B2345" s="1">
        <v>202504</v>
      </c>
      <c r="C2345" s="1" t="str">
        <f>MID(analisis_productividad__4[[#This Row],[Periodo]],1,4)</f>
        <v>2025</v>
      </c>
      <c r="D2345" s="1" t="str">
        <f>MID(analisis_productividad__4[[#This Row],[Periodo]],5,2)</f>
        <v>04</v>
      </c>
      <c r="E2345" s="1" t="s">
        <v>34</v>
      </c>
      <c r="F2345" s="1" t="s">
        <v>35</v>
      </c>
      <c r="G2345" s="1">
        <v>68517</v>
      </c>
      <c r="H2345" s="1">
        <v>2984682</v>
      </c>
      <c r="I2345" s="1">
        <v>43.56143749999999</v>
      </c>
      <c r="J2345" s="1">
        <v>71378.63395667811</v>
      </c>
      <c r="K2345" s="1">
        <v>53.5</v>
      </c>
      <c r="L2345" s="1">
        <v>52</v>
      </c>
      <c r="M2345" s="1">
        <v>41.81478622596638</v>
      </c>
      <c r="N2345" s="1">
        <v>3139985</v>
      </c>
    </row>
    <row r="2346" spans="1:14" x14ac:dyDescent="0.35">
      <c r="A2346" s="1" t="s">
        <v>116</v>
      </c>
      <c r="B2346" s="1">
        <v>202603</v>
      </c>
      <c r="C2346" s="1" t="str">
        <f>MID(analisis_productividad__4[[#This Row],[Periodo]],1,4)</f>
        <v>2026</v>
      </c>
      <c r="D2346" s="1" t="str">
        <f>MID(analisis_productividad__4[[#This Row],[Periodo]],5,2)</f>
        <v>03</v>
      </c>
      <c r="E2346" s="1" t="s">
        <v>9</v>
      </c>
      <c r="F2346" s="1" t="s">
        <v>9</v>
      </c>
      <c r="G2346" s="1">
        <v>68503</v>
      </c>
      <c r="H2346" s="1">
        <v>707382</v>
      </c>
      <c r="I2346" s="1">
        <v>10.326223118279572</v>
      </c>
      <c r="J2346" s="1">
        <v>71490.500340086583</v>
      </c>
      <c r="K2346" s="1">
        <v>11.5</v>
      </c>
      <c r="L2346" s="1">
        <v>10</v>
      </c>
      <c r="M2346" s="1">
        <v>10.042294324207418</v>
      </c>
      <c r="N2346" s="1">
        <v>717929</v>
      </c>
    </row>
    <row r="2347" spans="1:14" x14ac:dyDescent="0.35">
      <c r="A2347" s="1" t="s">
        <v>95</v>
      </c>
      <c r="B2347" s="1">
        <v>202503</v>
      </c>
      <c r="C2347" s="1" t="str">
        <f>MID(analisis_productividad__4[[#This Row],[Periodo]],1,4)</f>
        <v>2025</v>
      </c>
      <c r="D2347" s="1" t="str">
        <f>MID(analisis_productividad__4[[#This Row],[Periodo]],5,2)</f>
        <v>03</v>
      </c>
      <c r="E2347" s="1" t="s">
        <v>9</v>
      </c>
      <c r="F2347" s="1" t="s">
        <v>9</v>
      </c>
      <c r="G2347" s="1">
        <v>68484</v>
      </c>
      <c r="H2347" s="1">
        <v>686383</v>
      </c>
      <c r="I2347" s="1">
        <v>10.022466397849465</v>
      </c>
      <c r="J2347" s="1">
        <v>80092.759516213366</v>
      </c>
      <c r="K2347" s="1">
        <v>11</v>
      </c>
      <c r="L2347" s="1">
        <v>11</v>
      </c>
      <c r="M2347" s="1">
        <v>8.5698490618375303</v>
      </c>
      <c r="N2347" s="1">
        <v>745290</v>
      </c>
    </row>
    <row r="2348" spans="1:14" x14ac:dyDescent="0.35">
      <c r="A2348" s="1" t="s">
        <v>119</v>
      </c>
      <c r="B2348" s="1">
        <v>202505</v>
      </c>
      <c r="C2348" s="1" t="str">
        <f>MID(analisis_productividad__4[[#This Row],[Periodo]],1,4)</f>
        <v>2025</v>
      </c>
      <c r="D2348" s="1" t="str">
        <f>MID(analisis_productividad__4[[#This Row],[Periodo]],5,2)</f>
        <v>05</v>
      </c>
      <c r="E2348" s="1" t="s">
        <v>16</v>
      </c>
      <c r="F2348" s="1" t="s">
        <v>21</v>
      </c>
      <c r="G2348" s="1">
        <v>68483</v>
      </c>
      <c r="H2348" s="1">
        <v>3411281</v>
      </c>
      <c r="I2348" s="1">
        <v>49.812385752688165</v>
      </c>
      <c r="J2348" s="1">
        <v>59330.737594184888</v>
      </c>
      <c r="K2348" s="1">
        <v>52.5</v>
      </c>
      <c r="L2348" s="1">
        <v>52.5</v>
      </c>
      <c r="M2348" s="1">
        <v>57.496022269818297</v>
      </c>
      <c r="N2348" s="1">
        <v>3467483</v>
      </c>
    </row>
    <row r="2349" spans="1:14" x14ac:dyDescent="0.35">
      <c r="A2349" s="1" t="s">
        <v>58</v>
      </c>
      <c r="B2349" s="1">
        <v>202510</v>
      </c>
      <c r="C2349" s="1" t="str">
        <f>MID(analisis_productividad__4[[#This Row],[Periodo]],1,4)</f>
        <v>2025</v>
      </c>
      <c r="D2349" s="1" t="str">
        <f>MID(analisis_productividad__4[[#This Row],[Periodo]],5,2)</f>
        <v>10</v>
      </c>
      <c r="E2349" s="1" t="s">
        <v>34</v>
      </c>
      <c r="F2349" s="1" t="s">
        <v>35</v>
      </c>
      <c r="G2349" s="1">
        <v>68466</v>
      </c>
      <c r="H2349" s="1">
        <v>2795187</v>
      </c>
      <c r="I2349" s="1">
        <v>40.826182795698926</v>
      </c>
      <c r="J2349" s="1">
        <v>72817.453628280811</v>
      </c>
      <c r="K2349" s="1">
        <v>53.5</v>
      </c>
      <c r="L2349" s="1">
        <v>52</v>
      </c>
      <c r="M2349" s="1">
        <v>38.38621993387595</v>
      </c>
      <c r="N2349" s="1">
        <v>3327061</v>
      </c>
    </row>
    <row r="2350" spans="1:14" x14ac:dyDescent="0.35">
      <c r="A2350" s="1" t="s">
        <v>120</v>
      </c>
      <c r="B2350" s="1">
        <v>202508</v>
      </c>
      <c r="C2350" s="1" t="str">
        <f>MID(analisis_productividad__4[[#This Row],[Periodo]],1,4)</f>
        <v>2025</v>
      </c>
      <c r="D2350" s="1" t="str">
        <f>MID(analisis_productividad__4[[#This Row],[Periodo]],5,2)</f>
        <v>08</v>
      </c>
      <c r="E2350" s="1" t="s">
        <v>9</v>
      </c>
      <c r="F2350" s="1" t="s">
        <v>9</v>
      </c>
      <c r="G2350" s="1">
        <v>68421</v>
      </c>
      <c r="H2350" s="1">
        <v>686361</v>
      </c>
      <c r="I2350" s="1">
        <v>10.031404569892471</v>
      </c>
      <c r="J2350" s="1">
        <v>80955.405872449803</v>
      </c>
      <c r="K2350" s="1">
        <v>11.5</v>
      </c>
      <c r="L2350" s="1">
        <v>12</v>
      </c>
      <c r="M2350" s="1">
        <v>8.478263095628277</v>
      </c>
      <c r="N2350" s="1">
        <v>829307</v>
      </c>
    </row>
    <row r="2351" spans="1:14" x14ac:dyDescent="0.35">
      <c r="A2351" s="1" t="s">
        <v>102</v>
      </c>
      <c r="B2351" s="1">
        <v>202403</v>
      </c>
      <c r="C2351" s="1" t="str">
        <f>MID(analisis_productividad__4[[#This Row],[Periodo]],1,4)</f>
        <v>2024</v>
      </c>
      <c r="D2351" s="1" t="str">
        <f>MID(analisis_productividad__4[[#This Row],[Periodo]],5,2)</f>
        <v>03</v>
      </c>
      <c r="E2351" s="1" t="s">
        <v>11</v>
      </c>
      <c r="F2351" s="1" t="s">
        <v>12</v>
      </c>
      <c r="G2351" s="1">
        <v>68419</v>
      </c>
      <c r="H2351" s="1">
        <v>2416952</v>
      </c>
      <c r="I2351" s="1">
        <v>35.32558467741935</v>
      </c>
      <c r="J2351" s="1">
        <v>0</v>
      </c>
      <c r="K2351" s="1">
        <v>34</v>
      </c>
      <c r="L2351" s="1">
        <v>34</v>
      </c>
      <c r="M2351" s="1"/>
      <c r="N2351" s="1">
        <v>0</v>
      </c>
    </row>
    <row r="2352" spans="1:14" x14ac:dyDescent="0.35">
      <c r="A2352" s="1" t="s">
        <v>114</v>
      </c>
      <c r="B2352" s="1">
        <v>202403</v>
      </c>
      <c r="C2352" s="1" t="str">
        <f>MID(analisis_productividad__4[[#This Row],[Periodo]],1,4)</f>
        <v>2024</v>
      </c>
      <c r="D2352" s="1" t="str">
        <f>MID(analisis_productividad__4[[#This Row],[Periodo]],5,2)</f>
        <v>03</v>
      </c>
      <c r="E2352" s="1" t="s">
        <v>9</v>
      </c>
      <c r="F2352" s="1" t="s">
        <v>9</v>
      </c>
      <c r="G2352" s="1">
        <v>68396</v>
      </c>
      <c r="H2352" s="1">
        <v>1041441</v>
      </c>
      <c r="I2352" s="1">
        <v>15.226646505376346</v>
      </c>
      <c r="J2352" s="1">
        <v>0</v>
      </c>
      <c r="K2352" s="1">
        <v>13.5</v>
      </c>
      <c r="L2352" s="1">
        <v>14.5</v>
      </c>
      <c r="M2352" s="1"/>
      <c r="N2352" s="1">
        <v>0</v>
      </c>
    </row>
    <row r="2353" spans="1:14" x14ac:dyDescent="0.35">
      <c r="A2353" s="1" t="s">
        <v>83</v>
      </c>
      <c r="B2353" s="1">
        <v>202405</v>
      </c>
      <c r="C2353" s="1" t="str">
        <f>MID(analisis_productividad__4[[#This Row],[Periodo]],1,4)</f>
        <v>2024</v>
      </c>
      <c r="D2353" s="1" t="str">
        <f>MID(analisis_productividad__4[[#This Row],[Periodo]],5,2)</f>
        <v>05</v>
      </c>
      <c r="E2353" s="1" t="s">
        <v>16</v>
      </c>
      <c r="F2353" s="1" t="s">
        <v>17</v>
      </c>
      <c r="G2353" s="1">
        <v>68359</v>
      </c>
      <c r="H2353" s="1">
        <v>3408610</v>
      </c>
      <c r="I2353" s="1">
        <v>49.863192204301079</v>
      </c>
      <c r="J2353" s="1">
        <v>0</v>
      </c>
      <c r="K2353" s="1">
        <v>52</v>
      </c>
      <c r="L2353" s="1">
        <v>52</v>
      </c>
      <c r="M2353" s="1"/>
      <c r="N2353" s="1">
        <v>0</v>
      </c>
    </row>
    <row r="2354" spans="1:14" x14ac:dyDescent="0.35">
      <c r="A2354" s="1" t="s">
        <v>100</v>
      </c>
      <c r="B2354" s="1">
        <v>202502</v>
      </c>
      <c r="C2354" s="1" t="str">
        <f>MID(analisis_productividad__4[[#This Row],[Periodo]],1,4)</f>
        <v>2025</v>
      </c>
      <c r="D2354" s="1" t="str">
        <f>MID(analisis_productividad__4[[#This Row],[Periodo]],5,2)</f>
        <v>02</v>
      </c>
      <c r="E2354" s="1" t="s">
        <v>34</v>
      </c>
      <c r="F2354" s="1" t="s">
        <v>35</v>
      </c>
      <c r="G2354" s="1">
        <v>68342</v>
      </c>
      <c r="H2354" s="1">
        <v>2406858</v>
      </c>
      <c r="I2354" s="1">
        <v>35.217968750000004</v>
      </c>
      <c r="J2354" s="1">
        <v>75126.74506948929</v>
      </c>
      <c r="K2354" s="1">
        <v>44</v>
      </c>
      <c r="L2354" s="1">
        <v>40.5</v>
      </c>
      <c r="M2354" s="1">
        <v>32.037302797742008</v>
      </c>
      <c r="N2354" s="1">
        <v>2496087</v>
      </c>
    </row>
    <row r="2355" spans="1:14" x14ac:dyDescent="0.35">
      <c r="A2355" s="1" t="s">
        <v>118</v>
      </c>
      <c r="B2355" s="1">
        <v>202503</v>
      </c>
      <c r="C2355" s="1" t="str">
        <f>MID(analisis_productividad__4[[#This Row],[Periodo]],1,4)</f>
        <v>2025</v>
      </c>
      <c r="D2355" s="1" t="str">
        <f>MID(analisis_productividad__4[[#This Row],[Periodo]],5,2)</f>
        <v>03</v>
      </c>
      <c r="E2355" s="1" t="s">
        <v>34</v>
      </c>
      <c r="F2355" s="1" t="s">
        <v>35</v>
      </c>
      <c r="G2355" s="1">
        <v>68339</v>
      </c>
      <c r="H2355" s="1">
        <v>1319679</v>
      </c>
      <c r="I2355" s="1">
        <v>19.310685483870966</v>
      </c>
      <c r="J2355" s="1">
        <v>71216.252269302175</v>
      </c>
      <c r="K2355" s="1">
        <v>19</v>
      </c>
      <c r="L2355" s="1">
        <v>21.5</v>
      </c>
      <c r="M2355" s="1">
        <v>18.530591514555848</v>
      </c>
      <c r="N2355" s="1">
        <v>1421687</v>
      </c>
    </row>
    <row r="2356" spans="1:14" x14ac:dyDescent="0.35">
      <c r="A2356" s="1" t="s">
        <v>78</v>
      </c>
      <c r="B2356" s="1">
        <v>202510</v>
      </c>
      <c r="C2356" s="1" t="str">
        <f>MID(analisis_productividad__4[[#This Row],[Periodo]],1,4)</f>
        <v>2025</v>
      </c>
      <c r="D2356" s="1" t="str">
        <f>MID(analisis_productividad__4[[#This Row],[Periodo]],5,2)</f>
        <v>10</v>
      </c>
      <c r="E2356" s="1" t="s">
        <v>11</v>
      </c>
      <c r="F2356" s="1" t="s">
        <v>14</v>
      </c>
      <c r="G2356" s="1">
        <v>68262</v>
      </c>
      <c r="H2356" s="1">
        <v>4516043</v>
      </c>
      <c r="I2356" s="1">
        <v>66.157244623655913</v>
      </c>
      <c r="J2356" s="1">
        <v>72723.172830190728</v>
      </c>
      <c r="K2356" s="1">
        <v>79.5</v>
      </c>
      <c r="L2356" s="1">
        <v>67</v>
      </c>
      <c r="M2356" s="1">
        <v>62.099085398061511</v>
      </c>
      <c r="N2356" s="1">
        <v>5292564</v>
      </c>
    </row>
    <row r="2357" spans="1:14" x14ac:dyDescent="0.35">
      <c r="A2357" s="1" t="s">
        <v>116</v>
      </c>
      <c r="B2357" s="1">
        <v>202401</v>
      </c>
      <c r="C2357" s="1" t="str">
        <f>MID(analisis_productividad__4[[#This Row],[Periodo]],1,4)</f>
        <v>2024</v>
      </c>
      <c r="D2357" s="1" t="str">
        <f>MID(analisis_productividad__4[[#This Row],[Periodo]],5,2)</f>
        <v>01</v>
      </c>
      <c r="E2357" s="1" t="s">
        <v>9</v>
      </c>
      <c r="F2357" s="1" t="s">
        <v>9</v>
      </c>
      <c r="G2357" s="1">
        <v>68258</v>
      </c>
      <c r="H2357" s="1">
        <v>709637</v>
      </c>
      <c r="I2357" s="1">
        <v>10.396317204301075</v>
      </c>
      <c r="J2357" s="1">
        <v>0</v>
      </c>
      <c r="K2357" s="1">
        <v>11.5</v>
      </c>
      <c r="L2357" s="1">
        <v>10</v>
      </c>
      <c r="M2357" s="1"/>
      <c r="N2357" s="1">
        <v>0</v>
      </c>
    </row>
    <row r="2358" spans="1:14" x14ac:dyDescent="0.35">
      <c r="A2358" s="1" t="s">
        <v>113</v>
      </c>
      <c r="B2358" s="1">
        <v>202606</v>
      </c>
      <c r="C2358" s="1" t="str">
        <f>MID(analisis_productividad__4[[#This Row],[Periodo]],1,4)</f>
        <v>2026</v>
      </c>
      <c r="D2358" s="1" t="str">
        <f>MID(analisis_productividad__4[[#This Row],[Periodo]],5,2)</f>
        <v>06</v>
      </c>
      <c r="E2358" s="1" t="s">
        <v>9</v>
      </c>
      <c r="F2358" s="1" t="s">
        <v>9</v>
      </c>
      <c r="G2358" s="1">
        <v>68246</v>
      </c>
      <c r="H2358" s="1">
        <v>592249</v>
      </c>
      <c r="I2358" s="1">
        <v>8.6781041666666745</v>
      </c>
      <c r="J2358" s="1">
        <v>53792.800664865514</v>
      </c>
      <c r="K2358" s="1">
        <v>11.5</v>
      </c>
      <c r="L2358" s="1">
        <v>10</v>
      </c>
      <c r="M2358" s="1">
        <v>10.042294324207418</v>
      </c>
      <c r="N2358" s="1">
        <v>540203</v>
      </c>
    </row>
    <row r="2359" spans="1:14" x14ac:dyDescent="0.35">
      <c r="A2359" s="1" t="s">
        <v>103</v>
      </c>
      <c r="B2359" s="1">
        <v>202408</v>
      </c>
      <c r="C2359" s="1" t="str">
        <f>MID(analisis_productividad__4[[#This Row],[Periodo]],1,4)</f>
        <v>2024</v>
      </c>
      <c r="D2359" s="1" t="str">
        <f>MID(analisis_productividad__4[[#This Row],[Periodo]],5,2)</f>
        <v>08</v>
      </c>
      <c r="E2359" s="1" t="s">
        <v>104</v>
      </c>
      <c r="F2359" s="1" t="s">
        <v>104</v>
      </c>
      <c r="G2359" s="1">
        <v>68178</v>
      </c>
      <c r="H2359" s="1">
        <v>5388798</v>
      </c>
      <c r="I2359" s="1">
        <v>79.040067204301081</v>
      </c>
      <c r="J2359" s="1">
        <v>0</v>
      </c>
      <c r="K2359" s="1">
        <v>94</v>
      </c>
      <c r="L2359" s="1">
        <v>77.5</v>
      </c>
      <c r="M2359" s="1"/>
      <c r="N2359" s="1">
        <v>0</v>
      </c>
    </row>
    <row r="2360" spans="1:14" x14ac:dyDescent="0.35">
      <c r="A2360" s="1" t="s">
        <v>90</v>
      </c>
      <c r="B2360" s="1">
        <v>202406</v>
      </c>
      <c r="C2360" s="1" t="str">
        <f>MID(analisis_productividad__4[[#This Row],[Periodo]],1,4)</f>
        <v>2024</v>
      </c>
      <c r="D2360" s="1" t="str">
        <f>MID(analisis_productividad__4[[#This Row],[Periodo]],5,2)</f>
        <v>06</v>
      </c>
      <c r="E2360" s="1" t="s">
        <v>11</v>
      </c>
      <c r="F2360" s="1" t="s">
        <v>14</v>
      </c>
      <c r="G2360" s="1">
        <v>68167</v>
      </c>
      <c r="H2360" s="1">
        <v>5714080</v>
      </c>
      <c r="I2360" s="1">
        <v>83.825097222222226</v>
      </c>
      <c r="J2360" s="1">
        <v>0</v>
      </c>
      <c r="K2360" s="1">
        <v>84.5</v>
      </c>
      <c r="L2360" s="1">
        <v>78.5</v>
      </c>
      <c r="M2360" s="1"/>
      <c r="N2360" s="1">
        <v>0</v>
      </c>
    </row>
    <row r="2361" spans="1:14" x14ac:dyDescent="0.35">
      <c r="A2361" s="1" t="s">
        <v>116</v>
      </c>
      <c r="B2361" s="1">
        <v>202403</v>
      </c>
      <c r="C2361" s="1" t="str">
        <f>MID(analisis_productividad__4[[#This Row],[Periodo]],1,4)</f>
        <v>2024</v>
      </c>
      <c r="D2361" s="1" t="str">
        <f>MID(analisis_productividad__4[[#This Row],[Periodo]],5,2)</f>
        <v>03</v>
      </c>
      <c r="E2361" s="1" t="s">
        <v>9</v>
      </c>
      <c r="F2361" s="1" t="s">
        <v>9</v>
      </c>
      <c r="G2361" s="1">
        <v>68146</v>
      </c>
      <c r="H2361" s="1">
        <v>778503</v>
      </c>
      <c r="I2361" s="1">
        <v>11.424018817204304</v>
      </c>
      <c r="J2361" s="1">
        <v>0</v>
      </c>
      <c r="K2361" s="1">
        <v>11.5</v>
      </c>
      <c r="L2361" s="1">
        <v>10</v>
      </c>
      <c r="M2361" s="1"/>
      <c r="N2361" s="1">
        <v>0</v>
      </c>
    </row>
    <row r="2362" spans="1:14" x14ac:dyDescent="0.35">
      <c r="A2362" s="1" t="s">
        <v>111</v>
      </c>
      <c r="B2362" s="1">
        <v>202503</v>
      </c>
      <c r="C2362" s="1" t="str">
        <f>MID(analisis_productividad__4[[#This Row],[Periodo]],1,4)</f>
        <v>2025</v>
      </c>
      <c r="D2362" s="1" t="str">
        <f>MID(analisis_productividad__4[[#This Row],[Periodo]],5,2)</f>
        <v>03</v>
      </c>
      <c r="E2362" s="1" t="s">
        <v>34</v>
      </c>
      <c r="F2362" s="1" t="s">
        <v>35</v>
      </c>
      <c r="G2362" s="1">
        <v>68114</v>
      </c>
      <c r="H2362" s="1">
        <v>2551029</v>
      </c>
      <c r="I2362" s="1">
        <v>37.452446236559133</v>
      </c>
      <c r="J2362" s="1">
        <v>63044.220982479579</v>
      </c>
      <c r="K2362" s="1">
        <v>45.5</v>
      </c>
      <c r="L2362" s="1">
        <v>42.5</v>
      </c>
      <c r="M2362" s="1">
        <v>40.464126770778066</v>
      </c>
      <c r="N2362" s="1">
        <v>2645582</v>
      </c>
    </row>
    <row r="2363" spans="1:14" x14ac:dyDescent="0.35">
      <c r="A2363" s="1" t="s">
        <v>117</v>
      </c>
      <c r="B2363" s="1">
        <v>202603</v>
      </c>
      <c r="C2363" s="1" t="str">
        <f>MID(analisis_productividad__4[[#This Row],[Periodo]],1,4)</f>
        <v>2026</v>
      </c>
      <c r="D2363" s="1" t="str">
        <f>MID(analisis_productividad__4[[#This Row],[Periodo]],5,2)</f>
        <v>03</v>
      </c>
      <c r="E2363" s="1" t="s">
        <v>104</v>
      </c>
      <c r="F2363" s="1" t="s">
        <v>104</v>
      </c>
      <c r="G2363" s="1">
        <v>68100</v>
      </c>
      <c r="H2363" s="1">
        <v>3979052</v>
      </c>
      <c r="I2363" s="1">
        <v>58.429865591397864</v>
      </c>
      <c r="J2363" s="1">
        <v>63702.456785033522</v>
      </c>
      <c r="K2363" s="1">
        <v>66</v>
      </c>
      <c r="L2363" s="1">
        <v>65.5</v>
      </c>
      <c r="M2363" s="1">
        <v>58.116081161406527</v>
      </c>
      <c r="N2363" s="1">
        <v>3702137</v>
      </c>
    </row>
    <row r="2364" spans="1:14" x14ac:dyDescent="0.35">
      <c r="A2364" s="1" t="s">
        <v>18</v>
      </c>
      <c r="B2364" s="1">
        <v>202506</v>
      </c>
      <c r="C2364" s="1" t="str">
        <f>MID(analisis_productividad__4[[#This Row],[Periodo]],1,4)</f>
        <v>2025</v>
      </c>
      <c r="D2364" s="1" t="str">
        <f>MID(analisis_productividad__4[[#This Row],[Periodo]],5,2)</f>
        <v>06</v>
      </c>
      <c r="E2364" s="1" t="s">
        <v>16</v>
      </c>
      <c r="F2364" s="1" t="s">
        <v>19</v>
      </c>
      <c r="G2364" s="1">
        <v>68083</v>
      </c>
      <c r="H2364" s="1">
        <v>4488061</v>
      </c>
      <c r="I2364" s="1">
        <v>65.920069444444437</v>
      </c>
      <c r="J2364" s="1">
        <v>80288.078520513984</v>
      </c>
      <c r="K2364" s="1">
        <v>70.5</v>
      </c>
      <c r="L2364" s="1">
        <v>69.5</v>
      </c>
      <c r="M2364" s="1">
        <v>55.899470166710728</v>
      </c>
      <c r="N2364" s="1">
        <v>4828109</v>
      </c>
    </row>
    <row r="2365" spans="1:14" x14ac:dyDescent="0.35">
      <c r="A2365" s="1" t="s">
        <v>100</v>
      </c>
      <c r="B2365" s="1">
        <v>202501</v>
      </c>
      <c r="C2365" s="1" t="str">
        <f>MID(analisis_productividad__4[[#This Row],[Periodo]],1,4)</f>
        <v>2025</v>
      </c>
      <c r="D2365" s="1" t="str">
        <f>MID(analisis_productividad__4[[#This Row],[Periodo]],5,2)</f>
        <v>01</v>
      </c>
      <c r="E2365" s="1" t="s">
        <v>34</v>
      </c>
      <c r="F2365" s="1" t="s">
        <v>35</v>
      </c>
      <c r="G2365" s="1">
        <v>68081</v>
      </c>
      <c r="H2365" s="1">
        <v>2516043</v>
      </c>
      <c r="I2365" s="1">
        <v>36.956801075268828</v>
      </c>
      <c r="J2365" s="1">
        <v>76947.930524732437</v>
      </c>
      <c r="K2365" s="1">
        <v>44</v>
      </c>
      <c r="L2365" s="1">
        <v>40.5</v>
      </c>
      <c r="M2365" s="1">
        <v>32.697991392910801</v>
      </c>
      <c r="N2365" s="1">
        <v>2720340</v>
      </c>
    </row>
    <row r="2366" spans="1:14" x14ac:dyDescent="0.35">
      <c r="A2366" s="1" t="s">
        <v>94</v>
      </c>
      <c r="B2366" s="1">
        <v>202409</v>
      </c>
      <c r="C2366" s="1" t="str">
        <f>MID(analisis_productividad__4[[#This Row],[Periodo]],1,4)</f>
        <v>2024</v>
      </c>
      <c r="D2366" s="1" t="str">
        <f>MID(analisis_productividad__4[[#This Row],[Periodo]],5,2)</f>
        <v>09</v>
      </c>
      <c r="E2366" s="1" t="s">
        <v>11</v>
      </c>
      <c r="F2366" s="1" t="s">
        <v>52</v>
      </c>
      <c r="G2366" s="1">
        <v>68075</v>
      </c>
      <c r="H2366" s="1">
        <v>4742536</v>
      </c>
      <c r="I2366" s="1">
        <v>69.66589583333338</v>
      </c>
      <c r="J2366" s="1">
        <v>0</v>
      </c>
      <c r="K2366" s="1">
        <v>75.5</v>
      </c>
      <c r="L2366" s="1">
        <v>70.5</v>
      </c>
      <c r="M2366" s="1"/>
      <c r="N2366" s="1">
        <v>0</v>
      </c>
    </row>
    <row r="2367" spans="1:14" x14ac:dyDescent="0.35">
      <c r="A2367" s="1" t="s">
        <v>59</v>
      </c>
      <c r="B2367" s="1">
        <v>202502</v>
      </c>
      <c r="C2367" s="1" t="str">
        <f>MID(analisis_productividad__4[[#This Row],[Periodo]],1,4)</f>
        <v>2025</v>
      </c>
      <c r="D2367" s="1" t="str">
        <f>MID(analisis_productividad__4[[#This Row],[Periodo]],5,2)</f>
        <v>02</v>
      </c>
      <c r="E2367" s="1" t="s">
        <v>11</v>
      </c>
      <c r="F2367" s="1" t="s">
        <v>12</v>
      </c>
      <c r="G2367" s="1">
        <v>68029</v>
      </c>
      <c r="H2367" s="1">
        <v>5721232</v>
      </c>
      <c r="I2367" s="1">
        <v>84.099947916666665</v>
      </c>
      <c r="J2367" s="1">
        <v>80481.167801453019</v>
      </c>
      <c r="K2367" s="1">
        <v>94.5</v>
      </c>
      <c r="L2367" s="1">
        <v>97</v>
      </c>
      <c r="M2367" s="1">
        <v>71.087833542801931</v>
      </c>
      <c r="N2367" s="1">
        <v>7170208</v>
      </c>
    </row>
    <row r="2368" spans="1:14" x14ac:dyDescent="0.35">
      <c r="A2368" s="1" t="s">
        <v>109</v>
      </c>
      <c r="B2368" s="1">
        <v>202409</v>
      </c>
      <c r="C2368" s="1" t="str">
        <f>MID(analisis_productividad__4[[#This Row],[Periodo]],1,4)</f>
        <v>2024</v>
      </c>
      <c r="D2368" s="1" t="str">
        <f>MID(analisis_productividad__4[[#This Row],[Periodo]],5,2)</f>
        <v>09</v>
      </c>
      <c r="E2368" s="1" t="s">
        <v>9</v>
      </c>
      <c r="F2368" s="1" t="s">
        <v>9</v>
      </c>
      <c r="G2368" s="1">
        <v>68012</v>
      </c>
      <c r="H2368" s="1">
        <v>528126</v>
      </c>
      <c r="I2368" s="1">
        <v>7.7651875000000006</v>
      </c>
      <c r="J2368" s="1">
        <v>0</v>
      </c>
      <c r="K2368" s="1">
        <v>10</v>
      </c>
      <c r="L2368" s="1">
        <v>9</v>
      </c>
      <c r="M2368" s="1"/>
      <c r="N2368" s="1">
        <v>0</v>
      </c>
    </row>
    <row r="2369" spans="1:14" x14ac:dyDescent="0.35">
      <c r="A2369" s="1" t="s">
        <v>112</v>
      </c>
      <c r="B2369" s="1">
        <v>202511</v>
      </c>
      <c r="C2369" s="1" t="str">
        <f>MID(analisis_productividad__4[[#This Row],[Periodo]],1,4)</f>
        <v>2025</v>
      </c>
      <c r="D2369" s="1" t="str">
        <f>MID(analisis_productividad__4[[#This Row],[Periodo]],5,2)</f>
        <v>11</v>
      </c>
      <c r="E2369" s="1" t="s">
        <v>34</v>
      </c>
      <c r="F2369" s="1" t="s">
        <v>35</v>
      </c>
      <c r="G2369" s="1">
        <v>68009</v>
      </c>
      <c r="H2369" s="1">
        <v>1650909</v>
      </c>
      <c r="I2369" s="1">
        <v>24.274784722222218</v>
      </c>
      <c r="J2369" s="1">
        <v>68980.111963511372</v>
      </c>
      <c r="K2369" s="1">
        <v>31</v>
      </c>
      <c r="L2369" s="1">
        <v>27</v>
      </c>
      <c r="M2369" s="1">
        <v>23.93311612589563</v>
      </c>
      <c r="N2369" s="1">
        <v>1579422</v>
      </c>
    </row>
    <row r="2370" spans="1:14" x14ac:dyDescent="0.35">
      <c r="A2370" s="1" t="s">
        <v>118</v>
      </c>
      <c r="B2370" s="1">
        <v>202601</v>
      </c>
      <c r="C2370" s="1" t="str">
        <f>MID(analisis_productividad__4[[#This Row],[Periodo]],1,4)</f>
        <v>2026</v>
      </c>
      <c r="D2370" s="1" t="str">
        <f>MID(analisis_productividad__4[[#This Row],[Periodo]],5,2)</f>
        <v>01</v>
      </c>
      <c r="E2370" s="1" t="s">
        <v>34</v>
      </c>
      <c r="F2370" s="1" t="s">
        <v>35</v>
      </c>
      <c r="G2370" s="1">
        <v>68004</v>
      </c>
      <c r="H2370" s="1">
        <v>1117393</v>
      </c>
      <c r="I2370" s="1">
        <v>16.431323924731185</v>
      </c>
      <c r="J2370" s="1">
        <v>65993.62656648735</v>
      </c>
      <c r="K2370" s="1">
        <v>19</v>
      </c>
      <c r="L2370" s="1">
        <v>21.5</v>
      </c>
      <c r="M2370" s="1">
        <v>17.464859694273773</v>
      </c>
      <c r="N2370" s="1">
        <v>1152569</v>
      </c>
    </row>
    <row r="2371" spans="1:14" x14ac:dyDescent="0.35">
      <c r="A2371" s="1" t="s">
        <v>100</v>
      </c>
      <c r="B2371" s="1">
        <v>202411</v>
      </c>
      <c r="C2371" s="1" t="str">
        <f>MID(analisis_productividad__4[[#This Row],[Periodo]],1,4)</f>
        <v>2024</v>
      </c>
      <c r="D2371" s="1" t="str">
        <f>MID(analisis_productividad__4[[#This Row],[Periodo]],5,2)</f>
        <v>11</v>
      </c>
      <c r="E2371" s="1" t="s">
        <v>34</v>
      </c>
      <c r="F2371" s="1" t="s">
        <v>35</v>
      </c>
      <c r="G2371" s="1">
        <v>67986</v>
      </c>
      <c r="H2371" s="1">
        <v>2567285</v>
      </c>
      <c r="I2371" s="1">
        <v>37.762131944444448</v>
      </c>
      <c r="J2371" s="1">
        <v>0</v>
      </c>
      <c r="K2371" s="1">
        <v>44</v>
      </c>
      <c r="L2371" s="1">
        <v>40.5</v>
      </c>
      <c r="M2371" s="1"/>
      <c r="N2371" s="1">
        <v>0</v>
      </c>
    </row>
    <row r="2372" spans="1:14" x14ac:dyDescent="0.35">
      <c r="A2372" s="1" t="s">
        <v>112</v>
      </c>
      <c r="B2372" s="1">
        <v>202407</v>
      </c>
      <c r="C2372" s="1" t="str">
        <f>MID(analisis_productividad__4[[#This Row],[Periodo]],1,4)</f>
        <v>2024</v>
      </c>
      <c r="D2372" s="1" t="str">
        <f>MID(analisis_productividad__4[[#This Row],[Periodo]],5,2)</f>
        <v>07</v>
      </c>
      <c r="E2372" s="1" t="s">
        <v>34</v>
      </c>
      <c r="F2372" s="1" t="s">
        <v>35</v>
      </c>
      <c r="G2372" s="1">
        <v>67984</v>
      </c>
      <c r="H2372" s="1">
        <v>1757976</v>
      </c>
      <c r="I2372" s="1">
        <v>25.858649193548384</v>
      </c>
      <c r="J2372" s="1">
        <v>0</v>
      </c>
      <c r="K2372" s="1">
        <v>31</v>
      </c>
      <c r="L2372" s="1">
        <v>27</v>
      </c>
      <c r="M2372" s="1"/>
      <c r="N2372" s="1">
        <v>0</v>
      </c>
    </row>
    <row r="2373" spans="1:14" x14ac:dyDescent="0.35">
      <c r="A2373" s="1" t="s">
        <v>58</v>
      </c>
      <c r="B2373" s="1">
        <v>202404</v>
      </c>
      <c r="C2373" s="1" t="str">
        <f>MID(analisis_productividad__4[[#This Row],[Periodo]],1,4)</f>
        <v>2024</v>
      </c>
      <c r="D2373" s="1" t="str">
        <f>MID(analisis_productividad__4[[#This Row],[Periodo]],5,2)</f>
        <v>04</v>
      </c>
      <c r="E2373" s="1" t="s">
        <v>34</v>
      </c>
      <c r="F2373" s="1" t="s">
        <v>35</v>
      </c>
      <c r="G2373" s="1">
        <v>67980</v>
      </c>
      <c r="H2373" s="1">
        <v>3227990</v>
      </c>
      <c r="I2373" s="1">
        <v>47.484645833333332</v>
      </c>
      <c r="J2373" s="1">
        <v>0</v>
      </c>
      <c r="K2373" s="1">
        <v>53.5</v>
      </c>
      <c r="L2373" s="1">
        <v>52</v>
      </c>
      <c r="M2373" s="1"/>
      <c r="N2373" s="1">
        <v>0</v>
      </c>
    </row>
    <row r="2374" spans="1:14" x14ac:dyDescent="0.35">
      <c r="A2374" s="1" t="s">
        <v>100</v>
      </c>
      <c r="B2374" s="1">
        <v>202507</v>
      </c>
      <c r="C2374" s="1" t="str">
        <f>MID(analisis_productividad__4[[#This Row],[Periodo]],1,4)</f>
        <v>2025</v>
      </c>
      <c r="D2374" s="1" t="str">
        <f>MID(analisis_productividad__4[[#This Row],[Periodo]],5,2)</f>
        <v>07</v>
      </c>
      <c r="E2374" s="1" t="s">
        <v>34</v>
      </c>
      <c r="F2374" s="1" t="s">
        <v>35</v>
      </c>
      <c r="G2374" s="1">
        <v>67976</v>
      </c>
      <c r="H2374" s="1">
        <v>2465488</v>
      </c>
      <c r="I2374" s="1">
        <v>36.270020161290326</v>
      </c>
      <c r="J2374" s="1">
        <v>73181.619797208215</v>
      </c>
      <c r="K2374" s="1">
        <v>44</v>
      </c>
      <c r="L2374" s="1">
        <v>40.5</v>
      </c>
      <c r="M2374" s="1">
        <v>33.689988235188743</v>
      </c>
      <c r="N2374" s="1">
        <v>2696459</v>
      </c>
    </row>
    <row r="2375" spans="1:14" x14ac:dyDescent="0.35">
      <c r="A2375" s="1" t="s">
        <v>64</v>
      </c>
      <c r="B2375" s="1">
        <v>202504</v>
      </c>
      <c r="C2375" s="1" t="str">
        <f>MID(analisis_productividad__4[[#This Row],[Periodo]],1,4)</f>
        <v>2025</v>
      </c>
      <c r="D2375" s="1" t="str">
        <f>MID(analisis_productividad__4[[#This Row],[Periodo]],5,2)</f>
        <v>04</v>
      </c>
      <c r="E2375" s="1" t="s">
        <v>16</v>
      </c>
      <c r="F2375" s="1" t="s">
        <v>21</v>
      </c>
      <c r="G2375" s="1">
        <v>67974</v>
      </c>
      <c r="H2375" s="1">
        <v>9037321</v>
      </c>
      <c r="I2375" s="1">
        <v>132.95187499999997</v>
      </c>
      <c r="J2375" s="1">
        <v>72496.814802223686</v>
      </c>
      <c r="K2375" s="1">
        <v>88.5</v>
      </c>
      <c r="L2375" s="1">
        <v>92.5</v>
      </c>
      <c r="M2375" s="1">
        <v>124.65818442719775</v>
      </c>
      <c r="N2375" s="1">
        <v>6319758</v>
      </c>
    </row>
    <row r="2376" spans="1:14" x14ac:dyDescent="0.35">
      <c r="A2376" s="1" t="s">
        <v>119</v>
      </c>
      <c r="B2376" s="1">
        <v>202403</v>
      </c>
      <c r="C2376" s="1" t="str">
        <f>MID(analisis_productividad__4[[#This Row],[Periodo]],1,4)</f>
        <v>2024</v>
      </c>
      <c r="D2376" s="1" t="str">
        <f>MID(analisis_productividad__4[[#This Row],[Periodo]],5,2)</f>
        <v>03</v>
      </c>
      <c r="E2376" s="1" t="s">
        <v>16</v>
      </c>
      <c r="F2376" s="1" t="s">
        <v>21</v>
      </c>
      <c r="G2376" s="1">
        <v>67963</v>
      </c>
      <c r="H2376" s="1">
        <v>3774569</v>
      </c>
      <c r="I2376" s="1">
        <v>55.538366935483872</v>
      </c>
      <c r="J2376" s="1">
        <v>0</v>
      </c>
      <c r="K2376" s="1">
        <v>52.5</v>
      </c>
      <c r="L2376" s="1">
        <v>52.5</v>
      </c>
      <c r="M2376" s="1"/>
      <c r="N2376" s="1">
        <v>0</v>
      </c>
    </row>
    <row r="2377" spans="1:14" x14ac:dyDescent="0.35">
      <c r="A2377" s="1" t="s">
        <v>98</v>
      </c>
      <c r="B2377" s="1">
        <v>202505</v>
      </c>
      <c r="C2377" s="1" t="str">
        <f>MID(analisis_productividad__4[[#This Row],[Periodo]],1,4)</f>
        <v>2025</v>
      </c>
      <c r="D2377" s="1" t="str">
        <f>MID(analisis_productividad__4[[#This Row],[Periodo]],5,2)</f>
        <v>05</v>
      </c>
      <c r="E2377" s="1" t="s">
        <v>11</v>
      </c>
      <c r="F2377" s="1" t="s">
        <v>14</v>
      </c>
      <c r="G2377" s="1">
        <v>67962</v>
      </c>
      <c r="H2377" s="1">
        <v>3684553</v>
      </c>
      <c r="I2377" s="1">
        <v>54.214717741935495</v>
      </c>
      <c r="J2377" s="1">
        <v>66469.983829849618</v>
      </c>
      <c r="K2377" s="1">
        <v>61.5</v>
      </c>
      <c r="L2377" s="1">
        <v>56</v>
      </c>
      <c r="M2377" s="1">
        <v>55.43182813812242</v>
      </c>
      <c r="N2377" s="1">
        <v>3923407</v>
      </c>
    </row>
    <row r="2378" spans="1:14" x14ac:dyDescent="0.35">
      <c r="A2378" s="1" t="s">
        <v>110</v>
      </c>
      <c r="B2378" s="1">
        <v>202511</v>
      </c>
      <c r="C2378" s="1" t="str">
        <f>MID(analisis_productividad__4[[#This Row],[Periodo]],1,4)</f>
        <v>2025</v>
      </c>
      <c r="D2378" s="1" t="str">
        <f>MID(analisis_productividad__4[[#This Row],[Periodo]],5,2)</f>
        <v>11</v>
      </c>
      <c r="E2378" s="1" t="s">
        <v>34</v>
      </c>
      <c r="F2378" s="1" t="s">
        <v>35</v>
      </c>
      <c r="G2378" s="1">
        <v>67950</v>
      </c>
      <c r="H2378" s="1">
        <v>2100302</v>
      </c>
      <c r="I2378" s="1">
        <v>30.909423611111116</v>
      </c>
      <c r="J2378" s="1">
        <v>64960.94646936137</v>
      </c>
      <c r="K2378" s="1">
        <v>41.5</v>
      </c>
      <c r="L2378" s="1">
        <v>43</v>
      </c>
      <c r="M2378" s="1">
        <v>32.331771074034478</v>
      </c>
      <c r="N2378" s="1">
        <v>2410746</v>
      </c>
    </row>
    <row r="2379" spans="1:14" x14ac:dyDescent="0.35">
      <c r="A2379" s="1" t="s">
        <v>33</v>
      </c>
      <c r="B2379" s="1">
        <v>202502</v>
      </c>
      <c r="C2379" s="1" t="str">
        <f>MID(analisis_productividad__4[[#This Row],[Periodo]],1,4)</f>
        <v>2025</v>
      </c>
      <c r="D2379" s="1" t="str">
        <f>MID(analisis_productividad__4[[#This Row],[Periodo]],5,2)</f>
        <v>02</v>
      </c>
      <c r="E2379" s="1" t="s">
        <v>34</v>
      </c>
      <c r="F2379" s="1" t="s">
        <v>35</v>
      </c>
      <c r="G2379" s="1">
        <v>67948</v>
      </c>
      <c r="H2379" s="1">
        <v>983161</v>
      </c>
      <c r="I2379" s="1">
        <v>14.469218750000001</v>
      </c>
      <c r="J2379" s="1">
        <v>86581.688609877034</v>
      </c>
      <c r="K2379" s="1">
        <v>15</v>
      </c>
      <c r="L2379" s="1">
        <v>15</v>
      </c>
      <c r="M2379" s="1">
        <v>11.355299091358255</v>
      </c>
      <c r="N2379" s="1">
        <v>1111856</v>
      </c>
    </row>
    <row r="2380" spans="1:14" x14ac:dyDescent="0.35">
      <c r="A2380" s="1" t="s">
        <v>8</v>
      </c>
      <c r="B2380" s="1">
        <v>202402</v>
      </c>
      <c r="C2380" s="1" t="str">
        <f>MID(analisis_productividad__4[[#This Row],[Periodo]],1,4)</f>
        <v>2024</v>
      </c>
      <c r="D2380" s="1" t="str">
        <f>MID(analisis_productividad__4[[#This Row],[Periodo]],5,2)</f>
        <v>02</v>
      </c>
      <c r="E2380" s="1" t="s">
        <v>9</v>
      </c>
      <c r="F2380" s="1" t="s">
        <v>9</v>
      </c>
      <c r="G2380" s="1">
        <v>67923</v>
      </c>
      <c r="H2380" s="1">
        <v>935322</v>
      </c>
      <c r="I2380" s="1">
        <v>13.770387931034488</v>
      </c>
      <c r="J2380" s="1">
        <v>0</v>
      </c>
      <c r="K2380" s="1">
        <v>13.5</v>
      </c>
      <c r="L2380" s="1">
        <v>12.5</v>
      </c>
      <c r="M2380" s="1"/>
      <c r="N2380" s="1">
        <v>0</v>
      </c>
    </row>
    <row r="2381" spans="1:14" x14ac:dyDescent="0.35">
      <c r="A2381" s="1" t="s">
        <v>112</v>
      </c>
      <c r="B2381" s="1">
        <v>202408</v>
      </c>
      <c r="C2381" s="1" t="str">
        <f>MID(analisis_productividad__4[[#This Row],[Periodo]],1,4)</f>
        <v>2024</v>
      </c>
      <c r="D2381" s="1" t="str">
        <f>MID(analisis_productividad__4[[#This Row],[Periodo]],5,2)</f>
        <v>08</v>
      </c>
      <c r="E2381" s="1" t="s">
        <v>34</v>
      </c>
      <c r="F2381" s="1" t="s">
        <v>35</v>
      </c>
      <c r="G2381" s="1">
        <v>67883</v>
      </c>
      <c r="H2381" s="1">
        <v>1795920</v>
      </c>
      <c r="I2381" s="1">
        <v>26.456095430107517</v>
      </c>
      <c r="J2381" s="1">
        <v>0</v>
      </c>
      <c r="K2381" s="1">
        <v>31</v>
      </c>
      <c r="L2381" s="1">
        <v>27</v>
      </c>
      <c r="M2381" s="1"/>
      <c r="N2381" s="1">
        <v>0</v>
      </c>
    </row>
    <row r="2382" spans="1:14" x14ac:dyDescent="0.35">
      <c r="A2382" s="1" t="s">
        <v>82</v>
      </c>
      <c r="B2382" s="1">
        <v>202409</v>
      </c>
      <c r="C2382" s="1" t="str">
        <f>MID(analisis_productividad__4[[#This Row],[Periodo]],1,4)</f>
        <v>2024</v>
      </c>
      <c r="D2382" s="1" t="str">
        <f>MID(analisis_productividad__4[[#This Row],[Periodo]],5,2)</f>
        <v>09</v>
      </c>
      <c r="E2382" s="1" t="s">
        <v>11</v>
      </c>
      <c r="F2382" s="1" t="s">
        <v>12</v>
      </c>
      <c r="G2382" s="1">
        <v>67882</v>
      </c>
      <c r="H2382" s="1">
        <v>3555248</v>
      </c>
      <c r="I2382" s="1">
        <v>52.373756944444445</v>
      </c>
      <c r="J2382" s="1">
        <v>0</v>
      </c>
      <c r="K2382" s="1">
        <v>53.5</v>
      </c>
      <c r="L2382" s="1">
        <v>54</v>
      </c>
      <c r="M2382" s="1"/>
      <c r="N2382" s="1">
        <v>0</v>
      </c>
    </row>
    <row r="2383" spans="1:14" x14ac:dyDescent="0.35">
      <c r="A2383" s="1" t="s">
        <v>48</v>
      </c>
      <c r="B2383" s="1">
        <v>202501</v>
      </c>
      <c r="C2383" s="1" t="str">
        <f>MID(analisis_productividad__4[[#This Row],[Periodo]],1,4)</f>
        <v>2025</v>
      </c>
      <c r="D2383" s="1" t="str">
        <f>MID(analisis_productividad__4[[#This Row],[Periodo]],5,2)</f>
        <v>01</v>
      </c>
      <c r="E2383" s="1" t="s">
        <v>16</v>
      </c>
      <c r="F2383" s="1" t="s">
        <v>21</v>
      </c>
      <c r="G2383" s="1">
        <v>67864</v>
      </c>
      <c r="H2383" s="1">
        <v>3602615</v>
      </c>
      <c r="I2383" s="1">
        <v>53.085685483870954</v>
      </c>
      <c r="J2383" s="1">
        <v>78938.844917223963</v>
      </c>
      <c r="K2383" s="1">
        <v>56</v>
      </c>
      <c r="L2383" s="1">
        <v>60</v>
      </c>
      <c r="M2383" s="1">
        <v>45.6380504905758</v>
      </c>
      <c r="N2383" s="1">
        <v>4553715</v>
      </c>
    </row>
    <row r="2384" spans="1:14" x14ac:dyDescent="0.35">
      <c r="A2384" s="1" t="s">
        <v>77</v>
      </c>
      <c r="B2384" s="1">
        <v>202410</v>
      </c>
      <c r="C2384" s="1" t="str">
        <f>MID(analisis_productividad__4[[#This Row],[Periodo]],1,4)</f>
        <v>2024</v>
      </c>
      <c r="D2384" s="1" t="str">
        <f>MID(analisis_productividad__4[[#This Row],[Periodo]],5,2)</f>
        <v>10</v>
      </c>
      <c r="E2384" s="1" t="s">
        <v>16</v>
      </c>
      <c r="F2384" s="1" t="s">
        <v>21</v>
      </c>
      <c r="G2384" s="1">
        <v>67854</v>
      </c>
      <c r="H2384" s="1">
        <v>4277187</v>
      </c>
      <c r="I2384" s="1">
        <v>63.03547043010753</v>
      </c>
      <c r="J2384" s="1">
        <v>0</v>
      </c>
      <c r="K2384" s="1">
        <v>60.5</v>
      </c>
      <c r="L2384" s="1">
        <v>60.5</v>
      </c>
      <c r="M2384" s="1"/>
      <c r="N2384" s="1">
        <v>0</v>
      </c>
    </row>
    <row r="2385" spans="1:14" x14ac:dyDescent="0.35">
      <c r="A2385" s="1" t="s">
        <v>118</v>
      </c>
      <c r="B2385" s="1">
        <v>202403</v>
      </c>
      <c r="C2385" s="1" t="str">
        <f>MID(analisis_productividad__4[[#This Row],[Periodo]],1,4)</f>
        <v>2024</v>
      </c>
      <c r="D2385" s="1" t="str">
        <f>MID(analisis_productividad__4[[#This Row],[Periodo]],5,2)</f>
        <v>03</v>
      </c>
      <c r="E2385" s="1" t="s">
        <v>34</v>
      </c>
      <c r="F2385" s="1" t="s">
        <v>35</v>
      </c>
      <c r="G2385" s="1">
        <v>67825</v>
      </c>
      <c r="H2385" s="1">
        <v>1426973</v>
      </c>
      <c r="I2385" s="1">
        <v>21.039045698924728</v>
      </c>
      <c r="J2385" s="1">
        <v>0</v>
      </c>
      <c r="K2385" s="1">
        <v>19</v>
      </c>
      <c r="L2385" s="1">
        <v>21.5</v>
      </c>
      <c r="M2385" s="1"/>
      <c r="N2385" s="1">
        <v>0</v>
      </c>
    </row>
    <row r="2386" spans="1:14" x14ac:dyDescent="0.35">
      <c r="A2386" s="1" t="s">
        <v>120</v>
      </c>
      <c r="B2386" s="1">
        <v>202411</v>
      </c>
      <c r="C2386" s="1" t="str">
        <f>MID(analisis_productividad__4[[#This Row],[Periodo]],1,4)</f>
        <v>2024</v>
      </c>
      <c r="D2386" s="1" t="str">
        <f>MID(analisis_productividad__4[[#This Row],[Periodo]],5,2)</f>
        <v>11</v>
      </c>
      <c r="E2386" s="1" t="s">
        <v>9</v>
      </c>
      <c r="F2386" s="1" t="s">
        <v>9</v>
      </c>
      <c r="G2386" s="1">
        <v>67814</v>
      </c>
      <c r="H2386" s="1">
        <v>782567</v>
      </c>
      <c r="I2386" s="1">
        <v>11.539937500000001</v>
      </c>
      <c r="J2386" s="1">
        <v>0</v>
      </c>
      <c r="K2386" s="1">
        <v>11.5</v>
      </c>
      <c r="L2386" s="1">
        <v>12</v>
      </c>
      <c r="M2386" s="1"/>
      <c r="N2386" s="1">
        <v>0</v>
      </c>
    </row>
    <row r="2387" spans="1:14" x14ac:dyDescent="0.35">
      <c r="A2387" s="1" t="s">
        <v>90</v>
      </c>
      <c r="B2387" s="1">
        <v>202401</v>
      </c>
      <c r="C2387" s="1" t="str">
        <f>MID(analisis_productividad__4[[#This Row],[Periodo]],1,4)</f>
        <v>2024</v>
      </c>
      <c r="D2387" s="1" t="str">
        <f>MID(analisis_productividad__4[[#This Row],[Periodo]],5,2)</f>
        <v>01</v>
      </c>
      <c r="E2387" s="1" t="s">
        <v>11</v>
      </c>
      <c r="F2387" s="1" t="s">
        <v>14</v>
      </c>
      <c r="G2387" s="1">
        <v>67794</v>
      </c>
      <c r="H2387" s="1">
        <v>5172368</v>
      </c>
      <c r="I2387" s="1">
        <v>76.295719086021506</v>
      </c>
      <c r="J2387" s="1">
        <v>0</v>
      </c>
      <c r="K2387" s="1">
        <v>84.5</v>
      </c>
      <c r="L2387" s="1">
        <v>78.5</v>
      </c>
      <c r="M2387" s="1"/>
      <c r="N2387" s="1">
        <v>0</v>
      </c>
    </row>
    <row r="2388" spans="1:14" x14ac:dyDescent="0.35">
      <c r="A2388" s="1" t="s">
        <v>123</v>
      </c>
      <c r="B2388" s="1">
        <v>202512</v>
      </c>
      <c r="C2388" s="1" t="str">
        <f>MID(analisis_productividad__4[[#This Row],[Periodo]],1,4)</f>
        <v>2025</v>
      </c>
      <c r="D2388" s="1" t="str">
        <f>MID(analisis_productividad__4[[#This Row],[Periodo]],5,2)</f>
        <v>12</v>
      </c>
      <c r="E2388" s="1" t="s">
        <v>9</v>
      </c>
      <c r="F2388" s="1" t="s">
        <v>9</v>
      </c>
      <c r="G2388" s="1">
        <v>67792</v>
      </c>
      <c r="H2388" s="1">
        <v>637678</v>
      </c>
      <c r="I2388" s="1">
        <v>9.4063911290322437</v>
      </c>
      <c r="J2388" s="1">
        <v>66384.576160026219</v>
      </c>
      <c r="K2388" s="1">
        <v>11</v>
      </c>
      <c r="L2388" s="1">
        <v>10</v>
      </c>
      <c r="M2388" s="1">
        <v>9.6058135320894138</v>
      </c>
      <c r="N2388" s="1">
        <v>668856</v>
      </c>
    </row>
    <row r="2389" spans="1:14" x14ac:dyDescent="0.35">
      <c r="A2389" s="1" t="s">
        <v>85</v>
      </c>
      <c r="B2389" s="1">
        <v>202606</v>
      </c>
      <c r="C2389" s="1" t="str">
        <f>MID(analisis_productividad__4[[#This Row],[Periodo]],1,4)</f>
        <v>2026</v>
      </c>
      <c r="D2389" s="1" t="str">
        <f>MID(analisis_productividad__4[[#This Row],[Periodo]],5,2)</f>
        <v>06</v>
      </c>
      <c r="E2389" s="1" t="s">
        <v>11</v>
      </c>
      <c r="F2389" s="1" t="s">
        <v>14</v>
      </c>
      <c r="G2389" s="1">
        <v>67768</v>
      </c>
      <c r="H2389" s="1">
        <v>3530697</v>
      </c>
      <c r="I2389" s="1">
        <v>52.099784722222182</v>
      </c>
      <c r="J2389" s="1">
        <v>71159.35823190627</v>
      </c>
      <c r="K2389" s="1">
        <v>60.5</v>
      </c>
      <c r="L2389" s="1">
        <v>57.5</v>
      </c>
      <c r="M2389" s="1">
        <v>51.161312105083525</v>
      </c>
      <c r="N2389" s="1">
        <v>3640606</v>
      </c>
    </row>
    <row r="2390" spans="1:14" x14ac:dyDescent="0.35">
      <c r="A2390" s="1" t="s">
        <v>119</v>
      </c>
      <c r="B2390" s="1">
        <v>202603</v>
      </c>
      <c r="C2390" s="1" t="str">
        <f>MID(analisis_productividad__4[[#This Row],[Periodo]],1,4)</f>
        <v>2026</v>
      </c>
      <c r="D2390" s="1" t="str">
        <f>MID(analisis_productividad__4[[#This Row],[Periodo]],5,2)</f>
        <v>03</v>
      </c>
      <c r="E2390" s="1" t="s">
        <v>16</v>
      </c>
      <c r="F2390" s="1" t="s">
        <v>21</v>
      </c>
      <c r="G2390" s="1">
        <v>67721</v>
      </c>
      <c r="H2390" s="1">
        <v>3486324</v>
      </c>
      <c r="I2390" s="1">
        <v>51.48100134408601</v>
      </c>
      <c r="J2390" s="1">
        <v>99333.98702306622</v>
      </c>
      <c r="K2390" s="1">
        <v>52.5</v>
      </c>
      <c r="L2390" s="1">
        <v>52.5</v>
      </c>
      <c r="M2390" s="1">
        <v>46.965208254619732</v>
      </c>
      <c r="N2390" s="1">
        <v>4665241</v>
      </c>
    </row>
    <row r="2391" spans="1:14" x14ac:dyDescent="0.35">
      <c r="A2391" s="1" t="s">
        <v>111</v>
      </c>
      <c r="B2391" s="1">
        <v>202604</v>
      </c>
      <c r="C2391" s="1" t="str">
        <f>MID(analisis_productividad__4[[#This Row],[Periodo]],1,4)</f>
        <v>2026</v>
      </c>
      <c r="D2391" s="1" t="str">
        <f>MID(analisis_productividad__4[[#This Row],[Periodo]],5,2)</f>
        <v>04</v>
      </c>
      <c r="E2391" s="1" t="s">
        <v>34</v>
      </c>
      <c r="F2391" s="1" t="s">
        <v>35</v>
      </c>
      <c r="G2391" s="1">
        <v>67717</v>
      </c>
      <c r="H2391" s="1">
        <v>2546172</v>
      </c>
      <c r="I2391" s="1">
        <v>37.600402777777269</v>
      </c>
      <c r="J2391" s="1">
        <v>64284.134742959301</v>
      </c>
      <c r="K2391" s="1">
        <v>45.5</v>
      </c>
      <c r="L2391" s="1">
        <v>42.5</v>
      </c>
      <c r="M2391" s="1">
        <v>36.981595266169094</v>
      </c>
      <c r="N2391" s="1">
        <v>2377330</v>
      </c>
    </row>
    <row r="2392" spans="1:14" x14ac:dyDescent="0.35">
      <c r="A2392" s="1" t="s">
        <v>120</v>
      </c>
      <c r="B2392" s="1">
        <v>202603</v>
      </c>
      <c r="C2392" s="1" t="str">
        <f>MID(analisis_productividad__4[[#This Row],[Periodo]],1,4)</f>
        <v>2026</v>
      </c>
      <c r="D2392" s="1" t="str">
        <f>MID(analisis_productividad__4[[#This Row],[Periodo]],5,2)</f>
        <v>03</v>
      </c>
      <c r="E2392" s="1" t="s">
        <v>9</v>
      </c>
      <c r="F2392" s="1" t="s">
        <v>9</v>
      </c>
      <c r="G2392" s="1">
        <v>67714</v>
      </c>
      <c r="H2392" s="1">
        <v>775077</v>
      </c>
      <c r="I2392" s="1">
        <v>11.446317204301074</v>
      </c>
      <c r="J2392" s="1">
        <v>86396.573600572709</v>
      </c>
      <c r="K2392" s="1">
        <v>11.5</v>
      </c>
      <c r="L2392" s="1">
        <v>12</v>
      </c>
      <c r="M2392" s="1">
        <v>10.04229432420742</v>
      </c>
      <c r="N2392" s="1">
        <v>867620</v>
      </c>
    </row>
    <row r="2393" spans="1:14" x14ac:dyDescent="0.35">
      <c r="A2393" s="1" t="s">
        <v>99</v>
      </c>
      <c r="B2393" s="1">
        <v>202605</v>
      </c>
      <c r="C2393" s="1" t="str">
        <f>MID(analisis_productividad__4[[#This Row],[Periodo]],1,4)</f>
        <v>2026</v>
      </c>
      <c r="D2393" s="1" t="str">
        <f>MID(analisis_productividad__4[[#This Row],[Periodo]],5,2)</f>
        <v>05</v>
      </c>
      <c r="E2393" s="1" t="s">
        <v>11</v>
      </c>
      <c r="F2393" s="1" t="s">
        <v>12</v>
      </c>
      <c r="G2393" s="1">
        <v>67663</v>
      </c>
      <c r="H2393" s="1">
        <v>1618489</v>
      </c>
      <c r="I2393" s="1">
        <v>23.9199126344086</v>
      </c>
      <c r="J2393" s="1">
        <v>65572.539602137011</v>
      </c>
      <c r="K2393" s="1">
        <v>27</v>
      </c>
      <c r="L2393" s="1">
        <v>27</v>
      </c>
      <c r="M2393" s="1">
        <v>23.582599197509253</v>
      </c>
      <c r="N2393" s="1">
        <v>1546371</v>
      </c>
    </row>
    <row r="2394" spans="1:14" x14ac:dyDescent="0.35">
      <c r="A2394" s="1" t="s">
        <v>117</v>
      </c>
      <c r="B2394" s="1">
        <v>202512</v>
      </c>
      <c r="C2394" s="1" t="str">
        <f>MID(analisis_productividad__4[[#This Row],[Periodo]],1,4)</f>
        <v>2025</v>
      </c>
      <c r="D2394" s="1" t="str">
        <f>MID(analisis_productividad__4[[#This Row],[Periodo]],5,2)</f>
        <v>12</v>
      </c>
      <c r="E2394" s="1" t="s">
        <v>104</v>
      </c>
      <c r="F2394" s="1" t="s">
        <v>104</v>
      </c>
      <c r="G2394" s="1">
        <v>67652</v>
      </c>
      <c r="H2394" s="1">
        <v>4322796</v>
      </c>
      <c r="I2394" s="1">
        <v>63.89729838709674</v>
      </c>
      <c r="J2394" s="1">
        <v>64553.274876580843</v>
      </c>
      <c r="K2394" s="1">
        <v>66</v>
      </c>
      <c r="L2394" s="1">
        <v>65.5</v>
      </c>
      <c r="M2394" s="1">
        <v>66.964775811370302</v>
      </c>
      <c r="N2394" s="1">
        <v>4401178</v>
      </c>
    </row>
    <row r="2395" spans="1:14" x14ac:dyDescent="0.35">
      <c r="A2395" s="1" t="s">
        <v>8</v>
      </c>
      <c r="B2395" s="1">
        <v>202405</v>
      </c>
      <c r="C2395" s="1" t="str">
        <f>MID(analisis_productividad__4[[#This Row],[Periodo]],1,4)</f>
        <v>2024</v>
      </c>
      <c r="D2395" s="1" t="str">
        <f>MID(analisis_productividad__4[[#This Row],[Periodo]],5,2)</f>
        <v>05</v>
      </c>
      <c r="E2395" s="1" t="s">
        <v>9</v>
      </c>
      <c r="F2395" s="1" t="s">
        <v>9</v>
      </c>
      <c r="G2395" s="1">
        <v>67589</v>
      </c>
      <c r="H2395" s="1">
        <v>823114</v>
      </c>
      <c r="I2395" s="1">
        <v>12.178259408602152</v>
      </c>
      <c r="J2395" s="1">
        <v>0</v>
      </c>
      <c r="K2395" s="1">
        <v>13.5</v>
      </c>
      <c r="L2395" s="1">
        <v>12.5</v>
      </c>
      <c r="M2395" s="1"/>
      <c r="N2395" s="1">
        <v>0</v>
      </c>
    </row>
    <row r="2396" spans="1:14" x14ac:dyDescent="0.35">
      <c r="A2396" s="1" t="s">
        <v>26</v>
      </c>
      <c r="B2396" s="1">
        <v>202404</v>
      </c>
      <c r="C2396" s="1" t="str">
        <f>MID(analisis_productividad__4[[#This Row],[Periodo]],1,4)</f>
        <v>2024</v>
      </c>
      <c r="D2396" s="1" t="str">
        <f>MID(analisis_productividad__4[[#This Row],[Periodo]],5,2)</f>
        <v>04</v>
      </c>
      <c r="E2396" s="1" t="s">
        <v>11</v>
      </c>
      <c r="F2396" s="1" t="s">
        <v>12</v>
      </c>
      <c r="G2396" s="1">
        <v>67549</v>
      </c>
      <c r="H2396" s="1">
        <v>4469812</v>
      </c>
      <c r="I2396" s="1">
        <v>66.170951388888923</v>
      </c>
      <c r="J2396" s="1">
        <v>0</v>
      </c>
      <c r="K2396" s="1">
        <v>65.5</v>
      </c>
      <c r="L2396" s="1">
        <v>63</v>
      </c>
      <c r="M2396" s="1"/>
      <c r="N2396" s="1">
        <v>0</v>
      </c>
    </row>
    <row r="2397" spans="1:14" x14ac:dyDescent="0.35">
      <c r="A2397" s="1" t="s">
        <v>127</v>
      </c>
      <c r="B2397" s="1">
        <v>202503</v>
      </c>
      <c r="C2397" s="1" t="str">
        <f>MID(analisis_productividad__4[[#This Row],[Periodo]],1,4)</f>
        <v>2025</v>
      </c>
      <c r="D2397" s="1" t="str">
        <f>MID(analisis_productividad__4[[#This Row],[Periodo]],5,2)</f>
        <v>03</v>
      </c>
      <c r="E2397" s="1" t="s">
        <v>104</v>
      </c>
      <c r="F2397" s="1" t="s">
        <v>104</v>
      </c>
      <c r="G2397" s="1">
        <v>67542</v>
      </c>
      <c r="H2397" s="1">
        <v>3466723</v>
      </c>
      <c r="I2397" s="1">
        <v>51.327123655913979</v>
      </c>
      <c r="J2397" s="1">
        <v>62284.604377231488</v>
      </c>
      <c r="K2397" s="1">
        <v>61.5</v>
      </c>
      <c r="L2397" s="1">
        <v>56</v>
      </c>
      <c r="M2397" s="1">
        <v>55.659381233338642</v>
      </c>
      <c r="N2397" s="1">
        <v>3356256</v>
      </c>
    </row>
    <row r="2398" spans="1:14" x14ac:dyDescent="0.35">
      <c r="A2398" s="1" t="s">
        <v>113</v>
      </c>
      <c r="B2398" s="1">
        <v>202503</v>
      </c>
      <c r="C2398" s="1" t="str">
        <f>MID(analisis_productividad__4[[#This Row],[Periodo]],1,4)</f>
        <v>2025</v>
      </c>
      <c r="D2398" s="1" t="str">
        <f>MID(analisis_productividad__4[[#This Row],[Periodo]],5,2)</f>
        <v>03</v>
      </c>
      <c r="E2398" s="1" t="s">
        <v>9</v>
      </c>
      <c r="F2398" s="1" t="s">
        <v>9</v>
      </c>
      <c r="G2398" s="1">
        <v>67538</v>
      </c>
      <c r="H2398" s="1">
        <v>676448</v>
      </c>
      <c r="I2398" s="1">
        <v>10.015786290322582</v>
      </c>
      <c r="J2398" s="1">
        <v>81746.854003781686</v>
      </c>
      <c r="K2398" s="1">
        <v>11.5</v>
      </c>
      <c r="L2398" s="1">
        <v>10</v>
      </c>
      <c r="M2398" s="1">
        <v>8.2749158758905512</v>
      </c>
      <c r="N2398" s="1">
        <v>662006</v>
      </c>
    </row>
    <row r="2399" spans="1:14" x14ac:dyDescent="0.35">
      <c r="A2399" s="1" t="s">
        <v>58</v>
      </c>
      <c r="B2399" s="1">
        <v>202505</v>
      </c>
      <c r="C2399" s="1" t="str">
        <f>MID(analisis_productividad__4[[#This Row],[Periodo]],1,4)</f>
        <v>2025</v>
      </c>
      <c r="D2399" s="1" t="str">
        <f>MID(analisis_productividad__4[[#This Row],[Periodo]],5,2)</f>
        <v>05</v>
      </c>
      <c r="E2399" s="1" t="s">
        <v>34</v>
      </c>
      <c r="F2399" s="1" t="s">
        <v>35</v>
      </c>
      <c r="G2399" s="1">
        <v>67455</v>
      </c>
      <c r="H2399" s="1">
        <v>3026444</v>
      </c>
      <c r="I2399" s="1">
        <v>44.866283602150538</v>
      </c>
      <c r="J2399" s="1">
        <v>67501.908976516803</v>
      </c>
      <c r="K2399" s="1">
        <v>53.5</v>
      </c>
      <c r="L2399" s="1">
        <v>52</v>
      </c>
      <c r="M2399" s="1">
        <v>44.834934387601812</v>
      </c>
      <c r="N2399" s="1">
        <v>3120707</v>
      </c>
    </row>
    <row r="2400" spans="1:14" x14ac:dyDescent="0.35">
      <c r="A2400" s="1" t="s">
        <v>64</v>
      </c>
      <c r="B2400" s="1">
        <v>202508</v>
      </c>
      <c r="C2400" s="1" t="str">
        <f>MID(analisis_productividad__4[[#This Row],[Periodo]],1,4)</f>
        <v>2025</v>
      </c>
      <c r="D2400" s="1" t="str">
        <f>MID(analisis_productividad__4[[#This Row],[Periodo]],5,2)</f>
        <v>08</v>
      </c>
      <c r="E2400" s="1" t="s">
        <v>16</v>
      </c>
      <c r="F2400" s="1" t="s">
        <v>21</v>
      </c>
      <c r="G2400" s="1">
        <v>67404</v>
      </c>
      <c r="H2400" s="1">
        <v>8124258</v>
      </c>
      <c r="I2400" s="1">
        <v>120.53115591397849</v>
      </c>
      <c r="J2400" s="1">
        <v>87573.10847321352</v>
      </c>
      <c r="K2400" s="1">
        <v>88.5</v>
      </c>
      <c r="L2400" s="1">
        <v>92.5</v>
      </c>
      <c r="M2400" s="1">
        <v>92.771145179630281</v>
      </c>
      <c r="N2400" s="1">
        <v>6381770</v>
      </c>
    </row>
    <row r="2401" spans="1:14" x14ac:dyDescent="0.35">
      <c r="A2401" s="1" t="s">
        <v>113</v>
      </c>
      <c r="B2401" s="1">
        <v>202504</v>
      </c>
      <c r="C2401" s="1" t="str">
        <f>MID(analisis_productividad__4[[#This Row],[Periodo]],1,4)</f>
        <v>2025</v>
      </c>
      <c r="D2401" s="1" t="str">
        <f>MID(analisis_productividad__4[[#This Row],[Periodo]],5,2)</f>
        <v>04</v>
      </c>
      <c r="E2401" s="1" t="s">
        <v>9</v>
      </c>
      <c r="F2401" s="1" t="s">
        <v>9</v>
      </c>
      <c r="G2401" s="1">
        <v>67377</v>
      </c>
      <c r="H2401" s="1">
        <v>563740</v>
      </c>
      <c r="I2401" s="1">
        <v>8.3669930555555574</v>
      </c>
      <c r="J2401" s="1">
        <v>63498.404735583194</v>
      </c>
      <c r="K2401" s="1">
        <v>11.5</v>
      </c>
      <c r="L2401" s="1">
        <v>10</v>
      </c>
      <c r="M2401" s="1">
        <v>8.8780105948723449</v>
      </c>
      <c r="N2401" s="1">
        <v>623118</v>
      </c>
    </row>
    <row r="2402" spans="1:14" x14ac:dyDescent="0.35">
      <c r="A2402" s="1" t="s">
        <v>99</v>
      </c>
      <c r="B2402" s="1">
        <v>202602</v>
      </c>
      <c r="C2402" s="1" t="str">
        <f>MID(analisis_productividad__4[[#This Row],[Periodo]],1,4)</f>
        <v>2026</v>
      </c>
      <c r="D2402" s="1" t="str">
        <f>MID(analisis_productividad__4[[#This Row],[Periodo]],5,2)</f>
        <v>02</v>
      </c>
      <c r="E2402" s="1" t="s">
        <v>11</v>
      </c>
      <c r="F2402" s="1" t="s">
        <v>12</v>
      </c>
      <c r="G2402" s="1">
        <v>67371</v>
      </c>
      <c r="H2402" s="1">
        <v>1516617</v>
      </c>
      <c r="I2402" s="1">
        <v>22.511302083333327</v>
      </c>
      <c r="J2402" s="1">
        <v>80307.729531358273</v>
      </c>
      <c r="K2402" s="1">
        <v>27</v>
      </c>
      <c r="L2402" s="1">
        <v>27</v>
      </c>
      <c r="M2402" s="1">
        <v>23.582599197509253</v>
      </c>
      <c r="N2402" s="1">
        <v>1893865</v>
      </c>
    </row>
    <row r="2403" spans="1:14" x14ac:dyDescent="0.35">
      <c r="A2403" s="1" t="s">
        <v>118</v>
      </c>
      <c r="B2403" s="1">
        <v>202501</v>
      </c>
      <c r="C2403" s="1" t="str">
        <f>MID(analisis_productividad__4[[#This Row],[Periodo]],1,4)</f>
        <v>2025</v>
      </c>
      <c r="D2403" s="1" t="str">
        <f>MID(analisis_productividad__4[[#This Row],[Periodo]],5,2)</f>
        <v>01</v>
      </c>
      <c r="E2403" s="1" t="s">
        <v>34</v>
      </c>
      <c r="F2403" s="1" t="s">
        <v>35</v>
      </c>
      <c r="G2403" s="1">
        <v>67368</v>
      </c>
      <c r="H2403" s="1">
        <v>1113516</v>
      </c>
      <c r="I2403" s="1">
        <v>16.528938172043016</v>
      </c>
      <c r="J2403" s="1">
        <v>62106.969824478627</v>
      </c>
      <c r="K2403" s="1">
        <v>19</v>
      </c>
      <c r="L2403" s="1">
        <v>21.5</v>
      </c>
      <c r="M2403" s="1">
        <v>17.928999968069974</v>
      </c>
      <c r="N2403" s="1">
        <v>1167741</v>
      </c>
    </row>
    <row r="2404" spans="1:14" x14ac:dyDescent="0.35">
      <c r="A2404" s="1" t="s">
        <v>92</v>
      </c>
      <c r="B2404" s="1">
        <v>202406</v>
      </c>
      <c r="C2404" s="1" t="str">
        <f>MID(analisis_productividad__4[[#This Row],[Periodo]],1,4)</f>
        <v>2024</v>
      </c>
      <c r="D2404" s="1" t="str">
        <f>MID(analisis_productividad__4[[#This Row],[Periodo]],5,2)</f>
        <v>06</v>
      </c>
      <c r="E2404" s="1" t="s">
        <v>11</v>
      </c>
      <c r="F2404" s="1" t="s">
        <v>14</v>
      </c>
      <c r="G2404" s="1">
        <v>67302</v>
      </c>
      <c r="H2404" s="1">
        <v>3571259</v>
      </c>
      <c r="I2404" s="1">
        <v>53.062868055555562</v>
      </c>
      <c r="J2404" s="1">
        <v>0</v>
      </c>
      <c r="K2404" s="1">
        <v>63</v>
      </c>
      <c r="L2404" s="1">
        <v>59</v>
      </c>
      <c r="M2404" s="1"/>
      <c r="N2404" s="1">
        <v>0</v>
      </c>
    </row>
    <row r="2405" spans="1:14" x14ac:dyDescent="0.35">
      <c r="A2405" s="1" t="s">
        <v>107</v>
      </c>
      <c r="B2405" s="1">
        <v>202504</v>
      </c>
      <c r="C2405" s="1" t="str">
        <f>MID(analisis_productividad__4[[#This Row],[Periodo]],1,4)</f>
        <v>2025</v>
      </c>
      <c r="D2405" s="1" t="str">
        <f>MID(analisis_productividad__4[[#This Row],[Periodo]],5,2)</f>
        <v>04</v>
      </c>
      <c r="E2405" s="1" t="s">
        <v>34</v>
      </c>
      <c r="F2405" s="1" t="s">
        <v>35</v>
      </c>
      <c r="G2405" s="1">
        <v>67287</v>
      </c>
      <c r="H2405" s="1">
        <v>5070666</v>
      </c>
      <c r="I2405" s="1">
        <v>75.359131944444442</v>
      </c>
      <c r="J2405" s="1">
        <v>72889.09464360273</v>
      </c>
      <c r="K2405" s="1">
        <v>87</v>
      </c>
      <c r="L2405" s="1">
        <v>77.5</v>
      </c>
      <c r="M2405" s="1">
        <v>69.566868058842573</v>
      </c>
      <c r="N2405" s="1">
        <v>5652887</v>
      </c>
    </row>
    <row r="2406" spans="1:14" x14ac:dyDescent="0.35">
      <c r="A2406" s="1" t="s">
        <v>86</v>
      </c>
      <c r="B2406" s="1">
        <v>202505</v>
      </c>
      <c r="C2406" s="1" t="str">
        <f>MID(analisis_productividad__4[[#This Row],[Periodo]],1,4)</f>
        <v>2025</v>
      </c>
      <c r="D2406" s="1" t="str">
        <f>MID(analisis_productividad__4[[#This Row],[Periodo]],5,2)</f>
        <v>05</v>
      </c>
      <c r="E2406" s="1" t="s">
        <v>11</v>
      </c>
      <c r="F2406" s="1" t="s">
        <v>14</v>
      </c>
      <c r="G2406" s="1">
        <v>67218</v>
      </c>
      <c r="H2406" s="1">
        <v>4494402</v>
      </c>
      <c r="I2406" s="1">
        <v>66.862654569892499</v>
      </c>
      <c r="J2406" s="1">
        <v>77689.846511296957</v>
      </c>
      <c r="K2406" s="1">
        <v>69.5</v>
      </c>
      <c r="L2406" s="1">
        <v>59</v>
      </c>
      <c r="M2406" s="1">
        <v>57.850572395537739</v>
      </c>
      <c r="N2406" s="1">
        <v>5156748</v>
      </c>
    </row>
    <row r="2407" spans="1:14" x14ac:dyDescent="0.35">
      <c r="A2407" s="1" t="s">
        <v>107</v>
      </c>
      <c r="B2407" s="1">
        <v>202602</v>
      </c>
      <c r="C2407" s="1" t="str">
        <f>MID(analisis_productividad__4[[#This Row],[Periodo]],1,4)</f>
        <v>2026</v>
      </c>
      <c r="D2407" s="1" t="str">
        <f>MID(analisis_productividad__4[[#This Row],[Periodo]],5,2)</f>
        <v>02</v>
      </c>
      <c r="E2407" s="1" t="s">
        <v>34</v>
      </c>
      <c r="F2407" s="1" t="s">
        <v>35</v>
      </c>
      <c r="G2407" s="1">
        <v>67213</v>
      </c>
      <c r="H2407" s="1">
        <v>4820852</v>
      </c>
      <c r="I2407" s="1">
        <v>71.724947916666665</v>
      </c>
      <c r="J2407" s="1">
        <v>67826.47902479519</v>
      </c>
      <c r="K2407" s="1">
        <v>87</v>
      </c>
      <c r="L2407" s="1">
        <v>77.5</v>
      </c>
      <c r="M2407" s="1">
        <v>73.970842069892498</v>
      </c>
      <c r="N2407" s="1">
        <v>5017182</v>
      </c>
    </row>
    <row r="2408" spans="1:14" x14ac:dyDescent="0.35">
      <c r="A2408" s="1" t="s">
        <v>127</v>
      </c>
      <c r="B2408" s="1">
        <v>202412</v>
      </c>
      <c r="C2408" s="1" t="str">
        <f>MID(analisis_productividad__4[[#This Row],[Periodo]],1,4)</f>
        <v>2024</v>
      </c>
      <c r="D2408" s="1" t="str">
        <f>MID(analisis_productividad__4[[#This Row],[Periodo]],5,2)</f>
        <v>12</v>
      </c>
      <c r="E2408" s="1" t="s">
        <v>104</v>
      </c>
      <c r="F2408" s="1" t="s">
        <v>104</v>
      </c>
      <c r="G2408" s="1">
        <v>67145</v>
      </c>
      <c r="H2408" s="1">
        <v>4024533</v>
      </c>
      <c r="I2408" s="1">
        <v>59.937970430107541</v>
      </c>
      <c r="J2408" s="1">
        <v>0</v>
      </c>
      <c r="K2408" s="1">
        <v>61.5</v>
      </c>
      <c r="L2408" s="1">
        <v>56</v>
      </c>
      <c r="M2408" s="1"/>
      <c r="N2408" s="1">
        <v>0</v>
      </c>
    </row>
    <row r="2409" spans="1:14" x14ac:dyDescent="0.35">
      <c r="A2409" s="1" t="s">
        <v>91</v>
      </c>
      <c r="B2409" s="1">
        <v>202504</v>
      </c>
      <c r="C2409" s="1" t="str">
        <f>MID(analisis_productividad__4[[#This Row],[Periodo]],1,4)</f>
        <v>2025</v>
      </c>
      <c r="D2409" s="1" t="str">
        <f>MID(analisis_productividad__4[[#This Row],[Periodo]],5,2)</f>
        <v>04</v>
      </c>
      <c r="E2409" s="1" t="s">
        <v>11</v>
      </c>
      <c r="F2409" s="1" t="s">
        <v>12</v>
      </c>
      <c r="G2409" s="1">
        <v>67140</v>
      </c>
      <c r="H2409" s="1">
        <v>3724737</v>
      </c>
      <c r="I2409" s="1">
        <v>55.47743055555555</v>
      </c>
      <c r="J2409" s="1">
        <v>64235.996728829588</v>
      </c>
      <c r="K2409" s="1">
        <v>55</v>
      </c>
      <c r="L2409" s="1">
        <v>55.5</v>
      </c>
      <c r="M2409" s="1">
        <v>57.985199415895586</v>
      </c>
      <c r="N2409" s="1">
        <v>3803700</v>
      </c>
    </row>
    <row r="2410" spans="1:14" x14ac:dyDescent="0.35">
      <c r="A2410" s="1" t="s">
        <v>109</v>
      </c>
      <c r="B2410" s="1">
        <v>202603</v>
      </c>
      <c r="C2410" s="1" t="str">
        <f>MID(analisis_productividad__4[[#This Row],[Periodo]],1,4)</f>
        <v>2026</v>
      </c>
      <c r="D2410" s="1" t="str">
        <f>MID(analisis_productividad__4[[#This Row],[Periodo]],5,2)</f>
        <v>03</v>
      </c>
      <c r="E2410" s="1" t="s">
        <v>9</v>
      </c>
      <c r="F2410" s="1" t="s">
        <v>9</v>
      </c>
      <c r="G2410" s="1">
        <v>67139</v>
      </c>
      <c r="H2410" s="1">
        <v>553833</v>
      </c>
      <c r="I2410" s="1">
        <v>8.249086021505379</v>
      </c>
      <c r="J2410" s="1">
        <v>58636.340292554647</v>
      </c>
      <c r="K2410" s="1">
        <v>10</v>
      </c>
      <c r="L2410" s="1">
        <v>9</v>
      </c>
      <c r="M2410" s="1">
        <v>8.1521894564878892</v>
      </c>
      <c r="N2410" s="1">
        <v>478015</v>
      </c>
    </row>
    <row r="2411" spans="1:14" x14ac:dyDescent="0.35">
      <c r="A2411" s="1" t="s">
        <v>8</v>
      </c>
      <c r="B2411" s="1">
        <v>202404</v>
      </c>
      <c r="C2411" s="1" t="str">
        <f>MID(analisis_productividad__4[[#This Row],[Periodo]],1,4)</f>
        <v>2024</v>
      </c>
      <c r="D2411" s="1" t="str">
        <f>MID(analisis_productividad__4[[#This Row],[Periodo]],5,2)</f>
        <v>04</v>
      </c>
      <c r="E2411" s="1" t="s">
        <v>9</v>
      </c>
      <c r="F2411" s="1" t="s">
        <v>9</v>
      </c>
      <c r="G2411" s="1">
        <v>67135</v>
      </c>
      <c r="H2411" s="1">
        <v>841222</v>
      </c>
      <c r="I2411" s="1">
        <v>12.530243055555557</v>
      </c>
      <c r="J2411" s="1">
        <v>0</v>
      </c>
      <c r="K2411" s="1">
        <v>13.5</v>
      </c>
      <c r="L2411" s="1">
        <v>12.5</v>
      </c>
      <c r="M2411" s="1"/>
      <c r="N2411" s="1">
        <v>0</v>
      </c>
    </row>
    <row r="2412" spans="1:14" x14ac:dyDescent="0.35">
      <c r="A2412" s="1" t="s">
        <v>92</v>
      </c>
      <c r="B2412" s="1">
        <v>202602</v>
      </c>
      <c r="C2412" s="1" t="str">
        <f>MID(analisis_productividad__4[[#This Row],[Periodo]],1,4)</f>
        <v>2026</v>
      </c>
      <c r="D2412" s="1" t="str">
        <f>MID(analisis_productividad__4[[#This Row],[Periodo]],5,2)</f>
        <v>02</v>
      </c>
      <c r="E2412" s="1" t="s">
        <v>11</v>
      </c>
      <c r="F2412" s="1" t="s">
        <v>14</v>
      </c>
      <c r="G2412" s="1">
        <v>67129</v>
      </c>
      <c r="H2412" s="1">
        <v>3755677</v>
      </c>
      <c r="I2412" s="1">
        <v>55.947291666666658</v>
      </c>
      <c r="J2412" s="1">
        <v>69070.229488797093</v>
      </c>
      <c r="K2412" s="1">
        <v>63</v>
      </c>
      <c r="L2412" s="1">
        <v>59</v>
      </c>
      <c r="M2412" s="1">
        <v>55.026064794188251</v>
      </c>
      <c r="N2412" s="1">
        <v>3800663</v>
      </c>
    </row>
    <row r="2413" spans="1:14" x14ac:dyDescent="0.35">
      <c r="A2413" s="1" t="s">
        <v>92</v>
      </c>
      <c r="B2413" s="1">
        <v>202606</v>
      </c>
      <c r="C2413" s="1" t="str">
        <f>MID(analisis_productividad__4[[#This Row],[Periodo]],1,4)</f>
        <v>2026</v>
      </c>
      <c r="D2413" s="1" t="str">
        <f>MID(analisis_productividad__4[[#This Row],[Periodo]],5,2)</f>
        <v>06</v>
      </c>
      <c r="E2413" s="1" t="s">
        <v>11</v>
      </c>
      <c r="F2413" s="1" t="s">
        <v>14</v>
      </c>
      <c r="G2413" s="1">
        <v>67119</v>
      </c>
      <c r="H2413" s="1">
        <v>3402026</v>
      </c>
      <c r="I2413" s="1">
        <v>50.686368055556038</v>
      </c>
      <c r="J2413" s="1">
        <v>66368.739862817107</v>
      </c>
      <c r="K2413" s="1">
        <v>63</v>
      </c>
      <c r="L2413" s="1">
        <v>59</v>
      </c>
      <c r="M2413" s="1">
        <v>55.026064794188251</v>
      </c>
      <c r="N2413" s="1">
        <v>3652011</v>
      </c>
    </row>
    <row r="2414" spans="1:14" x14ac:dyDescent="0.35">
      <c r="A2414" s="1" t="s">
        <v>103</v>
      </c>
      <c r="B2414" s="1">
        <v>202404</v>
      </c>
      <c r="C2414" s="1" t="str">
        <f>MID(analisis_productividad__4[[#This Row],[Periodo]],1,4)</f>
        <v>2024</v>
      </c>
      <c r="D2414" s="1" t="str">
        <f>MID(analisis_productividad__4[[#This Row],[Periodo]],5,2)</f>
        <v>04</v>
      </c>
      <c r="E2414" s="1" t="s">
        <v>104</v>
      </c>
      <c r="F2414" s="1" t="s">
        <v>104</v>
      </c>
      <c r="G2414" s="1">
        <v>67108</v>
      </c>
      <c r="H2414" s="1">
        <v>5277936</v>
      </c>
      <c r="I2414" s="1">
        <v>78.648402777777804</v>
      </c>
      <c r="J2414" s="1">
        <v>0</v>
      </c>
      <c r="K2414" s="1">
        <v>94</v>
      </c>
      <c r="L2414" s="1">
        <v>77.5</v>
      </c>
      <c r="M2414" s="1"/>
      <c r="N2414" s="1">
        <v>0</v>
      </c>
    </row>
    <row r="2415" spans="1:14" x14ac:dyDescent="0.35">
      <c r="A2415" s="1" t="s">
        <v>64</v>
      </c>
      <c r="B2415" s="1">
        <v>202507</v>
      </c>
      <c r="C2415" s="1" t="str">
        <f>MID(analisis_productividad__4[[#This Row],[Periodo]],1,4)</f>
        <v>2025</v>
      </c>
      <c r="D2415" s="1" t="str">
        <f>MID(analisis_productividad__4[[#This Row],[Periodo]],5,2)</f>
        <v>07</v>
      </c>
      <c r="E2415" s="1" t="s">
        <v>16</v>
      </c>
      <c r="F2415" s="1" t="s">
        <v>21</v>
      </c>
      <c r="G2415" s="1">
        <v>67081</v>
      </c>
      <c r="H2415" s="1">
        <v>8577642</v>
      </c>
      <c r="I2415" s="1">
        <v>127.87024193548389</v>
      </c>
      <c r="J2415" s="1">
        <v>83713.317484422398</v>
      </c>
      <c r="K2415" s="1">
        <v>88.5</v>
      </c>
      <c r="L2415" s="1">
        <v>92.5</v>
      </c>
      <c r="M2415" s="1">
        <v>102.46448400036414</v>
      </c>
      <c r="N2415" s="1">
        <v>6727748</v>
      </c>
    </row>
    <row r="2416" spans="1:14" x14ac:dyDescent="0.35">
      <c r="A2416" s="1" t="s">
        <v>111</v>
      </c>
      <c r="B2416" s="1">
        <v>202605</v>
      </c>
      <c r="C2416" s="1" t="str">
        <f>MID(analisis_productividad__4[[#This Row],[Periodo]],1,4)</f>
        <v>2026</v>
      </c>
      <c r="D2416" s="1" t="str">
        <f>MID(analisis_productividad__4[[#This Row],[Periodo]],5,2)</f>
        <v>05</v>
      </c>
      <c r="E2416" s="1" t="s">
        <v>34</v>
      </c>
      <c r="F2416" s="1" t="s">
        <v>35</v>
      </c>
      <c r="G2416" s="1">
        <v>67050</v>
      </c>
      <c r="H2416" s="1">
        <v>2633170</v>
      </c>
      <c r="I2416" s="1">
        <v>39.271881720430606</v>
      </c>
      <c r="J2416" s="1">
        <v>68120.244426139441</v>
      </c>
      <c r="K2416" s="1">
        <v>45.5</v>
      </c>
      <c r="L2416" s="1">
        <v>42.5</v>
      </c>
      <c r="M2416" s="1">
        <v>36.981595266169094</v>
      </c>
      <c r="N2416" s="1">
        <v>2519195</v>
      </c>
    </row>
    <row r="2417" spans="1:14" x14ac:dyDescent="0.35">
      <c r="A2417" s="1" t="s">
        <v>99</v>
      </c>
      <c r="B2417" s="1">
        <v>202601</v>
      </c>
      <c r="C2417" s="1" t="str">
        <f>MID(analisis_productividad__4[[#This Row],[Periodo]],1,4)</f>
        <v>2026</v>
      </c>
      <c r="D2417" s="1" t="str">
        <f>MID(analisis_productividad__4[[#This Row],[Periodo]],5,2)</f>
        <v>01</v>
      </c>
      <c r="E2417" s="1" t="s">
        <v>11</v>
      </c>
      <c r="F2417" s="1" t="s">
        <v>12</v>
      </c>
      <c r="G2417" s="1">
        <v>67034</v>
      </c>
      <c r="H2417" s="1">
        <v>1460734</v>
      </c>
      <c r="I2417" s="1">
        <v>21.790887096774188</v>
      </c>
      <c r="J2417" s="1">
        <v>87117.013739392467</v>
      </c>
      <c r="K2417" s="1">
        <v>27</v>
      </c>
      <c r="L2417" s="1">
        <v>27</v>
      </c>
      <c r="M2417" s="1">
        <v>23.582599197509253</v>
      </c>
      <c r="N2417" s="1">
        <v>2054446</v>
      </c>
    </row>
    <row r="2418" spans="1:14" x14ac:dyDescent="0.35">
      <c r="A2418" s="1" t="s">
        <v>89</v>
      </c>
      <c r="B2418" s="1">
        <v>202403</v>
      </c>
      <c r="C2418" s="1" t="str">
        <f>MID(analisis_productividad__4[[#This Row],[Periodo]],1,4)</f>
        <v>2024</v>
      </c>
      <c r="D2418" s="1" t="str">
        <f>MID(analisis_productividad__4[[#This Row],[Periodo]],5,2)</f>
        <v>03</v>
      </c>
      <c r="E2418" s="1" t="s">
        <v>9</v>
      </c>
      <c r="F2418" s="1" t="s">
        <v>9</v>
      </c>
      <c r="G2418" s="1">
        <v>67015</v>
      </c>
      <c r="H2418" s="1">
        <v>1173683</v>
      </c>
      <c r="I2418" s="1">
        <v>17.513736559139787</v>
      </c>
      <c r="J2418" s="1">
        <v>0</v>
      </c>
      <c r="K2418" s="1">
        <v>17</v>
      </c>
      <c r="L2418" s="1">
        <v>13.5</v>
      </c>
      <c r="M2418" s="1"/>
      <c r="N2418" s="1">
        <v>0</v>
      </c>
    </row>
    <row r="2419" spans="1:14" x14ac:dyDescent="0.35">
      <c r="A2419" s="1" t="s">
        <v>85</v>
      </c>
      <c r="B2419" s="1">
        <v>202508</v>
      </c>
      <c r="C2419" s="1" t="str">
        <f>MID(analisis_productividad__4[[#This Row],[Periodo]],1,4)</f>
        <v>2025</v>
      </c>
      <c r="D2419" s="1" t="str">
        <f>MID(analisis_productividad__4[[#This Row],[Periodo]],5,2)</f>
        <v>08</v>
      </c>
      <c r="E2419" s="1" t="s">
        <v>11</v>
      </c>
      <c r="F2419" s="1" t="s">
        <v>14</v>
      </c>
      <c r="G2419" s="1">
        <v>67005</v>
      </c>
      <c r="H2419" s="1">
        <v>3471691</v>
      </c>
      <c r="I2419" s="1">
        <v>51.812795698924752</v>
      </c>
      <c r="J2419" s="1">
        <v>77264.656017034591</v>
      </c>
      <c r="K2419" s="1">
        <v>60.5</v>
      </c>
      <c r="L2419" s="1">
        <v>57.5</v>
      </c>
      <c r="M2419" s="1">
        <v>44.932454228937416</v>
      </c>
      <c r="N2419" s="1">
        <v>3800859</v>
      </c>
    </row>
    <row r="2420" spans="1:14" x14ac:dyDescent="0.35">
      <c r="A2420" s="1" t="s">
        <v>78</v>
      </c>
      <c r="B2420" s="1">
        <v>202405</v>
      </c>
      <c r="C2420" s="1" t="str">
        <f>MID(analisis_productividad__4[[#This Row],[Periodo]],1,4)</f>
        <v>2024</v>
      </c>
      <c r="D2420" s="1" t="str">
        <f>MID(analisis_productividad__4[[#This Row],[Periodo]],5,2)</f>
        <v>05</v>
      </c>
      <c r="E2420" s="1" t="s">
        <v>11</v>
      </c>
      <c r="F2420" s="1" t="s">
        <v>14</v>
      </c>
      <c r="G2420" s="1">
        <v>67004</v>
      </c>
      <c r="H2420" s="1">
        <v>4983094</v>
      </c>
      <c r="I2420" s="1">
        <v>74.369684139784923</v>
      </c>
      <c r="J2420" s="1">
        <v>0</v>
      </c>
      <c r="K2420" s="1">
        <v>79.5</v>
      </c>
      <c r="L2420" s="1">
        <v>67</v>
      </c>
      <c r="M2420" s="1"/>
      <c r="N2420" s="1">
        <v>0</v>
      </c>
    </row>
    <row r="2421" spans="1:14" x14ac:dyDescent="0.35">
      <c r="A2421" s="1" t="s">
        <v>100</v>
      </c>
      <c r="B2421" s="1">
        <v>202601</v>
      </c>
      <c r="C2421" s="1" t="str">
        <f>MID(analisis_productividad__4[[#This Row],[Periodo]],1,4)</f>
        <v>2026</v>
      </c>
      <c r="D2421" s="1" t="str">
        <f>MID(analisis_productividad__4[[#This Row],[Periodo]],5,2)</f>
        <v>01</v>
      </c>
      <c r="E2421" s="1" t="s">
        <v>34</v>
      </c>
      <c r="F2421" s="1" t="s">
        <v>35</v>
      </c>
      <c r="G2421" s="1">
        <v>67004</v>
      </c>
      <c r="H2421" s="1">
        <v>2537568</v>
      </c>
      <c r="I2421" s="1">
        <v>37.871740591397852</v>
      </c>
      <c r="J2421" s="1">
        <v>76707.514207493892</v>
      </c>
      <c r="K2421" s="1">
        <v>44</v>
      </c>
      <c r="L2421" s="1">
        <v>40.5</v>
      </c>
      <c r="M2421" s="1">
        <v>35.762421795855829</v>
      </c>
      <c r="N2421" s="1">
        <v>2743246</v>
      </c>
    </row>
    <row r="2422" spans="1:14" x14ac:dyDescent="0.35">
      <c r="A2422" s="1" t="s">
        <v>78</v>
      </c>
      <c r="B2422" s="1">
        <v>202402</v>
      </c>
      <c r="C2422" s="1" t="str">
        <f>MID(analisis_productividad__4[[#This Row],[Periodo]],1,4)</f>
        <v>2024</v>
      </c>
      <c r="D2422" s="1" t="str">
        <f>MID(analisis_productividad__4[[#This Row],[Periodo]],5,2)</f>
        <v>02</v>
      </c>
      <c r="E2422" s="1" t="s">
        <v>11</v>
      </c>
      <c r="F2422" s="1" t="s">
        <v>14</v>
      </c>
      <c r="G2422" s="1">
        <v>66982</v>
      </c>
      <c r="H2422" s="1">
        <v>4755868</v>
      </c>
      <c r="I2422" s="1">
        <v>71.00242816091955</v>
      </c>
      <c r="J2422" s="1">
        <v>0</v>
      </c>
      <c r="K2422" s="1">
        <v>79.5</v>
      </c>
      <c r="L2422" s="1">
        <v>67</v>
      </c>
      <c r="M2422" s="1"/>
      <c r="N2422" s="1">
        <v>0</v>
      </c>
    </row>
    <row r="2423" spans="1:14" x14ac:dyDescent="0.35">
      <c r="A2423" s="1" t="s">
        <v>26</v>
      </c>
      <c r="B2423" s="1">
        <v>202402</v>
      </c>
      <c r="C2423" s="1" t="str">
        <f>MID(analisis_productividad__4[[#This Row],[Periodo]],1,4)</f>
        <v>2024</v>
      </c>
      <c r="D2423" s="1" t="str">
        <f>MID(analisis_productividad__4[[#This Row],[Periodo]],5,2)</f>
        <v>02</v>
      </c>
      <c r="E2423" s="1" t="s">
        <v>11</v>
      </c>
      <c r="F2423" s="1" t="s">
        <v>12</v>
      </c>
      <c r="G2423" s="1">
        <v>66939</v>
      </c>
      <c r="H2423" s="1">
        <v>4638980</v>
      </c>
      <c r="I2423" s="1">
        <v>69.301508620689674</v>
      </c>
      <c r="J2423" s="1">
        <v>0</v>
      </c>
      <c r="K2423" s="1">
        <v>65.5</v>
      </c>
      <c r="L2423" s="1">
        <v>63</v>
      </c>
      <c r="M2423" s="1"/>
      <c r="N2423" s="1">
        <v>0</v>
      </c>
    </row>
    <row r="2424" spans="1:14" x14ac:dyDescent="0.35">
      <c r="A2424" s="1" t="s">
        <v>109</v>
      </c>
      <c r="B2424" s="1">
        <v>202605</v>
      </c>
      <c r="C2424" s="1" t="str">
        <f>MID(analisis_productividad__4[[#This Row],[Periodo]],1,4)</f>
        <v>2026</v>
      </c>
      <c r="D2424" s="1" t="str">
        <f>MID(analisis_productividad__4[[#This Row],[Periodo]],5,2)</f>
        <v>05</v>
      </c>
      <c r="E2424" s="1" t="s">
        <v>9</v>
      </c>
      <c r="F2424" s="1" t="s">
        <v>9</v>
      </c>
      <c r="G2424" s="1">
        <v>66918</v>
      </c>
      <c r="H2424" s="1">
        <v>534897</v>
      </c>
      <c r="I2424" s="1">
        <v>7.9933602150537837</v>
      </c>
      <c r="J2424" s="1">
        <v>57451.242479069559</v>
      </c>
      <c r="K2424" s="1">
        <v>10</v>
      </c>
      <c r="L2424" s="1">
        <v>9</v>
      </c>
      <c r="M2424" s="1">
        <v>8.1521894564878892</v>
      </c>
      <c r="N2424" s="1">
        <v>468353</v>
      </c>
    </row>
    <row r="2425" spans="1:14" x14ac:dyDescent="0.35">
      <c r="A2425" s="1" t="s">
        <v>100</v>
      </c>
      <c r="B2425" s="1">
        <v>202409</v>
      </c>
      <c r="C2425" s="1" t="str">
        <f>MID(analisis_productividad__4[[#This Row],[Periodo]],1,4)</f>
        <v>2024</v>
      </c>
      <c r="D2425" s="1" t="str">
        <f>MID(analisis_productividad__4[[#This Row],[Periodo]],5,2)</f>
        <v>09</v>
      </c>
      <c r="E2425" s="1" t="s">
        <v>34</v>
      </c>
      <c r="F2425" s="1" t="s">
        <v>35</v>
      </c>
      <c r="G2425" s="1">
        <v>66914</v>
      </c>
      <c r="H2425" s="1">
        <v>2538446</v>
      </c>
      <c r="I2425" s="1">
        <v>37.935819444444448</v>
      </c>
      <c r="J2425" s="1">
        <v>0</v>
      </c>
      <c r="K2425" s="1">
        <v>44</v>
      </c>
      <c r="L2425" s="1">
        <v>40.5</v>
      </c>
      <c r="M2425" s="1"/>
      <c r="N2425" s="1">
        <v>0</v>
      </c>
    </row>
    <row r="2426" spans="1:14" x14ac:dyDescent="0.35">
      <c r="A2426" s="1" t="s">
        <v>100</v>
      </c>
      <c r="B2426" s="1">
        <v>202505</v>
      </c>
      <c r="C2426" s="1" t="str">
        <f>MID(analisis_productividad__4[[#This Row],[Periodo]],1,4)</f>
        <v>2025</v>
      </c>
      <c r="D2426" s="1" t="str">
        <f>MID(analisis_productividad__4[[#This Row],[Periodo]],5,2)</f>
        <v>05</v>
      </c>
      <c r="E2426" s="1" t="s">
        <v>34</v>
      </c>
      <c r="F2426" s="1" t="s">
        <v>35</v>
      </c>
      <c r="G2426" s="1">
        <v>66861</v>
      </c>
      <c r="H2426" s="1">
        <v>2578448</v>
      </c>
      <c r="I2426" s="1">
        <v>38.56426075268817</v>
      </c>
      <c r="J2426" s="1">
        <v>77271.93901453467</v>
      </c>
      <c r="K2426" s="1">
        <v>44</v>
      </c>
      <c r="L2426" s="1">
        <v>40.5</v>
      </c>
      <c r="M2426" s="1">
        <v>33.368486320952812</v>
      </c>
      <c r="N2426" s="1">
        <v>2732618</v>
      </c>
    </row>
    <row r="2427" spans="1:14" x14ac:dyDescent="0.35">
      <c r="A2427" s="1" t="s">
        <v>92</v>
      </c>
      <c r="B2427" s="1">
        <v>202401</v>
      </c>
      <c r="C2427" s="1" t="str">
        <f>MID(analisis_productividad__4[[#This Row],[Periodo]],1,4)</f>
        <v>2024</v>
      </c>
      <c r="D2427" s="1" t="str">
        <f>MID(analisis_productividad__4[[#This Row],[Periodo]],5,2)</f>
        <v>01</v>
      </c>
      <c r="E2427" s="1" t="s">
        <v>11</v>
      </c>
      <c r="F2427" s="1" t="s">
        <v>14</v>
      </c>
      <c r="G2427" s="1">
        <v>66854</v>
      </c>
      <c r="H2427" s="1">
        <v>3496235</v>
      </c>
      <c r="I2427" s="1">
        <v>52.2968682795699</v>
      </c>
      <c r="J2427" s="1">
        <v>0</v>
      </c>
      <c r="K2427" s="1">
        <v>63</v>
      </c>
      <c r="L2427" s="1">
        <v>59</v>
      </c>
      <c r="M2427" s="1"/>
      <c r="N2427" s="1">
        <v>0</v>
      </c>
    </row>
    <row r="2428" spans="1:14" x14ac:dyDescent="0.35">
      <c r="A2428" s="1" t="s">
        <v>105</v>
      </c>
      <c r="B2428" s="1">
        <v>202503</v>
      </c>
      <c r="C2428" s="1" t="str">
        <f>MID(analisis_productividad__4[[#This Row],[Periodo]],1,4)</f>
        <v>2025</v>
      </c>
      <c r="D2428" s="1" t="str">
        <f>MID(analisis_productividad__4[[#This Row],[Periodo]],5,2)</f>
        <v>03</v>
      </c>
      <c r="E2428" s="1" t="s">
        <v>34</v>
      </c>
      <c r="F2428" s="1" t="s">
        <v>35</v>
      </c>
      <c r="G2428" s="1">
        <v>66836</v>
      </c>
      <c r="H2428" s="1">
        <v>2561977</v>
      </c>
      <c r="I2428" s="1">
        <v>38.332338709677423</v>
      </c>
      <c r="J2428" s="1">
        <v>63827.580763636397</v>
      </c>
      <c r="K2428" s="1">
        <v>33</v>
      </c>
      <c r="L2428" s="1">
        <v>31.5</v>
      </c>
      <c r="M2428" s="1">
        <v>40.139023277216225</v>
      </c>
      <c r="N2428" s="1">
        <v>2570592</v>
      </c>
    </row>
    <row r="2429" spans="1:14" x14ac:dyDescent="0.35">
      <c r="A2429" s="1" t="s">
        <v>92</v>
      </c>
      <c r="B2429" s="1">
        <v>202507</v>
      </c>
      <c r="C2429" s="1" t="str">
        <f>MID(analisis_productividad__4[[#This Row],[Periodo]],1,4)</f>
        <v>2025</v>
      </c>
      <c r="D2429" s="1" t="str">
        <f>MID(analisis_productividad__4[[#This Row],[Periodo]],5,2)</f>
        <v>07</v>
      </c>
      <c r="E2429" s="1" t="s">
        <v>11</v>
      </c>
      <c r="F2429" s="1" t="s">
        <v>14</v>
      </c>
      <c r="G2429" s="1">
        <v>66729</v>
      </c>
      <c r="H2429" s="1">
        <v>3536892</v>
      </c>
      <c r="I2429" s="1">
        <v>53.003830645161301</v>
      </c>
      <c r="J2429" s="1">
        <v>74449.540047534683</v>
      </c>
      <c r="K2429" s="1">
        <v>63</v>
      </c>
      <c r="L2429" s="1">
        <v>59</v>
      </c>
      <c r="M2429" s="1">
        <v>47.507240847179965</v>
      </c>
      <c r="N2429" s="1">
        <v>4023394</v>
      </c>
    </row>
    <row r="2430" spans="1:14" x14ac:dyDescent="0.35">
      <c r="A2430" s="1" t="s">
        <v>78</v>
      </c>
      <c r="B2430" s="1">
        <v>202404</v>
      </c>
      <c r="C2430" s="1" t="str">
        <f>MID(analisis_productividad__4[[#This Row],[Periodo]],1,4)</f>
        <v>2024</v>
      </c>
      <c r="D2430" s="1" t="str">
        <f>MID(analisis_productividad__4[[#This Row],[Periodo]],5,2)</f>
        <v>04</v>
      </c>
      <c r="E2430" s="1" t="s">
        <v>11</v>
      </c>
      <c r="F2430" s="1" t="s">
        <v>14</v>
      </c>
      <c r="G2430" s="1">
        <v>66700</v>
      </c>
      <c r="H2430" s="1">
        <v>4778671</v>
      </c>
      <c r="I2430" s="1">
        <v>71.644368055555546</v>
      </c>
      <c r="J2430" s="1">
        <v>0</v>
      </c>
      <c r="K2430" s="1">
        <v>79.5</v>
      </c>
      <c r="L2430" s="1">
        <v>67</v>
      </c>
      <c r="M2430" s="1"/>
      <c r="N2430" s="1">
        <v>0</v>
      </c>
    </row>
    <row r="2431" spans="1:14" x14ac:dyDescent="0.35">
      <c r="A2431" s="1" t="s">
        <v>103</v>
      </c>
      <c r="B2431" s="1">
        <v>202410</v>
      </c>
      <c r="C2431" s="1" t="str">
        <f>MID(analisis_productividad__4[[#This Row],[Periodo]],1,4)</f>
        <v>2024</v>
      </c>
      <c r="D2431" s="1" t="str">
        <f>MID(analisis_productividad__4[[#This Row],[Periodo]],5,2)</f>
        <v>10</v>
      </c>
      <c r="E2431" s="1" t="s">
        <v>104</v>
      </c>
      <c r="F2431" s="1" t="s">
        <v>104</v>
      </c>
      <c r="G2431" s="1">
        <v>66679</v>
      </c>
      <c r="H2431" s="1">
        <v>5354658</v>
      </c>
      <c r="I2431" s="1">
        <v>80.305053763440881</v>
      </c>
      <c r="J2431" s="1">
        <v>0</v>
      </c>
      <c r="K2431" s="1">
        <v>94</v>
      </c>
      <c r="L2431" s="1">
        <v>77.5</v>
      </c>
      <c r="M2431" s="1"/>
      <c r="N2431" s="1">
        <v>0</v>
      </c>
    </row>
    <row r="2432" spans="1:14" x14ac:dyDescent="0.35">
      <c r="A2432" s="1" t="s">
        <v>91</v>
      </c>
      <c r="B2432" s="1">
        <v>202405</v>
      </c>
      <c r="C2432" s="1" t="str">
        <f>MID(analisis_productividad__4[[#This Row],[Periodo]],1,4)</f>
        <v>2024</v>
      </c>
      <c r="D2432" s="1" t="str">
        <f>MID(analisis_productividad__4[[#This Row],[Periodo]],5,2)</f>
        <v>05</v>
      </c>
      <c r="E2432" s="1" t="s">
        <v>11</v>
      </c>
      <c r="F2432" s="1" t="s">
        <v>12</v>
      </c>
      <c r="G2432" s="1">
        <v>66677</v>
      </c>
      <c r="H2432" s="1">
        <v>3613778</v>
      </c>
      <c r="I2432" s="1">
        <v>54.198487903225818</v>
      </c>
      <c r="J2432" s="1">
        <v>0</v>
      </c>
      <c r="K2432" s="1">
        <v>55</v>
      </c>
      <c r="L2432" s="1">
        <v>55.5</v>
      </c>
      <c r="M2432" s="1"/>
      <c r="N2432" s="1">
        <v>0</v>
      </c>
    </row>
    <row r="2433" spans="1:14" x14ac:dyDescent="0.35">
      <c r="A2433" s="1" t="s">
        <v>105</v>
      </c>
      <c r="B2433" s="1">
        <v>202504</v>
      </c>
      <c r="C2433" s="1" t="str">
        <f>MID(analisis_productividad__4[[#This Row],[Periodo]],1,4)</f>
        <v>2025</v>
      </c>
      <c r="D2433" s="1" t="str">
        <f>MID(analisis_productividad__4[[#This Row],[Periodo]],5,2)</f>
        <v>04</v>
      </c>
      <c r="E2433" s="1" t="s">
        <v>34</v>
      </c>
      <c r="F2433" s="1" t="s">
        <v>35</v>
      </c>
      <c r="G2433" s="1">
        <v>66676</v>
      </c>
      <c r="H2433" s="1">
        <v>2360967</v>
      </c>
      <c r="I2433" s="1">
        <v>35.409645833333336</v>
      </c>
      <c r="J2433" s="1">
        <v>57604.311988234454</v>
      </c>
      <c r="K2433" s="1">
        <v>33</v>
      </c>
      <c r="L2433" s="1">
        <v>31.5</v>
      </c>
      <c r="M2433" s="1">
        <v>40.985946511820536</v>
      </c>
      <c r="N2433" s="1">
        <v>2598394</v>
      </c>
    </row>
    <row r="2434" spans="1:14" x14ac:dyDescent="0.35">
      <c r="A2434" s="1" t="s">
        <v>85</v>
      </c>
      <c r="B2434" s="1">
        <v>202401</v>
      </c>
      <c r="C2434" s="1" t="str">
        <f>MID(analisis_productividad__4[[#This Row],[Periodo]],1,4)</f>
        <v>2024</v>
      </c>
      <c r="D2434" s="1" t="str">
        <f>MID(analisis_productividad__4[[#This Row],[Periodo]],5,2)</f>
        <v>01</v>
      </c>
      <c r="E2434" s="1" t="s">
        <v>11</v>
      </c>
      <c r="F2434" s="1" t="s">
        <v>14</v>
      </c>
      <c r="G2434" s="1">
        <v>66665</v>
      </c>
      <c r="H2434" s="1">
        <v>3420432</v>
      </c>
      <c r="I2434" s="1">
        <v>51.308118279569911</v>
      </c>
      <c r="J2434" s="1">
        <v>0</v>
      </c>
      <c r="K2434" s="1">
        <v>60.5</v>
      </c>
      <c r="L2434" s="1">
        <v>57.5</v>
      </c>
      <c r="M2434" s="1"/>
      <c r="N2434" s="1">
        <v>0</v>
      </c>
    </row>
    <row r="2435" spans="1:14" x14ac:dyDescent="0.35">
      <c r="A2435" s="1" t="s">
        <v>94</v>
      </c>
      <c r="B2435" s="1">
        <v>202410</v>
      </c>
      <c r="C2435" s="1" t="str">
        <f>MID(analisis_productividad__4[[#This Row],[Periodo]],1,4)</f>
        <v>2024</v>
      </c>
      <c r="D2435" s="1" t="str">
        <f>MID(analisis_productividad__4[[#This Row],[Periodo]],5,2)</f>
        <v>10</v>
      </c>
      <c r="E2435" s="1" t="s">
        <v>11</v>
      </c>
      <c r="F2435" s="1" t="s">
        <v>52</v>
      </c>
      <c r="G2435" s="1">
        <v>66660</v>
      </c>
      <c r="H2435" s="1">
        <v>4741165</v>
      </c>
      <c r="I2435" s="1">
        <v>71.124845430107499</v>
      </c>
      <c r="J2435" s="1">
        <v>0</v>
      </c>
      <c r="K2435" s="1">
        <v>75.5</v>
      </c>
      <c r="L2435" s="1">
        <v>70.5</v>
      </c>
      <c r="M2435" s="1"/>
      <c r="N2435" s="1">
        <v>0</v>
      </c>
    </row>
    <row r="2436" spans="1:14" x14ac:dyDescent="0.35">
      <c r="A2436" s="1" t="s">
        <v>123</v>
      </c>
      <c r="B2436" s="1">
        <v>202406</v>
      </c>
      <c r="C2436" s="1" t="str">
        <f>MID(analisis_productividad__4[[#This Row],[Periodo]],1,4)</f>
        <v>2024</v>
      </c>
      <c r="D2436" s="1" t="str">
        <f>MID(analisis_productividad__4[[#This Row],[Periodo]],5,2)</f>
        <v>06</v>
      </c>
      <c r="E2436" s="1" t="s">
        <v>9</v>
      </c>
      <c r="F2436" s="1" t="s">
        <v>9</v>
      </c>
      <c r="G2436" s="1">
        <v>66624</v>
      </c>
      <c r="H2436" s="1">
        <v>536266</v>
      </c>
      <c r="I2436" s="1">
        <v>8.0491736111111116</v>
      </c>
      <c r="J2436" s="1">
        <v>0</v>
      </c>
      <c r="K2436" s="1">
        <v>11</v>
      </c>
      <c r="L2436" s="1">
        <v>10</v>
      </c>
      <c r="M2436" s="1"/>
      <c r="N2436" s="1">
        <v>0</v>
      </c>
    </row>
    <row r="2437" spans="1:14" x14ac:dyDescent="0.35">
      <c r="A2437" s="1" t="s">
        <v>58</v>
      </c>
      <c r="B2437" s="1">
        <v>202509</v>
      </c>
      <c r="C2437" s="1" t="str">
        <f>MID(analisis_productividad__4[[#This Row],[Periodo]],1,4)</f>
        <v>2025</v>
      </c>
      <c r="D2437" s="1" t="str">
        <f>MID(analisis_productividad__4[[#This Row],[Periodo]],5,2)</f>
        <v>09</v>
      </c>
      <c r="E2437" s="1" t="s">
        <v>34</v>
      </c>
      <c r="F2437" s="1" t="s">
        <v>35</v>
      </c>
      <c r="G2437" s="1">
        <v>66540</v>
      </c>
      <c r="H2437" s="1">
        <v>2789009</v>
      </c>
      <c r="I2437" s="1">
        <v>41.914493055555546</v>
      </c>
      <c r="J2437" s="1">
        <v>69488.618637647931</v>
      </c>
      <c r="K2437" s="1">
        <v>53.5</v>
      </c>
      <c r="L2437" s="1">
        <v>52</v>
      </c>
      <c r="M2437" s="1">
        <v>40.136198771534595</v>
      </c>
      <c r="N2437" s="1">
        <v>3343826</v>
      </c>
    </row>
    <row r="2438" spans="1:14" x14ac:dyDescent="0.35">
      <c r="A2438" s="1" t="s">
        <v>8</v>
      </c>
      <c r="B2438" s="1">
        <v>202502</v>
      </c>
      <c r="C2438" s="1" t="str">
        <f>MID(analisis_productividad__4[[#This Row],[Periodo]],1,4)</f>
        <v>2025</v>
      </c>
      <c r="D2438" s="1" t="str">
        <f>MID(analisis_productividad__4[[#This Row],[Periodo]],5,2)</f>
        <v>02</v>
      </c>
      <c r="E2438" s="1" t="s">
        <v>9</v>
      </c>
      <c r="F2438" s="1" t="s">
        <v>9</v>
      </c>
      <c r="G2438" s="1">
        <v>66528</v>
      </c>
      <c r="H2438" s="1">
        <v>785428</v>
      </c>
      <c r="I2438" s="1">
        <v>11.806041666666665</v>
      </c>
      <c r="J2438" s="1">
        <v>71318.826740287899</v>
      </c>
      <c r="K2438" s="1">
        <v>13.5</v>
      </c>
      <c r="L2438" s="1">
        <v>12.5</v>
      </c>
      <c r="M2438" s="1">
        <v>11.012909436384669</v>
      </c>
      <c r="N2438" s="1">
        <v>897605</v>
      </c>
    </row>
    <row r="2439" spans="1:14" x14ac:dyDescent="0.35">
      <c r="A2439" s="1" t="s">
        <v>92</v>
      </c>
      <c r="B2439" s="1">
        <v>202510</v>
      </c>
      <c r="C2439" s="1" t="str">
        <f>MID(analisis_productividad__4[[#This Row],[Periodo]],1,4)</f>
        <v>2025</v>
      </c>
      <c r="D2439" s="1" t="str">
        <f>MID(analisis_productividad__4[[#This Row],[Periodo]],5,2)</f>
        <v>10</v>
      </c>
      <c r="E2439" s="1" t="s">
        <v>11</v>
      </c>
      <c r="F2439" s="1" t="s">
        <v>14</v>
      </c>
      <c r="G2439" s="1">
        <v>66503</v>
      </c>
      <c r="H2439" s="1">
        <v>3150292</v>
      </c>
      <c r="I2439" s="1">
        <v>47.370524193548391</v>
      </c>
      <c r="J2439" s="1">
        <v>66105.305274881379</v>
      </c>
      <c r="K2439" s="1">
        <v>63</v>
      </c>
      <c r="L2439" s="1">
        <v>59</v>
      </c>
      <c r="M2439" s="1">
        <v>47.65565315673755</v>
      </c>
      <c r="N2439" s="1">
        <v>3945338</v>
      </c>
    </row>
    <row r="2440" spans="1:14" x14ac:dyDescent="0.35">
      <c r="A2440" s="1" t="s">
        <v>100</v>
      </c>
      <c r="B2440" s="1">
        <v>202506</v>
      </c>
      <c r="C2440" s="1" t="str">
        <f>MID(analisis_productividad__4[[#This Row],[Periodo]],1,4)</f>
        <v>2025</v>
      </c>
      <c r="D2440" s="1" t="str">
        <f>MID(analisis_productividad__4[[#This Row],[Periodo]],5,2)</f>
        <v>06</v>
      </c>
      <c r="E2440" s="1" t="s">
        <v>34</v>
      </c>
      <c r="F2440" s="1" t="s">
        <v>35</v>
      </c>
      <c r="G2440" s="1">
        <v>66487</v>
      </c>
      <c r="H2440" s="1">
        <v>2491028</v>
      </c>
      <c r="I2440" s="1">
        <v>37.46628472222222</v>
      </c>
      <c r="J2440" s="1">
        <v>82263.761855426928</v>
      </c>
      <c r="K2440" s="1">
        <v>44</v>
      </c>
      <c r="L2440" s="1">
        <v>40.5</v>
      </c>
      <c r="M2440" s="1">
        <v>30.280993037709802</v>
      </c>
      <c r="N2440" s="1">
        <v>2690676</v>
      </c>
    </row>
    <row r="2441" spans="1:14" x14ac:dyDescent="0.35">
      <c r="A2441" s="1" t="s">
        <v>119</v>
      </c>
      <c r="B2441" s="1">
        <v>202502</v>
      </c>
      <c r="C2441" s="1" t="str">
        <f>MID(analisis_productividad__4[[#This Row],[Periodo]],1,4)</f>
        <v>2025</v>
      </c>
      <c r="D2441" s="1" t="str">
        <f>MID(analisis_productividad__4[[#This Row],[Periodo]],5,2)</f>
        <v>02</v>
      </c>
      <c r="E2441" s="1" t="s">
        <v>16</v>
      </c>
      <c r="F2441" s="1" t="s">
        <v>21</v>
      </c>
      <c r="G2441" s="1">
        <v>66466</v>
      </c>
      <c r="H2441" s="1">
        <v>3311640</v>
      </c>
      <c r="I2441" s="1">
        <v>49.824427083333333</v>
      </c>
      <c r="J2441" s="1">
        <v>59617.162883271441</v>
      </c>
      <c r="K2441" s="1">
        <v>52.5</v>
      </c>
      <c r="L2441" s="1">
        <v>52.5</v>
      </c>
      <c r="M2441" s="1">
        <v>55.548428167977207</v>
      </c>
      <c r="N2441" s="1">
        <v>3097538</v>
      </c>
    </row>
    <row r="2442" spans="1:14" x14ac:dyDescent="0.35">
      <c r="A2442" s="1" t="s">
        <v>89</v>
      </c>
      <c r="B2442" s="1">
        <v>202502</v>
      </c>
      <c r="C2442" s="1" t="str">
        <f>MID(analisis_productividad__4[[#This Row],[Periodo]],1,4)</f>
        <v>2025</v>
      </c>
      <c r="D2442" s="1" t="str">
        <f>MID(analisis_productividad__4[[#This Row],[Periodo]],5,2)</f>
        <v>02</v>
      </c>
      <c r="E2442" s="1" t="s">
        <v>9</v>
      </c>
      <c r="F2442" s="1" t="s">
        <v>9</v>
      </c>
      <c r="G2442" s="1">
        <v>66419</v>
      </c>
      <c r="H2442" s="1">
        <v>953267</v>
      </c>
      <c r="I2442" s="1">
        <v>14.352395833333331</v>
      </c>
      <c r="J2442" s="1">
        <v>59814.667767906889</v>
      </c>
      <c r="K2442" s="1">
        <v>17</v>
      </c>
      <c r="L2442" s="1">
        <v>13.5</v>
      </c>
      <c r="M2442" s="1">
        <v>15.937010863269697</v>
      </c>
      <c r="N2442" s="1">
        <v>994613</v>
      </c>
    </row>
    <row r="2443" spans="1:14" x14ac:dyDescent="0.35">
      <c r="A2443" s="1" t="s">
        <v>119</v>
      </c>
      <c r="B2443" s="1">
        <v>202501</v>
      </c>
      <c r="C2443" s="1" t="str">
        <f>MID(analisis_productividad__4[[#This Row],[Periodo]],1,4)</f>
        <v>2025</v>
      </c>
      <c r="D2443" s="1" t="str">
        <f>MID(analisis_productividad__4[[#This Row],[Periodo]],5,2)</f>
        <v>01</v>
      </c>
      <c r="E2443" s="1" t="s">
        <v>16</v>
      </c>
      <c r="F2443" s="1" t="s">
        <v>21</v>
      </c>
      <c r="G2443" s="1">
        <v>66415</v>
      </c>
      <c r="H2443" s="1">
        <v>3290007</v>
      </c>
      <c r="I2443" s="1">
        <v>49.53680779569892</v>
      </c>
      <c r="J2443" s="1">
        <v>65092.009788105177</v>
      </c>
      <c r="K2443" s="1">
        <v>52.5</v>
      </c>
      <c r="L2443" s="1">
        <v>52.5</v>
      </c>
      <c r="M2443" s="1">
        <v>50.543948492449395</v>
      </c>
      <c r="N2443" s="1">
        <v>3478107</v>
      </c>
    </row>
    <row r="2444" spans="1:14" x14ac:dyDescent="0.35">
      <c r="A2444" s="1" t="s">
        <v>108</v>
      </c>
      <c r="B2444" s="1">
        <v>202408</v>
      </c>
      <c r="C2444" s="1" t="str">
        <f>MID(analisis_productividad__4[[#This Row],[Periodo]],1,4)</f>
        <v>2024</v>
      </c>
      <c r="D2444" s="1" t="str">
        <f>MID(analisis_productividad__4[[#This Row],[Periodo]],5,2)</f>
        <v>08</v>
      </c>
      <c r="E2444" s="1" t="s">
        <v>11</v>
      </c>
      <c r="F2444" s="1" t="s">
        <v>14</v>
      </c>
      <c r="G2444" s="1">
        <v>66412</v>
      </c>
      <c r="H2444" s="1">
        <v>2839922</v>
      </c>
      <c r="I2444" s="1">
        <v>42.762143817204297</v>
      </c>
      <c r="J2444" s="1">
        <v>0</v>
      </c>
      <c r="K2444" s="1">
        <v>47.5</v>
      </c>
      <c r="L2444" s="1">
        <v>43</v>
      </c>
      <c r="M2444" s="1"/>
      <c r="N2444" s="1">
        <v>0</v>
      </c>
    </row>
    <row r="2445" spans="1:14" x14ac:dyDescent="0.35">
      <c r="A2445" s="1" t="s">
        <v>119</v>
      </c>
      <c r="B2445" s="1">
        <v>202507</v>
      </c>
      <c r="C2445" s="1" t="str">
        <f>MID(analisis_productividad__4[[#This Row],[Periodo]],1,4)</f>
        <v>2025</v>
      </c>
      <c r="D2445" s="1" t="str">
        <f>MID(analisis_productividad__4[[#This Row],[Periodo]],5,2)</f>
        <v>07</v>
      </c>
      <c r="E2445" s="1" t="s">
        <v>16</v>
      </c>
      <c r="F2445" s="1" t="s">
        <v>21</v>
      </c>
      <c r="G2445" s="1">
        <v>66393</v>
      </c>
      <c r="H2445" s="1">
        <v>3210835</v>
      </c>
      <c r="I2445" s="1">
        <v>48.360732526881712</v>
      </c>
      <c r="J2445" s="1">
        <v>74507.450527905195</v>
      </c>
      <c r="K2445" s="1">
        <v>52.5</v>
      </c>
      <c r="L2445" s="1">
        <v>52.5</v>
      </c>
      <c r="M2445" s="1">
        <v>43.094140213500516</v>
      </c>
      <c r="N2445" s="1">
        <v>4218935</v>
      </c>
    </row>
    <row r="2446" spans="1:14" x14ac:dyDescent="0.35">
      <c r="A2446" s="1" t="s">
        <v>103</v>
      </c>
      <c r="B2446" s="1">
        <v>202406</v>
      </c>
      <c r="C2446" s="1" t="str">
        <f>MID(analisis_productividad__4[[#This Row],[Periodo]],1,4)</f>
        <v>2024</v>
      </c>
      <c r="D2446" s="1" t="str">
        <f>MID(analisis_productividad__4[[#This Row],[Periodo]],5,2)</f>
        <v>06</v>
      </c>
      <c r="E2446" s="1" t="s">
        <v>104</v>
      </c>
      <c r="F2446" s="1" t="s">
        <v>104</v>
      </c>
      <c r="G2446" s="1">
        <v>66375</v>
      </c>
      <c r="H2446" s="1">
        <v>5363729</v>
      </c>
      <c r="I2446" s="1">
        <v>80.809701388888925</v>
      </c>
      <c r="J2446" s="1">
        <v>0</v>
      </c>
      <c r="K2446" s="1">
        <v>94</v>
      </c>
      <c r="L2446" s="1">
        <v>77.5</v>
      </c>
      <c r="M2446" s="1"/>
      <c r="N2446" s="1">
        <v>0</v>
      </c>
    </row>
    <row r="2447" spans="1:14" x14ac:dyDescent="0.35">
      <c r="A2447" s="1" t="s">
        <v>112</v>
      </c>
      <c r="B2447" s="1">
        <v>202405</v>
      </c>
      <c r="C2447" s="1" t="str">
        <f>MID(analisis_productividad__4[[#This Row],[Periodo]],1,4)</f>
        <v>2024</v>
      </c>
      <c r="D2447" s="1" t="str">
        <f>MID(analisis_productividad__4[[#This Row],[Periodo]],5,2)</f>
        <v>05</v>
      </c>
      <c r="E2447" s="1" t="s">
        <v>34</v>
      </c>
      <c r="F2447" s="1" t="s">
        <v>35</v>
      </c>
      <c r="G2447" s="1">
        <v>66372</v>
      </c>
      <c r="H2447" s="1">
        <v>1738955</v>
      </c>
      <c r="I2447" s="1">
        <v>26.200181451612902</v>
      </c>
      <c r="J2447" s="1">
        <v>0</v>
      </c>
      <c r="K2447" s="1">
        <v>31</v>
      </c>
      <c r="L2447" s="1">
        <v>27</v>
      </c>
      <c r="M2447" s="1"/>
      <c r="N2447" s="1">
        <v>0</v>
      </c>
    </row>
    <row r="2448" spans="1:14" x14ac:dyDescent="0.35">
      <c r="A2448" s="1" t="s">
        <v>111</v>
      </c>
      <c r="B2448" s="1">
        <v>202510</v>
      </c>
      <c r="C2448" s="1" t="str">
        <f>MID(analisis_productividad__4[[#This Row],[Periodo]],1,4)</f>
        <v>2025</v>
      </c>
      <c r="D2448" s="1" t="str">
        <f>MID(analisis_productividad__4[[#This Row],[Periodo]],5,2)</f>
        <v>10</v>
      </c>
      <c r="E2448" s="1" t="s">
        <v>34</v>
      </c>
      <c r="F2448" s="1" t="s">
        <v>35</v>
      </c>
      <c r="G2448" s="1">
        <v>66346</v>
      </c>
      <c r="H2448" s="1">
        <v>2202861</v>
      </c>
      <c r="I2448" s="1">
        <v>33.202580645161284</v>
      </c>
      <c r="J2448" s="1">
        <v>59105.33944422959</v>
      </c>
      <c r="K2448" s="1">
        <v>45.5</v>
      </c>
      <c r="L2448" s="1">
        <v>42.5</v>
      </c>
      <c r="M2448" s="1">
        <v>37.270090159596627</v>
      </c>
      <c r="N2448" s="1">
        <v>2466996</v>
      </c>
    </row>
    <row r="2449" spans="1:14" x14ac:dyDescent="0.35">
      <c r="A2449" s="1" t="s">
        <v>98</v>
      </c>
      <c r="B2449" s="1">
        <v>202510</v>
      </c>
      <c r="C2449" s="1" t="str">
        <f>MID(analisis_productividad__4[[#This Row],[Periodo]],1,4)</f>
        <v>2025</v>
      </c>
      <c r="D2449" s="1" t="str">
        <f>MID(analisis_productividad__4[[#This Row],[Periodo]],5,2)</f>
        <v>10</v>
      </c>
      <c r="E2449" s="1" t="s">
        <v>11</v>
      </c>
      <c r="F2449" s="1" t="s">
        <v>14</v>
      </c>
      <c r="G2449" s="1">
        <v>66341</v>
      </c>
      <c r="H2449" s="1">
        <v>3456704</v>
      </c>
      <c r="I2449" s="1">
        <v>52.105120967741954</v>
      </c>
      <c r="J2449" s="1">
        <v>77388.414225701388</v>
      </c>
      <c r="K2449" s="1">
        <v>61.5</v>
      </c>
      <c r="L2449" s="1">
        <v>56</v>
      </c>
      <c r="M2449" s="1">
        <v>44.666940711804862</v>
      </c>
      <c r="N2449" s="1">
        <v>3639258</v>
      </c>
    </row>
    <row r="2450" spans="1:14" x14ac:dyDescent="0.35">
      <c r="A2450" s="1" t="s">
        <v>98</v>
      </c>
      <c r="B2450" s="1">
        <v>202507</v>
      </c>
      <c r="C2450" s="1" t="str">
        <f>MID(analisis_productividad__4[[#This Row],[Periodo]],1,4)</f>
        <v>2025</v>
      </c>
      <c r="D2450" s="1" t="str">
        <f>MID(analisis_productividad__4[[#This Row],[Periodo]],5,2)</f>
        <v>07</v>
      </c>
      <c r="E2450" s="1" t="s">
        <v>11</v>
      </c>
      <c r="F2450" s="1" t="s">
        <v>14</v>
      </c>
      <c r="G2450" s="1">
        <v>66329</v>
      </c>
      <c r="H2450" s="1">
        <v>3647830</v>
      </c>
      <c r="I2450" s="1">
        <v>54.996243279569896</v>
      </c>
      <c r="J2450" s="1">
        <v>69273.834798171389</v>
      </c>
      <c r="K2450" s="1">
        <v>61.5</v>
      </c>
      <c r="L2450" s="1">
        <v>56</v>
      </c>
      <c r="M2450" s="1">
        <v>52.658125115029598</v>
      </c>
      <c r="N2450" s="1">
        <v>3981975</v>
      </c>
    </row>
    <row r="2451" spans="1:14" x14ac:dyDescent="0.35">
      <c r="A2451" s="1" t="s">
        <v>94</v>
      </c>
      <c r="B2451" s="1">
        <v>202404</v>
      </c>
      <c r="C2451" s="1" t="str">
        <f>MID(analisis_productividad__4[[#This Row],[Periodo]],1,4)</f>
        <v>2024</v>
      </c>
      <c r="D2451" s="1" t="str">
        <f>MID(analisis_productividad__4[[#This Row],[Periodo]],5,2)</f>
        <v>04</v>
      </c>
      <c r="E2451" s="1" t="s">
        <v>11</v>
      </c>
      <c r="F2451" s="1" t="s">
        <v>52</v>
      </c>
      <c r="G2451" s="1">
        <v>66312</v>
      </c>
      <c r="H2451" s="1">
        <v>5057276</v>
      </c>
      <c r="I2451" s="1">
        <v>76.264562500000068</v>
      </c>
      <c r="J2451" s="1">
        <v>0</v>
      </c>
      <c r="K2451" s="1">
        <v>75.5</v>
      </c>
      <c r="L2451" s="1">
        <v>70.5</v>
      </c>
      <c r="M2451" s="1"/>
      <c r="N2451" s="1">
        <v>0</v>
      </c>
    </row>
    <row r="2452" spans="1:14" x14ac:dyDescent="0.35">
      <c r="A2452" s="1" t="s">
        <v>110</v>
      </c>
      <c r="B2452" s="1">
        <v>202408</v>
      </c>
      <c r="C2452" s="1" t="str">
        <f>MID(analisis_productividad__4[[#This Row],[Periodo]],1,4)</f>
        <v>2024</v>
      </c>
      <c r="D2452" s="1" t="str">
        <f>MID(analisis_productividad__4[[#This Row],[Periodo]],5,2)</f>
        <v>08</v>
      </c>
      <c r="E2452" s="1" t="s">
        <v>34</v>
      </c>
      <c r="F2452" s="1" t="s">
        <v>35</v>
      </c>
      <c r="G2452" s="1">
        <v>66309</v>
      </c>
      <c r="H2452" s="1">
        <v>2287401</v>
      </c>
      <c r="I2452" s="1">
        <v>34.49593413978495</v>
      </c>
      <c r="J2452" s="1">
        <v>0</v>
      </c>
      <c r="K2452" s="1">
        <v>41.5</v>
      </c>
      <c r="L2452" s="1">
        <v>43</v>
      </c>
      <c r="M2452" s="1"/>
      <c r="N2452" s="1">
        <v>0</v>
      </c>
    </row>
    <row r="2453" spans="1:14" x14ac:dyDescent="0.35">
      <c r="A2453" s="1" t="s">
        <v>115</v>
      </c>
      <c r="B2453" s="1">
        <v>202603</v>
      </c>
      <c r="C2453" s="1" t="str">
        <f>MID(analisis_productividad__4[[#This Row],[Periodo]],1,4)</f>
        <v>2026</v>
      </c>
      <c r="D2453" s="1" t="str">
        <f>MID(analisis_productividad__4[[#This Row],[Periodo]],5,2)</f>
        <v>03</v>
      </c>
      <c r="E2453" s="1" t="s">
        <v>34</v>
      </c>
      <c r="F2453" s="1" t="s">
        <v>35</v>
      </c>
      <c r="G2453" s="1">
        <v>66289</v>
      </c>
      <c r="H2453" s="1">
        <v>3275101</v>
      </c>
      <c r="I2453" s="1">
        <v>49.406357526881727</v>
      </c>
      <c r="J2453" s="1">
        <v>70818.602074228475</v>
      </c>
      <c r="K2453" s="1">
        <v>53.5</v>
      </c>
      <c r="L2453" s="1">
        <v>51</v>
      </c>
      <c r="M2453" s="1">
        <v>45.515809558361951</v>
      </c>
      <c r="N2453" s="1">
        <v>3223366</v>
      </c>
    </row>
    <row r="2454" spans="1:14" x14ac:dyDescent="0.35">
      <c r="A2454" s="1" t="s">
        <v>107</v>
      </c>
      <c r="B2454" s="1">
        <v>202507</v>
      </c>
      <c r="C2454" s="1" t="str">
        <f>MID(analisis_productividad__4[[#This Row],[Periodo]],1,4)</f>
        <v>2025</v>
      </c>
      <c r="D2454" s="1" t="str">
        <f>MID(analisis_productividad__4[[#This Row],[Periodo]],5,2)</f>
        <v>07</v>
      </c>
      <c r="E2454" s="1" t="s">
        <v>34</v>
      </c>
      <c r="F2454" s="1" t="s">
        <v>35</v>
      </c>
      <c r="G2454" s="1">
        <v>66254</v>
      </c>
      <c r="H2454" s="1">
        <v>4813479</v>
      </c>
      <c r="I2454" s="1">
        <v>72.651579301075273</v>
      </c>
      <c r="J2454" s="1">
        <v>60212.044303161827</v>
      </c>
      <c r="K2454" s="1">
        <v>87</v>
      </c>
      <c r="L2454" s="1">
        <v>77.5</v>
      </c>
      <c r="M2454" s="1">
        <v>79.942120479494093</v>
      </c>
      <c r="N2454" s="1">
        <v>5208145</v>
      </c>
    </row>
    <row r="2455" spans="1:14" x14ac:dyDescent="0.35">
      <c r="A2455" s="1" t="s">
        <v>58</v>
      </c>
      <c r="B2455" s="1">
        <v>202407</v>
      </c>
      <c r="C2455" s="1" t="str">
        <f>MID(analisis_productividad__4[[#This Row],[Periodo]],1,4)</f>
        <v>2024</v>
      </c>
      <c r="D2455" s="1" t="str">
        <f>MID(analisis_productividad__4[[#This Row],[Periodo]],5,2)</f>
        <v>07</v>
      </c>
      <c r="E2455" s="1" t="s">
        <v>34</v>
      </c>
      <c r="F2455" s="1" t="s">
        <v>35</v>
      </c>
      <c r="G2455" s="1">
        <v>66253</v>
      </c>
      <c r="H2455" s="1">
        <v>3283371</v>
      </c>
      <c r="I2455" s="1">
        <v>49.557788978494635</v>
      </c>
      <c r="J2455" s="1">
        <v>0</v>
      </c>
      <c r="K2455" s="1">
        <v>53.5</v>
      </c>
      <c r="L2455" s="1">
        <v>52</v>
      </c>
      <c r="M2455" s="1"/>
      <c r="N2455" s="1">
        <v>0</v>
      </c>
    </row>
    <row r="2456" spans="1:14" x14ac:dyDescent="0.35">
      <c r="A2456" s="1" t="s">
        <v>115</v>
      </c>
      <c r="B2456" s="1">
        <v>202605</v>
      </c>
      <c r="C2456" s="1" t="str">
        <f>MID(analisis_productividad__4[[#This Row],[Periodo]],1,4)</f>
        <v>2026</v>
      </c>
      <c r="D2456" s="1" t="str">
        <f>MID(analisis_productividad__4[[#This Row],[Periodo]],5,2)</f>
        <v>05</v>
      </c>
      <c r="E2456" s="1" t="s">
        <v>34</v>
      </c>
      <c r="F2456" s="1" t="s">
        <v>35</v>
      </c>
      <c r="G2456" s="1">
        <v>66228</v>
      </c>
      <c r="H2456" s="1">
        <v>3056968</v>
      </c>
      <c r="I2456" s="1">
        <v>46.158508064516283</v>
      </c>
      <c r="J2456" s="1">
        <v>68291.589104097337</v>
      </c>
      <c r="K2456" s="1">
        <v>53.5</v>
      </c>
      <c r="L2456" s="1">
        <v>51</v>
      </c>
      <c r="M2456" s="1">
        <v>45.515809558361951</v>
      </c>
      <c r="N2456" s="1">
        <v>3108347</v>
      </c>
    </row>
    <row r="2457" spans="1:14" x14ac:dyDescent="0.35">
      <c r="A2457" s="1" t="s">
        <v>110</v>
      </c>
      <c r="B2457" s="1">
        <v>202412</v>
      </c>
      <c r="C2457" s="1" t="str">
        <f>MID(analisis_productividad__4[[#This Row],[Periodo]],1,4)</f>
        <v>2024</v>
      </c>
      <c r="D2457" s="1" t="str">
        <f>MID(analisis_productividad__4[[#This Row],[Periodo]],5,2)</f>
        <v>12</v>
      </c>
      <c r="E2457" s="1" t="s">
        <v>34</v>
      </c>
      <c r="F2457" s="1" t="s">
        <v>35</v>
      </c>
      <c r="G2457" s="1">
        <v>66227</v>
      </c>
      <c r="H2457" s="1">
        <v>2565756</v>
      </c>
      <c r="I2457" s="1">
        <v>38.742130376344079</v>
      </c>
      <c r="J2457" s="1">
        <v>0</v>
      </c>
      <c r="K2457" s="1">
        <v>41.5</v>
      </c>
      <c r="L2457" s="1">
        <v>43</v>
      </c>
      <c r="M2457" s="1"/>
      <c r="N2457" s="1">
        <v>0</v>
      </c>
    </row>
    <row r="2458" spans="1:14" x14ac:dyDescent="0.35">
      <c r="A2458" s="1" t="s">
        <v>73</v>
      </c>
      <c r="B2458" s="1">
        <v>202401</v>
      </c>
      <c r="C2458" s="1" t="str">
        <f>MID(analisis_productividad__4[[#This Row],[Periodo]],1,4)</f>
        <v>2024</v>
      </c>
      <c r="D2458" s="1" t="str">
        <f>MID(analisis_productividad__4[[#This Row],[Periodo]],5,2)</f>
        <v>01</v>
      </c>
      <c r="E2458" s="1" t="s">
        <v>16</v>
      </c>
      <c r="F2458" s="1" t="s">
        <v>21</v>
      </c>
      <c r="G2458" s="1">
        <v>66211</v>
      </c>
      <c r="H2458" s="1">
        <v>2849913</v>
      </c>
      <c r="I2458" s="1">
        <v>43.043131720430118</v>
      </c>
      <c r="J2458" s="1">
        <v>0</v>
      </c>
      <c r="K2458" s="1">
        <v>43.5</v>
      </c>
      <c r="L2458" s="1">
        <v>41</v>
      </c>
      <c r="M2458" s="1"/>
      <c r="N2458" s="1">
        <v>0</v>
      </c>
    </row>
    <row r="2459" spans="1:14" x14ac:dyDescent="0.35">
      <c r="A2459" s="1" t="s">
        <v>89</v>
      </c>
      <c r="B2459" s="1">
        <v>202408</v>
      </c>
      <c r="C2459" s="1" t="str">
        <f>MID(analisis_productividad__4[[#This Row],[Periodo]],1,4)</f>
        <v>2024</v>
      </c>
      <c r="D2459" s="1" t="str">
        <f>MID(analisis_productividad__4[[#This Row],[Periodo]],5,2)</f>
        <v>08</v>
      </c>
      <c r="E2459" s="1" t="s">
        <v>9</v>
      </c>
      <c r="F2459" s="1" t="s">
        <v>9</v>
      </c>
      <c r="G2459" s="1">
        <v>66181</v>
      </c>
      <c r="H2459" s="1">
        <v>1056778</v>
      </c>
      <c r="I2459" s="1">
        <v>15.967997311827959</v>
      </c>
      <c r="J2459" s="1">
        <v>0</v>
      </c>
      <c r="K2459" s="1">
        <v>17</v>
      </c>
      <c r="L2459" s="1">
        <v>13.5</v>
      </c>
      <c r="M2459" s="1"/>
      <c r="N2459" s="1">
        <v>0</v>
      </c>
    </row>
    <row r="2460" spans="1:14" x14ac:dyDescent="0.35">
      <c r="A2460" s="1" t="s">
        <v>58</v>
      </c>
      <c r="B2460" s="1">
        <v>202409</v>
      </c>
      <c r="C2460" s="1" t="str">
        <f>MID(analisis_productividad__4[[#This Row],[Periodo]],1,4)</f>
        <v>2024</v>
      </c>
      <c r="D2460" s="1" t="str">
        <f>MID(analisis_productividad__4[[#This Row],[Periodo]],5,2)</f>
        <v>09</v>
      </c>
      <c r="E2460" s="1" t="s">
        <v>34</v>
      </c>
      <c r="F2460" s="1" t="s">
        <v>35</v>
      </c>
      <c r="G2460" s="1">
        <v>66180</v>
      </c>
      <c r="H2460" s="1">
        <v>3095850</v>
      </c>
      <c r="I2460" s="1">
        <v>46.779493055555562</v>
      </c>
      <c r="J2460" s="1">
        <v>0</v>
      </c>
      <c r="K2460" s="1">
        <v>53.5</v>
      </c>
      <c r="L2460" s="1">
        <v>52</v>
      </c>
      <c r="M2460" s="1"/>
      <c r="N2460" s="1">
        <v>0</v>
      </c>
    </row>
    <row r="2461" spans="1:14" x14ac:dyDescent="0.35">
      <c r="A2461" s="1" t="s">
        <v>119</v>
      </c>
      <c r="B2461" s="1">
        <v>202601</v>
      </c>
      <c r="C2461" s="1" t="str">
        <f>MID(analisis_productividad__4[[#This Row],[Periodo]],1,4)</f>
        <v>2026</v>
      </c>
      <c r="D2461" s="1" t="str">
        <f>MID(analisis_productividad__4[[#This Row],[Periodo]],5,2)</f>
        <v>01</v>
      </c>
      <c r="E2461" s="1" t="s">
        <v>16</v>
      </c>
      <c r="F2461" s="1" t="s">
        <v>21</v>
      </c>
      <c r="G2461" s="1">
        <v>66153</v>
      </c>
      <c r="H2461" s="1">
        <v>3015239</v>
      </c>
      <c r="I2461" s="1">
        <v>45.579973118279568</v>
      </c>
      <c r="J2461" s="1">
        <v>74982.203981893384</v>
      </c>
      <c r="K2461" s="1">
        <v>52.5</v>
      </c>
      <c r="L2461" s="1">
        <v>52.5</v>
      </c>
      <c r="M2461" s="1">
        <v>46.965208254619732</v>
      </c>
      <c r="N2461" s="1">
        <v>3521555</v>
      </c>
    </row>
    <row r="2462" spans="1:14" x14ac:dyDescent="0.35">
      <c r="A2462" s="1" t="s">
        <v>116</v>
      </c>
      <c r="B2462" s="1">
        <v>202606</v>
      </c>
      <c r="C2462" s="1" t="str">
        <f>MID(analisis_productividad__4[[#This Row],[Periodo]],1,4)</f>
        <v>2026</v>
      </c>
      <c r="D2462" s="1" t="str">
        <f>MID(analisis_productividad__4[[#This Row],[Periodo]],5,2)</f>
        <v>06</v>
      </c>
      <c r="E2462" s="1" t="s">
        <v>9</v>
      </c>
      <c r="F2462" s="1" t="s">
        <v>9</v>
      </c>
      <c r="G2462" s="1">
        <v>66121</v>
      </c>
      <c r="H2462" s="1">
        <v>597876</v>
      </c>
      <c r="I2462" s="1">
        <v>9.0421527777777815</v>
      </c>
      <c r="J2462" s="1">
        <v>56773.042543243442</v>
      </c>
      <c r="K2462" s="1">
        <v>11.5</v>
      </c>
      <c r="L2462" s="1">
        <v>10</v>
      </c>
      <c r="M2462" s="1">
        <v>10.042294324207418</v>
      </c>
      <c r="N2462" s="1">
        <v>570132</v>
      </c>
    </row>
    <row r="2463" spans="1:14" x14ac:dyDescent="0.35">
      <c r="A2463" s="1" t="s">
        <v>111</v>
      </c>
      <c r="B2463" s="1">
        <v>202511</v>
      </c>
      <c r="C2463" s="1" t="str">
        <f>MID(analisis_productividad__4[[#This Row],[Periodo]],1,4)</f>
        <v>2025</v>
      </c>
      <c r="D2463" s="1" t="str">
        <f>MID(analisis_productividad__4[[#This Row],[Periodo]],5,2)</f>
        <v>11</v>
      </c>
      <c r="E2463" s="1" t="s">
        <v>34</v>
      </c>
      <c r="F2463" s="1" t="s">
        <v>35</v>
      </c>
      <c r="G2463" s="1">
        <v>66113</v>
      </c>
      <c r="H2463" s="1">
        <v>2378106</v>
      </c>
      <c r="I2463" s="1">
        <v>35.970423611111102</v>
      </c>
      <c r="J2463" s="1">
        <v>56385.180939566191</v>
      </c>
      <c r="K2463" s="1">
        <v>45.5</v>
      </c>
      <c r="L2463" s="1">
        <v>42.5</v>
      </c>
      <c r="M2463" s="1">
        <v>42.176090248763444</v>
      </c>
      <c r="N2463" s="1">
        <v>2428265</v>
      </c>
    </row>
    <row r="2464" spans="1:14" x14ac:dyDescent="0.35">
      <c r="A2464" s="1" t="s">
        <v>119</v>
      </c>
      <c r="B2464" s="1">
        <v>202410</v>
      </c>
      <c r="C2464" s="1" t="str">
        <f>MID(analisis_productividad__4[[#This Row],[Periodo]],1,4)</f>
        <v>2024</v>
      </c>
      <c r="D2464" s="1" t="str">
        <f>MID(analisis_productividad__4[[#This Row],[Periodo]],5,2)</f>
        <v>10</v>
      </c>
      <c r="E2464" s="1" t="s">
        <v>16</v>
      </c>
      <c r="F2464" s="1" t="s">
        <v>21</v>
      </c>
      <c r="G2464" s="1">
        <v>66107</v>
      </c>
      <c r="H2464" s="1">
        <v>3050036</v>
      </c>
      <c r="I2464" s="1">
        <v>46.138138440860203</v>
      </c>
      <c r="J2464" s="1">
        <v>0</v>
      </c>
      <c r="K2464" s="1">
        <v>52.5</v>
      </c>
      <c r="L2464" s="1">
        <v>52.5</v>
      </c>
      <c r="M2464" s="1"/>
      <c r="N2464" s="1">
        <v>0</v>
      </c>
    </row>
    <row r="2465" spans="1:14" x14ac:dyDescent="0.35">
      <c r="A2465" s="1" t="s">
        <v>110</v>
      </c>
      <c r="B2465" s="1">
        <v>202410</v>
      </c>
      <c r="C2465" s="1" t="str">
        <f>MID(analisis_productividad__4[[#This Row],[Periodo]],1,4)</f>
        <v>2024</v>
      </c>
      <c r="D2465" s="1" t="str">
        <f>MID(analisis_productividad__4[[#This Row],[Periodo]],5,2)</f>
        <v>10</v>
      </c>
      <c r="E2465" s="1" t="s">
        <v>34</v>
      </c>
      <c r="F2465" s="1" t="s">
        <v>35</v>
      </c>
      <c r="G2465" s="1">
        <v>66107</v>
      </c>
      <c r="H2465" s="1">
        <v>2228283</v>
      </c>
      <c r="I2465" s="1">
        <v>33.707446236559143</v>
      </c>
      <c r="J2465" s="1">
        <v>0</v>
      </c>
      <c r="K2465" s="1">
        <v>41.5</v>
      </c>
      <c r="L2465" s="1">
        <v>43</v>
      </c>
      <c r="M2465" s="1"/>
      <c r="N2465" s="1">
        <v>0</v>
      </c>
    </row>
    <row r="2466" spans="1:14" x14ac:dyDescent="0.35">
      <c r="A2466" s="1" t="s">
        <v>120</v>
      </c>
      <c r="B2466" s="1">
        <v>202404</v>
      </c>
      <c r="C2466" s="1" t="str">
        <f>MID(analisis_productividad__4[[#This Row],[Periodo]],1,4)</f>
        <v>2024</v>
      </c>
      <c r="D2466" s="1" t="str">
        <f>MID(analisis_productividad__4[[#This Row],[Periodo]],5,2)</f>
        <v>04</v>
      </c>
      <c r="E2466" s="1" t="s">
        <v>9</v>
      </c>
      <c r="F2466" s="1" t="s">
        <v>9</v>
      </c>
      <c r="G2466" s="1">
        <v>66080</v>
      </c>
      <c r="H2466" s="1">
        <v>766901</v>
      </c>
      <c r="I2466" s="1">
        <v>11.605562500000003</v>
      </c>
      <c r="J2466" s="1">
        <v>0</v>
      </c>
      <c r="K2466" s="1">
        <v>11.5</v>
      </c>
      <c r="L2466" s="1">
        <v>12</v>
      </c>
      <c r="M2466" s="1"/>
      <c r="N2466" s="1">
        <v>0</v>
      </c>
    </row>
    <row r="2467" spans="1:14" x14ac:dyDescent="0.35">
      <c r="A2467" s="1" t="s">
        <v>113</v>
      </c>
      <c r="B2467" s="1">
        <v>202604</v>
      </c>
      <c r="C2467" s="1" t="str">
        <f>MID(analisis_productividad__4[[#This Row],[Periodo]],1,4)</f>
        <v>2026</v>
      </c>
      <c r="D2467" s="1" t="str">
        <f>MID(analisis_productividad__4[[#This Row],[Periodo]],5,2)</f>
        <v>04</v>
      </c>
      <c r="E2467" s="1" t="s">
        <v>9</v>
      </c>
      <c r="F2467" s="1" t="s">
        <v>9</v>
      </c>
      <c r="G2467" s="1">
        <v>66058</v>
      </c>
      <c r="H2467" s="1">
        <v>612963</v>
      </c>
      <c r="I2467" s="1">
        <v>9.2792291666666689</v>
      </c>
      <c r="J2467" s="1">
        <v>56126.441339338533</v>
      </c>
      <c r="K2467" s="1">
        <v>11.5</v>
      </c>
      <c r="L2467" s="1">
        <v>10</v>
      </c>
      <c r="M2467" s="1">
        <v>10.042294324207418</v>
      </c>
      <c r="N2467" s="1">
        <v>563638</v>
      </c>
    </row>
    <row r="2468" spans="1:14" x14ac:dyDescent="0.35">
      <c r="A2468" s="1" t="s">
        <v>112</v>
      </c>
      <c r="B2468" s="1">
        <v>202410</v>
      </c>
      <c r="C2468" s="1" t="str">
        <f>MID(analisis_productividad__4[[#This Row],[Periodo]],1,4)</f>
        <v>2024</v>
      </c>
      <c r="D2468" s="1" t="str">
        <f>MID(analisis_productividad__4[[#This Row],[Periodo]],5,2)</f>
        <v>10</v>
      </c>
      <c r="E2468" s="1" t="s">
        <v>34</v>
      </c>
      <c r="F2468" s="1" t="s">
        <v>35</v>
      </c>
      <c r="G2468" s="1">
        <v>66030</v>
      </c>
      <c r="H2468" s="1">
        <v>1694595</v>
      </c>
      <c r="I2468" s="1">
        <v>25.664126344086014</v>
      </c>
      <c r="J2468" s="1">
        <v>0</v>
      </c>
      <c r="K2468" s="1">
        <v>31</v>
      </c>
      <c r="L2468" s="1">
        <v>27</v>
      </c>
      <c r="M2468" s="1"/>
      <c r="N2468" s="1">
        <v>0</v>
      </c>
    </row>
    <row r="2469" spans="1:14" x14ac:dyDescent="0.35">
      <c r="A2469" s="1" t="s">
        <v>83</v>
      </c>
      <c r="B2469" s="1">
        <v>202502</v>
      </c>
      <c r="C2469" s="1" t="str">
        <f>MID(analisis_productividad__4[[#This Row],[Periodo]],1,4)</f>
        <v>2025</v>
      </c>
      <c r="D2469" s="1" t="str">
        <f>MID(analisis_productividad__4[[#This Row],[Periodo]],5,2)</f>
        <v>02</v>
      </c>
      <c r="E2469" s="1" t="s">
        <v>16</v>
      </c>
      <c r="F2469" s="1" t="s">
        <v>17</v>
      </c>
      <c r="G2469" s="1">
        <v>66018</v>
      </c>
      <c r="H2469" s="1">
        <v>3440526</v>
      </c>
      <c r="I2469" s="1">
        <v>52.114791666666669</v>
      </c>
      <c r="J2469" s="1">
        <v>74812.76315653541</v>
      </c>
      <c r="K2469" s="1">
        <v>52</v>
      </c>
      <c r="L2469" s="1">
        <v>52</v>
      </c>
      <c r="M2469" s="1">
        <v>45.988491600038522</v>
      </c>
      <c r="N2469" s="1">
        <v>3309726</v>
      </c>
    </row>
    <row r="2470" spans="1:14" x14ac:dyDescent="0.35">
      <c r="A2470" s="1" t="s">
        <v>107</v>
      </c>
      <c r="B2470" s="1">
        <v>202509</v>
      </c>
      <c r="C2470" s="1" t="str">
        <f>MID(analisis_productividad__4[[#This Row],[Periodo]],1,4)</f>
        <v>2025</v>
      </c>
      <c r="D2470" s="1" t="str">
        <f>MID(analisis_productividad__4[[#This Row],[Periodo]],5,2)</f>
        <v>09</v>
      </c>
      <c r="E2470" s="1" t="s">
        <v>34</v>
      </c>
      <c r="F2470" s="1" t="s">
        <v>35</v>
      </c>
      <c r="G2470" s="1">
        <v>65999</v>
      </c>
      <c r="H2470" s="1">
        <v>4965027</v>
      </c>
      <c r="I2470" s="1">
        <v>75.229340277777794</v>
      </c>
      <c r="J2470" s="1">
        <v>68411.210640070596</v>
      </c>
      <c r="K2470" s="1">
        <v>87</v>
      </c>
      <c r="L2470" s="1">
        <v>77.5</v>
      </c>
      <c r="M2470" s="1">
        <v>72.576223743829303</v>
      </c>
      <c r="N2470" s="1">
        <v>5278766</v>
      </c>
    </row>
    <row r="2471" spans="1:14" x14ac:dyDescent="0.35">
      <c r="A2471" s="1" t="s">
        <v>98</v>
      </c>
      <c r="B2471" s="1">
        <v>202407</v>
      </c>
      <c r="C2471" s="1" t="str">
        <f>MID(analisis_productividad__4[[#This Row],[Periodo]],1,4)</f>
        <v>2024</v>
      </c>
      <c r="D2471" s="1" t="str">
        <f>MID(analisis_productividad__4[[#This Row],[Periodo]],5,2)</f>
        <v>07</v>
      </c>
      <c r="E2471" s="1" t="s">
        <v>11</v>
      </c>
      <c r="F2471" s="1" t="s">
        <v>14</v>
      </c>
      <c r="G2471" s="1">
        <v>65975</v>
      </c>
      <c r="H2471" s="1">
        <v>3751014</v>
      </c>
      <c r="I2471" s="1">
        <v>56.855006720430104</v>
      </c>
      <c r="J2471" s="1">
        <v>0</v>
      </c>
      <c r="K2471" s="1">
        <v>61.5</v>
      </c>
      <c r="L2471" s="1">
        <v>56</v>
      </c>
      <c r="M2471" s="1"/>
      <c r="N2471" s="1">
        <v>0</v>
      </c>
    </row>
    <row r="2472" spans="1:14" x14ac:dyDescent="0.35">
      <c r="A2472" s="1" t="s">
        <v>83</v>
      </c>
      <c r="B2472" s="1">
        <v>202404</v>
      </c>
      <c r="C2472" s="1" t="str">
        <f>MID(analisis_productividad__4[[#This Row],[Periodo]],1,4)</f>
        <v>2024</v>
      </c>
      <c r="D2472" s="1" t="str">
        <f>MID(analisis_productividad__4[[#This Row],[Periodo]],5,2)</f>
        <v>04</v>
      </c>
      <c r="E2472" s="1" t="s">
        <v>16</v>
      </c>
      <c r="F2472" s="1" t="s">
        <v>17</v>
      </c>
      <c r="G2472" s="1">
        <v>65949</v>
      </c>
      <c r="H2472" s="1">
        <v>3239151</v>
      </c>
      <c r="I2472" s="1">
        <v>49.116375000000012</v>
      </c>
      <c r="J2472" s="1">
        <v>0</v>
      </c>
      <c r="K2472" s="1">
        <v>52</v>
      </c>
      <c r="L2472" s="1">
        <v>52</v>
      </c>
      <c r="M2472" s="1"/>
      <c r="N2472" s="1">
        <v>0</v>
      </c>
    </row>
    <row r="2473" spans="1:14" x14ac:dyDescent="0.35">
      <c r="A2473" s="1" t="s">
        <v>8</v>
      </c>
      <c r="B2473" s="1">
        <v>202408</v>
      </c>
      <c r="C2473" s="1" t="str">
        <f>MID(analisis_productividad__4[[#This Row],[Periodo]],1,4)</f>
        <v>2024</v>
      </c>
      <c r="D2473" s="1" t="str">
        <f>MID(analisis_productividad__4[[#This Row],[Periodo]],5,2)</f>
        <v>08</v>
      </c>
      <c r="E2473" s="1" t="s">
        <v>9</v>
      </c>
      <c r="F2473" s="1" t="s">
        <v>9</v>
      </c>
      <c r="G2473" s="1">
        <v>65943</v>
      </c>
      <c r="H2473" s="1">
        <v>813167</v>
      </c>
      <c r="I2473" s="1">
        <v>12.331290322580646</v>
      </c>
      <c r="J2473" s="1">
        <v>0</v>
      </c>
      <c r="K2473" s="1">
        <v>13.5</v>
      </c>
      <c r="L2473" s="1">
        <v>12.5</v>
      </c>
      <c r="M2473" s="1"/>
      <c r="N2473" s="1">
        <v>0</v>
      </c>
    </row>
    <row r="2474" spans="1:14" x14ac:dyDescent="0.35">
      <c r="A2474" s="1" t="s">
        <v>103</v>
      </c>
      <c r="B2474" s="1">
        <v>202511</v>
      </c>
      <c r="C2474" s="1" t="str">
        <f>MID(analisis_productividad__4[[#This Row],[Periodo]],1,4)</f>
        <v>2025</v>
      </c>
      <c r="D2474" s="1" t="str">
        <f>MID(analisis_productividad__4[[#This Row],[Periodo]],5,2)</f>
        <v>11</v>
      </c>
      <c r="E2474" s="1" t="s">
        <v>104</v>
      </c>
      <c r="F2474" s="1" t="s">
        <v>104</v>
      </c>
      <c r="G2474" s="1">
        <v>65909</v>
      </c>
      <c r="H2474" s="1">
        <v>5253336</v>
      </c>
      <c r="I2474" s="1">
        <v>79.705451388888946</v>
      </c>
      <c r="J2474" s="1">
        <v>67098.806646751225</v>
      </c>
      <c r="K2474" s="1">
        <v>94</v>
      </c>
      <c r="L2474" s="1">
        <v>77.5</v>
      </c>
      <c r="M2474" s="1">
        <v>78.292537863702151</v>
      </c>
      <c r="N2474" s="1">
        <v>5199357</v>
      </c>
    </row>
    <row r="2475" spans="1:14" x14ac:dyDescent="0.35">
      <c r="A2475" s="1" t="s">
        <v>108</v>
      </c>
      <c r="B2475" s="1">
        <v>202605</v>
      </c>
      <c r="C2475" s="1" t="str">
        <f>MID(analisis_productividad__4[[#This Row],[Periodo]],1,4)</f>
        <v>2026</v>
      </c>
      <c r="D2475" s="1" t="str">
        <f>MID(analisis_productividad__4[[#This Row],[Periodo]],5,2)</f>
        <v>05</v>
      </c>
      <c r="E2475" s="1" t="s">
        <v>11</v>
      </c>
      <c r="F2475" s="1" t="s">
        <v>14</v>
      </c>
      <c r="G2475" s="1">
        <v>65907</v>
      </c>
      <c r="H2475" s="1">
        <v>2775015</v>
      </c>
      <c r="I2475" s="1">
        <v>42.104811827957029</v>
      </c>
      <c r="J2475" s="1">
        <v>70766.764724401641</v>
      </c>
      <c r="K2475" s="1">
        <v>47.5</v>
      </c>
      <c r="L2475" s="1">
        <v>43</v>
      </c>
      <c r="M2475" s="1">
        <v>41.487905995618128</v>
      </c>
      <c r="N2475" s="1">
        <v>2935965</v>
      </c>
    </row>
    <row r="2476" spans="1:14" x14ac:dyDescent="0.35">
      <c r="A2476" s="1" t="s">
        <v>108</v>
      </c>
      <c r="B2476" s="1">
        <v>202506</v>
      </c>
      <c r="C2476" s="1" t="str">
        <f>MID(analisis_productividad__4[[#This Row],[Periodo]],1,4)</f>
        <v>2025</v>
      </c>
      <c r="D2476" s="1" t="str">
        <f>MID(analisis_productividad__4[[#This Row],[Periodo]],5,2)</f>
        <v>06</v>
      </c>
      <c r="E2476" s="1" t="s">
        <v>11</v>
      </c>
      <c r="F2476" s="1" t="s">
        <v>14</v>
      </c>
      <c r="G2476" s="1">
        <v>65887</v>
      </c>
      <c r="H2476" s="1">
        <v>2547626</v>
      </c>
      <c r="I2476" s="1">
        <v>38.666687500000002</v>
      </c>
      <c r="J2476" s="1">
        <v>57909.044159478144</v>
      </c>
      <c r="K2476" s="1">
        <v>47.5</v>
      </c>
      <c r="L2476" s="1">
        <v>43</v>
      </c>
      <c r="M2476" s="1">
        <v>43.993578325761803</v>
      </c>
      <c r="N2476" s="1">
        <v>2752091</v>
      </c>
    </row>
    <row r="2477" spans="1:14" x14ac:dyDescent="0.35">
      <c r="A2477" s="1" t="s">
        <v>95</v>
      </c>
      <c r="B2477" s="1">
        <v>202510</v>
      </c>
      <c r="C2477" s="1" t="str">
        <f>MID(analisis_productividad__4[[#This Row],[Periodo]],1,4)</f>
        <v>2025</v>
      </c>
      <c r="D2477" s="1" t="str">
        <f>MID(analisis_productividad__4[[#This Row],[Periodo]],5,2)</f>
        <v>10</v>
      </c>
      <c r="E2477" s="1" t="s">
        <v>9</v>
      </c>
      <c r="F2477" s="1" t="s">
        <v>9</v>
      </c>
      <c r="G2477" s="1">
        <v>65859</v>
      </c>
      <c r="H2477" s="1">
        <v>617416</v>
      </c>
      <c r="I2477" s="1">
        <v>9.3748723118279553</v>
      </c>
      <c r="J2477" s="1">
        <v>78457.803001832799</v>
      </c>
      <c r="K2477" s="1">
        <v>11</v>
      </c>
      <c r="L2477" s="1">
        <v>11</v>
      </c>
      <c r="M2477" s="1">
        <v>7.8694001919168839</v>
      </c>
      <c r="N2477" s="1">
        <v>691803</v>
      </c>
    </row>
    <row r="2478" spans="1:14" x14ac:dyDescent="0.35">
      <c r="A2478" s="1" t="s">
        <v>118</v>
      </c>
      <c r="B2478" s="1">
        <v>202602</v>
      </c>
      <c r="C2478" s="1" t="str">
        <f>MID(analisis_productividad__4[[#This Row],[Periodo]],1,4)</f>
        <v>2026</v>
      </c>
      <c r="D2478" s="1" t="str">
        <f>MID(analisis_productividad__4[[#This Row],[Periodo]],5,2)</f>
        <v>02</v>
      </c>
      <c r="E2478" s="1" t="s">
        <v>34</v>
      </c>
      <c r="F2478" s="1" t="s">
        <v>35</v>
      </c>
      <c r="G2478" s="1">
        <v>65856</v>
      </c>
      <c r="H2478" s="1">
        <v>1139532</v>
      </c>
      <c r="I2478" s="1">
        <v>17.303489583333338</v>
      </c>
      <c r="J2478" s="1">
        <v>64405.788153500136</v>
      </c>
      <c r="K2478" s="1">
        <v>19</v>
      </c>
      <c r="L2478" s="1">
        <v>21.5</v>
      </c>
      <c r="M2478" s="1">
        <v>17.464859694273773</v>
      </c>
      <c r="N2478" s="1">
        <v>1124838</v>
      </c>
    </row>
    <row r="2479" spans="1:14" x14ac:dyDescent="0.35">
      <c r="A2479" s="1" t="s">
        <v>71</v>
      </c>
      <c r="B2479" s="1">
        <v>202405</v>
      </c>
      <c r="C2479" s="1" t="str">
        <f>MID(analisis_productividad__4[[#This Row],[Periodo]],1,4)</f>
        <v>2024</v>
      </c>
      <c r="D2479" s="1" t="str">
        <f>MID(analisis_productividad__4[[#This Row],[Periodo]],5,2)</f>
        <v>05</v>
      </c>
      <c r="E2479" s="1" t="s">
        <v>16</v>
      </c>
      <c r="F2479" s="1" t="s">
        <v>19</v>
      </c>
      <c r="G2479" s="1">
        <v>65839</v>
      </c>
      <c r="H2479" s="1">
        <v>2179670</v>
      </c>
      <c r="I2479" s="1">
        <v>33.105954301075272</v>
      </c>
      <c r="J2479" s="1">
        <v>0</v>
      </c>
      <c r="K2479" s="1">
        <v>41.5</v>
      </c>
      <c r="L2479" s="1">
        <v>35.5</v>
      </c>
      <c r="M2479" s="1"/>
      <c r="N2479" s="1">
        <v>0</v>
      </c>
    </row>
    <row r="2480" spans="1:14" x14ac:dyDescent="0.35">
      <c r="A2480" s="1" t="s">
        <v>89</v>
      </c>
      <c r="B2480" s="1">
        <v>202410</v>
      </c>
      <c r="C2480" s="1" t="str">
        <f>MID(analisis_productividad__4[[#This Row],[Periodo]],1,4)</f>
        <v>2024</v>
      </c>
      <c r="D2480" s="1" t="str">
        <f>MID(analisis_productividad__4[[#This Row],[Periodo]],5,2)</f>
        <v>10</v>
      </c>
      <c r="E2480" s="1" t="s">
        <v>9</v>
      </c>
      <c r="F2480" s="1" t="s">
        <v>9</v>
      </c>
      <c r="G2480" s="1">
        <v>65796</v>
      </c>
      <c r="H2480" s="1">
        <v>981918</v>
      </c>
      <c r="I2480" s="1">
        <v>14.923642473118282</v>
      </c>
      <c r="J2480" s="1">
        <v>0</v>
      </c>
      <c r="K2480" s="1">
        <v>17</v>
      </c>
      <c r="L2480" s="1">
        <v>13.5</v>
      </c>
      <c r="M2480" s="1"/>
      <c r="N2480" s="1">
        <v>0</v>
      </c>
    </row>
    <row r="2481" spans="1:14" x14ac:dyDescent="0.35">
      <c r="A2481" s="1" t="s">
        <v>120</v>
      </c>
      <c r="B2481" s="1">
        <v>202605</v>
      </c>
      <c r="C2481" s="1" t="str">
        <f>MID(analisis_productividad__4[[#This Row],[Periodo]],1,4)</f>
        <v>2026</v>
      </c>
      <c r="D2481" s="1" t="str">
        <f>MID(analisis_productividad__4[[#This Row],[Periodo]],5,2)</f>
        <v>05</v>
      </c>
      <c r="E2481" s="1" t="s">
        <v>9</v>
      </c>
      <c r="F2481" s="1" t="s">
        <v>9</v>
      </c>
      <c r="G2481" s="1">
        <v>65774</v>
      </c>
      <c r="H2481" s="1">
        <v>693710</v>
      </c>
      <c r="I2481" s="1">
        <v>10.546948924731183</v>
      </c>
      <c r="J2481" s="1">
        <v>73813.949628338873</v>
      </c>
      <c r="K2481" s="1">
        <v>11.5</v>
      </c>
      <c r="L2481" s="1">
        <v>12</v>
      </c>
      <c r="M2481" s="1">
        <v>10.04229432420742</v>
      </c>
      <c r="N2481" s="1">
        <v>741261</v>
      </c>
    </row>
    <row r="2482" spans="1:14" x14ac:dyDescent="0.35">
      <c r="A2482" s="1" t="s">
        <v>105</v>
      </c>
      <c r="B2482" s="1">
        <v>202506</v>
      </c>
      <c r="C2482" s="1" t="str">
        <f>MID(analisis_productividad__4[[#This Row],[Periodo]],1,4)</f>
        <v>2025</v>
      </c>
      <c r="D2482" s="1" t="str">
        <f>MID(analisis_productividad__4[[#This Row],[Periodo]],5,2)</f>
        <v>06</v>
      </c>
      <c r="E2482" s="1" t="s">
        <v>34</v>
      </c>
      <c r="F2482" s="1" t="s">
        <v>35</v>
      </c>
      <c r="G2482" s="1">
        <v>65731</v>
      </c>
      <c r="H2482" s="1">
        <v>2242582</v>
      </c>
      <c r="I2482" s="1">
        <v>34.117708333333347</v>
      </c>
      <c r="J2482" s="1">
        <v>59658.366691367155</v>
      </c>
      <c r="K2482" s="1">
        <v>33</v>
      </c>
      <c r="L2482" s="1">
        <v>31.5</v>
      </c>
      <c r="M2482" s="1">
        <v>37.590398704705265</v>
      </c>
      <c r="N2482" s="1">
        <v>2491576</v>
      </c>
    </row>
    <row r="2483" spans="1:14" x14ac:dyDescent="0.35">
      <c r="A2483" s="1" t="s">
        <v>112</v>
      </c>
      <c r="B2483" s="1">
        <v>202411</v>
      </c>
      <c r="C2483" s="1" t="str">
        <f>MID(analisis_productividad__4[[#This Row],[Periodo]],1,4)</f>
        <v>2024</v>
      </c>
      <c r="D2483" s="1" t="str">
        <f>MID(analisis_productividad__4[[#This Row],[Periodo]],5,2)</f>
        <v>11</v>
      </c>
      <c r="E2483" s="1" t="s">
        <v>34</v>
      </c>
      <c r="F2483" s="1" t="s">
        <v>35</v>
      </c>
      <c r="G2483" s="1">
        <v>65695</v>
      </c>
      <c r="H2483" s="1">
        <v>1677603</v>
      </c>
      <c r="I2483" s="1">
        <v>25.536097222222217</v>
      </c>
      <c r="J2483" s="1">
        <v>0</v>
      </c>
      <c r="K2483" s="1">
        <v>31</v>
      </c>
      <c r="L2483" s="1">
        <v>27</v>
      </c>
      <c r="M2483" s="1"/>
      <c r="N2483" s="1">
        <v>0</v>
      </c>
    </row>
    <row r="2484" spans="1:14" x14ac:dyDescent="0.35">
      <c r="A2484" s="1" t="s">
        <v>112</v>
      </c>
      <c r="B2484" s="1">
        <v>202508</v>
      </c>
      <c r="C2484" s="1" t="str">
        <f>MID(analisis_productividad__4[[#This Row],[Periodo]],1,4)</f>
        <v>2025</v>
      </c>
      <c r="D2484" s="1" t="str">
        <f>MID(analisis_productividad__4[[#This Row],[Periodo]],5,2)</f>
        <v>08</v>
      </c>
      <c r="E2484" s="1" t="s">
        <v>34</v>
      </c>
      <c r="F2484" s="1" t="s">
        <v>35</v>
      </c>
      <c r="G2484" s="1">
        <v>65671</v>
      </c>
      <c r="H2484" s="1">
        <v>1635211</v>
      </c>
      <c r="I2484" s="1">
        <v>24.900006720430106</v>
      </c>
      <c r="J2484" s="1">
        <v>71277.192622083632</v>
      </c>
      <c r="K2484" s="1">
        <v>31</v>
      </c>
      <c r="L2484" s="1">
        <v>27</v>
      </c>
      <c r="M2484" s="1">
        <v>22.941579484899169</v>
      </c>
      <c r="N2484" s="1">
        <v>1549059</v>
      </c>
    </row>
    <row r="2485" spans="1:14" x14ac:dyDescent="0.35">
      <c r="A2485" s="1" t="s">
        <v>119</v>
      </c>
      <c r="B2485" s="1">
        <v>202510</v>
      </c>
      <c r="C2485" s="1" t="str">
        <f>MID(analisis_productividad__4[[#This Row],[Periodo]],1,4)</f>
        <v>2025</v>
      </c>
      <c r="D2485" s="1" t="str">
        <f>MID(analisis_productividad__4[[#This Row],[Periodo]],5,2)</f>
        <v>10</v>
      </c>
      <c r="E2485" s="1" t="s">
        <v>16</v>
      </c>
      <c r="F2485" s="1" t="s">
        <v>21</v>
      </c>
      <c r="G2485" s="1">
        <v>65646</v>
      </c>
      <c r="H2485" s="1">
        <v>2868446</v>
      </c>
      <c r="I2485" s="1">
        <v>43.695665322580645</v>
      </c>
      <c r="J2485" s="1">
        <v>69411.939497840984</v>
      </c>
      <c r="K2485" s="1">
        <v>52.5</v>
      </c>
      <c r="L2485" s="1">
        <v>52.5</v>
      </c>
      <c r="M2485" s="1">
        <v>41.324961537621661</v>
      </c>
      <c r="N2485" s="1">
        <v>3394089</v>
      </c>
    </row>
    <row r="2486" spans="1:14" x14ac:dyDescent="0.35">
      <c r="A2486" s="1" t="s">
        <v>120</v>
      </c>
      <c r="B2486" s="1">
        <v>202409</v>
      </c>
      <c r="C2486" s="1" t="str">
        <f>MID(analisis_productividad__4[[#This Row],[Periodo]],1,4)</f>
        <v>2024</v>
      </c>
      <c r="D2486" s="1" t="str">
        <f>MID(analisis_productividad__4[[#This Row],[Periodo]],5,2)</f>
        <v>09</v>
      </c>
      <c r="E2486" s="1" t="s">
        <v>9</v>
      </c>
      <c r="F2486" s="1" t="s">
        <v>9</v>
      </c>
      <c r="G2486" s="1">
        <v>65613</v>
      </c>
      <c r="H2486" s="1">
        <v>748924</v>
      </c>
      <c r="I2486" s="1">
        <v>11.414326388888888</v>
      </c>
      <c r="J2486" s="1">
        <v>0</v>
      </c>
      <c r="K2486" s="1">
        <v>11.5</v>
      </c>
      <c r="L2486" s="1">
        <v>12</v>
      </c>
      <c r="M2486" s="1"/>
      <c r="N2486" s="1">
        <v>0</v>
      </c>
    </row>
    <row r="2487" spans="1:14" x14ac:dyDescent="0.35">
      <c r="A2487" s="1" t="s">
        <v>112</v>
      </c>
      <c r="B2487" s="1">
        <v>202406</v>
      </c>
      <c r="C2487" s="1" t="str">
        <f>MID(analisis_productividad__4[[#This Row],[Periodo]],1,4)</f>
        <v>2024</v>
      </c>
      <c r="D2487" s="1" t="str">
        <f>MID(analisis_productividad__4[[#This Row],[Periodo]],5,2)</f>
        <v>06</v>
      </c>
      <c r="E2487" s="1" t="s">
        <v>34</v>
      </c>
      <c r="F2487" s="1" t="s">
        <v>35</v>
      </c>
      <c r="G2487" s="1">
        <v>65607</v>
      </c>
      <c r="H2487" s="1">
        <v>1733244</v>
      </c>
      <c r="I2487" s="1">
        <v>26.41877777777777</v>
      </c>
      <c r="J2487" s="1">
        <v>0</v>
      </c>
      <c r="K2487" s="1">
        <v>31</v>
      </c>
      <c r="L2487" s="1">
        <v>27</v>
      </c>
      <c r="M2487" s="1"/>
      <c r="N2487" s="1">
        <v>0</v>
      </c>
    </row>
    <row r="2488" spans="1:14" x14ac:dyDescent="0.35">
      <c r="A2488" s="1" t="s">
        <v>119</v>
      </c>
      <c r="B2488" s="1">
        <v>202411</v>
      </c>
      <c r="C2488" s="1" t="str">
        <f>MID(analisis_productividad__4[[#This Row],[Periodo]],1,4)</f>
        <v>2024</v>
      </c>
      <c r="D2488" s="1" t="str">
        <f>MID(analisis_productividad__4[[#This Row],[Periodo]],5,2)</f>
        <v>11</v>
      </c>
      <c r="E2488" s="1" t="s">
        <v>16</v>
      </c>
      <c r="F2488" s="1" t="s">
        <v>21</v>
      </c>
      <c r="G2488" s="1">
        <v>65571</v>
      </c>
      <c r="H2488" s="1">
        <v>3146570</v>
      </c>
      <c r="I2488" s="1">
        <v>47.987333333333346</v>
      </c>
      <c r="J2488" s="1">
        <v>0</v>
      </c>
      <c r="K2488" s="1">
        <v>52.5</v>
      </c>
      <c r="L2488" s="1">
        <v>52.5</v>
      </c>
      <c r="M2488" s="1"/>
      <c r="N2488" s="1">
        <v>0</v>
      </c>
    </row>
    <row r="2489" spans="1:14" x14ac:dyDescent="0.35">
      <c r="A2489" s="1" t="s">
        <v>94</v>
      </c>
      <c r="B2489" s="1">
        <v>202402</v>
      </c>
      <c r="C2489" s="1" t="str">
        <f>MID(analisis_productividad__4[[#This Row],[Periodo]],1,4)</f>
        <v>2024</v>
      </c>
      <c r="D2489" s="1" t="str">
        <f>MID(analisis_productividad__4[[#This Row],[Periodo]],5,2)</f>
        <v>02</v>
      </c>
      <c r="E2489" s="1" t="s">
        <v>11</v>
      </c>
      <c r="F2489" s="1" t="s">
        <v>52</v>
      </c>
      <c r="G2489" s="1">
        <v>65563</v>
      </c>
      <c r="H2489" s="1">
        <v>5106603</v>
      </c>
      <c r="I2489" s="1">
        <v>77.887923850574722</v>
      </c>
      <c r="J2489" s="1">
        <v>0</v>
      </c>
      <c r="K2489" s="1">
        <v>75.5</v>
      </c>
      <c r="L2489" s="1">
        <v>70.5</v>
      </c>
      <c r="M2489" s="1"/>
      <c r="N2489" s="1">
        <v>0</v>
      </c>
    </row>
    <row r="2490" spans="1:14" x14ac:dyDescent="0.35">
      <c r="A2490" s="1" t="s">
        <v>109</v>
      </c>
      <c r="B2490" s="1">
        <v>202508</v>
      </c>
      <c r="C2490" s="1" t="str">
        <f>MID(analisis_productividad__4[[#This Row],[Periodo]],1,4)</f>
        <v>2025</v>
      </c>
      <c r="D2490" s="1" t="str">
        <f>MID(analisis_productividad__4[[#This Row],[Periodo]],5,2)</f>
        <v>08</v>
      </c>
      <c r="E2490" s="1" t="s">
        <v>9</v>
      </c>
      <c r="F2490" s="1" t="s">
        <v>9</v>
      </c>
      <c r="G2490" s="1">
        <v>65531</v>
      </c>
      <c r="H2490" s="1">
        <v>491321</v>
      </c>
      <c r="I2490" s="1">
        <v>7.4975739247311823</v>
      </c>
      <c r="J2490" s="1">
        <v>59567.531455199321</v>
      </c>
      <c r="K2490" s="1">
        <v>10</v>
      </c>
      <c r="L2490" s="1">
        <v>9</v>
      </c>
      <c r="M2490" s="1">
        <v>8.2481260847534301</v>
      </c>
      <c r="N2490" s="1">
        <v>578901</v>
      </c>
    </row>
    <row r="2491" spans="1:14" x14ac:dyDescent="0.35">
      <c r="A2491" s="1" t="s">
        <v>100</v>
      </c>
      <c r="B2491" s="1">
        <v>202410</v>
      </c>
      <c r="C2491" s="1" t="str">
        <f>MID(analisis_productividad__4[[#This Row],[Periodo]],1,4)</f>
        <v>2024</v>
      </c>
      <c r="D2491" s="1" t="str">
        <f>MID(analisis_productividad__4[[#This Row],[Periodo]],5,2)</f>
        <v>10</v>
      </c>
      <c r="E2491" s="1" t="s">
        <v>34</v>
      </c>
      <c r="F2491" s="1" t="s">
        <v>35</v>
      </c>
      <c r="G2491" s="1">
        <v>65525</v>
      </c>
      <c r="H2491" s="1">
        <v>2580220</v>
      </c>
      <c r="I2491" s="1">
        <v>39.377540322580657</v>
      </c>
      <c r="J2491" s="1">
        <v>0</v>
      </c>
      <c r="K2491" s="1">
        <v>44</v>
      </c>
      <c r="L2491" s="1">
        <v>40.5</v>
      </c>
      <c r="M2491" s="1"/>
      <c r="N2491" s="1">
        <v>0</v>
      </c>
    </row>
    <row r="2492" spans="1:14" x14ac:dyDescent="0.35">
      <c r="A2492" s="1" t="s">
        <v>111</v>
      </c>
      <c r="B2492" s="1">
        <v>202601</v>
      </c>
      <c r="C2492" s="1" t="str">
        <f>MID(analisis_productividad__4[[#This Row],[Periodo]],1,4)</f>
        <v>2026</v>
      </c>
      <c r="D2492" s="1" t="str">
        <f>MID(analisis_productividad__4[[#This Row],[Periodo]],5,2)</f>
        <v>01</v>
      </c>
      <c r="E2492" s="1" t="s">
        <v>34</v>
      </c>
      <c r="F2492" s="1" t="s">
        <v>35</v>
      </c>
      <c r="G2492" s="1">
        <v>65523</v>
      </c>
      <c r="H2492" s="1">
        <v>2430425</v>
      </c>
      <c r="I2492" s="1">
        <v>37.092426075268797</v>
      </c>
      <c r="J2492" s="1">
        <v>66518.697149075873</v>
      </c>
      <c r="K2492" s="1">
        <v>45.5</v>
      </c>
      <c r="L2492" s="1">
        <v>42.5</v>
      </c>
      <c r="M2492" s="1">
        <v>36.981595266169094</v>
      </c>
      <c r="N2492" s="1">
        <v>2459968</v>
      </c>
    </row>
    <row r="2493" spans="1:14" x14ac:dyDescent="0.35">
      <c r="A2493" s="1" t="s">
        <v>99</v>
      </c>
      <c r="B2493" s="1">
        <v>202403</v>
      </c>
      <c r="C2493" s="1" t="str">
        <f>MID(analisis_productividad__4[[#This Row],[Periodo]],1,4)</f>
        <v>2024</v>
      </c>
      <c r="D2493" s="1" t="str">
        <f>MID(analisis_productividad__4[[#This Row],[Periodo]],5,2)</f>
        <v>03</v>
      </c>
      <c r="E2493" s="1" t="s">
        <v>11</v>
      </c>
      <c r="F2493" s="1" t="s">
        <v>12</v>
      </c>
      <c r="G2493" s="1">
        <v>65512</v>
      </c>
      <c r="H2493" s="1">
        <v>1747553</v>
      </c>
      <c r="I2493" s="1">
        <v>26.675268817204305</v>
      </c>
      <c r="J2493" s="1">
        <v>0</v>
      </c>
      <c r="K2493" s="1">
        <v>27</v>
      </c>
      <c r="L2493" s="1">
        <v>27</v>
      </c>
      <c r="M2493" s="1"/>
      <c r="N2493" s="1">
        <v>0</v>
      </c>
    </row>
    <row r="2494" spans="1:14" x14ac:dyDescent="0.35">
      <c r="A2494" s="1" t="s">
        <v>85</v>
      </c>
      <c r="B2494" s="1">
        <v>202402</v>
      </c>
      <c r="C2494" s="1" t="str">
        <f>MID(analisis_productividad__4[[#This Row],[Periodo]],1,4)</f>
        <v>2024</v>
      </c>
      <c r="D2494" s="1" t="str">
        <f>MID(analisis_productividad__4[[#This Row],[Periodo]],5,2)</f>
        <v>02</v>
      </c>
      <c r="E2494" s="1" t="s">
        <v>11</v>
      </c>
      <c r="F2494" s="1" t="s">
        <v>14</v>
      </c>
      <c r="G2494" s="1">
        <v>65512</v>
      </c>
      <c r="H2494" s="1">
        <v>3716744</v>
      </c>
      <c r="I2494" s="1">
        <v>56.734195402298866</v>
      </c>
      <c r="J2494" s="1">
        <v>0</v>
      </c>
      <c r="K2494" s="1">
        <v>60.5</v>
      </c>
      <c r="L2494" s="1">
        <v>57.5</v>
      </c>
      <c r="M2494" s="1"/>
      <c r="N2494" s="1">
        <v>0</v>
      </c>
    </row>
    <row r="2495" spans="1:14" x14ac:dyDescent="0.35">
      <c r="A2495" s="1" t="s">
        <v>101</v>
      </c>
      <c r="B2495" s="1">
        <v>202509</v>
      </c>
      <c r="C2495" s="1" t="str">
        <f>MID(analisis_productividad__4[[#This Row],[Periodo]],1,4)</f>
        <v>2025</v>
      </c>
      <c r="D2495" s="1" t="str">
        <f>MID(analisis_productividad__4[[#This Row],[Periodo]],5,2)</f>
        <v>09</v>
      </c>
      <c r="E2495" s="1" t="s">
        <v>9</v>
      </c>
      <c r="F2495" s="1" t="s">
        <v>9</v>
      </c>
      <c r="G2495" s="1">
        <v>65504</v>
      </c>
      <c r="H2495" s="1">
        <v>315190</v>
      </c>
      <c r="I2495" s="1">
        <v>4.811770833333334</v>
      </c>
      <c r="J2495" s="1">
        <v>61499.143460509636</v>
      </c>
      <c r="K2495" s="1">
        <v>8.5</v>
      </c>
      <c r="L2495" s="1">
        <v>6.5</v>
      </c>
      <c r="M2495" s="1">
        <v>5.1251105668226504</v>
      </c>
      <c r="N2495" s="1">
        <v>358846</v>
      </c>
    </row>
    <row r="2496" spans="1:14" x14ac:dyDescent="0.35">
      <c r="A2496" s="1" t="s">
        <v>120</v>
      </c>
      <c r="B2496" s="1">
        <v>202606</v>
      </c>
      <c r="C2496" s="1" t="str">
        <f>MID(analisis_productividad__4[[#This Row],[Periodo]],1,4)</f>
        <v>2026</v>
      </c>
      <c r="D2496" s="1" t="str">
        <f>MID(analisis_productividad__4[[#This Row],[Periodo]],5,2)</f>
        <v>06</v>
      </c>
      <c r="E2496" s="1" t="s">
        <v>9</v>
      </c>
      <c r="F2496" s="1" t="s">
        <v>9</v>
      </c>
      <c r="G2496" s="1">
        <v>65478</v>
      </c>
      <c r="H2496" s="1">
        <v>647603</v>
      </c>
      <c r="I2496" s="1">
        <v>9.8903680555555624</v>
      </c>
      <c r="J2496" s="1">
        <v>68616.06454204215</v>
      </c>
      <c r="K2496" s="1">
        <v>11.5</v>
      </c>
      <c r="L2496" s="1">
        <v>12</v>
      </c>
      <c r="M2496" s="1">
        <v>10.04229432420742</v>
      </c>
      <c r="N2496" s="1">
        <v>689063</v>
      </c>
    </row>
    <row r="2497" spans="1:14" x14ac:dyDescent="0.35">
      <c r="A2497" s="1" t="s">
        <v>71</v>
      </c>
      <c r="B2497" s="1">
        <v>202602</v>
      </c>
      <c r="C2497" s="1" t="str">
        <f>MID(analisis_productividad__4[[#This Row],[Periodo]],1,4)</f>
        <v>2026</v>
      </c>
      <c r="D2497" s="1" t="str">
        <f>MID(analisis_productividad__4[[#This Row],[Periodo]],5,2)</f>
        <v>02</v>
      </c>
      <c r="E2497" s="1" t="s">
        <v>16</v>
      </c>
      <c r="F2497" s="1" t="s">
        <v>19</v>
      </c>
      <c r="G2497" s="1">
        <v>65336</v>
      </c>
      <c r="H2497" s="1">
        <v>2518906</v>
      </c>
      <c r="I2497" s="1">
        <v>38.552916666666661</v>
      </c>
      <c r="J2497" s="1">
        <v>56431.153251777076</v>
      </c>
      <c r="K2497" s="1">
        <v>41.5</v>
      </c>
      <c r="L2497" s="1">
        <v>35.5</v>
      </c>
      <c r="M2497" s="1">
        <v>37.124878906032741</v>
      </c>
      <c r="N2497" s="1">
        <v>2095000</v>
      </c>
    </row>
    <row r="2498" spans="1:14" x14ac:dyDescent="0.35">
      <c r="A2498" s="1" t="s">
        <v>108</v>
      </c>
      <c r="B2498" s="1">
        <v>202507</v>
      </c>
      <c r="C2498" s="1" t="str">
        <f>MID(analisis_productividad__4[[#This Row],[Periodo]],1,4)</f>
        <v>2025</v>
      </c>
      <c r="D2498" s="1" t="str">
        <f>MID(analisis_productividad__4[[#This Row],[Periodo]],5,2)</f>
        <v>07</v>
      </c>
      <c r="E2498" s="1" t="s">
        <v>11</v>
      </c>
      <c r="F2498" s="1" t="s">
        <v>14</v>
      </c>
      <c r="G2498" s="1">
        <v>65331</v>
      </c>
      <c r="H2498" s="1">
        <v>2662955</v>
      </c>
      <c r="I2498" s="1">
        <v>40.761169354838721</v>
      </c>
      <c r="J2498" s="1">
        <v>65544.241047094751</v>
      </c>
      <c r="K2498" s="1">
        <v>47.5</v>
      </c>
      <c r="L2498" s="1">
        <v>43</v>
      </c>
      <c r="M2498" s="1">
        <v>40.628364406365129</v>
      </c>
      <c r="N2498" s="1">
        <v>3071568</v>
      </c>
    </row>
    <row r="2499" spans="1:14" x14ac:dyDescent="0.35">
      <c r="A2499" s="1" t="s">
        <v>85</v>
      </c>
      <c r="B2499" s="1">
        <v>202509</v>
      </c>
      <c r="C2499" s="1" t="str">
        <f>MID(analisis_productividad__4[[#This Row],[Periodo]],1,4)</f>
        <v>2025</v>
      </c>
      <c r="D2499" s="1" t="str">
        <f>MID(analisis_productividad__4[[#This Row],[Periodo]],5,2)</f>
        <v>09</v>
      </c>
      <c r="E2499" s="1" t="s">
        <v>11</v>
      </c>
      <c r="F2499" s="1" t="s">
        <v>14</v>
      </c>
      <c r="G2499" s="1">
        <v>65318</v>
      </c>
      <c r="H2499" s="1">
        <v>3262649</v>
      </c>
      <c r="I2499" s="1">
        <v>49.95054166666668</v>
      </c>
      <c r="J2499" s="1">
        <v>74164.203619918495</v>
      </c>
      <c r="K2499" s="1">
        <v>60.5</v>
      </c>
      <c r="L2499" s="1">
        <v>57.5</v>
      </c>
      <c r="M2499" s="1">
        <v>43.992234403549112</v>
      </c>
      <c r="N2499" s="1">
        <v>3784111</v>
      </c>
    </row>
    <row r="2500" spans="1:14" x14ac:dyDescent="0.35">
      <c r="A2500" s="1" t="s">
        <v>8</v>
      </c>
      <c r="B2500" s="1">
        <v>202407</v>
      </c>
      <c r="C2500" s="1" t="str">
        <f>MID(analisis_productividad__4[[#This Row],[Periodo]],1,4)</f>
        <v>2024</v>
      </c>
      <c r="D2500" s="1" t="str">
        <f>MID(analisis_productividad__4[[#This Row],[Periodo]],5,2)</f>
        <v>07</v>
      </c>
      <c r="E2500" s="1" t="s">
        <v>9</v>
      </c>
      <c r="F2500" s="1" t="s">
        <v>9</v>
      </c>
      <c r="G2500" s="1">
        <v>65301</v>
      </c>
      <c r="H2500" s="1">
        <v>803922</v>
      </c>
      <c r="I2500" s="1">
        <v>12.310967741935483</v>
      </c>
      <c r="J2500" s="1">
        <v>0</v>
      </c>
      <c r="K2500" s="1">
        <v>13.5</v>
      </c>
      <c r="L2500" s="1">
        <v>12.5</v>
      </c>
      <c r="M2500" s="1"/>
      <c r="N2500" s="1">
        <v>0</v>
      </c>
    </row>
    <row r="2501" spans="1:14" x14ac:dyDescent="0.35">
      <c r="A2501" s="1" t="s">
        <v>71</v>
      </c>
      <c r="B2501" s="1">
        <v>202403</v>
      </c>
      <c r="C2501" s="1" t="str">
        <f>MID(analisis_productividad__4[[#This Row],[Periodo]],1,4)</f>
        <v>2024</v>
      </c>
      <c r="D2501" s="1" t="str">
        <f>MID(analisis_productividad__4[[#This Row],[Periodo]],5,2)</f>
        <v>03</v>
      </c>
      <c r="E2501" s="1" t="s">
        <v>16</v>
      </c>
      <c r="F2501" s="1" t="s">
        <v>19</v>
      </c>
      <c r="G2501" s="1">
        <v>65285</v>
      </c>
      <c r="H2501" s="1">
        <v>2341805</v>
      </c>
      <c r="I2501" s="1">
        <v>35.870672043010757</v>
      </c>
      <c r="J2501" s="1">
        <v>0</v>
      </c>
      <c r="K2501" s="1">
        <v>41.5</v>
      </c>
      <c r="L2501" s="1">
        <v>35.5</v>
      </c>
      <c r="M2501" s="1"/>
      <c r="N2501" s="1">
        <v>0</v>
      </c>
    </row>
    <row r="2502" spans="1:14" x14ac:dyDescent="0.35">
      <c r="A2502" s="1" t="s">
        <v>108</v>
      </c>
      <c r="B2502" s="1">
        <v>202604</v>
      </c>
      <c r="C2502" s="1" t="str">
        <f>MID(analisis_productividad__4[[#This Row],[Periodo]],1,4)</f>
        <v>2026</v>
      </c>
      <c r="D2502" s="1" t="str">
        <f>MID(analisis_productividad__4[[#This Row],[Periodo]],5,2)</f>
        <v>04</v>
      </c>
      <c r="E2502" s="1" t="s">
        <v>11</v>
      </c>
      <c r="F2502" s="1" t="s">
        <v>14</v>
      </c>
      <c r="G2502" s="1">
        <v>65245</v>
      </c>
      <c r="H2502" s="1">
        <v>2824864</v>
      </c>
      <c r="I2502" s="1">
        <v>43.296506944444381</v>
      </c>
      <c r="J2502" s="1">
        <v>72835.230141987762</v>
      </c>
      <c r="K2502" s="1">
        <v>47.5</v>
      </c>
      <c r="L2502" s="1">
        <v>43</v>
      </c>
      <c r="M2502" s="1">
        <v>41.487905995618128</v>
      </c>
      <c r="N2502" s="1">
        <v>3021781</v>
      </c>
    </row>
    <row r="2503" spans="1:14" x14ac:dyDescent="0.35">
      <c r="A2503" s="1" t="s">
        <v>113</v>
      </c>
      <c r="B2503" s="1">
        <v>202406</v>
      </c>
      <c r="C2503" s="1" t="str">
        <f>MID(analisis_productividad__4[[#This Row],[Periodo]],1,4)</f>
        <v>2024</v>
      </c>
      <c r="D2503" s="1" t="str">
        <f>MID(analisis_productividad__4[[#This Row],[Periodo]],5,2)</f>
        <v>06</v>
      </c>
      <c r="E2503" s="1" t="s">
        <v>9</v>
      </c>
      <c r="F2503" s="1" t="s">
        <v>9</v>
      </c>
      <c r="G2503" s="1">
        <v>65244</v>
      </c>
      <c r="H2503" s="1">
        <v>611465</v>
      </c>
      <c r="I2503" s="1">
        <v>9.3720277777777774</v>
      </c>
      <c r="J2503" s="1">
        <v>0</v>
      </c>
      <c r="K2503" s="1">
        <v>11.5</v>
      </c>
      <c r="L2503" s="1">
        <v>10</v>
      </c>
      <c r="M2503" s="1"/>
      <c r="N2503" s="1">
        <v>0</v>
      </c>
    </row>
    <row r="2504" spans="1:14" x14ac:dyDescent="0.35">
      <c r="A2504" s="1" t="s">
        <v>103</v>
      </c>
      <c r="B2504" s="1">
        <v>202506</v>
      </c>
      <c r="C2504" s="1" t="str">
        <f>MID(analisis_productividad__4[[#This Row],[Periodo]],1,4)</f>
        <v>2025</v>
      </c>
      <c r="D2504" s="1" t="str">
        <f>MID(analisis_productividad__4[[#This Row],[Periodo]],5,2)</f>
        <v>06</v>
      </c>
      <c r="E2504" s="1" t="s">
        <v>104</v>
      </c>
      <c r="F2504" s="1" t="s">
        <v>104</v>
      </c>
      <c r="G2504" s="1">
        <v>65243</v>
      </c>
      <c r="H2504" s="1">
        <v>5349573</v>
      </c>
      <c r="I2504" s="1">
        <v>81.994402777777793</v>
      </c>
      <c r="J2504" s="1">
        <v>69693.551853346769</v>
      </c>
      <c r="K2504" s="1">
        <v>94</v>
      </c>
      <c r="L2504" s="1">
        <v>77.5</v>
      </c>
      <c r="M2504" s="1">
        <v>76.758502727151594</v>
      </c>
      <c r="N2504" s="1">
        <v>5537099</v>
      </c>
    </row>
    <row r="2505" spans="1:14" x14ac:dyDescent="0.35">
      <c r="A2505" s="1" t="s">
        <v>51</v>
      </c>
      <c r="B2505" s="1">
        <v>202506</v>
      </c>
      <c r="C2505" s="1" t="str">
        <f>MID(analisis_productividad__4[[#This Row],[Periodo]],1,4)</f>
        <v>2025</v>
      </c>
      <c r="D2505" s="1" t="str">
        <f>MID(analisis_productividad__4[[#This Row],[Periodo]],5,2)</f>
        <v>06</v>
      </c>
      <c r="E2505" s="1" t="s">
        <v>11</v>
      </c>
      <c r="F2505" s="1" t="s">
        <v>52</v>
      </c>
      <c r="G2505" s="1">
        <v>65233</v>
      </c>
      <c r="H2505" s="1">
        <v>5548449</v>
      </c>
      <c r="I2505" s="1">
        <v>85.055881944444408</v>
      </c>
      <c r="J2505" s="1">
        <v>100266.49580725215</v>
      </c>
      <c r="K2505" s="1">
        <v>117.5</v>
      </c>
      <c r="L2505" s="1">
        <v>99</v>
      </c>
      <c r="M2505" s="1">
        <v>55.337023751843219</v>
      </c>
      <c r="N2505" s="1">
        <v>9804029</v>
      </c>
    </row>
    <row r="2506" spans="1:14" x14ac:dyDescent="0.35">
      <c r="A2506" s="1" t="s">
        <v>82</v>
      </c>
      <c r="B2506" s="1">
        <v>202405</v>
      </c>
      <c r="C2506" s="1" t="str">
        <f>MID(analisis_productividad__4[[#This Row],[Periodo]],1,4)</f>
        <v>2024</v>
      </c>
      <c r="D2506" s="1" t="str">
        <f>MID(analisis_productividad__4[[#This Row],[Periodo]],5,2)</f>
        <v>05</v>
      </c>
      <c r="E2506" s="1" t="s">
        <v>11</v>
      </c>
      <c r="F2506" s="1" t="s">
        <v>12</v>
      </c>
      <c r="G2506" s="1">
        <v>65229</v>
      </c>
      <c r="H2506" s="1">
        <v>3637903</v>
      </c>
      <c r="I2506" s="1">
        <v>55.771276881720439</v>
      </c>
      <c r="J2506" s="1">
        <v>0</v>
      </c>
      <c r="K2506" s="1">
        <v>53.5</v>
      </c>
      <c r="L2506" s="1">
        <v>54</v>
      </c>
      <c r="M2506" s="1"/>
      <c r="N2506" s="1">
        <v>0</v>
      </c>
    </row>
    <row r="2507" spans="1:14" x14ac:dyDescent="0.35">
      <c r="A2507" s="1" t="s">
        <v>121</v>
      </c>
      <c r="B2507" s="1">
        <v>202605</v>
      </c>
      <c r="C2507" s="1" t="str">
        <f>MID(analisis_productividad__4[[#This Row],[Periodo]],1,4)</f>
        <v>2026</v>
      </c>
      <c r="D2507" s="1" t="str">
        <f>MID(analisis_productividad__4[[#This Row],[Periodo]],5,2)</f>
        <v>05</v>
      </c>
      <c r="E2507" s="1" t="s">
        <v>11</v>
      </c>
      <c r="F2507" s="1" t="s">
        <v>14</v>
      </c>
      <c r="G2507" s="1">
        <v>65196</v>
      </c>
      <c r="H2507" s="1">
        <v>2118463</v>
      </c>
      <c r="I2507" s="1">
        <v>32.493548387096958</v>
      </c>
      <c r="J2507" s="1">
        <v>65420.908515162606</v>
      </c>
      <c r="K2507" s="1">
        <v>36</v>
      </c>
      <c r="L2507" s="1">
        <v>35</v>
      </c>
      <c r="M2507" s="1">
        <v>31.443465596679005</v>
      </c>
      <c r="N2507" s="1">
        <v>2057060</v>
      </c>
    </row>
    <row r="2508" spans="1:14" x14ac:dyDescent="0.35">
      <c r="A2508" s="1" t="s">
        <v>113</v>
      </c>
      <c r="B2508" s="1">
        <v>202407</v>
      </c>
      <c r="C2508" s="1" t="str">
        <f>MID(analisis_productividad__4[[#This Row],[Periodo]],1,4)</f>
        <v>2024</v>
      </c>
      <c r="D2508" s="1" t="str">
        <f>MID(analisis_productividad__4[[#This Row],[Periodo]],5,2)</f>
        <v>07</v>
      </c>
      <c r="E2508" s="1" t="s">
        <v>9</v>
      </c>
      <c r="F2508" s="1" t="s">
        <v>9</v>
      </c>
      <c r="G2508" s="1">
        <v>65180</v>
      </c>
      <c r="H2508" s="1">
        <v>645817</v>
      </c>
      <c r="I2508" s="1">
        <v>9.9082459677419372</v>
      </c>
      <c r="J2508" s="1">
        <v>0</v>
      </c>
      <c r="K2508" s="1">
        <v>11.5</v>
      </c>
      <c r="L2508" s="1">
        <v>10</v>
      </c>
      <c r="M2508" s="1"/>
      <c r="N2508" s="1">
        <v>0</v>
      </c>
    </row>
    <row r="2509" spans="1:14" x14ac:dyDescent="0.35">
      <c r="A2509" s="1" t="s">
        <v>107</v>
      </c>
      <c r="B2509" s="1">
        <v>202409</v>
      </c>
      <c r="C2509" s="1" t="str">
        <f>MID(analisis_productividad__4[[#This Row],[Periodo]],1,4)</f>
        <v>2024</v>
      </c>
      <c r="D2509" s="1" t="str">
        <f>MID(analisis_productividad__4[[#This Row],[Periodo]],5,2)</f>
        <v>09</v>
      </c>
      <c r="E2509" s="1" t="s">
        <v>34</v>
      </c>
      <c r="F2509" s="1" t="s">
        <v>35</v>
      </c>
      <c r="G2509" s="1">
        <v>65154</v>
      </c>
      <c r="H2509" s="1">
        <v>5112709</v>
      </c>
      <c r="I2509" s="1">
        <v>78.471701388888889</v>
      </c>
      <c r="J2509" s="1">
        <v>0</v>
      </c>
      <c r="K2509" s="1">
        <v>87</v>
      </c>
      <c r="L2509" s="1">
        <v>77.5</v>
      </c>
      <c r="M2509" s="1"/>
      <c r="N2509" s="1">
        <v>0</v>
      </c>
    </row>
    <row r="2510" spans="1:14" x14ac:dyDescent="0.35">
      <c r="A2510" s="1" t="s">
        <v>103</v>
      </c>
      <c r="B2510" s="1">
        <v>202401</v>
      </c>
      <c r="C2510" s="1" t="str">
        <f>MID(analisis_productividad__4[[#This Row],[Periodo]],1,4)</f>
        <v>2024</v>
      </c>
      <c r="D2510" s="1" t="str">
        <f>MID(analisis_productividad__4[[#This Row],[Periodo]],5,2)</f>
        <v>01</v>
      </c>
      <c r="E2510" s="1" t="s">
        <v>104</v>
      </c>
      <c r="F2510" s="1" t="s">
        <v>104</v>
      </c>
      <c r="G2510" s="1">
        <v>65132</v>
      </c>
      <c r="H2510" s="1">
        <v>4990917</v>
      </c>
      <c r="I2510" s="1">
        <v>76.62727822580645</v>
      </c>
      <c r="J2510" s="1">
        <v>0</v>
      </c>
      <c r="K2510" s="1">
        <v>94</v>
      </c>
      <c r="L2510" s="1">
        <v>77.5</v>
      </c>
      <c r="M2510" s="1"/>
      <c r="N2510" s="1">
        <v>0</v>
      </c>
    </row>
    <row r="2511" spans="1:14" x14ac:dyDescent="0.35">
      <c r="A2511" s="1" t="s">
        <v>124</v>
      </c>
      <c r="B2511" s="1">
        <v>202403</v>
      </c>
      <c r="C2511" s="1" t="str">
        <f>MID(analisis_productividad__4[[#This Row],[Periodo]],1,4)</f>
        <v>2024</v>
      </c>
      <c r="D2511" s="1" t="str">
        <f>MID(analisis_productividad__4[[#This Row],[Periodo]],5,2)</f>
        <v>03</v>
      </c>
      <c r="E2511" s="1" t="s">
        <v>9</v>
      </c>
      <c r="F2511" s="1" t="s">
        <v>9</v>
      </c>
      <c r="G2511" s="1">
        <v>65130</v>
      </c>
      <c r="H2511" s="1">
        <v>675748</v>
      </c>
      <c r="I2511" s="1">
        <v>10.37533602150538</v>
      </c>
      <c r="J2511" s="1">
        <v>0</v>
      </c>
      <c r="K2511" s="1">
        <v>11</v>
      </c>
      <c r="L2511" s="1">
        <v>12</v>
      </c>
      <c r="M2511" s="1"/>
      <c r="N2511" s="1">
        <v>0</v>
      </c>
    </row>
    <row r="2512" spans="1:14" x14ac:dyDescent="0.35">
      <c r="A2512" s="1" t="s">
        <v>103</v>
      </c>
      <c r="B2512" s="1">
        <v>202509</v>
      </c>
      <c r="C2512" s="1" t="str">
        <f>MID(analisis_productividad__4[[#This Row],[Periodo]],1,4)</f>
        <v>2025</v>
      </c>
      <c r="D2512" s="1" t="str">
        <f>MID(analisis_productividad__4[[#This Row],[Periodo]],5,2)</f>
        <v>09</v>
      </c>
      <c r="E2512" s="1" t="s">
        <v>104</v>
      </c>
      <c r="F2512" s="1" t="s">
        <v>104</v>
      </c>
      <c r="G2512" s="1">
        <v>65121</v>
      </c>
      <c r="H2512" s="1">
        <v>5165049</v>
      </c>
      <c r="I2512" s="1">
        <v>79.314375000000041</v>
      </c>
      <c r="J2512" s="1">
        <v>66829.473993005144</v>
      </c>
      <c r="K2512" s="1">
        <v>94</v>
      </c>
      <c r="L2512" s="1">
        <v>77.5</v>
      </c>
      <c r="M2512" s="1">
        <v>77.286986136395612</v>
      </c>
      <c r="N2512" s="1">
        <v>5558391</v>
      </c>
    </row>
    <row r="2513" spans="1:14" x14ac:dyDescent="0.35">
      <c r="A2513" s="1" t="s">
        <v>105</v>
      </c>
      <c r="B2513" s="1">
        <v>202601</v>
      </c>
      <c r="C2513" s="1" t="str">
        <f>MID(analisis_productividad__4[[#This Row],[Periodo]],1,4)</f>
        <v>2026</v>
      </c>
      <c r="D2513" s="1" t="str">
        <f>MID(analisis_productividad__4[[#This Row],[Periodo]],5,2)</f>
        <v>01</v>
      </c>
      <c r="E2513" s="1" t="s">
        <v>34</v>
      </c>
      <c r="F2513" s="1" t="s">
        <v>35</v>
      </c>
      <c r="G2513" s="1">
        <v>65105</v>
      </c>
      <c r="H2513" s="1">
        <v>1991286</v>
      </c>
      <c r="I2513" s="1">
        <v>30.585766129032258</v>
      </c>
      <c r="J2513" s="1">
        <v>0</v>
      </c>
      <c r="K2513" s="1">
        <v>33</v>
      </c>
      <c r="L2513" s="1">
        <v>31.5</v>
      </c>
      <c r="M2513" s="1">
        <v>35.22317754154448</v>
      </c>
      <c r="N2513" s="1">
        <v>0</v>
      </c>
    </row>
    <row r="2514" spans="1:14" x14ac:dyDescent="0.35">
      <c r="A2514" s="1" t="s">
        <v>105</v>
      </c>
      <c r="B2514" s="1">
        <v>202507</v>
      </c>
      <c r="C2514" s="1" t="str">
        <f>MID(analisis_productividad__4[[#This Row],[Periodo]],1,4)</f>
        <v>2025</v>
      </c>
      <c r="D2514" s="1" t="str">
        <f>MID(analisis_productividad__4[[#This Row],[Periodo]],5,2)</f>
        <v>07</v>
      </c>
      <c r="E2514" s="1" t="s">
        <v>34</v>
      </c>
      <c r="F2514" s="1" t="s">
        <v>35</v>
      </c>
      <c r="G2514" s="1">
        <v>65103</v>
      </c>
      <c r="H2514" s="1">
        <v>2195280</v>
      </c>
      <c r="I2514" s="1">
        <v>33.720053763440873</v>
      </c>
      <c r="J2514" s="1">
        <v>60584.294318627166</v>
      </c>
      <c r="K2514" s="1">
        <v>33</v>
      </c>
      <c r="L2514" s="1">
        <v>31.5</v>
      </c>
      <c r="M2514" s="1">
        <v>36.235127514310953</v>
      </c>
      <c r="N2514" s="1">
        <v>2502907</v>
      </c>
    </row>
    <row r="2515" spans="1:14" x14ac:dyDescent="0.35">
      <c r="A2515" s="1" t="s">
        <v>113</v>
      </c>
      <c r="B2515" s="1">
        <v>202501</v>
      </c>
      <c r="C2515" s="1" t="str">
        <f>MID(analisis_productividad__4[[#This Row],[Periodo]],1,4)</f>
        <v>2025</v>
      </c>
      <c r="D2515" s="1" t="str">
        <f>MID(analisis_productividad__4[[#This Row],[Periodo]],5,2)</f>
        <v>01</v>
      </c>
      <c r="E2515" s="1" t="s">
        <v>9</v>
      </c>
      <c r="F2515" s="1" t="s">
        <v>9</v>
      </c>
      <c r="G2515" s="1">
        <v>65097</v>
      </c>
      <c r="H2515" s="1">
        <v>556142</v>
      </c>
      <c r="I2515" s="1">
        <v>8.5433400537634441</v>
      </c>
      <c r="J2515" s="1">
        <v>64597.895506264933</v>
      </c>
      <c r="K2515" s="1">
        <v>11.5</v>
      </c>
      <c r="L2515" s="1">
        <v>10</v>
      </c>
      <c r="M2515" s="1">
        <v>8.6092837180131259</v>
      </c>
      <c r="N2515" s="1">
        <v>626834</v>
      </c>
    </row>
    <row r="2516" spans="1:14" x14ac:dyDescent="0.35">
      <c r="A2516" s="1" t="s">
        <v>120</v>
      </c>
      <c r="B2516" s="1">
        <v>202410</v>
      </c>
      <c r="C2516" s="1" t="str">
        <f>MID(analisis_productividad__4[[#This Row],[Periodo]],1,4)</f>
        <v>2024</v>
      </c>
      <c r="D2516" s="1" t="str">
        <f>MID(analisis_productividad__4[[#This Row],[Periodo]],5,2)</f>
        <v>10</v>
      </c>
      <c r="E2516" s="1" t="s">
        <v>9</v>
      </c>
      <c r="F2516" s="1" t="s">
        <v>9</v>
      </c>
      <c r="G2516" s="1">
        <v>65094</v>
      </c>
      <c r="H2516" s="1">
        <v>780507</v>
      </c>
      <c r="I2516" s="1">
        <v>11.990369623655917</v>
      </c>
      <c r="J2516" s="1">
        <v>0</v>
      </c>
      <c r="K2516" s="1">
        <v>11.5</v>
      </c>
      <c r="L2516" s="1">
        <v>12</v>
      </c>
      <c r="M2516" s="1"/>
      <c r="N2516" s="1">
        <v>0</v>
      </c>
    </row>
    <row r="2517" spans="1:14" x14ac:dyDescent="0.35">
      <c r="A2517" s="1" t="s">
        <v>115</v>
      </c>
      <c r="B2517" s="1">
        <v>202511</v>
      </c>
      <c r="C2517" s="1" t="str">
        <f>MID(analisis_productividad__4[[#This Row],[Periodo]],1,4)</f>
        <v>2025</v>
      </c>
      <c r="D2517" s="1" t="str">
        <f>MID(analisis_productividad__4[[#This Row],[Periodo]],5,2)</f>
        <v>11</v>
      </c>
      <c r="E2517" s="1" t="s">
        <v>34</v>
      </c>
      <c r="F2517" s="1" t="s">
        <v>35</v>
      </c>
      <c r="G2517" s="1">
        <v>65091</v>
      </c>
      <c r="H2517" s="1">
        <v>2950419</v>
      </c>
      <c r="I2517" s="1">
        <v>45.327479166666656</v>
      </c>
      <c r="J2517" s="1">
        <v>58870.918633612702</v>
      </c>
      <c r="K2517" s="1">
        <v>53.5</v>
      </c>
      <c r="L2517" s="1">
        <v>51</v>
      </c>
      <c r="M2517" s="1">
        <v>50.116749466101247</v>
      </c>
      <c r="N2517" s="1">
        <v>3191131</v>
      </c>
    </row>
    <row r="2518" spans="1:14" x14ac:dyDescent="0.35">
      <c r="A2518" s="1" t="s">
        <v>127</v>
      </c>
      <c r="B2518" s="1">
        <v>202505</v>
      </c>
      <c r="C2518" s="1" t="str">
        <f>MID(analisis_productividad__4[[#This Row],[Periodo]],1,4)</f>
        <v>2025</v>
      </c>
      <c r="D2518" s="1" t="str">
        <f>MID(analisis_productividad__4[[#This Row],[Periodo]],5,2)</f>
        <v>05</v>
      </c>
      <c r="E2518" s="1" t="s">
        <v>104</v>
      </c>
      <c r="F2518" s="1" t="s">
        <v>104</v>
      </c>
      <c r="G2518" s="1">
        <v>65082</v>
      </c>
      <c r="H2518" s="1">
        <v>3402519</v>
      </c>
      <c r="I2518" s="1">
        <v>52.28026209677418</v>
      </c>
      <c r="J2518" s="1">
        <v>56505.444755931174</v>
      </c>
      <c r="K2518" s="1">
        <v>61.5</v>
      </c>
      <c r="L2518" s="1">
        <v>56</v>
      </c>
      <c r="M2518" s="1">
        <v>60.215771678230169</v>
      </c>
      <c r="N2518" s="1">
        <v>3465327</v>
      </c>
    </row>
    <row r="2519" spans="1:14" x14ac:dyDescent="0.35">
      <c r="A2519" s="1" t="s">
        <v>124</v>
      </c>
      <c r="B2519" s="1">
        <v>202402</v>
      </c>
      <c r="C2519" s="1" t="str">
        <f>MID(analisis_productividad__4[[#This Row],[Periodo]],1,4)</f>
        <v>2024</v>
      </c>
      <c r="D2519" s="1" t="str">
        <f>MID(analisis_productividad__4[[#This Row],[Periodo]],5,2)</f>
        <v>02</v>
      </c>
      <c r="E2519" s="1" t="s">
        <v>9</v>
      </c>
      <c r="F2519" s="1" t="s">
        <v>9</v>
      </c>
      <c r="G2519" s="1">
        <v>65072</v>
      </c>
      <c r="H2519" s="1">
        <v>640357</v>
      </c>
      <c r="I2519" s="1">
        <v>9.840682471264369</v>
      </c>
      <c r="J2519" s="1">
        <v>0</v>
      </c>
      <c r="K2519" s="1">
        <v>11</v>
      </c>
      <c r="L2519" s="1">
        <v>12</v>
      </c>
      <c r="M2519" s="1"/>
      <c r="N2519" s="1">
        <v>0</v>
      </c>
    </row>
    <row r="2520" spans="1:14" x14ac:dyDescent="0.35">
      <c r="A2520" s="1" t="s">
        <v>85</v>
      </c>
      <c r="B2520" s="1">
        <v>202405</v>
      </c>
      <c r="C2520" s="1" t="str">
        <f>MID(analisis_productividad__4[[#This Row],[Periodo]],1,4)</f>
        <v>2024</v>
      </c>
      <c r="D2520" s="1" t="str">
        <f>MID(analisis_productividad__4[[#This Row],[Periodo]],5,2)</f>
        <v>05</v>
      </c>
      <c r="E2520" s="1" t="s">
        <v>11</v>
      </c>
      <c r="F2520" s="1" t="s">
        <v>14</v>
      </c>
      <c r="G2520" s="1">
        <v>65032</v>
      </c>
      <c r="H2520" s="1">
        <v>3551221</v>
      </c>
      <c r="I2520" s="1">
        <v>54.607291666666647</v>
      </c>
      <c r="J2520" s="1">
        <v>0</v>
      </c>
      <c r="K2520" s="1">
        <v>60.5</v>
      </c>
      <c r="L2520" s="1">
        <v>57.5</v>
      </c>
      <c r="M2520" s="1"/>
      <c r="N2520" s="1">
        <v>0</v>
      </c>
    </row>
    <row r="2521" spans="1:14" x14ac:dyDescent="0.35">
      <c r="A2521" s="1" t="s">
        <v>58</v>
      </c>
      <c r="B2521" s="1">
        <v>202408</v>
      </c>
      <c r="C2521" s="1" t="str">
        <f>MID(analisis_productividad__4[[#This Row],[Periodo]],1,4)</f>
        <v>2024</v>
      </c>
      <c r="D2521" s="1" t="str">
        <f>MID(analisis_productividad__4[[#This Row],[Periodo]],5,2)</f>
        <v>08</v>
      </c>
      <c r="E2521" s="1" t="s">
        <v>34</v>
      </c>
      <c r="F2521" s="1" t="s">
        <v>35</v>
      </c>
      <c r="G2521" s="1">
        <v>65008</v>
      </c>
      <c r="H2521" s="1">
        <v>3257550</v>
      </c>
      <c r="I2521" s="1">
        <v>50.10969758064514</v>
      </c>
      <c r="J2521" s="1">
        <v>0</v>
      </c>
      <c r="K2521" s="1">
        <v>53.5</v>
      </c>
      <c r="L2521" s="1">
        <v>52</v>
      </c>
      <c r="M2521" s="1"/>
      <c r="N2521" s="1">
        <v>0</v>
      </c>
    </row>
    <row r="2522" spans="1:14" x14ac:dyDescent="0.35">
      <c r="A2522" s="1" t="s">
        <v>77</v>
      </c>
      <c r="B2522" s="1">
        <v>202502</v>
      </c>
      <c r="C2522" s="1" t="str">
        <f>MID(analisis_productividad__4[[#This Row],[Periodo]],1,4)</f>
        <v>2025</v>
      </c>
      <c r="D2522" s="1" t="str">
        <f>MID(analisis_productividad__4[[#This Row],[Periodo]],5,2)</f>
        <v>02</v>
      </c>
      <c r="E2522" s="1" t="s">
        <v>16</v>
      </c>
      <c r="F2522" s="1" t="s">
        <v>21</v>
      </c>
      <c r="G2522" s="1">
        <v>64984</v>
      </c>
      <c r="H2522" s="1">
        <v>3904541</v>
      </c>
      <c r="I2522" s="1">
        <v>60.084375000000009</v>
      </c>
      <c r="J2522" s="1">
        <v>74964.674873007971</v>
      </c>
      <c r="K2522" s="1">
        <v>60.5</v>
      </c>
      <c r="L2522" s="1">
        <v>60.5</v>
      </c>
      <c r="M2522" s="1">
        <v>52.085073757931838</v>
      </c>
      <c r="N2522" s="1">
        <v>4682952</v>
      </c>
    </row>
    <row r="2523" spans="1:14" x14ac:dyDescent="0.35">
      <c r="A2523" s="1" t="s">
        <v>112</v>
      </c>
      <c r="B2523" s="1">
        <v>202507</v>
      </c>
      <c r="C2523" s="1" t="str">
        <f>MID(analisis_productividad__4[[#This Row],[Periodo]],1,4)</f>
        <v>2025</v>
      </c>
      <c r="D2523" s="1" t="str">
        <f>MID(analisis_productividad__4[[#This Row],[Periodo]],5,2)</f>
        <v>07</v>
      </c>
      <c r="E2523" s="1" t="s">
        <v>34</v>
      </c>
      <c r="F2523" s="1" t="s">
        <v>35</v>
      </c>
      <c r="G2523" s="1">
        <v>64976</v>
      </c>
      <c r="H2523" s="1">
        <v>1624890</v>
      </c>
      <c r="I2523" s="1">
        <v>25.0075</v>
      </c>
      <c r="J2523" s="1">
        <v>71383.265099575947</v>
      </c>
      <c r="K2523" s="1">
        <v>31</v>
      </c>
      <c r="L2523" s="1">
        <v>27</v>
      </c>
      <c r="M2523" s="1">
        <v>22.762895024952464</v>
      </c>
      <c r="N2523" s="1">
        <v>1514836</v>
      </c>
    </row>
    <row r="2524" spans="1:14" x14ac:dyDescent="0.35">
      <c r="A2524" s="1" t="s">
        <v>98</v>
      </c>
      <c r="B2524" s="1">
        <v>202402</v>
      </c>
      <c r="C2524" s="1" t="str">
        <f>MID(analisis_productividad__4[[#This Row],[Periodo]],1,4)</f>
        <v>2024</v>
      </c>
      <c r="D2524" s="1" t="str">
        <f>MID(analisis_productividad__4[[#This Row],[Periodo]],5,2)</f>
        <v>02</v>
      </c>
      <c r="E2524" s="1" t="s">
        <v>11</v>
      </c>
      <c r="F2524" s="1" t="s">
        <v>14</v>
      </c>
      <c r="G2524" s="1">
        <v>64963</v>
      </c>
      <c r="H2524" s="1">
        <v>3760036</v>
      </c>
      <c r="I2524" s="1">
        <v>57.879741379310332</v>
      </c>
      <c r="J2524" s="1">
        <v>0</v>
      </c>
      <c r="K2524" s="1">
        <v>61.5</v>
      </c>
      <c r="L2524" s="1">
        <v>56</v>
      </c>
      <c r="M2524" s="1"/>
      <c r="N2524" s="1">
        <v>0</v>
      </c>
    </row>
    <row r="2525" spans="1:14" x14ac:dyDescent="0.35">
      <c r="A2525" s="1" t="s">
        <v>8</v>
      </c>
      <c r="B2525" s="1">
        <v>202406</v>
      </c>
      <c r="C2525" s="1" t="str">
        <f>MID(analisis_productividad__4[[#This Row],[Periodo]],1,4)</f>
        <v>2024</v>
      </c>
      <c r="D2525" s="1" t="str">
        <f>MID(analisis_productividad__4[[#This Row],[Periodo]],5,2)</f>
        <v>06</v>
      </c>
      <c r="E2525" s="1" t="s">
        <v>9</v>
      </c>
      <c r="F2525" s="1" t="s">
        <v>9</v>
      </c>
      <c r="G2525" s="1">
        <v>64925</v>
      </c>
      <c r="H2525" s="1">
        <v>796898</v>
      </c>
      <c r="I2525" s="1">
        <v>12.274111111111113</v>
      </c>
      <c r="J2525" s="1">
        <v>0</v>
      </c>
      <c r="K2525" s="1">
        <v>13.5</v>
      </c>
      <c r="L2525" s="1">
        <v>12.5</v>
      </c>
      <c r="M2525" s="1"/>
      <c r="N2525" s="1">
        <v>0</v>
      </c>
    </row>
    <row r="2526" spans="1:14" x14ac:dyDescent="0.35">
      <c r="A2526" s="1" t="s">
        <v>45</v>
      </c>
      <c r="B2526" s="1">
        <v>202412</v>
      </c>
      <c r="C2526" s="1" t="str">
        <f>MID(analisis_productividad__4[[#This Row],[Periodo]],1,4)</f>
        <v>2024</v>
      </c>
      <c r="D2526" s="1" t="str">
        <f>MID(analisis_productividad__4[[#This Row],[Periodo]],5,2)</f>
        <v>12</v>
      </c>
      <c r="E2526" s="1" t="s">
        <v>34</v>
      </c>
      <c r="F2526" s="1" t="s">
        <v>35</v>
      </c>
      <c r="G2526" s="1">
        <v>64893</v>
      </c>
      <c r="H2526" s="1">
        <v>1640221</v>
      </c>
      <c r="I2526" s="1">
        <v>25.275974462365589</v>
      </c>
      <c r="J2526" s="1">
        <v>0</v>
      </c>
      <c r="K2526" s="1">
        <v>22.5</v>
      </c>
      <c r="L2526" s="1">
        <v>21</v>
      </c>
      <c r="M2526" s="1"/>
      <c r="N2526" s="1">
        <v>0</v>
      </c>
    </row>
    <row r="2527" spans="1:14" x14ac:dyDescent="0.35">
      <c r="A2527" s="1" t="s">
        <v>126</v>
      </c>
      <c r="B2527" s="1">
        <v>202503</v>
      </c>
      <c r="C2527" s="1" t="str">
        <f>MID(analisis_productividad__4[[#This Row],[Periodo]],1,4)</f>
        <v>2025</v>
      </c>
      <c r="D2527" s="1" t="str">
        <f>MID(analisis_productividad__4[[#This Row],[Periodo]],5,2)</f>
        <v>03</v>
      </c>
      <c r="E2527" s="1" t="s">
        <v>104</v>
      </c>
      <c r="F2527" s="1" t="s">
        <v>104</v>
      </c>
      <c r="G2527" s="1">
        <v>64887</v>
      </c>
      <c r="H2527" s="1">
        <v>3335318</v>
      </c>
      <c r="I2527" s="1">
        <v>51.401827956989251</v>
      </c>
      <c r="J2527" s="1">
        <v>54687.432309621807</v>
      </c>
      <c r="K2527" s="1">
        <v>64.5</v>
      </c>
      <c r="L2527" s="1">
        <v>61</v>
      </c>
      <c r="M2527" s="1">
        <v>60.988742369847522</v>
      </c>
      <c r="N2527" s="1">
        <v>3174805</v>
      </c>
    </row>
    <row r="2528" spans="1:14" x14ac:dyDescent="0.35">
      <c r="A2528" s="1" t="s">
        <v>119</v>
      </c>
      <c r="B2528" s="1">
        <v>202508</v>
      </c>
      <c r="C2528" s="1" t="str">
        <f>MID(analisis_productividad__4[[#This Row],[Periodo]],1,4)</f>
        <v>2025</v>
      </c>
      <c r="D2528" s="1" t="str">
        <f>MID(analisis_productividad__4[[#This Row],[Periodo]],5,2)</f>
        <v>08</v>
      </c>
      <c r="E2528" s="1" t="s">
        <v>16</v>
      </c>
      <c r="F2528" s="1" t="s">
        <v>21</v>
      </c>
      <c r="G2528" s="1">
        <v>64829</v>
      </c>
      <c r="H2528" s="1">
        <v>3066906</v>
      </c>
      <c r="I2528" s="1">
        <v>47.307298387096779</v>
      </c>
      <c r="J2528" s="1">
        <v>72239.453702685685</v>
      </c>
      <c r="K2528" s="1">
        <v>52.5</v>
      </c>
      <c r="L2528" s="1">
        <v>52.5</v>
      </c>
      <c r="M2528" s="1">
        <v>42.454720139806085</v>
      </c>
      <c r="N2528" s="1">
        <v>3699432</v>
      </c>
    </row>
    <row r="2529" spans="1:14" x14ac:dyDescent="0.35">
      <c r="A2529" s="1" t="s">
        <v>127</v>
      </c>
      <c r="B2529" s="1">
        <v>202504</v>
      </c>
      <c r="C2529" s="1" t="str">
        <f>MID(analisis_productividad__4[[#This Row],[Periodo]],1,4)</f>
        <v>2025</v>
      </c>
      <c r="D2529" s="1" t="str">
        <f>MID(analisis_productividad__4[[#This Row],[Periodo]],5,2)</f>
        <v>04</v>
      </c>
      <c r="E2529" s="1" t="s">
        <v>104</v>
      </c>
      <c r="F2529" s="1" t="s">
        <v>104</v>
      </c>
      <c r="G2529" s="1">
        <v>64803</v>
      </c>
      <c r="H2529" s="1">
        <v>3286679</v>
      </c>
      <c r="I2529" s="1">
        <v>50.718111111111121</v>
      </c>
      <c r="J2529" s="1">
        <v>56211.007690383747</v>
      </c>
      <c r="K2529" s="1">
        <v>61.5</v>
      </c>
      <c r="L2529" s="1">
        <v>56</v>
      </c>
      <c r="M2529" s="1">
        <v>58.470381959764545</v>
      </c>
      <c r="N2529" s="1">
        <v>3364998</v>
      </c>
    </row>
    <row r="2530" spans="1:14" x14ac:dyDescent="0.35">
      <c r="A2530" s="1" t="s">
        <v>91</v>
      </c>
      <c r="B2530" s="1">
        <v>202509</v>
      </c>
      <c r="C2530" s="1" t="str">
        <f>MID(analisis_productividad__4[[#This Row],[Periodo]],1,4)</f>
        <v>2025</v>
      </c>
      <c r="D2530" s="1" t="str">
        <f>MID(analisis_productividad__4[[#This Row],[Periodo]],5,2)</f>
        <v>09</v>
      </c>
      <c r="E2530" s="1" t="s">
        <v>11</v>
      </c>
      <c r="F2530" s="1" t="s">
        <v>12</v>
      </c>
      <c r="G2530" s="1">
        <v>64771</v>
      </c>
      <c r="H2530" s="1">
        <v>3404190</v>
      </c>
      <c r="I2530" s="1">
        <v>52.557215277777814</v>
      </c>
      <c r="J2530" s="1">
        <v>78186.312216216204</v>
      </c>
      <c r="K2530" s="1">
        <v>55</v>
      </c>
      <c r="L2530" s="1">
        <v>55.5</v>
      </c>
      <c r="M2530" s="1">
        <v>43.539467376157361</v>
      </c>
      <c r="N2530" s="1">
        <v>3739395</v>
      </c>
    </row>
    <row r="2531" spans="1:14" x14ac:dyDescent="0.35">
      <c r="A2531" s="1" t="s">
        <v>79</v>
      </c>
      <c r="B2531" s="1">
        <v>202402</v>
      </c>
      <c r="C2531" s="1" t="str">
        <f>MID(analisis_productividad__4[[#This Row],[Periodo]],1,4)</f>
        <v>2024</v>
      </c>
      <c r="D2531" s="1" t="str">
        <f>MID(analisis_productividad__4[[#This Row],[Periodo]],5,2)</f>
        <v>02</v>
      </c>
      <c r="E2531" s="1" t="s">
        <v>11</v>
      </c>
      <c r="F2531" s="1" t="s">
        <v>12</v>
      </c>
      <c r="G2531" s="1">
        <v>64759</v>
      </c>
      <c r="H2531" s="1">
        <v>4444075</v>
      </c>
      <c r="I2531" s="1">
        <v>68.625244252873586</v>
      </c>
      <c r="J2531" s="1">
        <v>0</v>
      </c>
      <c r="K2531" s="1">
        <v>64.5</v>
      </c>
      <c r="L2531" s="1">
        <v>64</v>
      </c>
      <c r="M2531" s="1"/>
      <c r="N2531" s="1">
        <v>0</v>
      </c>
    </row>
    <row r="2532" spans="1:14" x14ac:dyDescent="0.35">
      <c r="A2532" s="1" t="s">
        <v>98</v>
      </c>
      <c r="B2532" s="1">
        <v>202406</v>
      </c>
      <c r="C2532" s="1" t="str">
        <f>MID(analisis_productividad__4[[#This Row],[Periodo]],1,4)</f>
        <v>2024</v>
      </c>
      <c r="D2532" s="1" t="str">
        <f>MID(analisis_productividad__4[[#This Row],[Periodo]],5,2)</f>
        <v>06</v>
      </c>
      <c r="E2532" s="1" t="s">
        <v>11</v>
      </c>
      <c r="F2532" s="1" t="s">
        <v>14</v>
      </c>
      <c r="G2532" s="1">
        <v>64744</v>
      </c>
      <c r="H2532" s="1">
        <v>3715245</v>
      </c>
      <c r="I2532" s="1">
        <v>57.383763888888879</v>
      </c>
      <c r="J2532" s="1">
        <v>0</v>
      </c>
      <c r="K2532" s="1">
        <v>61.5</v>
      </c>
      <c r="L2532" s="1">
        <v>56</v>
      </c>
      <c r="M2532" s="1"/>
      <c r="N2532" s="1">
        <v>0</v>
      </c>
    </row>
    <row r="2533" spans="1:14" x14ac:dyDescent="0.35">
      <c r="A2533" s="1" t="s">
        <v>98</v>
      </c>
      <c r="B2533" s="1">
        <v>202506</v>
      </c>
      <c r="C2533" s="1" t="str">
        <f>MID(analisis_productividad__4[[#This Row],[Periodo]],1,4)</f>
        <v>2025</v>
      </c>
      <c r="D2533" s="1" t="str">
        <f>MID(analisis_productividad__4[[#This Row],[Periodo]],5,2)</f>
        <v>06</v>
      </c>
      <c r="E2533" s="1" t="s">
        <v>11</v>
      </c>
      <c r="F2533" s="1" t="s">
        <v>14</v>
      </c>
      <c r="G2533" s="1">
        <v>64722</v>
      </c>
      <c r="H2533" s="1">
        <v>3472407</v>
      </c>
      <c r="I2533" s="1">
        <v>53.651354166666664</v>
      </c>
      <c r="J2533" s="1">
        <v>67981.023256917193</v>
      </c>
      <c r="K2533" s="1">
        <v>61.5</v>
      </c>
      <c r="L2533" s="1">
        <v>56</v>
      </c>
      <c r="M2533" s="1">
        <v>51.079060355960095</v>
      </c>
      <c r="N2533" s="1">
        <v>3943200</v>
      </c>
    </row>
    <row r="2534" spans="1:14" x14ac:dyDescent="0.35">
      <c r="A2534" s="1" t="s">
        <v>95</v>
      </c>
      <c r="B2534" s="1">
        <v>202601</v>
      </c>
      <c r="C2534" s="1" t="str">
        <f>MID(analisis_productividad__4[[#This Row],[Periodo]],1,4)</f>
        <v>2026</v>
      </c>
      <c r="D2534" s="1" t="str">
        <f>MID(analisis_productividad__4[[#This Row],[Periodo]],5,2)</f>
        <v>01</v>
      </c>
      <c r="E2534" s="1" t="s">
        <v>9</v>
      </c>
      <c r="F2534" s="1" t="s">
        <v>9</v>
      </c>
      <c r="G2534" s="1">
        <v>64714</v>
      </c>
      <c r="H2534" s="1">
        <v>630542</v>
      </c>
      <c r="I2534" s="1">
        <v>9.7435013440860221</v>
      </c>
      <c r="J2534" s="1">
        <v>67231.475228972267</v>
      </c>
      <c r="K2534" s="1">
        <v>11</v>
      </c>
      <c r="L2534" s="1">
        <v>11</v>
      </c>
      <c r="M2534" s="1">
        <v>10.04229432420742</v>
      </c>
      <c r="N2534" s="1">
        <v>675158</v>
      </c>
    </row>
    <row r="2535" spans="1:14" x14ac:dyDescent="0.35">
      <c r="A2535" s="1" t="s">
        <v>92</v>
      </c>
      <c r="B2535" s="1">
        <v>202506</v>
      </c>
      <c r="C2535" s="1" t="str">
        <f>MID(analisis_productividad__4[[#This Row],[Periodo]],1,4)</f>
        <v>2025</v>
      </c>
      <c r="D2535" s="1" t="str">
        <f>MID(analisis_productividad__4[[#This Row],[Periodo]],5,2)</f>
        <v>06</v>
      </c>
      <c r="E2535" s="1" t="s">
        <v>11</v>
      </c>
      <c r="F2535" s="1" t="s">
        <v>14</v>
      </c>
      <c r="G2535" s="1">
        <v>64661</v>
      </c>
      <c r="H2535" s="1">
        <v>3440874</v>
      </c>
      <c r="I2535" s="1">
        <v>53.214340277777787</v>
      </c>
      <c r="J2535" s="1">
        <v>70667.537195200697</v>
      </c>
      <c r="K2535" s="1">
        <v>63</v>
      </c>
      <c r="L2535" s="1">
        <v>59</v>
      </c>
      <c r="M2535" s="1">
        <v>48.6910194775216</v>
      </c>
      <c r="N2535" s="1">
        <v>3774694</v>
      </c>
    </row>
    <row r="2536" spans="1:14" x14ac:dyDescent="0.35">
      <c r="A2536" s="1" t="s">
        <v>99</v>
      </c>
      <c r="B2536" s="1">
        <v>202606</v>
      </c>
      <c r="C2536" s="1" t="str">
        <f>MID(analisis_productividad__4[[#This Row],[Periodo]],1,4)</f>
        <v>2026</v>
      </c>
      <c r="D2536" s="1" t="str">
        <f>MID(analisis_productividad__4[[#This Row],[Periodo]],5,2)</f>
        <v>06</v>
      </c>
      <c r="E2536" s="1" t="s">
        <v>11</v>
      </c>
      <c r="F2536" s="1" t="s">
        <v>12</v>
      </c>
      <c r="G2536" s="1">
        <v>64660</v>
      </c>
      <c r="H2536" s="1">
        <v>1541256</v>
      </c>
      <c r="I2536" s="1">
        <v>23.836263888888904</v>
      </c>
      <c r="J2536" s="1">
        <v>118016.31445247766</v>
      </c>
      <c r="K2536" s="1">
        <v>27</v>
      </c>
      <c r="L2536" s="1">
        <v>27</v>
      </c>
      <c r="M2536" s="1">
        <v>23.582599197509253</v>
      </c>
      <c r="N2536" s="1">
        <v>2783131</v>
      </c>
    </row>
    <row r="2537" spans="1:14" x14ac:dyDescent="0.35">
      <c r="A2537" s="1" t="s">
        <v>105</v>
      </c>
      <c r="B2537" s="1">
        <v>202511</v>
      </c>
      <c r="C2537" s="1" t="str">
        <f>MID(analisis_productividad__4[[#This Row],[Periodo]],1,4)</f>
        <v>2025</v>
      </c>
      <c r="D2537" s="1" t="str">
        <f>MID(analisis_productividad__4[[#This Row],[Periodo]],5,2)</f>
        <v>11</v>
      </c>
      <c r="E2537" s="1" t="s">
        <v>34</v>
      </c>
      <c r="F2537" s="1" t="s">
        <v>35</v>
      </c>
      <c r="G2537" s="1">
        <v>64634</v>
      </c>
      <c r="H2537" s="1">
        <v>2088503</v>
      </c>
      <c r="I2537" s="1">
        <v>32.312826388888887</v>
      </c>
      <c r="J2537" s="1">
        <v>52097.673105472939</v>
      </c>
      <c r="K2537" s="1">
        <v>33</v>
      </c>
      <c r="L2537" s="1">
        <v>31.5</v>
      </c>
      <c r="M2537" s="1">
        <v>40.088212687959754</v>
      </c>
      <c r="N2537" s="1">
        <v>2553032</v>
      </c>
    </row>
    <row r="2538" spans="1:14" x14ac:dyDescent="0.35">
      <c r="A2538" s="1" t="s">
        <v>110</v>
      </c>
      <c r="B2538" s="1">
        <v>202409</v>
      </c>
      <c r="C2538" s="1" t="str">
        <f>MID(analisis_productividad__4[[#This Row],[Periodo]],1,4)</f>
        <v>2024</v>
      </c>
      <c r="D2538" s="1" t="str">
        <f>MID(analisis_productividad__4[[#This Row],[Periodo]],5,2)</f>
        <v>09</v>
      </c>
      <c r="E2538" s="1" t="s">
        <v>34</v>
      </c>
      <c r="F2538" s="1" t="s">
        <v>35</v>
      </c>
      <c r="G2538" s="1">
        <v>64616</v>
      </c>
      <c r="H2538" s="1">
        <v>2205957</v>
      </c>
      <c r="I2538" s="1">
        <v>34.139340277777784</v>
      </c>
      <c r="J2538" s="1">
        <v>0</v>
      </c>
      <c r="K2538" s="1">
        <v>41.5</v>
      </c>
      <c r="L2538" s="1">
        <v>43</v>
      </c>
      <c r="M2538" s="1"/>
      <c r="N2538" s="1">
        <v>0</v>
      </c>
    </row>
    <row r="2539" spans="1:14" x14ac:dyDescent="0.35">
      <c r="A2539" s="1" t="s">
        <v>116</v>
      </c>
      <c r="B2539" s="1">
        <v>202601</v>
      </c>
      <c r="C2539" s="1" t="str">
        <f>MID(analisis_productividad__4[[#This Row],[Periodo]],1,4)</f>
        <v>2026</v>
      </c>
      <c r="D2539" s="1" t="str">
        <f>MID(analisis_productividad__4[[#This Row],[Periodo]],5,2)</f>
        <v>01</v>
      </c>
      <c r="E2539" s="1" t="s">
        <v>9</v>
      </c>
      <c r="F2539" s="1" t="s">
        <v>9</v>
      </c>
      <c r="G2539" s="1">
        <v>64610</v>
      </c>
      <c r="H2539" s="1">
        <v>643587</v>
      </c>
      <c r="I2539" s="1">
        <v>9.9611223118279568</v>
      </c>
      <c r="J2539" s="1">
        <v>73433.916741750392</v>
      </c>
      <c r="K2539" s="1">
        <v>11.5</v>
      </c>
      <c r="L2539" s="1">
        <v>10</v>
      </c>
      <c r="M2539" s="1">
        <v>10.042294324207418</v>
      </c>
      <c r="N2539" s="1">
        <v>737445</v>
      </c>
    </row>
    <row r="2540" spans="1:14" x14ac:dyDescent="0.35">
      <c r="A2540" s="1" t="s">
        <v>95</v>
      </c>
      <c r="B2540" s="1">
        <v>202505</v>
      </c>
      <c r="C2540" s="1" t="str">
        <f>MID(analisis_productividad__4[[#This Row],[Periodo]],1,4)</f>
        <v>2025</v>
      </c>
      <c r="D2540" s="1" t="str">
        <f>MID(analisis_productividad__4[[#This Row],[Periodo]],5,2)</f>
        <v>05</v>
      </c>
      <c r="E2540" s="1" t="s">
        <v>9</v>
      </c>
      <c r="F2540" s="1" t="s">
        <v>9</v>
      </c>
      <c r="G2540" s="1">
        <v>64598</v>
      </c>
      <c r="H2540" s="1">
        <v>640877</v>
      </c>
      <c r="I2540" s="1">
        <v>9.9210416666666674</v>
      </c>
      <c r="J2540" s="1">
        <v>82119.441355932198</v>
      </c>
      <c r="K2540" s="1">
        <v>11</v>
      </c>
      <c r="L2540" s="1">
        <v>11</v>
      </c>
      <c r="M2540" s="1">
        <v>7.804202383966949</v>
      </c>
      <c r="N2540" s="1">
        <v>716950</v>
      </c>
    </row>
    <row r="2541" spans="1:14" x14ac:dyDescent="0.35">
      <c r="A2541" s="1" t="s">
        <v>117</v>
      </c>
      <c r="B2541" s="1">
        <v>202601</v>
      </c>
      <c r="C2541" s="1" t="str">
        <f>MID(analisis_productividad__4[[#This Row],[Periodo]],1,4)</f>
        <v>2026</v>
      </c>
      <c r="D2541" s="1" t="str">
        <f>MID(analisis_productividad__4[[#This Row],[Periodo]],5,2)</f>
        <v>01</v>
      </c>
      <c r="E2541" s="1" t="s">
        <v>104</v>
      </c>
      <c r="F2541" s="1" t="s">
        <v>104</v>
      </c>
      <c r="G2541" s="1">
        <v>64597</v>
      </c>
      <c r="H2541" s="1">
        <v>3719546</v>
      </c>
      <c r="I2541" s="1">
        <v>57.58092741935485</v>
      </c>
      <c r="J2541" s="1">
        <v>58182.169486084531</v>
      </c>
      <c r="K2541" s="1">
        <v>66</v>
      </c>
      <c r="L2541" s="1">
        <v>65.5</v>
      </c>
      <c r="M2541" s="1">
        <v>58.116081161406527</v>
      </c>
      <c r="N2541" s="1">
        <v>3381320</v>
      </c>
    </row>
    <row r="2542" spans="1:14" x14ac:dyDescent="0.35">
      <c r="A2542" s="1" t="s">
        <v>92</v>
      </c>
      <c r="B2542" s="1">
        <v>202601</v>
      </c>
      <c r="C2542" s="1" t="str">
        <f>MID(analisis_productividad__4[[#This Row],[Periodo]],1,4)</f>
        <v>2026</v>
      </c>
      <c r="D2542" s="1" t="str">
        <f>MID(analisis_productividad__4[[#This Row],[Periodo]],5,2)</f>
        <v>01</v>
      </c>
      <c r="E2542" s="1" t="s">
        <v>11</v>
      </c>
      <c r="F2542" s="1" t="s">
        <v>14</v>
      </c>
      <c r="G2542" s="1">
        <v>64521</v>
      </c>
      <c r="H2542" s="1">
        <v>3438453</v>
      </c>
      <c r="I2542" s="1">
        <v>53.291827956989245</v>
      </c>
      <c r="J2542" s="1">
        <v>70936.311366250287</v>
      </c>
      <c r="K2542" s="1">
        <v>63</v>
      </c>
      <c r="L2542" s="1">
        <v>59</v>
      </c>
      <c r="M2542" s="1">
        <v>55.026064794188251</v>
      </c>
      <c r="N2542" s="1">
        <v>3903346</v>
      </c>
    </row>
    <row r="2543" spans="1:14" x14ac:dyDescent="0.35">
      <c r="A2543" s="1" t="s">
        <v>85</v>
      </c>
      <c r="B2543" s="1">
        <v>202507</v>
      </c>
      <c r="C2543" s="1" t="str">
        <f>MID(analisis_productividad__4[[#This Row],[Periodo]],1,4)</f>
        <v>2025</v>
      </c>
      <c r="D2543" s="1" t="str">
        <f>MID(analisis_productividad__4[[#This Row],[Periodo]],5,2)</f>
        <v>07</v>
      </c>
      <c r="E2543" s="1" t="s">
        <v>11</v>
      </c>
      <c r="F2543" s="1" t="s">
        <v>14</v>
      </c>
      <c r="G2543" s="1">
        <v>64502</v>
      </c>
      <c r="H2543" s="1">
        <v>3669325</v>
      </c>
      <c r="I2543" s="1">
        <v>56.886572580645165</v>
      </c>
      <c r="J2543" s="1">
        <v>77989.940482709557</v>
      </c>
      <c r="K2543" s="1">
        <v>60.5</v>
      </c>
      <c r="L2543" s="1">
        <v>57.5</v>
      </c>
      <c r="M2543" s="1">
        <v>47.048692014497604</v>
      </c>
      <c r="N2543" s="1">
        <v>4066921</v>
      </c>
    </row>
    <row r="2544" spans="1:14" x14ac:dyDescent="0.35">
      <c r="A2544" s="1" t="s">
        <v>92</v>
      </c>
      <c r="B2544" s="1">
        <v>202502</v>
      </c>
      <c r="C2544" s="1" t="str">
        <f>MID(analisis_productividad__4[[#This Row],[Periodo]],1,4)</f>
        <v>2025</v>
      </c>
      <c r="D2544" s="1" t="str">
        <f>MID(analisis_productividad__4[[#This Row],[Periodo]],5,2)</f>
        <v>02</v>
      </c>
      <c r="E2544" s="1" t="s">
        <v>11</v>
      </c>
      <c r="F2544" s="1" t="s">
        <v>14</v>
      </c>
      <c r="G2544" s="1">
        <v>64478</v>
      </c>
      <c r="H2544" s="1">
        <v>3701008</v>
      </c>
      <c r="I2544" s="1">
        <v>57.399739583333336</v>
      </c>
      <c r="J2544" s="1">
        <v>67135.803221681359</v>
      </c>
      <c r="K2544" s="1">
        <v>63</v>
      </c>
      <c r="L2544" s="1">
        <v>59</v>
      </c>
      <c r="M2544" s="1">
        <v>55.127188510418641</v>
      </c>
      <c r="N2544" s="1">
        <v>3698569</v>
      </c>
    </row>
    <row r="2545" spans="1:14" x14ac:dyDescent="0.35">
      <c r="A2545" s="1" t="s">
        <v>124</v>
      </c>
      <c r="B2545" s="1">
        <v>202406</v>
      </c>
      <c r="C2545" s="1" t="str">
        <f>MID(analisis_productividad__4[[#This Row],[Periodo]],1,4)</f>
        <v>2024</v>
      </c>
      <c r="D2545" s="1" t="str">
        <f>MID(analisis_productividad__4[[#This Row],[Periodo]],5,2)</f>
        <v>06</v>
      </c>
      <c r="E2545" s="1" t="s">
        <v>9</v>
      </c>
      <c r="F2545" s="1" t="s">
        <v>9</v>
      </c>
      <c r="G2545" s="1">
        <v>64460</v>
      </c>
      <c r="H2545" s="1">
        <v>589565</v>
      </c>
      <c r="I2545" s="1">
        <v>9.1462777777777777</v>
      </c>
      <c r="J2545" s="1">
        <v>0</v>
      </c>
      <c r="K2545" s="1">
        <v>11</v>
      </c>
      <c r="L2545" s="1">
        <v>12</v>
      </c>
      <c r="M2545" s="1"/>
      <c r="N2545" s="1">
        <v>0</v>
      </c>
    </row>
    <row r="2546" spans="1:14" x14ac:dyDescent="0.35">
      <c r="A2546" s="1" t="s">
        <v>113</v>
      </c>
      <c r="B2546" s="1">
        <v>202505</v>
      </c>
      <c r="C2546" s="1" t="str">
        <f>MID(analisis_productividad__4[[#This Row],[Periodo]],1,4)</f>
        <v>2025</v>
      </c>
      <c r="D2546" s="1" t="str">
        <f>MID(analisis_productividad__4[[#This Row],[Periodo]],5,2)</f>
        <v>05</v>
      </c>
      <c r="E2546" s="1" t="s">
        <v>9</v>
      </c>
      <c r="F2546" s="1" t="s">
        <v>9</v>
      </c>
      <c r="G2546" s="1">
        <v>64438</v>
      </c>
      <c r="H2546" s="1">
        <v>585529</v>
      </c>
      <c r="I2546" s="1">
        <v>9.0866868279569868</v>
      </c>
      <c r="J2546" s="1">
        <v>65489.22342287955</v>
      </c>
      <c r="K2546" s="1">
        <v>11.5</v>
      </c>
      <c r="L2546" s="1">
        <v>10</v>
      </c>
      <c r="M2546" s="1">
        <v>8.9408430791597624</v>
      </c>
      <c r="N2546" s="1">
        <v>638148</v>
      </c>
    </row>
    <row r="2547" spans="1:14" x14ac:dyDescent="0.35">
      <c r="A2547" s="1" t="s">
        <v>128</v>
      </c>
      <c r="B2547" s="1">
        <v>202512</v>
      </c>
      <c r="C2547" s="1" t="str">
        <f>MID(analisis_productividad__4[[#This Row],[Periodo]],1,4)</f>
        <v>2025</v>
      </c>
      <c r="D2547" s="1" t="str">
        <f>MID(analisis_productividad__4[[#This Row],[Periodo]],5,2)</f>
        <v>12</v>
      </c>
      <c r="E2547" s="1" t="s">
        <v>104</v>
      </c>
      <c r="F2547" s="1" t="s">
        <v>104</v>
      </c>
      <c r="G2547" s="1">
        <v>64422</v>
      </c>
      <c r="H2547" s="1">
        <v>3354155</v>
      </c>
      <c r="I2547" s="1">
        <v>52.065463709677367</v>
      </c>
      <c r="J2547" s="1">
        <v>57779.043471588848</v>
      </c>
      <c r="K2547" s="1">
        <v>57.5</v>
      </c>
      <c r="L2547" s="1">
        <v>57</v>
      </c>
      <c r="M2547" s="1">
        <v>58.051403562077091</v>
      </c>
      <c r="N2547" s="1">
        <v>3366180</v>
      </c>
    </row>
    <row r="2548" spans="1:14" x14ac:dyDescent="0.35">
      <c r="A2548" s="1" t="s">
        <v>86</v>
      </c>
      <c r="B2548" s="1">
        <v>202506</v>
      </c>
      <c r="C2548" s="1" t="str">
        <f>MID(analisis_productividad__4[[#This Row],[Periodo]],1,4)</f>
        <v>2025</v>
      </c>
      <c r="D2548" s="1" t="str">
        <f>MID(analisis_productividad__4[[#This Row],[Periodo]],5,2)</f>
        <v>06</v>
      </c>
      <c r="E2548" s="1" t="s">
        <v>11</v>
      </c>
      <c r="F2548" s="1" t="s">
        <v>14</v>
      </c>
      <c r="G2548" s="1">
        <v>64377</v>
      </c>
      <c r="H2548" s="1">
        <v>4214268</v>
      </c>
      <c r="I2548" s="1">
        <v>65.462638888888904</v>
      </c>
      <c r="J2548" s="1">
        <v>79346.607330227329</v>
      </c>
      <c r="K2548" s="1">
        <v>69.5</v>
      </c>
      <c r="L2548" s="1">
        <v>59</v>
      </c>
      <c r="M2548" s="1">
        <v>53.112143566024429</v>
      </c>
      <c r="N2548" s="1">
        <v>4998298</v>
      </c>
    </row>
    <row r="2549" spans="1:14" x14ac:dyDescent="0.35">
      <c r="A2549" s="1" t="s">
        <v>98</v>
      </c>
      <c r="B2549" s="1">
        <v>202509</v>
      </c>
      <c r="C2549" s="1" t="str">
        <f>MID(analisis_productividad__4[[#This Row],[Periodo]],1,4)</f>
        <v>2025</v>
      </c>
      <c r="D2549" s="1" t="str">
        <f>MID(analisis_productividad__4[[#This Row],[Periodo]],5,2)</f>
        <v>09</v>
      </c>
      <c r="E2549" s="1" t="s">
        <v>11</v>
      </c>
      <c r="F2549" s="1" t="s">
        <v>14</v>
      </c>
      <c r="G2549" s="1">
        <v>64337</v>
      </c>
      <c r="H2549" s="1">
        <v>3335745</v>
      </c>
      <c r="I2549" s="1">
        <v>51.848125000000003</v>
      </c>
      <c r="J2549" s="1">
        <v>73345.397234256132</v>
      </c>
      <c r="K2549" s="1">
        <v>61.5</v>
      </c>
      <c r="L2549" s="1">
        <v>56</v>
      </c>
      <c r="M2549" s="1">
        <v>45.479953286585143</v>
      </c>
      <c r="N2549" s="1">
        <v>3761298</v>
      </c>
    </row>
    <row r="2550" spans="1:14" x14ac:dyDescent="0.35">
      <c r="A2550" s="1" t="s">
        <v>73</v>
      </c>
      <c r="B2550" s="1">
        <v>202506</v>
      </c>
      <c r="C2550" s="1" t="str">
        <f>MID(analisis_productividad__4[[#This Row],[Periodo]],1,4)</f>
        <v>2025</v>
      </c>
      <c r="D2550" s="1" t="str">
        <f>MID(analisis_productividad__4[[#This Row],[Periodo]],5,2)</f>
        <v>06</v>
      </c>
      <c r="E2550" s="1" t="s">
        <v>16</v>
      </c>
      <c r="F2550" s="1" t="s">
        <v>21</v>
      </c>
      <c r="G2550" s="1">
        <v>64318</v>
      </c>
      <c r="H2550" s="1">
        <v>2584678</v>
      </c>
      <c r="I2550" s="1">
        <v>40.186222222222227</v>
      </c>
      <c r="J2550" s="1">
        <v>76387.837674189839</v>
      </c>
      <c r="K2550" s="1">
        <v>43.5</v>
      </c>
      <c r="L2550" s="1">
        <v>41</v>
      </c>
      <c r="M2550" s="1">
        <v>33.836256120040936</v>
      </c>
      <c r="N2550" s="1">
        <v>2924957</v>
      </c>
    </row>
    <row r="2551" spans="1:14" x14ac:dyDescent="0.35">
      <c r="A2551" s="1" t="s">
        <v>58</v>
      </c>
      <c r="B2551" s="1">
        <v>202506</v>
      </c>
      <c r="C2551" s="1" t="str">
        <f>MID(analisis_productividad__4[[#This Row],[Periodo]],1,4)</f>
        <v>2025</v>
      </c>
      <c r="D2551" s="1" t="str">
        <f>MID(analisis_productividad__4[[#This Row],[Periodo]],5,2)</f>
        <v>06</v>
      </c>
      <c r="E2551" s="1" t="s">
        <v>34</v>
      </c>
      <c r="F2551" s="1" t="s">
        <v>35</v>
      </c>
      <c r="G2551" s="1">
        <v>64305</v>
      </c>
      <c r="H2551" s="1">
        <v>2830209</v>
      </c>
      <c r="I2551" s="1">
        <v>44.011965277777783</v>
      </c>
      <c r="J2551" s="1">
        <v>74076.559309161486</v>
      </c>
      <c r="K2551" s="1">
        <v>53.5</v>
      </c>
      <c r="L2551" s="1">
        <v>52</v>
      </c>
      <c r="M2551" s="1">
        <v>38.20654234476536</v>
      </c>
      <c r="N2551" s="1">
        <v>3154057</v>
      </c>
    </row>
    <row r="2552" spans="1:14" x14ac:dyDescent="0.35">
      <c r="A2552" s="1" t="s">
        <v>58</v>
      </c>
      <c r="B2552" s="1">
        <v>202405</v>
      </c>
      <c r="C2552" s="1" t="str">
        <f>MID(analisis_productividad__4[[#This Row],[Periodo]],1,4)</f>
        <v>2024</v>
      </c>
      <c r="D2552" s="1" t="str">
        <f>MID(analisis_productividad__4[[#This Row],[Periodo]],5,2)</f>
        <v>05</v>
      </c>
      <c r="E2552" s="1" t="s">
        <v>34</v>
      </c>
      <c r="F2552" s="1" t="s">
        <v>35</v>
      </c>
      <c r="G2552" s="1">
        <v>64288</v>
      </c>
      <c r="H2552" s="1">
        <v>3155230</v>
      </c>
      <c r="I2552" s="1">
        <v>49.079973118279561</v>
      </c>
      <c r="J2552" s="1">
        <v>0</v>
      </c>
      <c r="K2552" s="1">
        <v>53.5</v>
      </c>
      <c r="L2552" s="1">
        <v>52</v>
      </c>
      <c r="M2552" s="1"/>
      <c r="N2552" s="1">
        <v>0</v>
      </c>
    </row>
    <row r="2553" spans="1:14" x14ac:dyDescent="0.35">
      <c r="A2553" s="1" t="s">
        <v>48</v>
      </c>
      <c r="B2553" s="1">
        <v>202405</v>
      </c>
      <c r="C2553" s="1" t="str">
        <f>MID(analisis_productividad__4[[#This Row],[Periodo]],1,4)</f>
        <v>2024</v>
      </c>
      <c r="D2553" s="1" t="str">
        <f>MID(analisis_productividad__4[[#This Row],[Periodo]],5,2)</f>
        <v>05</v>
      </c>
      <c r="E2553" s="1" t="s">
        <v>16</v>
      </c>
      <c r="F2553" s="1" t="s">
        <v>21</v>
      </c>
      <c r="G2553" s="1">
        <v>64281</v>
      </c>
      <c r="H2553" s="1">
        <v>3794471</v>
      </c>
      <c r="I2553" s="1">
        <v>59.029240591397873</v>
      </c>
      <c r="J2553" s="1">
        <v>0</v>
      </c>
      <c r="K2553" s="1">
        <v>56</v>
      </c>
      <c r="L2553" s="1">
        <v>60</v>
      </c>
      <c r="M2553" s="1"/>
      <c r="N2553" s="1">
        <v>0</v>
      </c>
    </row>
    <row r="2554" spans="1:14" x14ac:dyDescent="0.35">
      <c r="A2554" s="1" t="s">
        <v>119</v>
      </c>
      <c r="B2554" s="1">
        <v>202406</v>
      </c>
      <c r="C2554" s="1" t="str">
        <f>MID(analisis_productividad__4[[#This Row],[Periodo]],1,4)</f>
        <v>2024</v>
      </c>
      <c r="D2554" s="1" t="str">
        <f>MID(analisis_productividad__4[[#This Row],[Periodo]],5,2)</f>
        <v>06</v>
      </c>
      <c r="E2554" s="1" t="s">
        <v>16</v>
      </c>
      <c r="F2554" s="1" t="s">
        <v>21</v>
      </c>
      <c r="G2554" s="1">
        <v>64271</v>
      </c>
      <c r="H2554" s="1">
        <v>3475746</v>
      </c>
      <c r="I2554" s="1">
        <v>54.079423611111125</v>
      </c>
      <c r="J2554" s="1">
        <v>0</v>
      </c>
      <c r="K2554" s="1">
        <v>52.5</v>
      </c>
      <c r="L2554" s="1">
        <v>52.5</v>
      </c>
      <c r="M2554" s="1"/>
      <c r="N2554" s="1">
        <v>0</v>
      </c>
    </row>
    <row r="2555" spans="1:14" x14ac:dyDescent="0.35">
      <c r="A2555" s="1" t="s">
        <v>103</v>
      </c>
      <c r="B2555" s="1">
        <v>202407</v>
      </c>
      <c r="C2555" s="1" t="str">
        <f>MID(analisis_productividad__4[[#This Row],[Periodo]],1,4)</f>
        <v>2024</v>
      </c>
      <c r="D2555" s="1" t="str">
        <f>MID(analisis_productividad__4[[#This Row],[Periodo]],5,2)</f>
        <v>07</v>
      </c>
      <c r="E2555" s="1" t="s">
        <v>104</v>
      </c>
      <c r="F2555" s="1" t="s">
        <v>104</v>
      </c>
      <c r="G2555" s="1">
        <v>64243</v>
      </c>
      <c r="H2555" s="1">
        <v>5192395</v>
      </c>
      <c r="I2555" s="1">
        <v>80.823702956989294</v>
      </c>
      <c r="J2555" s="1">
        <v>0</v>
      </c>
      <c r="K2555" s="1">
        <v>94</v>
      </c>
      <c r="L2555" s="1">
        <v>77.5</v>
      </c>
      <c r="M2555" s="1"/>
      <c r="N2555" s="1">
        <v>0</v>
      </c>
    </row>
    <row r="2556" spans="1:14" x14ac:dyDescent="0.35">
      <c r="A2556" s="1" t="s">
        <v>105</v>
      </c>
      <c r="B2556" s="1">
        <v>202510</v>
      </c>
      <c r="C2556" s="1" t="str">
        <f>MID(analisis_productividad__4[[#This Row],[Periodo]],1,4)</f>
        <v>2025</v>
      </c>
      <c r="D2556" s="1" t="str">
        <f>MID(analisis_productividad__4[[#This Row],[Periodo]],5,2)</f>
        <v>10</v>
      </c>
      <c r="E2556" s="1" t="s">
        <v>34</v>
      </c>
      <c r="F2556" s="1" t="s">
        <v>35</v>
      </c>
      <c r="G2556" s="1">
        <v>64235</v>
      </c>
      <c r="H2556" s="1">
        <v>2137908</v>
      </c>
      <c r="I2556" s="1">
        <v>33.282741935483877</v>
      </c>
      <c r="J2556" s="1">
        <v>60711.959542320968</v>
      </c>
      <c r="K2556" s="1">
        <v>33</v>
      </c>
      <c r="L2556" s="1">
        <v>31.5</v>
      </c>
      <c r="M2556" s="1">
        <v>35.213946249086419</v>
      </c>
      <c r="N2556" s="1">
        <v>2655816</v>
      </c>
    </row>
    <row r="2557" spans="1:14" x14ac:dyDescent="0.35">
      <c r="A2557" s="1" t="s">
        <v>118</v>
      </c>
      <c r="B2557" s="1">
        <v>202511</v>
      </c>
      <c r="C2557" s="1" t="str">
        <f>MID(analisis_productividad__4[[#This Row],[Periodo]],1,4)</f>
        <v>2025</v>
      </c>
      <c r="D2557" s="1" t="str">
        <f>MID(analisis_productividad__4[[#This Row],[Periodo]],5,2)</f>
        <v>11</v>
      </c>
      <c r="E2557" s="1" t="s">
        <v>34</v>
      </c>
      <c r="F2557" s="1" t="s">
        <v>35</v>
      </c>
      <c r="G2557" s="1">
        <v>64221</v>
      </c>
      <c r="H2557" s="1">
        <v>1069260</v>
      </c>
      <c r="I2557" s="1">
        <v>16.64974305555555</v>
      </c>
      <c r="J2557" s="1">
        <v>63913.996564101006</v>
      </c>
      <c r="K2557" s="1">
        <v>19</v>
      </c>
      <c r="L2557" s="1">
        <v>21.5</v>
      </c>
      <c r="M2557" s="1">
        <v>16.729662632309523</v>
      </c>
      <c r="N2557" s="1">
        <v>1118704</v>
      </c>
    </row>
    <row r="2558" spans="1:14" x14ac:dyDescent="0.35">
      <c r="A2558" s="1" t="s">
        <v>121</v>
      </c>
      <c r="B2558" s="1">
        <v>202511</v>
      </c>
      <c r="C2558" s="1" t="str">
        <f>MID(analisis_productividad__4[[#This Row],[Periodo]],1,4)</f>
        <v>2025</v>
      </c>
      <c r="D2558" s="1" t="str">
        <f>MID(analisis_productividad__4[[#This Row],[Periodo]],5,2)</f>
        <v>11</v>
      </c>
      <c r="E2558" s="1" t="s">
        <v>11</v>
      </c>
      <c r="F2558" s="1" t="s">
        <v>14</v>
      </c>
      <c r="G2558" s="1">
        <v>64196</v>
      </c>
      <c r="H2558" s="1">
        <v>2052918</v>
      </c>
      <c r="I2558" s="1">
        <v>31.97881944444444</v>
      </c>
      <c r="J2558" s="1">
        <v>59211.856345393746</v>
      </c>
      <c r="K2558" s="1">
        <v>36</v>
      </c>
      <c r="L2558" s="1">
        <v>35</v>
      </c>
      <c r="M2558" s="1">
        <v>34.670731449879668</v>
      </c>
      <c r="N2558" s="1">
        <v>2028264</v>
      </c>
    </row>
    <row r="2559" spans="1:14" x14ac:dyDescent="0.35">
      <c r="A2559" s="1" t="s">
        <v>37</v>
      </c>
      <c r="B2559" s="1">
        <v>202503</v>
      </c>
      <c r="C2559" s="1" t="str">
        <f>MID(analisis_productividad__4[[#This Row],[Periodo]],1,4)</f>
        <v>2025</v>
      </c>
      <c r="D2559" s="1" t="str">
        <f>MID(analisis_productividad__4[[#This Row],[Periodo]],5,2)</f>
        <v>03</v>
      </c>
      <c r="E2559" s="1" t="s">
        <v>16</v>
      </c>
      <c r="F2559" s="1" t="s">
        <v>17</v>
      </c>
      <c r="G2559" s="1">
        <v>64184</v>
      </c>
      <c r="H2559" s="1">
        <v>4717756</v>
      </c>
      <c r="I2559" s="1">
        <v>73.503528225806463</v>
      </c>
      <c r="J2559" s="1">
        <v>109741.89229286708</v>
      </c>
      <c r="K2559" s="1">
        <v>107.5</v>
      </c>
      <c r="L2559" s="1">
        <v>102.5</v>
      </c>
      <c r="M2559" s="1">
        <v>42.989561155094464</v>
      </c>
      <c r="N2559" s="1">
        <v>11381428</v>
      </c>
    </row>
    <row r="2560" spans="1:14" x14ac:dyDescent="0.35">
      <c r="A2560" s="1" t="s">
        <v>118</v>
      </c>
      <c r="B2560" s="1">
        <v>202406</v>
      </c>
      <c r="C2560" s="1" t="str">
        <f>MID(analisis_productividad__4[[#This Row],[Periodo]],1,4)</f>
        <v>2024</v>
      </c>
      <c r="D2560" s="1" t="str">
        <f>MID(analisis_productividad__4[[#This Row],[Periodo]],5,2)</f>
        <v>06</v>
      </c>
      <c r="E2560" s="1" t="s">
        <v>34</v>
      </c>
      <c r="F2560" s="1" t="s">
        <v>35</v>
      </c>
      <c r="G2560" s="1">
        <v>64128</v>
      </c>
      <c r="H2560" s="1">
        <v>1124878</v>
      </c>
      <c r="I2560" s="1">
        <v>17.541270833333336</v>
      </c>
      <c r="J2560" s="1">
        <v>0</v>
      </c>
      <c r="K2560" s="1">
        <v>19</v>
      </c>
      <c r="L2560" s="1">
        <v>21.5</v>
      </c>
      <c r="M2560" s="1"/>
      <c r="N2560" s="1">
        <v>0</v>
      </c>
    </row>
    <row r="2561" spans="1:14" x14ac:dyDescent="0.35">
      <c r="A2561" s="1" t="s">
        <v>119</v>
      </c>
      <c r="B2561" s="1">
        <v>202511</v>
      </c>
      <c r="C2561" s="1" t="str">
        <f>MID(analisis_productividad__4[[#This Row],[Periodo]],1,4)</f>
        <v>2025</v>
      </c>
      <c r="D2561" s="1" t="str">
        <f>MID(analisis_productividad__4[[#This Row],[Periodo]],5,2)</f>
        <v>11</v>
      </c>
      <c r="E2561" s="1" t="s">
        <v>16</v>
      </c>
      <c r="F2561" s="1" t="s">
        <v>21</v>
      </c>
      <c r="G2561" s="1">
        <v>64114</v>
      </c>
      <c r="H2561" s="1">
        <v>2961508</v>
      </c>
      <c r="I2561" s="1">
        <v>46.191250000000004</v>
      </c>
      <c r="J2561" s="1">
        <v>68849.377273169273</v>
      </c>
      <c r="K2561" s="1">
        <v>52.5</v>
      </c>
      <c r="L2561" s="1">
        <v>52.5</v>
      </c>
      <c r="M2561" s="1">
        <v>43.014308150527093</v>
      </c>
      <c r="N2561" s="1">
        <v>3552162</v>
      </c>
    </row>
    <row r="2562" spans="1:14" x14ac:dyDescent="0.35">
      <c r="A2562" s="1" t="s">
        <v>71</v>
      </c>
      <c r="B2562" s="1">
        <v>202502</v>
      </c>
      <c r="C2562" s="1" t="str">
        <f>MID(analisis_productividad__4[[#This Row],[Periodo]],1,4)</f>
        <v>2025</v>
      </c>
      <c r="D2562" s="1" t="str">
        <f>MID(analisis_productividad__4[[#This Row],[Periodo]],5,2)</f>
        <v>02</v>
      </c>
      <c r="E2562" s="1" t="s">
        <v>16</v>
      </c>
      <c r="F2562" s="1" t="s">
        <v>19</v>
      </c>
      <c r="G2562" s="1">
        <v>64106</v>
      </c>
      <c r="H2562" s="1">
        <v>2116916</v>
      </c>
      <c r="I2562" s="1">
        <v>33.022031249999998</v>
      </c>
      <c r="J2562" s="1">
        <v>59215.677158960993</v>
      </c>
      <c r="K2562" s="1">
        <v>41.5</v>
      </c>
      <c r="L2562" s="1">
        <v>35.5</v>
      </c>
      <c r="M2562" s="1">
        <v>35.749240936944204</v>
      </c>
      <c r="N2562" s="1">
        <v>1933409</v>
      </c>
    </row>
    <row r="2563" spans="1:14" x14ac:dyDescent="0.35">
      <c r="A2563" s="1" t="s">
        <v>120</v>
      </c>
      <c r="B2563" s="1">
        <v>202604</v>
      </c>
      <c r="C2563" s="1" t="str">
        <f>MID(analisis_productividad__4[[#This Row],[Periodo]],1,4)</f>
        <v>2026</v>
      </c>
      <c r="D2563" s="1" t="str">
        <f>MID(analisis_productividad__4[[#This Row],[Periodo]],5,2)</f>
        <v>04</v>
      </c>
      <c r="E2563" s="1" t="s">
        <v>9</v>
      </c>
      <c r="F2563" s="1" t="s">
        <v>9</v>
      </c>
      <c r="G2563" s="1">
        <v>64089</v>
      </c>
      <c r="H2563" s="1">
        <v>688852</v>
      </c>
      <c r="I2563" s="1">
        <v>10.748305555555552</v>
      </c>
      <c r="J2563" s="1">
        <v>71589.769438144853</v>
      </c>
      <c r="K2563" s="1">
        <v>11.5</v>
      </c>
      <c r="L2563" s="1">
        <v>12</v>
      </c>
      <c r="M2563" s="1">
        <v>10.04229432420742</v>
      </c>
      <c r="N2563" s="1">
        <v>718926</v>
      </c>
    </row>
    <row r="2564" spans="1:14" x14ac:dyDescent="0.35">
      <c r="A2564" s="1" t="s">
        <v>114</v>
      </c>
      <c r="B2564" s="1">
        <v>202604</v>
      </c>
      <c r="C2564" s="1" t="str">
        <f>MID(analisis_productividad__4[[#This Row],[Periodo]],1,4)</f>
        <v>2026</v>
      </c>
      <c r="D2564" s="1" t="str">
        <f>MID(analisis_productividad__4[[#This Row],[Periodo]],5,2)</f>
        <v>04</v>
      </c>
      <c r="E2564" s="1" t="s">
        <v>9</v>
      </c>
      <c r="F2564" s="1" t="s">
        <v>9</v>
      </c>
      <c r="G2564" s="1">
        <v>64034</v>
      </c>
      <c r="H2564" s="1">
        <v>923700</v>
      </c>
      <c r="I2564" s="1">
        <v>14.425152777777784</v>
      </c>
      <c r="J2564" s="1">
        <v>61307.109918989037</v>
      </c>
      <c r="K2564" s="1">
        <v>13.5</v>
      </c>
      <c r="L2564" s="1">
        <v>14.5</v>
      </c>
      <c r="M2564" s="1">
        <v>13.189776457714554</v>
      </c>
      <c r="N2564" s="1">
        <v>808627</v>
      </c>
    </row>
    <row r="2565" spans="1:14" x14ac:dyDescent="0.35">
      <c r="A2565" s="1" t="s">
        <v>85</v>
      </c>
      <c r="B2565" s="1">
        <v>202505</v>
      </c>
      <c r="C2565" s="1" t="str">
        <f>MID(analisis_productividad__4[[#This Row],[Periodo]],1,4)</f>
        <v>2025</v>
      </c>
      <c r="D2565" s="1" t="str">
        <f>MID(analisis_productividad__4[[#This Row],[Periodo]],5,2)</f>
        <v>05</v>
      </c>
      <c r="E2565" s="1" t="s">
        <v>11</v>
      </c>
      <c r="F2565" s="1" t="s">
        <v>14</v>
      </c>
      <c r="G2565" s="1">
        <v>64015</v>
      </c>
      <c r="H2565" s="1">
        <v>3663874</v>
      </c>
      <c r="I2565" s="1">
        <v>57.234643817204294</v>
      </c>
      <c r="J2565" s="1">
        <v>68283.586700494081</v>
      </c>
      <c r="K2565" s="1">
        <v>60.5</v>
      </c>
      <c r="L2565" s="1">
        <v>57.5</v>
      </c>
      <c r="M2565" s="1">
        <v>53.656723336319558</v>
      </c>
      <c r="N2565" s="1">
        <v>3755811</v>
      </c>
    </row>
    <row r="2566" spans="1:14" x14ac:dyDescent="0.35">
      <c r="A2566" s="1" t="s">
        <v>122</v>
      </c>
      <c r="B2566" s="1">
        <v>202604</v>
      </c>
      <c r="C2566" s="1" t="str">
        <f>MID(analisis_productividad__4[[#This Row],[Periodo]],1,4)</f>
        <v>2026</v>
      </c>
      <c r="D2566" s="1" t="str">
        <f>MID(analisis_productividad__4[[#This Row],[Periodo]],5,2)</f>
        <v>04</v>
      </c>
      <c r="E2566" s="1" t="s">
        <v>104</v>
      </c>
      <c r="F2566" s="1" t="s">
        <v>104</v>
      </c>
      <c r="G2566" s="1">
        <v>63999</v>
      </c>
      <c r="H2566" s="1">
        <v>1956145</v>
      </c>
      <c r="I2566" s="1">
        <v>30.565256944444499</v>
      </c>
      <c r="J2566" s="1">
        <v>25243.854937565051</v>
      </c>
      <c r="K2566" s="1">
        <v>22</v>
      </c>
      <c r="L2566" s="1">
        <v>20</v>
      </c>
      <c r="M2566" s="1">
        <v>96.1</v>
      </c>
      <c r="N2566" s="1">
        <v>2425934</v>
      </c>
    </row>
    <row r="2567" spans="1:14" x14ac:dyDescent="0.35">
      <c r="A2567" s="1" t="s">
        <v>114</v>
      </c>
      <c r="B2567" s="1">
        <v>202407</v>
      </c>
      <c r="C2567" s="1" t="str">
        <f>MID(analisis_productividad__4[[#This Row],[Periodo]],1,4)</f>
        <v>2024</v>
      </c>
      <c r="D2567" s="1" t="str">
        <f>MID(analisis_productividad__4[[#This Row],[Periodo]],5,2)</f>
        <v>07</v>
      </c>
      <c r="E2567" s="1" t="s">
        <v>9</v>
      </c>
      <c r="F2567" s="1" t="s">
        <v>9</v>
      </c>
      <c r="G2567" s="1">
        <v>63991</v>
      </c>
      <c r="H2567" s="1">
        <v>873658</v>
      </c>
      <c r="I2567" s="1">
        <v>13.652916666666671</v>
      </c>
      <c r="J2567" s="1">
        <v>0</v>
      </c>
      <c r="K2567" s="1">
        <v>13.5</v>
      </c>
      <c r="L2567" s="1">
        <v>14.5</v>
      </c>
      <c r="M2567" s="1"/>
      <c r="N2567" s="1">
        <v>0</v>
      </c>
    </row>
    <row r="2568" spans="1:14" x14ac:dyDescent="0.35">
      <c r="A2568" s="1" t="s">
        <v>124</v>
      </c>
      <c r="B2568" s="1">
        <v>202405</v>
      </c>
      <c r="C2568" s="1" t="str">
        <f>MID(analisis_productividad__4[[#This Row],[Periodo]],1,4)</f>
        <v>2024</v>
      </c>
      <c r="D2568" s="1" t="str">
        <f>MID(analisis_productividad__4[[#This Row],[Periodo]],5,2)</f>
        <v>05</v>
      </c>
      <c r="E2568" s="1" t="s">
        <v>9</v>
      </c>
      <c r="F2568" s="1" t="s">
        <v>9</v>
      </c>
      <c r="G2568" s="1">
        <v>63987</v>
      </c>
      <c r="H2568" s="1">
        <v>593198</v>
      </c>
      <c r="I2568" s="1">
        <v>9.2705779569892499</v>
      </c>
      <c r="J2568" s="1">
        <v>0</v>
      </c>
      <c r="K2568" s="1">
        <v>11</v>
      </c>
      <c r="L2568" s="1">
        <v>12</v>
      </c>
      <c r="M2568" s="1"/>
      <c r="N2568" s="1">
        <v>0</v>
      </c>
    </row>
    <row r="2569" spans="1:14" x14ac:dyDescent="0.35">
      <c r="A2569" s="1" t="s">
        <v>114</v>
      </c>
      <c r="B2569" s="1">
        <v>202412</v>
      </c>
      <c r="C2569" s="1" t="str">
        <f>MID(analisis_productividad__4[[#This Row],[Periodo]],1,4)</f>
        <v>2024</v>
      </c>
      <c r="D2569" s="1" t="str">
        <f>MID(analisis_productividad__4[[#This Row],[Periodo]],5,2)</f>
        <v>12</v>
      </c>
      <c r="E2569" s="1" t="s">
        <v>9</v>
      </c>
      <c r="F2569" s="1" t="s">
        <v>9</v>
      </c>
      <c r="G2569" s="1">
        <v>63976</v>
      </c>
      <c r="H2569" s="1">
        <v>893654</v>
      </c>
      <c r="I2569" s="1">
        <v>13.968669354838713</v>
      </c>
      <c r="J2569" s="1">
        <v>0</v>
      </c>
      <c r="K2569" s="1">
        <v>13.5</v>
      </c>
      <c r="L2569" s="1">
        <v>14.5</v>
      </c>
      <c r="M2569" s="1"/>
      <c r="N2569" s="1">
        <v>0</v>
      </c>
    </row>
    <row r="2570" spans="1:14" x14ac:dyDescent="0.35">
      <c r="A2570" s="1" t="s">
        <v>103</v>
      </c>
      <c r="B2570" s="1">
        <v>202510</v>
      </c>
      <c r="C2570" s="1" t="str">
        <f>MID(analisis_productividad__4[[#This Row],[Periodo]],1,4)</f>
        <v>2025</v>
      </c>
      <c r="D2570" s="1" t="str">
        <f>MID(analisis_productividad__4[[#This Row],[Periodo]],5,2)</f>
        <v>10</v>
      </c>
      <c r="E2570" s="1" t="s">
        <v>104</v>
      </c>
      <c r="F2570" s="1" t="s">
        <v>104</v>
      </c>
      <c r="G2570" s="1">
        <v>63965</v>
      </c>
      <c r="H2570" s="1">
        <v>5316395</v>
      </c>
      <c r="I2570" s="1">
        <v>83.114650537634418</v>
      </c>
      <c r="J2570" s="1">
        <v>70012.918882567392</v>
      </c>
      <c r="K2570" s="1">
        <v>94</v>
      </c>
      <c r="L2570" s="1">
        <v>77.5</v>
      </c>
      <c r="M2570" s="1">
        <v>75.934484732984558</v>
      </c>
      <c r="N2570" s="1">
        <v>5484296</v>
      </c>
    </row>
    <row r="2571" spans="1:14" x14ac:dyDescent="0.35">
      <c r="A2571" s="1" t="s">
        <v>116</v>
      </c>
      <c r="B2571" s="1">
        <v>202503</v>
      </c>
      <c r="C2571" s="1" t="str">
        <f>MID(analisis_productividad__4[[#This Row],[Periodo]],1,4)</f>
        <v>2025</v>
      </c>
      <c r="D2571" s="1" t="str">
        <f>MID(analisis_productividad__4[[#This Row],[Periodo]],5,2)</f>
        <v>03</v>
      </c>
      <c r="E2571" s="1" t="s">
        <v>9</v>
      </c>
      <c r="F2571" s="1" t="s">
        <v>9</v>
      </c>
      <c r="G2571" s="1">
        <v>63958</v>
      </c>
      <c r="H2571" s="1">
        <v>705803</v>
      </c>
      <c r="I2571" s="1">
        <v>11.035443548387098</v>
      </c>
      <c r="J2571" s="1">
        <v>71553.465779395643</v>
      </c>
      <c r="K2571" s="1">
        <v>11.5</v>
      </c>
      <c r="L2571" s="1">
        <v>10</v>
      </c>
      <c r="M2571" s="1">
        <v>9.8639955774614805</v>
      </c>
      <c r="N2571" s="1">
        <v>775198</v>
      </c>
    </row>
    <row r="2572" spans="1:14" x14ac:dyDescent="0.35">
      <c r="A2572" s="1" t="s">
        <v>92</v>
      </c>
      <c r="B2572" s="1">
        <v>202402</v>
      </c>
      <c r="C2572" s="1" t="str">
        <f>MID(analisis_productividad__4[[#This Row],[Periodo]],1,4)</f>
        <v>2024</v>
      </c>
      <c r="D2572" s="1" t="str">
        <f>MID(analisis_productividad__4[[#This Row],[Periodo]],5,2)</f>
        <v>02</v>
      </c>
      <c r="E2572" s="1" t="s">
        <v>11</v>
      </c>
      <c r="F2572" s="1" t="s">
        <v>14</v>
      </c>
      <c r="G2572" s="1">
        <v>63939</v>
      </c>
      <c r="H2572" s="1">
        <v>3678518</v>
      </c>
      <c r="I2572" s="1">
        <v>57.531803160919551</v>
      </c>
      <c r="J2572" s="1">
        <v>0</v>
      </c>
      <c r="K2572" s="1">
        <v>63</v>
      </c>
      <c r="L2572" s="1">
        <v>59</v>
      </c>
      <c r="M2572" s="1"/>
      <c r="N2572" s="1">
        <v>0</v>
      </c>
    </row>
    <row r="2573" spans="1:14" x14ac:dyDescent="0.35">
      <c r="A2573" s="1" t="s">
        <v>93</v>
      </c>
      <c r="B2573" s="1">
        <v>202602</v>
      </c>
      <c r="C2573" s="1" t="str">
        <f>MID(analisis_productividad__4[[#This Row],[Periodo]],1,4)</f>
        <v>2026</v>
      </c>
      <c r="D2573" s="1" t="str">
        <f>MID(analisis_productividad__4[[#This Row],[Periodo]],5,2)</f>
        <v>02</v>
      </c>
      <c r="E2573" s="1" t="s">
        <v>16</v>
      </c>
      <c r="F2573" s="1" t="s">
        <v>17</v>
      </c>
      <c r="G2573" s="1">
        <v>63928</v>
      </c>
      <c r="H2573" s="1">
        <v>5620898</v>
      </c>
      <c r="I2573" s="1">
        <v>87.925416666666663</v>
      </c>
      <c r="J2573" s="1">
        <v>88558.527017857152</v>
      </c>
      <c r="K2573" s="1">
        <v>84</v>
      </c>
      <c r="L2573" s="1">
        <v>76</v>
      </c>
      <c r="M2573" s="1">
        <v>84</v>
      </c>
      <c r="N2573" s="1">
        <v>7438916</v>
      </c>
    </row>
    <row r="2574" spans="1:14" x14ac:dyDescent="0.35">
      <c r="A2574" s="1" t="s">
        <v>71</v>
      </c>
      <c r="B2574" s="1">
        <v>202404</v>
      </c>
      <c r="C2574" s="1" t="str">
        <f>MID(analisis_productividad__4[[#This Row],[Periodo]],1,4)</f>
        <v>2024</v>
      </c>
      <c r="D2574" s="1" t="str">
        <f>MID(analisis_productividad__4[[#This Row],[Periodo]],5,2)</f>
        <v>04</v>
      </c>
      <c r="E2574" s="1" t="s">
        <v>16</v>
      </c>
      <c r="F2574" s="1" t="s">
        <v>19</v>
      </c>
      <c r="G2574" s="1">
        <v>63907</v>
      </c>
      <c r="H2574" s="1">
        <v>2127137</v>
      </c>
      <c r="I2574" s="1">
        <v>33.285097222222227</v>
      </c>
      <c r="J2574" s="1">
        <v>0</v>
      </c>
      <c r="K2574" s="1">
        <v>41.5</v>
      </c>
      <c r="L2574" s="1">
        <v>35.5</v>
      </c>
      <c r="M2574" s="1"/>
      <c r="N2574" s="1">
        <v>0</v>
      </c>
    </row>
    <row r="2575" spans="1:14" x14ac:dyDescent="0.35">
      <c r="A2575" s="1" t="s">
        <v>103</v>
      </c>
      <c r="B2575" s="1">
        <v>202411</v>
      </c>
      <c r="C2575" s="1" t="str">
        <f>MID(analisis_productividad__4[[#This Row],[Periodo]],1,4)</f>
        <v>2024</v>
      </c>
      <c r="D2575" s="1" t="str">
        <f>MID(analisis_productividad__4[[#This Row],[Periodo]],5,2)</f>
        <v>11</v>
      </c>
      <c r="E2575" s="1" t="s">
        <v>104</v>
      </c>
      <c r="F2575" s="1" t="s">
        <v>104</v>
      </c>
      <c r="G2575" s="1">
        <v>63904</v>
      </c>
      <c r="H2575" s="1">
        <v>5243032</v>
      </c>
      <c r="I2575" s="1">
        <v>82.045930555555572</v>
      </c>
      <c r="J2575" s="1">
        <v>0</v>
      </c>
      <c r="K2575" s="1">
        <v>94</v>
      </c>
      <c r="L2575" s="1">
        <v>77.5</v>
      </c>
      <c r="M2575" s="1"/>
      <c r="N2575" s="1">
        <v>0</v>
      </c>
    </row>
    <row r="2576" spans="1:14" x14ac:dyDescent="0.35">
      <c r="A2576" s="1" t="s">
        <v>89</v>
      </c>
      <c r="B2576" s="1">
        <v>202409</v>
      </c>
      <c r="C2576" s="1" t="str">
        <f>MID(analisis_productividad__4[[#This Row],[Periodo]],1,4)</f>
        <v>2024</v>
      </c>
      <c r="D2576" s="1" t="str">
        <f>MID(analisis_productividad__4[[#This Row],[Periodo]],5,2)</f>
        <v>09</v>
      </c>
      <c r="E2576" s="1" t="s">
        <v>9</v>
      </c>
      <c r="F2576" s="1" t="s">
        <v>9</v>
      </c>
      <c r="G2576" s="1">
        <v>63895</v>
      </c>
      <c r="H2576" s="1">
        <v>1019846</v>
      </c>
      <c r="I2576" s="1">
        <v>15.961263888888896</v>
      </c>
      <c r="J2576" s="1">
        <v>0</v>
      </c>
      <c r="K2576" s="1">
        <v>17</v>
      </c>
      <c r="L2576" s="1">
        <v>13.5</v>
      </c>
      <c r="M2576" s="1"/>
      <c r="N2576" s="1">
        <v>0</v>
      </c>
    </row>
    <row r="2577" spans="1:14" x14ac:dyDescent="0.35">
      <c r="A2577" s="1" t="s">
        <v>92</v>
      </c>
      <c r="B2577" s="1">
        <v>202509</v>
      </c>
      <c r="C2577" s="1" t="str">
        <f>MID(analisis_productividad__4[[#This Row],[Periodo]],1,4)</f>
        <v>2025</v>
      </c>
      <c r="D2577" s="1" t="str">
        <f>MID(analisis_productividad__4[[#This Row],[Periodo]],5,2)</f>
        <v>09</v>
      </c>
      <c r="E2577" s="1" t="s">
        <v>11</v>
      </c>
      <c r="F2577" s="1" t="s">
        <v>14</v>
      </c>
      <c r="G2577" s="1">
        <v>63870</v>
      </c>
      <c r="H2577" s="1">
        <v>3182482</v>
      </c>
      <c r="I2577" s="1">
        <v>49.827118055555566</v>
      </c>
      <c r="J2577" s="1">
        <v>64266.180040301937</v>
      </c>
      <c r="K2577" s="1">
        <v>63</v>
      </c>
      <c r="L2577" s="1">
        <v>59</v>
      </c>
      <c r="M2577" s="1">
        <v>49.520329635342193</v>
      </c>
      <c r="N2577" s="1">
        <v>3789743</v>
      </c>
    </row>
    <row r="2578" spans="1:14" x14ac:dyDescent="0.35">
      <c r="A2578" s="1" t="s">
        <v>115</v>
      </c>
      <c r="B2578" s="1">
        <v>202503</v>
      </c>
      <c r="C2578" s="1" t="str">
        <f>MID(analisis_productividad__4[[#This Row],[Periodo]],1,4)</f>
        <v>2025</v>
      </c>
      <c r="D2578" s="1" t="str">
        <f>MID(analisis_productividad__4[[#This Row],[Periodo]],5,2)</f>
        <v>03</v>
      </c>
      <c r="E2578" s="1" t="s">
        <v>34</v>
      </c>
      <c r="F2578" s="1" t="s">
        <v>35</v>
      </c>
      <c r="G2578" s="1">
        <v>63848</v>
      </c>
      <c r="H2578" s="1">
        <v>3240910</v>
      </c>
      <c r="I2578" s="1">
        <v>50.759973118279582</v>
      </c>
      <c r="J2578" s="1">
        <v>64399.81744685414</v>
      </c>
      <c r="K2578" s="1">
        <v>53.5</v>
      </c>
      <c r="L2578" s="1">
        <v>51</v>
      </c>
      <c r="M2578" s="1">
        <v>50.324837375114569</v>
      </c>
      <c r="N2578" s="1">
        <v>3239805</v>
      </c>
    </row>
    <row r="2579" spans="1:14" x14ac:dyDescent="0.35">
      <c r="A2579" s="1" t="s">
        <v>58</v>
      </c>
      <c r="B2579" s="1">
        <v>202501</v>
      </c>
      <c r="C2579" s="1" t="str">
        <f>MID(analisis_productividad__4[[#This Row],[Periodo]],1,4)</f>
        <v>2025</v>
      </c>
      <c r="D2579" s="1" t="str">
        <f>MID(analisis_productividad__4[[#This Row],[Periodo]],5,2)</f>
        <v>01</v>
      </c>
      <c r="E2579" s="1" t="s">
        <v>34</v>
      </c>
      <c r="F2579" s="1" t="s">
        <v>35</v>
      </c>
      <c r="G2579" s="1">
        <v>63836</v>
      </c>
      <c r="H2579" s="1">
        <v>2895922</v>
      </c>
      <c r="I2579" s="1">
        <v>45.364751344086031</v>
      </c>
      <c r="J2579" s="1">
        <v>73879.160644000556</v>
      </c>
      <c r="K2579" s="1">
        <v>53.5</v>
      </c>
      <c r="L2579" s="1">
        <v>52</v>
      </c>
      <c r="M2579" s="1">
        <v>39.198087860722971</v>
      </c>
      <c r="N2579" s="1">
        <v>3098967</v>
      </c>
    </row>
    <row r="2580" spans="1:14" x14ac:dyDescent="0.35">
      <c r="A2580" s="1" t="s">
        <v>82</v>
      </c>
      <c r="B2580" s="1">
        <v>202402</v>
      </c>
      <c r="C2580" s="1" t="str">
        <f>MID(analisis_productividad__4[[#This Row],[Periodo]],1,4)</f>
        <v>2024</v>
      </c>
      <c r="D2580" s="1" t="str">
        <f>MID(analisis_productividad__4[[#This Row],[Periodo]],5,2)</f>
        <v>02</v>
      </c>
      <c r="E2580" s="1" t="s">
        <v>11</v>
      </c>
      <c r="F2580" s="1" t="s">
        <v>12</v>
      </c>
      <c r="G2580" s="1">
        <v>63806</v>
      </c>
      <c r="H2580" s="1">
        <v>3567587</v>
      </c>
      <c r="I2580" s="1">
        <v>55.912852011494238</v>
      </c>
      <c r="J2580" s="1">
        <v>0</v>
      </c>
      <c r="K2580" s="1">
        <v>53.5</v>
      </c>
      <c r="L2580" s="1">
        <v>54</v>
      </c>
      <c r="M2580" s="1"/>
      <c r="N2580" s="1">
        <v>0</v>
      </c>
    </row>
    <row r="2581" spans="1:14" x14ac:dyDescent="0.35">
      <c r="A2581" s="1" t="s">
        <v>110</v>
      </c>
      <c r="B2581" s="1">
        <v>202508</v>
      </c>
      <c r="C2581" s="1" t="str">
        <f>MID(analisis_productividad__4[[#This Row],[Periodo]],1,4)</f>
        <v>2025</v>
      </c>
      <c r="D2581" s="1" t="str">
        <f>MID(analisis_productividad__4[[#This Row],[Periodo]],5,2)</f>
        <v>08</v>
      </c>
      <c r="E2581" s="1" t="s">
        <v>34</v>
      </c>
      <c r="F2581" s="1" t="s">
        <v>35</v>
      </c>
      <c r="G2581" s="1">
        <v>63787</v>
      </c>
      <c r="H2581" s="1">
        <v>2150736</v>
      </c>
      <c r="I2581" s="1">
        <v>33.717654569892474</v>
      </c>
      <c r="J2581" s="1">
        <v>69624.759653340792</v>
      </c>
      <c r="K2581" s="1">
        <v>41.5</v>
      </c>
      <c r="L2581" s="1">
        <v>43</v>
      </c>
      <c r="M2581" s="1">
        <v>30.890393887295833</v>
      </c>
      <c r="N2581" s="1">
        <v>2382280</v>
      </c>
    </row>
    <row r="2582" spans="1:14" x14ac:dyDescent="0.35">
      <c r="A2582" s="1" t="s">
        <v>99</v>
      </c>
      <c r="B2582" s="1">
        <v>202511</v>
      </c>
      <c r="C2582" s="1" t="str">
        <f>MID(analisis_productividad__4[[#This Row],[Periodo]],1,4)</f>
        <v>2025</v>
      </c>
      <c r="D2582" s="1" t="str">
        <f>MID(analisis_productividad__4[[#This Row],[Periodo]],5,2)</f>
        <v>11</v>
      </c>
      <c r="E2582" s="1" t="s">
        <v>11</v>
      </c>
      <c r="F2582" s="1" t="s">
        <v>12</v>
      </c>
      <c r="G2582" s="1">
        <v>63774</v>
      </c>
      <c r="H2582" s="1">
        <v>1440427</v>
      </c>
      <c r="I2582" s="1">
        <v>22.58647222222222</v>
      </c>
      <c r="J2582" s="1">
        <v>54175.419795783622</v>
      </c>
      <c r="K2582" s="1">
        <v>27</v>
      </c>
      <c r="L2582" s="1">
        <v>27</v>
      </c>
      <c r="M2582" s="1">
        <v>26.588195632442631</v>
      </c>
      <c r="N2582" s="1">
        <v>1361378</v>
      </c>
    </row>
    <row r="2583" spans="1:14" x14ac:dyDescent="0.35">
      <c r="A2583" s="1" t="s">
        <v>110</v>
      </c>
      <c r="B2583" s="1">
        <v>202510</v>
      </c>
      <c r="C2583" s="1" t="str">
        <f>MID(analisis_productividad__4[[#This Row],[Periodo]],1,4)</f>
        <v>2025</v>
      </c>
      <c r="D2583" s="1" t="str">
        <f>MID(analisis_productividad__4[[#This Row],[Periodo]],5,2)</f>
        <v>10</v>
      </c>
      <c r="E2583" s="1" t="s">
        <v>34</v>
      </c>
      <c r="F2583" s="1" t="s">
        <v>35</v>
      </c>
      <c r="G2583" s="1">
        <v>63766</v>
      </c>
      <c r="H2583" s="1">
        <v>2129290</v>
      </c>
      <c r="I2583" s="1">
        <v>33.392163978494622</v>
      </c>
      <c r="J2583" s="1">
        <v>69411.888713846289</v>
      </c>
      <c r="K2583" s="1">
        <v>41.5</v>
      </c>
      <c r="L2583" s="1">
        <v>43</v>
      </c>
      <c r="M2583" s="1">
        <v>30.676150432645542</v>
      </c>
      <c r="N2583" s="1">
        <v>2452035</v>
      </c>
    </row>
    <row r="2584" spans="1:14" x14ac:dyDescent="0.35">
      <c r="A2584" s="1" t="s">
        <v>103</v>
      </c>
      <c r="B2584" s="1">
        <v>202507</v>
      </c>
      <c r="C2584" s="1" t="str">
        <f>MID(analisis_productividad__4[[#This Row],[Periodo]],1,4)</f>
        <v>2025</v>
      </c>
      <c r="D2584" s="1" t="str">
        <f>MID(analisis_productividad__4[[#This Row],[Periodo]],5,2)</f>
        <v>07</v>
      </c>
      <c r="E2584" s="1" t="s">
        <v>104</v>
      </c>
      <c r="F2584" s="1" t="s">
        <v>104</v>
      </c>
      <c r="G2584" s="1">
        <v>63700</v>
      </c>
      <c r="H2584" s="1">
        <v>5226859</v>
      </c>
      <c r="I2584" s="1">
        <v>82.054677419354846</v>
      </c>
      <c r="J2584" s="1">
        <v>67455.640041651131</v>
      </c>
      <c r="K2584" s="1">
        <v>94</v>
      </c>
      <c r="L2584" s="1">
        <v>77.5</v>
      </c>
      <c r="M2584" s="1">
        <v>77.485866663967997</v>
      </c>
      <c r="N2584" s="1">
        <v>5538448</v>
      </c>
    </row>
    <row r="2585" spans="1:14" x14ac:dyDescent="0.35">
      <c r="A2585" s="1" t="s">
        <v>117</v>
      </c>
      <c r="B2585" s="1">
        <v>202606</v>
      </c>
      <c r="C2585" s="1" t="str">
        <f>MID(analisis_productividad__4[[#This Row],[Periodo]],1,4)</f>
        <v>2026</v>
      </c>
      <c r="D2585" s="1" t="str">
        <f>MID(analisis_productividad__4[[#This Row],[Periodo]],5,2)</f>
        <v>06</v>
      </c>
      <c r="E2585" s="1" t="s">
        <v>104</v>
      </c>
      <c r="F2585" s="1" t="s">
        <v>104</v>
      </c>
      <c r="G2585" s="1">
        <v>63681</v>
      </c>
      <c r="H2585" s="1">
        <v>3653879</v>
      </c>
      <c r="I2585" s="1">
        <v>57.377590277777635</v>
      </c>
      <c r="J2585" s="1">
        <v>60624.927309099548</v>
      </c>
      <c r="K2585" s="1">
        <v>66</v>
      </c>
      <c r="L2585" s="1">
        <v>65.5</v>
      </c>
      <c r="M2585" s="1">
        <v>58.116081161406527</v>
      </c>
      <c r="N2585" s="1">
        <v>3523283</v>
      </c>
    </row>
    <row r="2586" spans="1:14" x14ac:dyDescent="0.35">
      <c r="A2586" s="1" t="s">
        <v>102</v>
      </c>
      <c r="B2586" s="1">
        <v>202408</v>
      </c>
      <c r="C2586" s="1" t="str">
        <f>MID(analisis_productividad__4[[#This Row],[Periodo]],1,4)</f>
        <v>2024</v>
      </c>
      <c r="D2586" s="1" t="str">
        <f>MID(analisis_productividad__4[[#This Row],[Periodo]],5,2)</f>
        <v>08</v>
      </c>
      <c r="E2586" s="1" t="s">
        <v>11</v>
      </c>
      <c r="F2586" s="1" t="s">
        <v>12</v>
      </c>
      <c r="G2586" s="1">
        <v>63681</v>
      </c>
      <c r="H2586" s="1">
        <v>1761197</v>
      </c>
      <c r="I2586" s="1">
        <v>27.656633064516132</v>
      </c>
      <c r="J2586" s="1">
        <v>0</v>
      </c>
      <c r="K2586" s="1">
        <v>34</v>
      </c>
      <c r="L2586" s="1">
        <v>34</v>
      </c>
      <c r="M2586" s="1"/>
      <c r="N2586" s="1">
        <v>0</v>
      </c>
    </row>
    <row r="2587" spans="1:14" x14ac:dyDescent="0.35">
      <c r="A2587" s="1" t="s">
        <v>108</v>
      </c>
      <c r="B2587" s="1">
        <v>202505</v>
      </c>
      <c r="C2587" s="1" t="str">
        <f>MID(analisis_productividad__4[[#This Row],[Periodo]],1,4)</f>
        <v>2025</v>
      </c>
      <c r="D2587" s="1" t="str">
        <f>MID(analisis_productividad__4[[#This Row],[Periodo]],5,2)</f>
        <v>05</v>
      </c>
      <c r="E2587" s="1" t="s">
        <v>11</v>
      </c>
      <c r="F2587" s="1" t="s">
        <v>14</v>
      </c>
      <c r="G2587" s="1">
        <v>63669</v>
      </c>
      <c r="H2587" s="1">
        <v>2816787</v>
      </c>
      <c r="I2587" s="1">
        <v>44.241034946236553</v>
      </c>
      <c r="J2587" s="1">
        <v>55524.793911842309</v>
      </c>
      <c r="K2587" s="1">
        <v>47.5</v>
      </c>
      <c r="L2587" s="1">
        <v>43</v>
      </c>
      <c r="M2587" s="1">
        <v>50.730247004108868</v>
      </c>
      <c r="N2587" s="1">
        <v>2899612</v>
      </c>
    </row>
    <row r="2588" spans="1:14" x14ac:dyDescent="0.35">
      <c r="A2588" s="1" t="s">
        <v>26</v>
      </c>
      <c r="B2588" s="1">
        <v>202401</v>
      </c>
      <c r="C2588" s="1" t="str">
        <f>MID(analisis_productividad__4[[#This Row],[Periodo]],1,4)</f>
        <v>2024</v>
      </c>
      <c r="D2588" s="1" t="str">
        <f>MID(analisis_productividad__4[[#This Row],[Periodo]],5,2)</f>
        <v>01</v>
      </c>
      <c r="E2588" s="1" t="s">
        <v>11</v>
      </c>
      <c r="F2588" s="1" t="s">
        <v>12</v>
      </c>
      <c r="G2588" s="1">
        <v>63660</v>
      </c>
      <c r="H2588" s="1">
        <v>4339531</v>
      </c>
      <c r="I2588" s="1">
        <v>68.167345430107488</v>
      </c>
      <c r="J2588" s="1">
        <v>0</v>
      </c>
      <c r="K2588" s="1">
        <v>65.5</v>
      </c>
      <c r="L2588" s="1">
        <v>63</v>
      </c>
      <c r="M2588" s="1"/>
      <c r="N2588" s="1">
        <v>0</v>
      </c>
    </row>
    <row r="2589" spans="1:14" x14ac:dyDescent="0.35">
      <c r="A2589" s="1" t="s">
        <v>108</v>
      </c>
      <c r="B2589" s="1">
        <v>202602</v>
      </c>
      <c r="C2589" s="1" t="str">
        <f>MID(analisis_productividad__4[[#This Row],[Periodo]],1,4)</f>
        <v>2026</v>
      </c>
      <c r="D2589" s="1" t="str">
        <f>MID(analisis_productividad__4[[#This Row],[Periodo]],5,2)</f>
        <v>02</v>
      </c>
      <c r="E2589" s="1" t="s">
        <v>11</v>
      </c>
      <c r="F2589" s="1" t="s">
        <v>14</v>
      </c>
      <c r="G2589" s="1">
        <v>63654</v>
      </c>
      <c r="H2589" s="1">
        <v>2741659</v>
      </c>
      <c r="I2589" s="1">
        <v>43.071093749999989</v>
      </c>
      <c r="J2589" s="1">
        <v>69461.279653506033</v>
      </c>
      <c r="K2589" s="1">
        <v>47.5</v>
      </c>
      <c r="L2589" s="1">
        <v>43</v>
      </c>
      <c r="M2589" s="1">
        <v>41.487905995618128</v>
      </c>
      <c r="N2589" s="1">
        <v>2881803</v>
      </c>
    </row>
    <row r="2590" spans="1:14" x14ac:dyDescent="0.35">
      <c r="A2590" s="1" t="s">
        <v>103</v>
      </c>
      <c r="B2590" s="1">
        <v>202409</v>
      </c>
      <c r="C2590" s="1" t="str">
        <f>MID(analisis_productividad__4[[#This Row],[Periodo]],1,4)</f>
        <v>2024</v>
      </c>
      <c r="D2590" s="1" t="str">
        <f>MID(analisis_productividad__4[[#This Row],[Periodo]],5,2)</f>
        <v>09</v>
      </c>
      <c r="E2590" s="1" t="s">
        <v>104</v>
      </c>
      <c r="F2590" s="1" t="s">
        <v>104</v>
      </c>
      <c r="G2590" s="1">
        <v>63647</v>
      </c>
      <c r="H2590" s="1">
        <v>5146841</v>
      </c>
      <c r="I2590" s="1">
        <v>80.865263888888933</v>
      </c>
      <c r="J2590" s="1">
        <v>0</v>
      </c>
      <c r="K2590" s="1">
        <v>94</v>
      </c>
      <c r="L2590" s="1">
        <v>77.5</v>
      </c>
      <c r="M2590" s="1"/>
      <c r="N2590" s="1">
        <v>0</v>
      </c>
    </row>
    <row r="2591" spans="1:14" x14ac:dyDescent="0.35">
      <c r="A2591" s="1" t="s">
        <v>114</v>
      </c>
      <c r="B2591" s="1">
        <v>202404</v>
      </c>
      <c r="C2591" s="1" t="str">
        <f>MID(analisis_productividad__4[[#This Row],[Periodo]],1,4)</f>
        <v>2024</v>
      </c>
      <c r="D2591" s="1" t="str">
        <f>MID(analisis_productividad__4[[#This Row],[Periodo]],5,2)</f>
        <v>04</v>
      </c>
      <c r="E2591" s="1" t="s">
        <v>9</v>
      </c>
      <c r="F2591" s="1" t="s">
        <v>9</v>
      </c>
      <c r="G2591" s="1">
        <v>63627</v>
      </c>
      <c r="H2591" s="1">
        <v>930156</v>
      </c>
      <c r="I2591" s="1">
        <v>14.618770833333338</v>
      </c>
      <c r="J2591" s="1">
        <v>0</v>
      </c>
      <c r="K2591" s="1">
        <v>13.5</v>
      </c>
      <c r="L2591" s="1">
        <v>14.5</v>
      </c>
      <c r="M2591" s="1"/>
      <c r="N2591" s="1">
        <v>0</v>
      </c>
    </row>
    <row r="2592" spans="1:14" x14ac:dyDescent="0.35">
      <c r="A2592" s="1" t="s">
        <v>85</v>
      </c>
      <c r="B2592" s="1">
        <v>202510</v>
      </c>
      <c r="C2592" s="1" t="str">
        <f>MID(analisis_productividad__4[[#This Row],[Periodo]],1,4)</f>
        <v>2025</v>
      </c>
      <c r="D2592" s="1" t="str">
        <f>MID(analisis_productividad__4[[#This Row],[Periodo]],5,2)</f>
        <v>10</v>
      </c>
      <c r="E2592" s="1" t="s">
        <v>11</v>
      </c>
      <c r="F2592" s="1" t="s">
        <v>14</v>
      </c>
      <c r="G2592" s="1">
        <v>63586</v>
      </c>
      <c r="H2592" s="1">
        <v>3319560</v>
      </c>
      <c r="I2592" s="1">
        <v>52.206028225806463</v>
      </c>
      <c r="J2592" s="1">
        <v>72152.418642295059</v>
      </c>
      <c r="K2592" s="1">
        <v>60.5</v>
      </c>
      <c r="L2592" s="1">
        <v>57.5</v>
      </c>
      <c r="M2592" s="1">
        <v>46.007610589703845</v>
      </c>
      <c r="N2592" s="1">
        <v>3761453</v>
      </c>
    </row>
    <row r="2593" spans="1:14" x14ac:dyDescent="0.35">
      <c r="A2593" s="1" t="s">
        <v>123</v>
      </c>
      <c r="B2593" s="1">
        <v>202411</v>
      </c>
      <c r="C2593" s="1" t="str">
        <f>MID(analisis_productividad__4[[#This Row],[Periodo]],1,4)</f>
        <v>2024</v>
      </c>
      <c r="D2593" s="1" t="str">
        <f>MID(analisis_productividad__4[[#This Row],[Periodo]],5,2)</f>
        <v>11</v>
      </c>
      <c r="E2593" s="1" t="s">
        <v>9</v>
      </c>
      <c r="F2593" s="1" t="s">
        <v>9</v>
      </c>
      <c r="G2593" s="1">
        <v>63580</v>
      </c>
      <c r="H2593" s="1">
        <v>552421</v>
      </c>
      <c r="I2593" s="1">
        <v>8.6885555555555563</v>
      </c>
      <c r="J2593" s="1">
        <v>0</v>
      </c>
      <c r="K2593" s="1">
        <v>11</v>
      </c>
      <c r="L2593" s="1">
        <v>10</v>
      </c>
      <c r="M2593" s="1"/>
      <c r="N2593" s="1">
        <v>0</v>
      </c>
    </row>
    <row r="2594" spans="1:14" x14ac:dyDescent="0.35">
      <c r="A2594" s="1" t="s">
        <v>91</v>
      </c>
      <c r="B2594" s="1">
        <v>202402</v>
      </c>
      <c r="C2594" s="1" t="str">
        <f>MID(analisis_productividad__4[[#This Row],[Periodo]],1,4)</f>
        <v>2024</v>
      </c>
      <c r="D2594" s="1" t="str">
        <f>MID(analisis_productividad__4[[#This Row],[Periodo]],5,2)</f>
        <v>02</v>
      </c>
      <c r="E2594" s="1" t="s">
        <v>11</v>
      </c>
      <c r="F2594" s="1" t="s">
        <v>12</v>
      </c>
      <c r="G2594" s="1">
        <v>63558</v>
      </c>
      <c r="H2594" s="1">
        <v>3486172</v>
      </c>
      <c r="I2594" s="1">
        <v>54.849827586206899</v>
      </c>
      <c r="J2594" s="1">
        <v>0</v>
      </c>
      <c r="K2594" s="1">
        <v>55</v>
      </c>
      <c r="L2594" s="1">
        <v>55.5</v>
      </c>
      <c r="M2594" s="1"/>
      <c r="N2594" s="1">
        <v>0</v>
      </c>
    </row>
    <row r="2595" spans="1:14" x14ac:dyDescent="0.35">
      <c r="A2595" s="1" t="s">
        <v>98</v>
      </c>
      <c r="B2595" s="1">
        <v>202508</v>
      </c>
      <c r="C2595" s="1" t="str">
        <f>MID(analisis_productividad__4[[#This Row],[Periodo]],1,4)</f>
        <v>2025</v>
      </c>
      <c r="D2595" s="1" t="str">
        <f>MID(analisis_productividad__4[[#This Row],[Periodo]],5,2)</f>
        <v>08</v>
      </c>
      <c r="E2595" s="1" t="s">
        <v>11</v>
      </c>
      <c r="F2595" s="1" t="s">
        <v>14</v>
      </c>
      <c r="G2595" s="1">
        <v>63556</v>
      </c>
      <c r="H2595" s="1">
        <v>3491522</v>
      </c>
      <c r="I2595" s="1">
        <v>54.935887096774223</v>
      </c>
      <c r="J2595" s="1">
        <v>73884.374011054475</v>
      </c>
      <c r="K2595" s="1">
        <v>61.5</v>
      </c>
      <c r="L2595" s="1">
        <v>56</v>
      </c>
      <c r="M2595" s="1">
        <v>47.256569832717318</v>
      </c>
      <c r="N2595" s="1">
        <v>3747353</v>
      </c>
    </row>
    <row r="2596" spans="1:14" x14ac:dyDescent="0.35">
      <c r="A2596" s="1" t="s">
        <v>91</v>
      </c>
      <c r="B2596" s="1">
        <v>202506</v>
      </c>
      <c r="C2596" s="1" t="str">
        <f>MID(analisis_productividad__4[[#This Row],[Periodo]],1,4)</f>
        <v>2025</v>
      </c>
      <c r="D2596" s="1" t="str">
        <f>MID(analisis_productividad__4[[#This Row],[Periodo]],5,2)</f>
        <v>06</v>
      </c>
      <c r="E2596" s="1" t="s">
        <v>11</v>
      </c>
      <c r="F2596" s="1" t="s">
        <v>12</v>
      </c>
      <c r="G2596" s="1">
        <v>63551</v>
      </c>
      <c r="H2596" s="1">
        <v>3556361</v>
      </c>
      <c r="I2596" s="1">
        <v>55.960576388888896</v>
      </c>
      <c r="J2596" s="1">
        <v>74883.115075101246</v>
      </c>
      <c r="K2596" s="1">
        <v>55</v>
      </c>
      <c r="L2596" s="1">
        <v>55.5</v>
      </c>
      <c r="M2596" s="1">
        <v>47.492165576088532</v>
      </c>
      <c r="N2596" s="1">
        <v>3764947</v>
      </c>
    </row>
    <row r="2597" spans="1:14" x14ac:dyDescent="0.35">
      <c r="A2597" s="1" t="s">
        <v>107</v>
      </c>
      <c r="B2597" s="1">
        <v>202402</v>
      </c>
      <c r="C2597" s="1" t="str">
        <f>MID(analisis_productividad__4[[#This Row],[Periodo]],1,4)</f>
        <v>2024</v>
      </c>
      <c r="D2597" s="1" t="str">
        <f>MID(analisis_productividad__4[[#This Row],[Periodo]],5,2)</f>
        <v>02</v>
      </c>
      <c r="E2597" s="1" t="s">
        <v>34</v>
      </c>
      <c r="F2597" s="1" t="s">
        <v>35</v>
      </c>
      <c r="G2597" s="1">
        <v>63535</v>
      </c>
      <c r="H2597" s="1">
        <v>4865125</v>
      </c>
      <c r="I2597" s="1">
        <v>76.574518678160928</v>
      </c>
      <c r="J2597" s="1">
        <v>0</v>
      </c>
      <c r="K2597" s="1">
        <v>87</v>
      </c>
      <c r="L2597" s="1">
        <v>77.5</v>
      </c>
      <c r="M2597" s="1"/>
      <c r="N2597" s="1">
        <v>0</v>
      </c>
    </row>
    <row r="2598" spans="1:14" x14ac:dyDescent="0.35">
      <c r="A2598" s="1" t="s">
        <v>119</v>
      </c>
      <c r="B2598" s="1">
        <v>202604</v>
      </c>
      <c r="C2598" s="1" t="str">
        <f>MID(analisis_productividad__4[[#This Row],[Periodo]],1,4)</f>
        <v>2026</v>
      </c>
      <c r="D2598" s="1" t="str">
        <f>MID(analisis_productividad__4[[#This Row],[Periodo]],5,2)</f>
        <v>04</v>
      </c>
      <c r="E2598" s="1" t="s">
        <v>16</v>
      </c>
      <c r="F2598" s="1" t="s">
        <v>21</v>
      </c>
      <c r="G2598" s="1">
        <v>63523</v>
      </c>
      <c r="H2598" s="1">
        <v>2969277</v>
      </c>
      <c r="I2598" s="1">
        <v>46.74361805555521</v>
      </c>
      <c r="J2598" s="1">
        <v>69653.132249833492</v>
      </c>
      <c r="K2598" s="1">
        <v>52.5</v>
      </c>
      <c r="L2598" s="1">
        <v>52.5</v>
      </c>
      <c r="M2598" s="1">
        <v>46.965208254619732</v>
      </c>
      <c r="N2598" s="1">
        <v>3271274</v>
      </c>
    </row>
    <row r="2599" spans="1:14" x14ac:dyDescent="0.35">
      <c r="A2599" s="1" t="s">
        <v>112</v>
      </c>
      <c r="B2599" s="1">
        <v>202409</v>
      </c>
      <c r="C2599" s="1" t="str">
        <f>MID(analisis_productividad__4[[#This Row],[Periodo]],1,4)</f>
        <v>2024</v>
      </c>
      <c r="D2599" s="1" t="str">
        <f>MID(analisis_productividad__4[[#This Row],[Periodo]],5,2)</f>
        <v>09</v>
      </c>
      <c r="E2599" s="1" t="s">
        <v>34</v>
      </c>
      <c r="F2599" s="1" t="s">
        <v>35</v>
      </c>
      <c r="G2599" s="1">
        <v>63519</v>
      </c>
      <c r="H2599" s="1">
        <v>1704533</v>
      </c>
      <c r="I2599" s="1">
        <v>26.834986111111107</v>
      </c>
      <c r="J2599" s="1">
        <v>0</v>
      </c>
      <c r="K2599" s="1">
        <v>31</v>
      </c>
      <c r="L2599" s="1">
        <v>27</v>
      </c>
      <c r="M2599" s="1"/>
      <c r="N2599" s="1">
        <v>0</v>
      </c>
    </row>
    <row r="2600" spans="1:14" x14ac:dyDescent="0.35">
      <c r="A2600" s="1" t="s">
        <v>115</v>
      </c>
      <c r="B2600" s="1">
        <v>202604</v>
      </c>
      <c r="C2600" s="1" t="str">
        <f>MID(analisis_productividad__4[[#This Row],[Periodo]],1,4)</f>
        <v>2026</v>
      </c>
      <c r="D2600" s="1" t="str">
        <f>MID(analisis_productividad__4[[#This Row],[Periodo]],5,2)</f>
        <v>04</v>
      </c>
      <c r="E2600" s="1" t="s">
        <v>34</v>
      </c>
      <c r="F2600" s="1" t="s">
        <v>35</v>
      </c>
      <c r="G2600" s="1">
        <v>63514</v>
      </c>
      <c r="H2600" s="1">
        <v>3036566</v>
      </c>
      <c r="I2600" s="1">
        <v>47.809173611110936</v>
      </c>
      <c r="J2600" s="1">
        <v>66983.48915865623</v>
      </c>
      <c r="K2600" s="1">
        <v>53.5</v>
      </c>
      <c r="L2600" s="1">
        <v>51</v>
      </c>
      <c r="M2600" s="1">
        <v>45.515809558361951</v>
      </c>
      <c r="N2600" s="1">
        <v>3048808</v>
      </c>
    </row>
    <row r="2601" spans="1:14" x14ac:dyDescent="0.35">
      <c r="A2601" s="1" t="s">
        <v>118</v>
      </c>
      <c r="B2601" s="1">
        <v>202605</v>
      </c>
      <c r="C2601" s="1" t="str">
        <f>MID(analisis_productividad__4[[#This Row],[Periodo]],1,4)</f>
        <v>2026</v>
      </c>
      <c r="D2601" s="1" t="str">
        <f>MID(analisis_productividad__4[[#This Row],[Periodo]],5,2)</f>
        <v>05</v>
      </c>
      <c r="E2601" s="1" t="s">
        <v>34</v>
      </c>
      <c r="F2601" s="1" t="s">
        <v>35</v>
      </c>
      <c r="G2601" s="1">
        <v>63508</v>
      </c>
      <c r="H2601" s="1">
        <v>1187393</v>
      </c>
      <c r="I2601" s="1">
        <v>18.696633064516107</v>
      </c>
      <c r="J2601" s="1">
        <v>64065.809258510984</v>
      </c>
      <c r="K2601" s="1">
        <v>19</v>
      </c>
      <c r="L2601" s="1">
        <v>21.5</v>
      </c>
      <c r="M2601" s="1">
        <v>17.464859694273773</v>
      </c>
      <c r="N2601" s="1">
        <v>1118900</v>
      </c>
    </row>
    <row r="2602" spans="1:14" x14ac:dyDescent="0.35">
      <c r="A2602" s="1" t="s">
        <v>119</v>
      </c>
      <c r="B2602" s="1">
        <v>202504</v>
      </c>
      <c r="C2602" s="1" t="str">
        <f>MID(analisis_productividad__4[[#This Row],[Periodo]],1,4)</f>
        <v>2025</v>
      </c>
      <c r="D2602" s="1" t="str">
        <f>MID(analisis_productividad__4[[#This Row],[Periodo]],5,2)</f>
        <v>04</v>
      </c>
      <c r="E2602" s="1" t="s">
        <v>16</v>
      </c>
      <c r="F2602" s="1" t="s">
        <v>21</v>
      </c>
      <c r="G2602" s="1">
        <v>63499</v>
      </c>
      <c r="H2602" s="1">
        <v>3110946</v>
      </c>
      <c r="I2602" s="1">
        <v>48.992368055555559</v>
      </c>
      <c r="J2602" s="1">
        <v>56231.151374622314</v>
      </c>
      <c r="K2602" s="1">
        <v>52.5</v>
      </c>
      <c r="L2602" s="1">
        <v>52.5</v>
      </c>
      <c r="M2602" s="1">
        <v>55.324245617421262</v>
      </c>
      <c r="N2602" s="1">
        <v>3412034</v>
      </c>
    </row>
    <row r="2603" spans="1:14" x14ac:dyDescent="0.35">
      <c r="A2603" s="1" t="s">
        <v>92</v>
      </c>
      <c r="B2603" s="1">
        <v>202505</v>
      </c>
      <c r="C2603" s="1" t="str">
        <f>MID(analisis_productividad__4[[#This Row],[Periodo]],1,4)</f>
        <v>2025</v>
      </c>
      <c r="D2603" s="1" t="str">
        <f>MID(analisis_productividad__4[[#This Row],[Periodo]],5,2)</f>
        <v>05</v>
      </c>
      <c r="E2603" s="1" t="s">
        <v>11</v>
      </c>
      <c r="F2603" s="1" t="s">
        <v>14</v>
      </c>
      <c r="G2603" s="1">
        <v>63470</v>
      </c>
      <c r="H2603" s="1">
        <v>3787342</v>
      </c>
      <c r="I2603" s="1">
        <v>59.671801075268831</v>
      </c>
      <c r="J2603" s="1">
        <v>65573.418562198582</v>
      </c>
      <c r="K2603" s="1">
        <v>63</v>
      </c>
      <c r="L2603" s="1">
        <v>59</v>
      </c>
      <c r="M2603" s="1">
        <v>57.757280816579339</v>
      </c>
      <c r="N2603" s="1">
        <v>3859746</v>
      </c>
    </row>
    <row r="2604" spans="1:14" x14ac:dyDescent="0.35">
      <c r="A2604" s="1" t="s">
        <v>8</v>
      </c>
      <c r="B2604" s="1">
        <v>202409</v>
      </c>
      <c r="C2604" s="1" t="str">
        <f>MID(analisis_productividad__4[[#This Row],[Periodo]],1,4)</f>
        <v>2024</v>
      </c>
      <c r="D2604" s="1" t="str">
        <f>MID(analisis_productividad__4[[#This Row],[Periodo]],5,2)</f>
        <v>09</v>
      </c>
      <c r="E2604" s="1" t="s">
        <v>9</v>
      </c>
      <c r="F2604" s="1" t="s">
        <v>9</v>
      </c>
      <c r="G2604" s="1">
        <v>63468</v>
      </c>
      <c r="H2604" s="1">
        <v>800409</v>
      </c>
      <c r="I2604" s="1">
        <v>12.611229166666666</v>
      </c>
      <c r="J2604" s="1">
        <v>0</v>
      </c>
      <c r="K2604" s="1">
        <v>13.5</v>
      </c>
      <c r="L2604" s="1">
        <v>12.5</v>
      </c>
      <c r="M2604" s="1"/>
      <c r="N2604" s="1">
        <v>0</v>
      </c>
    </row>
    <row r="2605" spans="1:14" x14ac:dyDescent="0.35">
      <c r="A2605" s="1" t="s">
        <v>120</v>
      </c>
      <c r="B2605" s="1">
        <v>202601</v>
      </c>
      <c r="C2605" s="1" t="str">
        <f>MID(analisis_productividad__4[[#This Row],[Periodo]],1,4)</f>
        <v>2026</v>
      </c>
      <c r="D2605" s="1" t="str">
        <f>MID(analisis_productividad__4[[#This Row],[Periodo]],5,2)</f>
        <v>01</v>
      </c>
      <c r="E2605" s="1" t="s">
        <v>9</v>
      </c>
      <c r="F2605" s="1" t="s">
        <v>9</v>
      </c>
      <c r="G2605" s="1">
        <v>63462</v>
      </c>
      <c r="H2605" s="1">
        <v>677601</v>
      </c>
      <c r="I2605" s="1">
        <v>10.677305107526884</v>
      </c>
      <c r="J2605" s="1">
        <v>82633.766737910642</v>
      </c>
      <c r="K2605" s="1">
        <v>11.5</v>
      </c>
      <c r="L2605" s="1">
        <v>12</v>
      </c>
      <c r="M2605" s="1">
        <v>10.04229432420742</v>
      </c>
      <c r="N2605" s="1">
        <v>829833</v>
      </c>
    </row>
    <row r="2606" spans="1:14" x14ac:dyDescent="0.35">
      <c r="A2606" s="1" t="s">
        <v>95</v>
      </c>
      <c r="B2606" s="1">
        <v>202509</v>
      </c>
      <c r="C2606" s="1" t="str">
        <f>MID(analisis_productividad__4[[#This Row],[Periodo]],1,4)</f>
        <v>2025</v>
      </c>
      <c r="D2606" s="1" t="str">
        <f>MID(analisis_productividad__4[[#This Row],[Periodo]],5,2)</f>
        <v>09</v>
      </c>
      <c r="E2606" s="1" t="s">
        <v>9</v>
      </c>
      <c r="F2606" s="1" t="s">
        <v>9</v>
      </c>
      <c r="G2606" s="1">
        <v>63444</v>
      </c>
      <c r="H2606" s="1">
        <v>630922</v>
      </c>
      <c r="I2606" s="1">
        <v>9.9444722222222204</v>
      </c>
      <c r="J2606" s="1">
        <v>72592.024482059351</v>
      </c>
      <c r="K2606" s="1">
        <v>11</v>
      </c>
      <c r="L2606" s="1">
        <v>11</v>
      </c>
      <c r="M2606" s="1">
        <v>8.6913392277126569</v>
      </c>
      <c r="N2606" s="1">
        <v>689080</v>
      </c>
    </row>
    <row r="2607" spans="1:14" x14ac:dyDescent="0.35">
      <c r="A2607" s="1" t="s">
        <v>8</v>
      </c>
      <c r="B2607" s="1">
        <v>202511</v>
      </c>
      <c r="C2607" s="1" t="str">
        <f>MID(analisis_productividad__4[[#This Row],[Periodo]],1,4)</f>
        <v>2025</v>
      </c>
      <c r="D2607" s="1" t="str">
        <f>MID(analisis_productividad__4[[#This Row],[Periodo]],5,2)</f>
        <v>11</v>
      </c>
      <c r="E2607" s="1" t="s">
        <v>9</v>
      </c>
      <c r="F2607" s="1" t="s">
        <v>9</v>
      </c>
      <c r="G2607" s="1">
        <v>63436</v>
      </c>
      <c r="H2607" s="1">
        <v>1010599</v>
      </c>
      <c r="I2607" s="1">
        <v>15.931125</v>
      </c>
      <c r="J2607" s="1">
        <v>60464.265333343064</v>
      </c>
      <c r="K2607" s="1">
        <v>13.5</v>
      </c>
      <c r="L2607" s="1">
        <v>12.5</v>
      </c>
      <c r="M2607" s="1">
        <v>16.713986921506585</v>
      </c>
      <c r="N2607" s="1">
        <v>874242</v>
      </c>
    </row>
    <row r="2608" spans="1:14" x14ac:dyDescent="0.35">
      <c r="A2608" s="1" t="s">
        <v>120</v>
      </c>
      <c r="B2608" s="1">
        <v>202502</v>
      </c>
      <c r="C2608" s="1" t="str">
        <f>MID(analisis_productividad__4[[#This Row],[Periodo]],1,4)</f>
        <v>2025</v>
      </c>
      <c r="D2608" s="1" t="str">
        <f>MID(analisis_productividad__4[[#This Row],[Periodo]],5,2)</f>
        <v>02</v>
      </c>
      <c r="E2608" s="1" t="s">
        <v>9</v>
      </c>
      <c r="F2608" s="1" t="s">
        <v>9</v>
      </c>
      <c r="G2608" s="1">
        <v>63412</v>
      </c>
      <c r="H2608" s="1">
        <v>689677</v>
      </c>
      <c r="I2608" s="1">
        <v>10.876145833333334</v>
      </c>
      <c r="J2608" s="1">
        <v>73170.122950076839</v>
      </c>
      <c r="K2608" s="1">
        <v>11.5</v>
      </c>
      <c r="L2608" s="1">
        <v>12</v>
      </c>
      <c r="M2608" s="1">
        <v>9.4256620351801068</v>
      </c>
      <c r="N2608" s="1">
        <v>757856</v>
      </c>
    </row>
    <row r="2609" spans="1:14" x14ac:dyDescent="0.35">
      <c r="A2609" s="1" t="s">
        <v>113</v>
      </c>
      <c r="B2609" s="1">
        <v>202412</v>
      </c>
      <c r="C2609" s="1" t="str">
        <f>MID(analisis_productividad__4[[#This Row],[Periodo]],1,4)</f>
        <v>2024</v>
      </c>
      <c r="D2609" s="1" t="str">
        <f>MID(analisis_productividad__4[[#This Row],[Periodo]],5,2)</f>
        <v>12</v>
      </c>
      <c r="E2609" s="1" t="s">
        <v>9</v>
      </c>
      <c r="F2609" s="1" t="s">
        <v>9</v>
      </c>
      <c r="G2609" s="1">
        <v>63408</v>
      </c>
      <c r="H2609" s="1">
        <v>712910</v>
      </c>
      <c r="I2609" s="1">
        <v>11.243279569892476</v>
      </c>
      <c r="J2609" s="1">
        <v>0</v>
      </c>
      <c r="K2609" s="1">
        <v>11.5</v>
      </c>
      <c r="L2609" s="1">
        <v>10</v>
      </c>
      <c r="M2609" s="1"/>
      <c r="N2609" s="1">
        <v>0</v>
      </c>
    </row>
    <row r="2610" spans="1:14" x14ac:dyDescent="0.35">
      <c r="A2610" s="1" t="s">
        <v>103</v>
      </c>
      <c r="B2610" s="1">
        <v>202405</v>
      </c>
      <c r="C2610" s="1" t="str">
        <f>MID(analisis_productividad__4[[#This Row],[Periodo]],1,4)</f>
        <v>2024</v>
      </c>
      <c r="D2610" s="1" t="str">
        <f>MID(analisis_productividad__4[[#This Row],[Periodo]],5,2)</f>
        <v>05</v>
      </c>
      <c r="E2610" s="1" t="s">
        <v>104</v>
      </c>
      <c r="F2610" s="1" t="s">
        <v>104</v>
      </c>
      <c r="G2610" s="1">
        <v>63395</v>
      </c>
      <c r="H2610" s="1">
        <v>5369308</v>
      </c>
      <c r="I2610" s="1">
        <v>84.696377688172063</v>
      </c>
      <c r="J2610" s="1">
        <v>0</v>
      </c>
      <c r="K2610" s="1">
        <v>94</v>
      </c>
      <c r="L2610" s="1">
        <v>77.5</v>
      </c>
      <c r="M2610" s="1"/>
      <c r="N2610" s="1">
        <v>0</v>
      </c>
    </row>
    <row r="2611" spans="1:14" x14ac:dyDescent="0.35">
      <c r="A2611" s="1" t="s">
        <v>90</v>
      </c>
      <c r="B2611" s="1">
        <v>202405</v>
      </c>
      <c r="C2611" s="1" t="str">
        <f>MID(analisis_productividad__4[[#This Row],[Periodo]],1,4)</f>
        <v>2024</v>
      </c>
      <c r="D2611" s="1" t="str">
        <f>MID(analisis_productividad__4[[#This Row],[Periodo]],5,2)</f>
        <v>05</v>
      </c>
      <c r="E2611" s="1" t="s">
        <v>11</v>
      </c>
      <c r="F2611" s="1" t="s">
        <v>14</v>
      </c>
      <c r="G2611" s="1">
        <v>63381</v>
      </c>
      <c r="H2611" s="1">
        <v>5370305</v>
      </c>
      <c r="I2611" s="1">
        <v>84.730483870967717</v>
      </c>
      <c r="J2611" s="1">
        <v>0</v>
      </c>
      <c r="K2611" s="1">
        <v>84.5</v>
      </c>
      <c r="L2611" s="1">
        <v>78.5</v>
      </c>
      <c r="M2611" s="1"/>
      <c r="N2611" s="1">
        <v>0</v>
      </c>
    </row>
    <row r="2612" spans="1:14" x14ac:dyDescent="0.35">
      <c r="A2612" s="1" t="s">
        <v>64</v>
      </c>
      <c r="B2612" s="1">
        <v>202505</v>
      </c>
      <c r="C2612" s="1" t="str">
        <f>MID(analisis_productividad__4[[#This Row],[Periodo]],1,4)</f>
        <v>2025</v>
      </c>
      <c r="D2612" s="1" t="str">
        <f>MID(analisis_productividad__4[[#This Row],[Periodo]],5,2)</f>
        <v>05</v>
      </c>
      <c r="E2612" s="1" t="s">
        <v>16</v>
      </c>
      <c r="F2612" s="1" t="s">
        <v>21</v>
      </c>
      <c r="G2612" s="1">
        <v>63348</v>
      </c>
      <c r="H2612" s="1">
        <v>8571966</v>
      </c>
      <c r="I2612" s="1">
        <v>135.31649193548384</v>
      </c>
      <c r="J2612" s="1">
        <v>75861.027415993289</v>
      </c>
      <c r="K2612" s="1">
        <v>88.5</v>
      </c>
      <c r="L2612" s="1">
        <v>92.5</v>
      </c>
      <c r="M2612" s="1">
        <v>112.99564601194456</v>
      </c>
      <c r="N2612" s="1">
        <v>6243191</v>
      </c>
    </row>
    <row r="2613" spans="1:14" x14ac:dyDescent="0.35">
      <c r="A2613" s="1" t="s">
        <v>107</v>
      </c>
      <c r="B2613" s="1">
        <v>202408</v>
      </c>
      <c r="C2613" s="1" t="str">
        <f>MID(analisis_productividad__4[[#This Row],[Periodo]],1,4)</f>
        <v>2024</v>
      </c>
      <c r="D2613" s="1" t="str">
        <f>MID(analisis_productividad__4[[#This Row],[Periodo]],5,2)</f>
        <v>08</v>
      </c>
      <c r="E2613" s="1" t="s">
        <v>34</v>
      </c>
      <c r="F2613" s="1" t="s">
        <v>35</v>
      </c>
      <c r="G2613" s="1">
        <v>63322</v>
      </c>
      <c r="H2613" s="1">
        <v>5176808</v>
      </c>
      <c r="I2613" s="1">
        <v>81.753508064516112</v>
      </c>
      <c r="J2613" s="1">
        <v>0</v>
      </c>
      <c r="K2613" s="1">
        <v>87</v>
      </c>
      <c r="L2613" s="1">
        <v>77.5</v>
      </c>
      <c r="M2613" s="1"/>
      <c r="N2613" s="1">
        <v>0</v>
      </c>
    </row>
    <row r="2614" spans="1:14" x14ac:dyDescent="0.35">
      <c r="A2614" s="1" t="s">
        <v>98</v>
      </c>
      <c r="B2614" s="1">
        <v>202405</v>
      </c>
      <c r="C2614" s="1" t="str">
        <f>MID(analisis_productividad__4[[#This Row],[Periodo]],1,4)</f>
        <v>2024</v>
      </c>
      <c r="D2614" s="1" t="str">
        <f>MID(analisis_productividad__4[[#This Row],[Periodo]],5,2)</f>
        <v>05</v>
      </c>
      <c r="E2614" s="1" t="s">
        <v>11</v>
      </c>
      <c r="F2614" s="1" t="s">
        <v>14</v>
      </c>
      <c r="G2614" s="1">
        <v>63305</v>
      </c>
      <c r="H2614" s="1">
        <v>3654509</v>
      </c>
      <c r="I2614" s="1">
        <v>57.728830645161317</v>
      </c>
      <c r="J2614" s="1">
        <v>0</v>
      </c>
      <c r="K2614" s="1">
        <v>61.5</v>
      </c>
      <c r="L2614" s="1">
        <v>56</v>
      </c>
      <c r="M2614" s="1"/>
      <c r="N2614" s="1">
        <v>0</v>
      </c>
    </row>
    <row r="2615" spans="1:14" x14ac:dyDescent="0.35">
      <c r="A2615" s="1" t="s">
        <v>114</v>
      </c>
      <c r="B2615" s="1">
        <v>202605</v>
      </c>
      <c r="C2615" s="1" t="str">
        <f>MID(analisis_productividad__4[[#This Row],[Periodo]],1,4)</f>
        <v>2026</v>
      </c>
      <c r="D2615" s="1" t="str">
        <f>MID(analisis_productividad__4[[#This Row],[Periodo]],5,2)</f>
        <v>05</v>
      </c>
      <c r="E2615" s="1" t="s">
        <v>9</v>
      </c>
      <c r="F2615" s="1" t="s">
        <v>9</v>
      </c>
      <c r="G2615" s="1">
        <v>63291</v>
      </c>
      <c r="H2615" s="1">
        <v>941433</v>
      </c>
      <c r="I2615" s="1">
        <v>14.87476478494623</v>
      </c>
      <c r="J2615" s="1">
        <v>63211.824208919701</v>
      </c>
      <c r="K2615" s="1">
        <v>13.5</v>
      </c>
      <c r="L2615" s="1">
        <v>14.5</v>
      </c>
      <c r="M2615" s="1">
        <v>13.189776457714554</v>
      </c>
      <c r="N2615" s="1">
        <v>833750</v>
      </c>
    </row>
    <row r="2616" spans="1:14" x14ac:dyDescent="0.35">
      <c r="A2616" s="1" t="s">
        <v>118</v>
      </c>
      <c r="B2616" s="1">
        <v>202603</v>
      </c>
      <c r="C2616" s="1" t="str">
        <f>MID(analisis_productividad__4[[#This Row],[Periodo]],1,4)</f>
        <v>2026</v>
      </c>
      <c r="D2616" s="1" t="str">
        <f>MID(analisis_productividad__4[[#This Row],[Periodo]],5,2)</f>
        <v>03</v>
      </c>
      <c r="E2616" s="1" t="s">
        <v>34</v>
      </c>
      <c r="F2616" s="1" t="s">
        <v>35</v>
      </c>
      <c r="G2616" s="1">
        <v>63266</v>
      </c>
      <c r="H2616" s="1">
        <v>1249248</v>
      </c>
      <c r="I2616" s="1">
        <v>19.74588037634409</v>
      </c>
      <c r="J2616" s="1">
        <v>76421.776233198616</v>
      </c>
      <c r="K2616" s="1">
        <v>19</v>
      </c>
      <c r="L2616" s="1">
        <v>21.5</v>
      </c>
      <c r="M2616" s="1">
        <v>17.464859694273773</v>
      </c>
      <c r="N2616" s="1">
        <v>1334696</v>
      </c>
    </row>
    <row r="2617" spans="1:14" x14ac:dyDescent="0.35">
      <c r="A2617" s="1" t="s">
        <v>103</v>
      </c>
      <c r="B2617" s="1">
        <v>202402</v>
      </c>
      <c r="C2617" s="1" t="str">
        <f>MID(analisis_productividad__4[[#This Row],[Periodo]],1,4)</f>
        <v>2024</v>
      </c>
      <c r="D2617" s="1" t="str">
        <f>MID(analisis_productividad__4[[#This Row],[Periodo]],5,2)</f>
        <v>02</v>
      </c>
      <c r="E2617" s="1" t="s">
        <v>104</v>
      </c>
      <c r="F2617" s="1" t="s">
        <v>104</v>
      </c>
      <c r="G2617" s="1">
        <v>63233</v>
      </c>
      <c r="H2617" s="1">
        <v>4949663</v>
      </c>
      <c r="I2617" s="1">
        <v>78.276795977011517</v>
      </c>
      <c r="J2617" s="1">
        <v>0</v>
      </c>
      <c r="K2617" s="1">
        <v>94</v>
      </c>
      <c r="L2617" s="1">
        <v>77.5</v>
      </c>
      <c r="M2617" s="1"/>
      <c r="N2617" s="1">
        <v>0</v>
      </c>
    </row>
    <row r="2618" spans="1:14" x14ac:dyDescent="0.35">
      <c r="A2618" s="1" t="s">
        <v>123</v>
      </c>
      <c r="B2618" s="1">
        <v>202412</v>
      </c>
      <c r="C2618" s="1" t="str">
        <f>MID(analisis_productividad__4[[#This Row],[Periodo]],1,4)</f>
        <v>2024</v>
      </c>
      <c r="D2618" s="1" t="str">
        <f>MID(analisis_productividad__4[[#This Row],[Periodo]],5,2)</f>
        <v>12</v>
      </c>
      <c r="E2618" s="1" t="s">
        <v>9</v>
      </c>
      <c r="F2618" s="1" t="s">
        <v>9</v>
      </c>
      <c r="G2618" s="1">
        <v>63223</v>
      </c>
      <c r="H2618" s="1">
        <v>653032</v>
      </c>
      <c r="I2618" s="1">
        <v>10.328951612903229</v>
      </c>
      <c r="J2618" s="1">
        <v>0</v>
      </c>
      <c r="K2618" s="1">
        <v>11</v>
      </c>
      <c r="L2618" s="1">
        <v>10</v>
      </c>
      <c r="M2618" s="1"/>
      <c r="N2618" s="1">
        <v>0</v>
      </c>
    </row>
    <row r="2619" spans="1:14" x14ac:dyDescent="0.35">
      <c r="A2619" s="1" t="s">
        <v>120</v>
      </c>
      <c r="B2619" s="1">
        <v>202504</v>
      </c>
      <c r="C2619" s="1" t="str">
        <f>MID(analisis_productividad__4[[#This Row],[Periodo]],1,4)</f>
        <v>2025</v>
      </c>
      <c r="D2619" s="1" t="str">
        <f>MID(analisis_productividad__4[[#This Row],[Periodo]],5,2)</f>
        <v>04</v>
      </c>
      <c r="E2619" s="1" t="s">
        <v>9</v>
      </c>
      <c r="F2619" s="1" t="s">
        <v>9</v>
      </c>
      <c r="G2619" s="1">
        <v>63187</v>
      </c>
      <c r="H2619" s="1">
        <v>730843</v>
      </c>
      <c r="I2619" s="1">
        <v>11.566430555555556</v>
      </c>
      <c r="J2619" s="1">
        <v>69384.487654088283</v>
      </c>
      <c r="K2619" s="1">
        <v>11.5</v>
      </c>
      <c r="L2619" s="1">
        <v>12</v>
      </c>
      <c r="M2619" s="1">
        <v>10.533237251005877</v>
      </c>
      <c r="N2619" s="1">
        <v>797358</v>
      </c>
    </row>
    <row r="2620" spans="1:14" x14ac:dyDescent="0.35">
      <c r="A2620" s="1" t="s">
        <v>121</v>
      </c>
      <c r="B2620" s="1">
        <v>202406</v>
      </c>
      <c r="C2620" s="1" t="str">
        <f>MID(analisis_productividad__4[[#This Row],[Periodo]],1,4)</f>
        <v>2024</v>
      </c>
      <c r="D2620" s="1" t="str">
        <f>MID(analisis_productividad__4[[#This Row],[Periodo]],5,2)</f>
        <v>06</v>
      </c>
      <c r="E2620" s="1" t="s">
        <v>11</v>
      </c>
      <c r="F2620" s="1" t="s">
        <v>14</v>
      </c>
      <c r="G2620" s="1">
        <v>63183</v>
      </c>
      <c r="H2620" s="1">
        <v>2184947</v>
      </c>
      <c r="I2620" s="1">
        <v>34.581069444444445</v>
      </c>
      <c r="J2620" s="1">
        <v>0</v>
      </c>
      <c r="K2620" s="1">
        <v>36</v>
      </c>
      <c r="L2620" s="1">
        <v>35</v>
      </c>
      <c r="M2620" s="1"/>
      <c r="N2620" s="1">
        <v>0</v>
      </c>
    </row>
    <row r="2621" spans="1:14" x14ac:dyDescent="0.35">
      <c r="A2621" s="1" t="s">
        <v>120</v>
      </c>
      <c r="B2621" s="1">
        <v>202506</v>
      </c>
      <c r="C2621" s="1" t="str">
        <f>MID(analisis_productividad__4[[#This Row],[Periodo]],1,4)</f>
        <v>2025</v>
      </c>
      <c r="D2621" s="1" t="str">
        <f>MID(analisis_productividad__4[[#This Row],[Periodo]],5,2)</f>
        <v>06</v>
      </c>
      <c r="E2621" s="1" t="s">
        <v>9</v>
      </c>
      <c r="F2621" s="1" t="s">
        <v>9</v>
      </c>
      <c r="G2621" s="1">
        <v>63160</v>
      </c>
      <c r="H2621" s="1">
        <v>686892</v>
      </c>
      <c r="I2621" s="1">
        <v>10.875374999999998</v>
      </c>
      <c r="J2621" s="1">
        <v>77753.59044072454</v>
      </c>
      <c r="K2621" s="1">
        <v>11.5</v>
      </c>
      <c r="L2621" s="1">
        <v>12</v>
      </c>
      <c r="M2621" s="1">
        <v>8.8342114635034346</v>
      </c>
      <c r="N2621" s="1">
        <v>821000</v>
      </c>
    </row>
    <row r="2622" spans="1:14" x14ac:dyDescent="0.35">
      <c r="A2622" s="1" t="s">
        <v>95</v>
      </c>
      <c r="B2622" s="1">
        <v>202404</v>
      </c>
      <c r="C2622" s="1" t="str">
        <f>MID(analisis_productividad__4[[#This Row],[Periodo]],1,4)</f>
        <v>2024</v>
      </c>
      <c r="D2622" s="1" t="str">
        <f>MID(analisis_productividad__4[[#This Row],[Periodo]],5,2)</f>
        <v>04</v>
      </c>
      <c r="E2622" s="1" t="s">
        <v>9</v>
      </c>
      <c r="F2622" s="1" t="s">
        <v>9</v>
      </c>
      <c r="G2622" s="1">
        <v>63129</v>
      </c>
      <c r="H2622" s="1">
        <v>655827</v>
      </c>
      <c r="I2622" s="1">
        <v>10.388729166666669</v>
      </c>
      <c r="J2622" s="1">
        <v>0</v>
      </c>
      <c r="K2622" s="1">
        <v>11</v>
      </c>
      <c r="L2622" s="1">
        <v>11</v>
      </c>
      <c r="M2622" s="1"/>
      <c r="N2622" s="1">
        <v>0</v>
      </c>
    </row>
    <row r="2623" spans="1:14" x14ac:dyDescent="0.35">
      <c r="A2623" s="1" t="s">
        <v>58</v>
      </c>
      <c r="B2623" s="1">
        <v>202606</v>
      </c>
      <c r="C2623" s="1" t="str">
        <f>MID(analisis_productividad__4[[#This Row],[Periodo]],1,4)</f>
        <v>2026</v>
      </c>
      <c r="D2623" s="1" t="str">
        <f>MID(analisis_productividad__4[[#This Row],[Periodo]],5,2)</f>
        <v>06</v>
      </c>
      <c r="E2623" s="1" t="s">
        <v>34</v>
      </c>
      <c r="F2623" s="1" t="s">
        <v>35</v>
      </c>
      <c r="G2623" s="1">
        <v>63107</v>
      </c>
      <c r="H2623" s="1">
        <v>2816904</v>
      </c>
      <c r="I2623" s="1">
        <v>44.63695833333346</v>
      </c>
      <c r="J2623" s="1">
        <v>70791.611853518014</v>
      </c>
      <c r="K2623" s="1">
        <v>53.5</v>
      </c>
      <c r="L2623" s="1">
        <v>52</v>
      </c>
      <c r="M2623" s="1">
        <v>43.483853774506514</v>
      </c>
      <c r="N2623" s="1">
        <v>3078292</v>
      </c>
    </row>
    <row r="2624" spans="1:14" x14ac:dyDescent="0.35">
      <c r="A2624" s="1" t="s">
        <v>89</v>
      </c>
      <c r="B2624" s="1">
        <v>202510</v>
      </c>
      <c r="C2624" s="1" t="str">
        <f>MID(analisis_productividad__4[[#This Row],[Periodo]],1,4)</f>
        <v>2025</v>
      </c>
      <c r="D2624" s="1" t="str">
        <f>MID(analisis_productividad__4[[#This Row],[Periodo]],5,2)</f>
        <v>10</v>
      </c>
      <c r="E2624" s="1" t="s">
        <v>9</v>
      </c>
      <c r="F2624" s="1" t="s">
        <v>9</v>
      </c>
      <c r="G2624" s="1">
        <v>63050</v>
      </c>
      <c r="H2624" s="1">
        <v>929282</v>
      </c>
      <c r="I2624" s="1">
        <v>14.738857526881716</v>
      </c>
      <c r="J2624" s="1">
        <v>69085.925929755322</v>
      </c>
      <c r="K2624" s="1">
        <v>17</v>
      </c>
      <c r="L2624" s="1">
        <v>13.5</v>
      </c>
      <c r="M2624" s="1">
        <v>13.451098577514443</v>
      </c>
      <c r="N2624" s="1">
        <v>1145472</v>
      </c>
    </row>
    <row r="2625" spans="1:14" x14ac:dyDescent="0.35">
      <c r="A2625" s="1" t="s">
        <v>95</v>
      </c>
      <c r="B2625" s="1">
        <v>202602</v>
      </c>
      <c r="C2625" s="1" t="str">
        <f>MID(analisis_productividad__4[[#This Row],[Periodo]],1,4)</f>
        <v>2026</v>
      </c>
      <c r="D2625" s="1" t="str">
        <f>MID(analisis_productividad__4[[#This Row],[Periodo]],5,2)</f>
        <v>02</v>
      </c>
      <c r="E2625" s="1" t="s">
        <v>9</v>
      </c>
      <c r="F2625" s="1" t="s">
        <v>9</v>
      </c>
      <c r="G2625" s="1">
        <v>63035</v>
      </c>
      <c r="H2625" s="1">
        <v>627573</v>
      </c>
      <c r="I2625" s="1">
        <v>9.9559374999999992</v>
      </c>
      <c r="J2625" s="1">
        <v>65381.702587353728</v>
      </c>
      <c r="K2625" s="1">
        <v>11</v>
      </c>
      <c r="L2625" s="1">
        <v>11</v>
      </c>
      <c r="M2625" s="1">
        <v>10.04229432420742</v>
      </c>
      <c r="N2625" s="1">
        <v>656582</v>
      </c>
    </row>
    <row r="2626" spans="1:14" x14ac:dyDescent="0.35">
      <c r="A2626" s="1" t="s">
        <v>106</v>
      </c>
      <c r="B2626" s="1">
        <v>202602</v>
      </c>
      <c r="C2626" s="1" t="str">
        <f>MID(analisis_productividad__4[[#This Row],[Periodo]],1,4)</f>
        <v>2026</v>
      </c>
      <c r="D2626" s="1" t="str">
        <f>MID(analisis_productividad__4[[#This Row],[Periodo]],5,2)</f>
        <v>02</v>
      </c>
      <c r="E2626" s="1" t="s">
        <v>34</v>
      </c>
      <c r="F2626" s="1" t="s">
        <v>35</v>
      </c>
      <c r="G2626" s="1">
        <v>63027</v>
      </c>
      <c r="H2626" s="1">
        <v>2959385</v>
      </c>
      <c r="I2626" s="1">
        <v>46.954114583333336</v>
      </c>
      <c r="J2626" s="1">
        <v>79260.851098808635</v>
      </c>
      <c r="K2626" s="1">
        <v>51</v>
      </c>
      <c r="L2626" s="1">
        <v>49</v>
      </c>
      <c r="M2626" s="1">
        <v>41.451897990651069</v>
      </c>
      <c r="N2626" s="1">
        <v>3285513</v>
      </c>
    </row>
    <row r="2627" spans="1:14" x14ac:dyDescent="0.35">
      <c r="A2627" s="1" t="s">
        <v>112</v>
      </c>
      <c r="B2627" s="1">
        <v>202403</v>
      </c>
      <c r="C2627" s="1" t="str">
        <f>MID(analisis_productividad__4[[#This Row],[Periodo]],1,4)</f>
        <v>2024</v>
      </c>
      <c r="D2627" s="1" t="str">
        <f>MID(analisis_productividad__4[[#This Row],[Periodo]],5,2)</f>
        <v>03</v>
      </c>
      <c r="E2627" s="1" t="s">
        <v>34</v>
      </c>
      <c r="F2627" s="1" t="s">
        <v>35</v>
      </c>
      <c r="G2627" s="1">
        <v>63002</v>
      </c>
      <c r="H2627" s="1">
        <v>1855531</v>
      </c>
      <c r="I2627" s="1">
        <v>29.452076612903216</v>
      </c>
      <c r="J2627" s="1">
        <v>0</v>
      </c>
      <c r="K2627" s="1">
        <v>31</v>
      </c>
      <c r="L2627" s="1">
        <v>27</v>
      </c>
      <c r="M2627" s="1"/>
      <c r="N2627" s="1">
        <v>0</v>
      </c>
    </row>
    <row r="2628" spans="1:14" x14ac:dyDescent="0.35">
      <c r="A2628" s="1" t="s">
        <v>92</v>
      </c>
      <c r="B2628" s="1">
        <v>202410</v>
      </c>
      <c r="C2628" s="1" t="str">
        <f>MID(analisis_productividad__4[[#This Row],[Periodo]],1,4)</f>
        <v>2024</v>
      </c>
      <c r="D2628" s="1" t="str">
        <f>MID(analisis_productividad__4[[#This Row],[Periodo]],5,2)</f>
        <v>10</v>
      </c>
      <c r="E2628" s="1" t="s">
        <v>11</v>
      </c>
      <c r="F2628" s="1" t="s">
        <v>14</v>
      </c>
      <c r="G2628" s="1">
        <v>62957</v>
      </c>
      <c r="H2628" s="1">
        <v>3552781</v>
      </c>
      <c r="I2628" s="1">
        <v>56.431478494623647</v>
      </c>
      <c r="J2628" s="1">
        <v>0</v>
      </c>
      <c r="K2628" s="1">
        <v>63</v>
      </c>
      <c r="L2628" s="1">
        <v>59</v>
      </c>
      <c r="M2628" s="1"/>
      <c r="N2628" s="1">
        <v>0</v>
      </c>
    </row>
    <row r="2629" spans="1:14" x14ac:dyDescent="0.35">
      <c r="A2629" s="1" t="s">
        <v>103</v>
      </c>
      <c r="B2629" s="1">
        <v>202502</v>
      </c>
      <c r="C2629" s="1" t="str">
        <f>MID(analisis_productividad__4[[#This Row],[Periodo]],1,4)</f>
        <v>2025</v>
      </c>
      <c r="D2629" s="1" t="str">
        <f>MID(analisis_productividad__4[[#This Row],[Periodo]],5,2)</f>
        <v>02</v>
      </c>
      <c r="E2629" s="1" t="s">
        <v>104</v>
      </c>
      <c r="F2629" s="1" t="s">
        <v>104</v>
      </c>
      <c r="G2629" s="1">
        <v>62937</v>
      </c>
      <c r="H2629" s="1">
        <v>4943060</v>
      </c>
      <c r="I2629" s="1">
        <v>78.540364583333314</v>
      </c>
      <c r="J2629" s="1">
        <v>66394.466228872072</v>
      </c>
      <c r="K2629" s="1">
        <v>94</v>
      </c>
      <c r="L2629" s="1">
        <v>77.5</v>
      </c>
      <c r="M2629" s="1">
        <v>74.449885973335512</v>
      </c>
      <c r="N2629" s="1">
        <v>4927338</v>
      </c>
    </row>
    <row r="2630" spans="1:14" x14ac:dyDescent="0.35">
      <c r="A2630" s="1" t="s">
        <v>85</v>
      </c>
      <c r="B2630" s="1">
        <v>202504</v>
      </c>
      <c r="C2630" s="1" t="str">
        <f>MID(analisis_productividad__4[[#This Row],[Periodo]],1,4)</f>
        <v>2025</v>
      </c>
      <c r="D2630" s="1" t="str">
        <f>MID(analisis_productividad__4[[#This Row],[Periodo]],5,2)</f>
        <v>04</v>
      </c>
      <c r="E2630" s="1" t="s">
        <v>11</v>
      </c>
      <c r="F2630" s="1" t="s">
        <v>14</v>
      </c>
      <c r="G2630" s="1">
        <v>62920</v>
      </c>
      <c r="H2630" s="1">
        <v>3445128</v>
      </c>
      <c r="I2630" s="1">
        <v>54.754243055555555</v>
      </c>
      <c r="J2630" s="1">
        <v>65322.501436602128</v>
      </c>
      <c r="K2630" s="1">
        <v>60.5</v>
      </c>
      <c r="L2630" s="1">
        <v>57.5</v>
      </c>
      <c r="M2630" s="1">
        <v>52.740290010841392</v>
      </c>
      <c r="N2630" s="1">
        <v>3670194</v>
      </c>
    </row>
    <row r="2631" spans="1:14" x14ac:dyDescent="0.35">
      <c r="A2631" s="1" t="s">
        <v>100</v>
      </c>
      <c r="B2631" s="1">
        <v>202602</v>
      </c>
      <c r="C2631" s="1" t="str">
        <f>MID(analisis_productividad__4[[#This Row],[Periodo]],1,4)</f>
        <v>2026</v>
      </c>
      <c r="D2631" s="1" t="str">
        <f>MID(analisis_productividad__4[[#This Row],[Periodo]],5,2)</f>
        <v>02</v>
      </c>
      <c r="E2631" s="1" t="s">
        <v>34</v>
      </c>
      <c r="F2631" s="1" t="s">
        <v>35</v>
      </c>
      <c r="G2631" s="1">
        <v>62899</v>
      </c>
      <c r="H2631" s="1">
        <v>2407695</v>
      </c>
      <c r="I2631" s="1">
        <v>38.278645833333329</v>
      </c>
      <c r="J2631" s="1">
        <v>69895.460491147693</v>
      </c>
      <c r="K2631" s="1">
        <v>44</v>
      </c>
      <c r="L2631" s="1">
        <v>40.5</v>
      </c>
      <c r="M2631" s="1">
        <v>35.762421795855829</v>
      </c>
      <c r="N2631" s="1">
        <v>2499631</v>
      </c>
    </row>
    <row r="2632" spans="1:14" x14ac:dyDescent="0.35">
      <c r="A2632" s="1" t="s">
        <v>117</v>
      </c>
      <c r="B2632" s="1">
        <v>202604</v>
      </c>
      <c r="C2632" s="1" t="str">
        <f>MID(analisis_productividad__4[[#This Row],[Periodo]],1,4)</f>
        <v>2026</v>
      </c>
      <c r="D2632" s="1" t="str">
        <f>MID(analisis_productividad__4[[#This Row],[Periodo]],5,2)</f>
        <v>04</v>
      </c>
      <c r="E2632" s="1" t="s">
        <v>104</v>
      </c>
      <c r="F2632" s="1" t="s">
        <v>104</v>
      </c>
      <c r="G2632" s="1">
        <v>62892</v>
      </c>
      <c r="H2632" s="1">
        <v>3673070</v>
      </c>
      <c r="I2632" s="1">
        <v>58.402895833333204</v>
      </c>
      <c r="J2632" s="1">
        <v>63124.314867537665</v>
      </c>
      <c r="K2632" s="1">
        <v>66</v>
      </c>
      <c r="L2632" s="1">
        <v>65.5</v>
      </c>
      <c r="M2632" s="1">
        <v>58.116081161406527</v>
      </c>
      <c r="N2632" s="1">
        <v>3668538</v>
      </c>
    </row>
    <row r="2633" spans="1:14" x14ac:dyDescent="0.35">
      <c r="A2633" s="1" t="s">
        <v>107</v>
      </c>
      <c r="B2633" s="1">
        <v>202405</v>
      </c>
      <c r="C2633" s="1" t="str">
        <f>MID(analisis_productividad__4[[#This Row],[Periodo]],1,4)</f>
        <v>2024</v>
      </c>
      <c r="D2633" s="1" t="str">
        <f>MID(analisis_productividad__4[[#This Row],[Periodo]],5,2)</f>
        <v>05</v>
      </c>
      <c r="E2633" s="1" t="s">
        <v>34</v>
      </c>
      <c r="F2633" s="1" t="s">
        <v>35</v>
      </c>
      <c r="G2633" s="1">
        <v>62829</v>
      </c>
      <c r="H2633" s="1">
        <v>5216223</v>
      </c>
      <c r="I2633" s="1">
        <v>83.022540322580667</v>
      </c>
      <c r="J2633" s="1">
        <v>0</v>
      </c>
      <c r="K2633" s="1">
        <v>87</v>
      </c>
      <c r="L2633" s="1">
        <v>77.5</v>
      </c>
      <c r="M2633" s="1"/>
      <c r="N2633" s="1">
        <v>0</v>
      </c>
    </row>
    <row r="2634" spans="1:14" x14ac:dyDescent="0.35">
      <c r="A2634" s="1" t="s">
        <v>124</v>
      </c>
      <c r="B2634" s="1">
        <v>202408</v>
      </c>
      <c r="C2634" s="1" t="str">
        <f>MID(analisis_productividad__4[[#This Row],[Periodo]],1,4)</f>
        <v>2024</v>
      </c>
      <c r="D2634" s="1" t="str">
        <f>MID(analisis_productividad__4[[#This Row],[Periodo]],5,2)</f>
        <v>08</v>
      </c>
      <c r="E2634" s="1" t="s">
        <v>9</v>
      </c>
      <c r="F2634" s="1" t="s">
        <v>9</v>
      </c>
      <c r="G2634" s="1">
        <v>62824</v>
      </c>
      <c r="H2634" s="1">
        <v>607578</v>
      </c>
      <c r="I2634" s="1">
        <v>9.6711021505376351</v>
      </c>
      <c r="J2634" s="1">
        <v>0</v>
      </c>
      <c r="K2634" s="1">
        <v>11</v>
      </c>
      <c r="L2634" s="1">
        <v>12</v>
      </c>
      <c r="M2634" s="1"/>
      <c r="N2634" s="1">
        <v>0</v>
      </c>
    </row>
    <row r="2635" spans="1:14" x14ac:dyDescent="0.35">
      <c r="A2635" s="1" t="s">
        <v>112</v>
      </c>
      <c r="B2635" s="1">
        <v>202401</v>
      </c>
      <c r="C2635" s="1" t="str">
        <f>MID(analisis_productividad__4[[#This Row],[Periodo]],1,4)</f>
        <v>2024</v>
      </c>
      <c r="D2635" s="1" t="str">
        <f>MID(analisis_productividad__4[[#This Row],[Periodo]],5,2)</f>
        <v>01</v>
      </c>
      <c r="E2635" s="1" t="s">
        <v>34</v>
      </c>
      <c r="F2635" s="1" t="s">
        <v>35</v>
      </c>
      <c r="G2635" s="1">
        <v>62823</v>
      </c>
      <c r="H2635" s="1">
        <v>1742207</v>
      </c>
      <c r="I2635" s="1">
        <v>27.731854838709683</v>
      </c>
      <c r="J2635" s="1">
        <v>0</v>
      </c>
      <c r="K2635" s="1">
        <v>31</v>
      </c>
      <c r="L2635" s="1">
        <v>27</v>
      </c>
      <c r="M2635" s="1"/>
      <c r="N2635" s="1">
        <v>0</v>
      </c>
    </row>
    <row r="2636" spans="1:14" x14ac:dyDescent="0.35">
      <c r="A2636" s="1" t="s">
        <v>103</v>
      </c>
      <c r="B2636" s="1">
        <v>202602</v>
      </c>
      <c r="C2636" s="1" t="str">
        <f>MID(analisis_productividad__4[[#This Row],[Periodo]],1,4)</f>
        <v>2026</v>
      </c>
      <c r="D2636" s="1" t="str">
        <f>MID(analisis_productividad__4[[#This Row],[Periodo]],5,2)</f>
        <v>02</v>
      </c>
      <c r="E2636" s="1" t="s">
        <v>104</v>
      </c>
      <c r="F2636" s="1" t="s">
        <v>104</v>
      </c>
      <c r="G2636" s="1">
        <v>62805</v>
      </c>
      <c r="H2636" s="1">
        <v>4849465</v>
      </c>
      <c r="I2636" s="1">
        <v>77.214479166666678</v>
      </c>
      <c r="J2636" s="1">
        <v>61836.882529780931</v>
      </c>
      <c r="K2636" s="1">
        <v>94</v>
      </c>
      <c r="L2636" s="1">
        <v>77.5</v>
      </c>
      <c r="M2636" s="1">
        <v>81.023149648384276</v>
      </c>
      <c r="N2636" s="1">
        <v>5010219</v>
      </c>
    </row>
    <row r="2637" spans="1:14" x14ac:dyDescent="0.35">
      <c r="A2637" s="1" t="s">
        <v>102</v>
      </c>
      <c r="B2637" s="1">
        <v>202604</v>
      </c>
      <c r="C2637" s="1" t="str">
        <f>MID(analisis_productividad__4[[#This Row],[Periodo]],1,4)</f>
        <v>2026</v>
      </c>
      <c r="D2637" s="1" t="str">
        <f>MID(analisis_productividad__4[[#This Row],[Periodo]],5,2)</f>
        <v>04</v>
      </c>
      <c r="E2637" s="1" t="s">
        <v>11</v>
      </c>
      <c r="F2637" s="1" t="s">
        <v>12</v>
      </c>
      <c r="G2637" s="1">
        <v>62805</v>
      </c>
      <c r="H2637" s="1">
        <v>1795576</v>
      </c>
      <c r="I2637" s="1">
        <v>28.589749999999803</v>
      </c>
      <c r="J2637" s="1">
        <v>58338.383461989702</v>
      </c>
      <c r="K2637" s="1">
        <v>34</v>
      </c>
      <c r="L2637" s="1">
        <v>34</v>
      </c>
      <c r="M2637" s="1">
        <v>29.696606396863505</v>
      </c>
      <c r="N2637" s="1">
        <v>1732452</v>
      </c>
    </row>
    <row r="2638" spans="1:14" x14ac:dyDescent="0.35">
      <c r="A2638" s="1" t="s">
        <v>121</v>
      </c>
      <c r="B2638" s="1">
        <v>202604</v>
      </c>
      <c r="C2638" s="1" t="str">
        <f>MID(analisis_productividad__4[[#This Row],[Periodo]],1,4)</f>
        <v>2026</v>
      </c>
      <c r="D2638" s="1" t="str">
        <f>MID(analisis_productividad__4[[#This Row],[Periodo]],5,2)</f>
        <v>04</v>
      </c>
      <c r="E2638" s="1" t="s">
        <v>11</v>
      </c>
      <c r="F2638" s="1" t="s">
        <v>14</v>
      </c>
      <c r="G2638" s="1">
        <v>62766</v>
      </c>
      <c r="H2638" s="1">
        <v>2012869</v>
      </c>
      <c r="I2638" s="1">
        <v>32.069187499999828</v>
      </c>
      <c r="J2638" s="1">
        <v>62689.124534930095</v>
      </c>
      <c r="K2638" s="1">
        <v>36</v>
      </c>
      <c r="L2638" s="1">
        <v>35</v>
      </c>
      <c r="M2638" s="1">
        <v>31.443465596679005</v>
      </c>
      <c r="N2638" s="1">
        <v>1971163</v>
      </c>
    </row>
    <row r="2639" spans="1:14" x14ac:dyDescent="0.35">
      <c r="A2639" s="1" t="s">
        <v>8</v>
      </c>
      <c r="B2639" s="1">
        <v>202501</v>
      </c>
      <c r="C2639" s="1" t="str">
        <f>MID(analisis_productividad__4[[#This Row],[Periodo]],1,4)</f>
        <v>2025</v>
      </c>
      <c r="D2639" s="1" t="str">
        <f>MID(analisis_productividad__4[[#This Row],[Periodo]],5,2)</f>
        <v>01</v>
      </c>
      <c r="E2639" s="1" t="s">
        <v>9</v>
      </c>
      <c r="F2639" s="1" t="s">
        <v>9</v>
      </c>
      <c r="G2639" s="1">
        <v>62760</v>
      </c>
      <c r="H2639" s="1">
        <v>803194</v>
      </c>
      <c r="I2639" s="1">
        <v>12.797768817204304</v>
      </c>
      <c r="J2639" s="1">
        <v>90201.587872933698</v>
      </c>
      <c r="K2639" s="1">
        <v>13.5</v>
      </c>
      <c r="L2639" s="1">
        <v>12.5</v>
      </c>
      <c r="M2639" s="1">
        <v>8.9044308303247739</v>
      </c>
      <c r="N2639" s="1">
        <v>1014394</v>
      </c>
    </row>
    <row r="2640" spans="1:14" x14ac:dyDescent="0.35">
      <c r="A2640" s="1" t="s">
        <v>119</v>
      </c>
      <c r="B2640" s="1">
        <v>202409</v>
      </c>
      <c r="C2640" s="1" t="str">
        <f>MID(analisis_productividad__4[[#This Row],[Periodo]],1,4)</f>
        <v>2024</v>
      </c>
      <c r="D2640" s="1" t="str">
        <f>MID(analisis_productividad__4[[#This Row],[Periodo]],5,2)</f>
        <v>09</v>
      </c>
      <c r="E2640" s="1" t="s">
        <v>16</v>
      </c>
      <c r="F2640" s="1" t="s">
        <v>21</v>
      </c>
      <c r="G2640" s="1">
        <v>62753</v>
      </c>
      <c r="H2640" s="1">
        <v>3105864</v>
      </c>
      <c r="I2640" s="1">
        <v>49.49359722222222</v>
      </c>
      <c r="J2640" s="1">
        <v>0</v>
      </c>
      <c r="K2640" s="1">
        <v>52.5</v>
      </c>
      <c r="L2640" s="1">
        <v>52.5</v>
      </c>
      <c r="M2640" s="1"/>
      <c r="N2640" s="1">
        <v>0</v>
      </c>
    </row>
    <row r="2641" spans="1:14" x14ac:dyDescent="0.35">
      <c r="A2641" s="1" t="s">
        <v>99</v>
      </c>
      <c r="B2641" s="1">
        <v>202508</v>
      </c>
      <c r="C2641" s="1" t="str">
        <f>MID(analisis_productividad__4[[#This Row],[Periodo]],1,4)</f>
        <v>2025</v>
      </c>
      <c r="D2641" s="1" t="str">
        <f>MID(analisis_productividad__4[[#This Row],[Periodo]],5,2)</f>
        <v>08</v>
      </c>
      <c r="E2641" s="1" t="s">
        <v>11</v>
      </c>
      <c r="F2641" s="1" t="s">
        <v>12</v>
      </c>
      <c r="G2641" s="1">
        <v>62698</v>
      </c>
      <c r="H2641" s="1">
        <v>1427545</v>
      </c>
      <c r="I2641" s="1">
        <v>22.768487903225807</v>
      </c>
      <c r="J2641" s="1">
        <v>62459.998740363837</v>
      </c>
      <c r="K2641" s="1">
        <v>27</v>
      </c>
      <c r="L2641" s="1">
        <v>27</v>
      </c>
      <c r="M2641" s="1">
        <v>22.85534067866497</v>
      </c>
      <c r="N2641" s="1">
        <v>1567585</v>
      </c>
    </row>
    <row r="2642" spans="1:14" x14ac:dyDescent="0.35">
      <c r="A2642" s="1" t="s">
        <v>108</v>
      </c>
      <c r="B2642" s="1">
        <v>202606</v>
      </c>
      <c r="C2642" s="1" t="str">
        <f>MID(analisis_productividad__4[[#This Row],[Periodo]],1,4)</f>
        <v>2026</v>
      </c>
      <c r="D2642" s="1" t="str">
        <f>MID(analisis_productividad__4[[#This Row],[Periodo]],5,2)</f>
        <v>06</v>
      </c>
      <c r="E2642" s="1" t="s">
        <v>11</v>
      </c>
      <c r="F2642" s="1" t="s">
        <v>14</v>
      </c>
      <c r="G2642" s="1">
        <v>62674</v>
      </c>
      <c r="H2642" s="1">
        <v>2452236</v>
      </c>
      <c r="I2642" s="1">
        <v>39.127131944444152</v>
      </c>
      <c r="J2642" s="1">
        <v>61377.465502089901</v>
      </c>
      <c r="K2642" s="1">
        <v>47.5</v>
      </c>
      <c r="L2642" s="1">
        <v>43</v>
      </c>
      <c r="M2642" s="1">
        <v>41.487905995618128</v>
      </c>
      <c r="N2642" s="1">
        <v>2546423</v>
      </c>
    </row>
    <row r="2643" spans="1:14" x14ac:dyDescent="0.35">
      <c r="A2643" s="1" t="s">
        <v>108</v>
      </c>
      <c r="B2643" s="1">
        <v>202508</v>
      </c>
      <c r="C2643" s="1" t="str">
        <f>MID(analisis_productividad__4[[#This Row],[Periodo]],1,4)</f>
        <v>2025</v>
      </c>
      <c r="D2643" s="1" t="str">
        <f>MID(analisis_productividad__4[[#This Row],[Periodo]],5,2)</f>
        <v>08</v>
      </c>
      <c r="E2643" s="1" t="s">
        <v>11</v>
      </c>
      <c r="F2643" s="1" t="s">
        <v>14</v>
      </c>
      <c r="G2643" s="1">
        <v>62671</v>
      </c>
      <c r="H2643" s="1">
        <v>2486996</v>
      </c>
      <c r="I2643" s="1">
        <v>39.683366935483868</v>
      </c>
      <c r="J2643" s="1">
        <v>69732.654383438523</v>
      </c>
      <c r="K2643" s="1">
        <v>47.5</v>
      </c>
      <c r="L2643" s="1">
        <v>43</v>
      </c>
      <c r="M2643" s="1">
        <v>35.664731996644903</v>
      </c>
      <c r="N2643" s="1">
        <v>2909496</v>
      </c>
    </row>
    <row r="2644" spans="1:14" x14ac:dyDescent="0.35">
      <c r="A2644" s="1" t="s">
        <v>124</v>
      </c>
      <c r="B2644" s="1">
        <v>202410</v>
      </c>
      <c r="C2644" s="1" t="str">
        <f>MID(analisis_productividad__4[[#This Row],[Periodo]],1,4)</f>
        <v>2024</v>
      </c>
      <c r="D2644" s="1" t="str">
        <f>MID(analisis_productividad__4[[#This Row],[Periodo]],5,2)</f>
        <v>10</v>
      </c>
      <c r="E2644" s="1" t="s">
        <v>9</v>
      </c>
      <c r="F2644" s="1" t="s">
        <v>9</v>
      </c>
      <c r="G2644" s="1">
        <v>62652</v>
      </c>
      <c r="H2644" s="1">
        <v>609408</v>
      </c>
      <c r="I2644" s="1">
        <v>9.7268481182795732</v>
      </c>
      <c r="J2644" s="1">
        <v>0</v>
      </c>
      <c r="K2644" s="1">
        <v>11</v>
      </c>
      <c r="L2644" s="1">
        <v>12</v>
      </c>
      <c r="M2644" s="1"/>
      <c r="N2644" s="1">
        <v>0</v>
      </c>
    </row>
    <row r="2645" spans="1:14" x14ac:dyDescent="0.35">
      <c r="A2645" s="1" t="s">
        <v>112</v>
      </c>
      <c r="B2645" s="1">
        <v>202505</v>
      </c>
      <c r="C2645" s="1" t="str">
        <f>MID(analisis_productividad__4[[#This Row],[Periodo]],1,4)</f>
        <v>2025</v>
      </c>
      <c r="D2645" s="1" t="str">
        <f>MID(analisis_productividad__4[[#This Row],[Periodo]],5,2)</f>
        <v>05</v>
      </c>
      <c r="E2645" s="1" t="s">
        <v>34</v>
      </c>
      <c r="F2645" s="1" t="s">
        <v>35</v>
      </c>
      <c r="G2645" s="1">
        <v>62649</v>
      </c>
      <c r="H2645" s="1">
        <v>1636554</v>
      </c>
      <c r="I2645" s="1">
        <v>26.122560483870966</v>
      </c>
      <c r="J2645" s="1">
        <v>69690.455192919893</v>
      </c>
      <c r="K2645" s="1">
        <v>31</v>
      </c>
      <c r="L2645" s="1">
        <v>27</v>
      </c>
      <c r="M2645" s="1">
        <v>23.483191571494622</v>
      </c>
      <c r="N2645" s="1">
        <v>1509920</v>
      </c>
    </row>
    <row r="2646" spans="1:14" x14ac:dyDescent="0.35">
      <c r="A2646" s="1" t="s">
        <v>118</v>
      </c>
      <c r="B2646" s="1">
        <v>202410</v>
      </c>
      <c r="C2646" s="1" t="str">
        <f>MID(analisis_productividad__4[[#This Row],[Periodo]],1,4)</f>
        <v>2024</v>
      </c>
      <c r="D2646" s="1" t="str">
        <f>MID(analisis_productividad__4[[#This Row],[Periodo]],5,2)</f>
        <v>10</v>
      </c>
      <c r="E2646" s="1" t="s">
        <v>34</v>
      </c>
      <c r="F2646" s="1" t="s">
        <v>35</v>
      </c>
      <c r="G2646" s="1">
        <v>62649</v>
      </c>
      <c r="H2646" s="1">
        <v>1188044</v>
      </c>
      <c r="I2646" s="1">
        <v>18.963602150537632</v>
      </c>
      <c r="J2646" s="1">
        <v>0</v>
      </c>
      <c r="K2646" s="1">
        <v>19</v>
      </c>
      <c r="L2646" s="1">
        <v>21.5</v>
      </c>
      <c r="M2646" s="1"/>
      <c r="N2646" s="1">
        <v>0</v>
      </c>
    </row>
    <row r="2647" spans="1:14" x14ac:dyDescent="0.35">
      <c r="A2647" s="1" t="s">
        <v>121</v>
      </c>
      <c r="B2647" s="1">
        <v>202403</v>
      </c>
      <c r="C2647" s="1" t="str">
        <f>MID(analisis_productividad__4[[#This Row],[Periodo]],1,4)</f>
        <v>2024</v>
      </c>
      <c r="D2647" s="1" t="str">
        <f>MID(analisis_productividad__4[[#This Row],[Periodo]],5,2)</f>
        <v>03</v>
      </c>
      <c r="E2647" s="1" t="s">
        <v>11</v>
      </c>
      <c r="F2647" s="1" t="s">
        <v>14</v>
      </c>
      <c r="G2647" s="1">
        <v>62643</v>
      </c>
      <c r="H2647" s="1">
        <v>2429737</v>
      </c>
      <c r="I2647" s="1">
        <v>38.786774193548389</v>
      </c>
      <c r="J2647" s="1">
        <v>0</v>
      </c>
      <c r="K2647" s="1">
        <v>36</v>
      </c>
      <c r="L2647" s="1">
        <v>35</v>
      </c>
      <c r="M2647" s="1"/>
      <c r="N2647" s="1">
        <v>0</v>
      </c>
    </row>
    <row r="2648" spans="1:14" x14ac:dyDescent="0.35">
      <c r="A2648" s="1" t="s">
        <v>121</v>
      </c>
      <c r="B2648" s="1">
        <v>202606</v>
      </c>
      <c r="C2648" s="1" t="str">
        <f>MID(analisis_productividad__4[[#This Row],[Periodo]],1,4)</f>
        <v>2026</v>
      </c>
      <c r="D2648" s="1" t="str">
        <f>MID(analisis_productividad__4[[#This Row],[Periodo]],5,2)</f>
        <v>06</v>
      </c>
      <c r="E2648" s="1" t="s">
        <v>11</v>
      </c>
      <c r="F2648" s="1" t="s">
        <v>14</v>
      </c>
      <c r="G2648" s="1">
        <v>62628</v>
      </c>
      <c r="H2648" s="1">
        <v>1893904</v>
      </c>
      <c r="I2648" s="1">
        <v>30.240680555555524</v>
      </c>
      <c r="J2648" s="1">
        <v>60897.923258886636</v>
      </c>
      <c r="K2648" s="1">
        <v>36</v>
      </c>
      <c r="L2648" s="1">
        <v>35</v>
      </c>
      <c r="M2648" s="1">
        <v>31.443465596679005</v>
      </c>
      <c r="N2648" s="1">
        <v>1914842</v>
      </c>
    </row>
    <row r="2649" spans="1:14" x14ac:dyDescent="0.35">
      <c r="A2649" s="1" t="s">
        <v>125</v>
      </c>
      <c r="B2649" s="1">
        <v>202512</v>
      </c>
      <c r="C2649" s="1" t="str">
        <f>MID(analisis_productividad__4[[#This Row],[Periodo]],1,4)</f>
        <v>2025</v>
      </c>
      <c r="D2649" s="1" t="str">
        <f>MID(analisis_productividad__4[[#This Row],[Periodo]],5,2)</f>
        <v>12</v>
      </c>
      <c r="E2649" s="1" t="s">
        <v>104</v>
      </c>
      <c r="F2649" s="1" t="s">
        <v>104</v>
      </c>
      <c r="G2649" s="1">
        <v>62627</v>
      </c>
      <c r="H2649" s="1">
        <v>3066355</v>
      </c>
      <c r="I2649" s="1">
        <v>48.962177419354802</v>
      </c>
      <c r="J2649" s="1">
        <v>58527.687323498205</v>
      </c>
      <c r="K2649" s="1">
        <v>59</v>
      </c>
      <c r="L2649" s="1">
        <v>50</v>
      </c>
      <c r="M2649" s="1">
        <v>52.391523913313677</v>
      </c>
      <c r="N2649" s="1">
        <v>3176297</v>
      </c>
    </row>
    <row r="2650" spans="1:14" x14ac:dyDescent="0.35">
      <c r="A2650" s="1" t="s">
        <v>117</v>
      </c>
      <c r="B2650" s="1">
        <v>202508</v>
      </c>
      <c r="C2650" s="1" t="str">
        <f>MID(analisis_productividad__4[[#This Row],[Periodo]],1,4)</f>
        <v>2025</v>
      </c>
      <c r="D2650" s="1" t="str">
        <f>MID(analisis_productividad__4[[#This Row],[Periodo]],5,2)</f>
        <v>08</v>
      </c>
      <c r="E2650" s="1" t="s">
        <v>104</v>
      </c>
      <c r="F2650" s="1" t="s">
        <v>104</v>
      </c>
      <c r="G2650" s="1">
        <v>62610</v>
      </c>
      <c r="H2650" s="1">
        <v>3860930</v>
      </c>
      <c r="I2650" s="1">
        <v>61.666095430107553</v>
      </c>
      <c r="J2650" s="1">
        <v>62117.905755088133</v>
      </c>
      <c r="K2650" s="1">
        <v>66</v>
      </c>
      <c r="L2650" s="1">
        <v>65.5</v>
      </c>
      <c r="M2650" s="1">
        <v>62.154871499088607</v>
      </c>
      <c r="N2650" s="1">
        <v>3653890</v>
      </c>
    </row>
    <row r="2651" spans="1:14" x14ac:dyDescent="0.35">
      <c r="A2651" s="1" t="s">
        <v>90</v>
      </c>
      <c r="B2651" s="1">
        <v>202402</v>
      </c>
      <c r="C2651" s="1" t="str">
        <f>MID(analisis_productividad__4[[#This Row],[Periodo]],1,4)</f>
        <v>2024</v>
      </c>
      <c r="D2651" s="1" t="str">
        <f>MID(analisis_productividad__4[[#This Row],[Periodo]],5,2)</f>
        <v>02</v>
      </c>
      <c r="E2651" s="1" t="s">
        <v>11</v>
      </c>
      <c r="F2651" s="1" t="s">
        <v>14</v>
      </c>
      <c r="G2651" s="1">
        <v>62597</v>
      </c>
      <c r="H2651" s="1">
        <v>5172296</v>
      </c>
      <c r="I2651" s="1">
        <v>82.628060344827588</v>
      </c>
      <c r="J2651" s="1">
        <v>0</v>
      </c>
      <c r="K2651" s="1">
        <v>84.5</v>
      </c>
      <c r="L2651" s="1">
        <v>78.5</v>
      </c>
      <c r="M2651" s="1"/>
      <c r="N2651" s="1">
        <v>0</v>
      </c>
    </row>
    <row r="2652" spans="1:14" x14ac:dyDescent="0.35">
      <c r="A2652" s="1" t="s">
        <v>117</v>
      </c>
      <c r="B2652" s="1">
        <v>202511</v>
      </c>
      <c r="C2652" s="1" t="str">
        <f>MID(analisis_productividad__4[[#This Row],[Periodo]],1,4)</f>
        <v>2025</v>
      </c>
      <c r="D2652" s="1" t="str">
        <f>MID(analisis_productividad__4[[#This Row],[Periodo]],5,2)</f>
        <v>11</v>
      </c>
      <c r="E2652" s="1" t="s">
        <v>104</v>
      </c>
      <c r="F2652" s="1" t="s">
        <v>104</v>
      </c>
      <c r="G2652" s="1">
        <v>62569</v>
      </c>
      <c r="H2652" s="1">
        <v>3732556</v>
      </c>
      <c r="I2652" s="1">
        <v>59.655361111111141</v>
      </c>
      <c r="J2652" s="1">
        <v>57147.042696670091</v>
      </c>
      <c r="K2652" s="1">
        <v>66</v>
      </c>
      <c r="L2652" s="1">
        <v>65.5</v>
      </c>
      <c r="M2652" s="1">
        <v>65.314945688650539</v>
      </c>
      <c r="N2652" s="1">
        <v>3588152</v>
      </c>
    </row>
    <row r="2653" spans="1:14" x14ac:dyDescent="0.35">
      <c r="A2653" s="1" t="s">
        <v>117</v>
      </c>
      <c r="B2653" s="1">
        <v>202503</v>
      </c>
      <c r="C2653" s="1" t="str">
        <f>MID(analisis_productividad__4[[#This Row],[Periodo]],1,4)</f>
        <v>2025</v>
      </c>
      <c r="D2653" s="1" t="str">
        <f>MID(analisis_productividad__4[[#This Row],[Periodo]],5,2)</f>
        <v>03</v>
      </c>
      <c r="E2653" s="1" t="s">
        <v>104</v>
      </c>
      <c r="F2653" s="1" t="s">
        <v>104</v>
      </c>
      <c r="G2653" s="1">
        <v>62561</v>
      </c>
      <c r="H2653" s="1">
        <v>3580872</v>
      </c>
      <c r="I2653" s="1">
        <v>57.238266129032283</v>
      </c>
      <c r="J2653" s="1">
        <v>61073.205197246789</v>
      </c>
      <c r="K2653" s="1">
        <v>66</v>
      </c>
      <c r="L2653" s="1">
        <v>65.5</v>
      </c>
      <c r="M2653" s="1">
        <v>58.632452291228816</v>
      </c>
      <c r="N2653" s="1">
        <v>3794339</v>
      </c>
    </row>
    <row r="2654" spans="1:14" x14ac:dyDescent="0.35">
      <c r="A2654" s="1" t="s">
        <v>108</v>
      </c>
      <c r="B2654" s="1">
        <v>202601</v>
      </c>
      <c r="C2654" s="1" t="str">
        <f>MID(analisis_productividad__4[[#This Row],[Periodo]],1,4)</f>
        <v>2026</v>
      </c>
      <c r="D2654" s="1" t="str">
        <f>MID(analisis_productividad__4[[#This Row],[Periodo]],5,2)</f>
        <v>01</v>
      </c>
      <c r="E2654" s="1" t="s">
        <v>11</v>
      </c>
      <c r="F2654" s="1" t="s">
        <v>14</v>
      </c>
      <c r="G2654" s="1">
        <v>62540</v>
      </c>
      <c r="H2654" s="1">
        <v>2593587</v>
      </c>
      <c r="I2654" s="1">
        <v>41.471048387096765</v>
      </c>
      <c r="J2654" s="1">
        <v>63177.380626943086</v>
      </c>
      <c r="K2654" s="1">
        <v>47.5</v>
      </c>
      <c r="L2654" s="1">
        <v>43</v>
      </c>
      <c r="M2654" s="1">
        <v>41.487905995618128</v>
      </c>
      <c r="N2654" s="1">
        <v>2621097</v>
      </c>
    </row>
    <row r="2655" spans="1:14" x14ac:dyDescent="0.35">
      <c r="A2655" s="1" t="s">
        <v>102</v>
      </c>
      <c r="B2655" s="1">
        <v>202511</v>
      </c>
      <c r="C2655" s="1" t="str">
        <f>MID(analisis_productividad__4[[#This Row],[Periodo]],1,4)</f>
        <v>2025</v>
      </c>
      <c r="D2655" s="1" t="str">
        <f>MID(analisis_productividad__4[[#This Row],[Periodo]],5,2)</f>
        <v>11</v>
      </c>
      <c r="E2655" s="1" t="s">
        <v>11</v>
      </c>
      <c r="F2655" s="1" t="s">
        <v>12</v>
      </c>
      <c r="G2655" s="1">
        <v>62495</v>
      </c>
      <c r="H2655" s="1">
        <v>1848445</v>
      </c>
      <c r="I2655" s="1">
        <v>29.577479166666663</v>
      </c>
      <c r="J2655" s="1">
        <v>64087.475439550493</v>
      </c>
      <c r="K2655" s="1">
        <v>34</v>
      </c>
      <c r="L2655" s="1">
        <v>34</v>
      </c>
      <c r="M2655" s="1">
        <v>28.842528392985564</v>
      </c>
      <c r="N2655" s="1">
        <v>1820105</v>
      </c>
    </row>
    <row r="2656" spans="1:14" x14ac:dyDescent="0.35">
      <c r="A2656" s="1" t="s">
        <v>85</v>
      </c>
      <c r="B2656" s="1">
        <v>202502</v>
      </c>
      <c r="C2656" s="1" t="str">
        <f>MID(analisis_productividad__4[[#This Row],[Periodo]],1,4)</f>
        <v>2025</v>
      </c>
      <c r="D2656" s="1" t="str">
        <f>MID(analisis_productividad__4[[#This Row],[Periodo]],5,2)</f>
        <v>02</v>
      </c>
      <c r="E2656" s="1" t="s">
        <v>11</v>
      </c>
      <c r="F2656" s="1" t="s">
        <v>14</v>
      </c>
      <c r="G2656" s="1">
        <v>62492</v>
      </c>
      <c r="H2656" s="1">
        <v>3438742</v>
      </c>
      <c r="I2656" s="1">
        <v>55.027083333333323</v>
      </c>
      <c r="J2656" s="1">
        <v>68787.099020740978</v>
      </c>
      <c r="K2656" s="1">
        <v>60.5</v>
      </c>
      <c r="L2656" s="1">
        <v>57.5</v>
      </c>
      <c r="M2656" s="1">
        <v>49.991085668013646</v>
      </c>
      <c r="N2656" s="1">
        <v>3445531</v>
      </c>
    </row>
    <row r="2657" spans="1:14" x14ac:dyDescent="0.35">
      <c r="A2657" s="1" t="s">
        <v>119</v>
      </c>
      <c r="B2657" s="1">
        <v>202506</v>
      </c>
      <c r="C2657" s="1" t="str">
        <f>MID(analisis_productividad__4[[#This Row],[Periodo]],1,4)</f>
        <v>2025</v>
      </c>
      <c r="D2657" s="1" t="str">
        <f>MID(analisis_productividad__4[[#This Row],[Periodo]],5,2)</f>
        <v>06</v>
      </c>
      <c r="E2657" s="1" t="s">
        <v>16</v>
      </c>
      <c r="F2657" s="1" t="s">
        <v>21</v>
      </c>
      <c r="G2657" s="1">
        <v>62470</v>
      </c>
      <c r="H2657" s="1">
        <v>2996137</v>
      </c>
      <c r="I2657" s="1">
        <v>47.961229166666648</v>
      </c>
      <c r="J2657" s="1">
        <v>67484.697465417674</v>
      </c>
      <c r="K2657" s="1">
        <v>52.5</v>
      </c>
      <c r="L2657" s="1">
        <v>52.5</v>
      </c>
      <c r="M2657" s="1">
        <v>44.397274234434562</v>
      </c>
      <c r="N2657" s="1">
        <v>3640308</v>
      </c>
    </row>
    <row r="2658" spans="1:14" x14ac:dyDescent="0.35">
      <c r="A2658" s="1" t="s">
        <v>73</v>
      </c>
      <c r="B2658" s="1">
        <v>202404</v>
      </c>
      <c r="C2658" s="1" t="str">
        <f>MID(analisis_productividad__4[[#This Row],[Periodo]],1,4)</f>
        <v>2024</v>
      </c>
      <c r="D2658" s="1" t="str">
        <f>MID(analisis_productividad__4[[#This Row],[Periodo]],5,2)</f>
        <v>04</v>
      </c>
      <c r="E2658" s="1" t="s">
        <v>16</v>
      </c>
      <c r="F2658" s="1" t="s">
        <v>21</v>
      </c>
      <c r="G2658" s="1">
        <v>62469</v>
      </c>
      <c r="H2658" s="1">
        <v>2598351</v>
      </c>
      <c r="I2658" s="1">
        <v>41.594097222222224</v>
      </c>
      <c r="J2658" s="1">
        <v>0</v>
      </c>
      <c r="K2658" s="1">
        <v>43.5</v>
      </c>
      <c r="L2658" s="1">
        <v>41</v>
      </c>
      <c r="M2658" s="1"/>
      <c r="N2658" s="1">
        <v>0</v>
      </c>
    </row>
    <row r="2659" spans="1:14" x14ac:dyDescent="0.35">
      <c r="A2659" s="1" t="s">
        <v>92</v>
      </c>
      <c r="B2659" s="1">
        <v>202405</v>
      </c>
      <c r="C2659" s="1" t="str">
        <f>MID(analisis_productividad__4[[#This Row],[Periodo]],1,4)</f>
        <v>2024</v>
      </c>
      <c r="D2659" s="1" t="str">
        <f>MID(analisis_productividad__4[[#This Row],[Periodo]],5,2)</f>
        <v>05</v>
      </c>
      <c r="E2659" s="1" t="s">
        <v>11</v>
      </c>
      <c r="F2659" s="1" t="s">
        <v>14</v>
      </c>
      <c r="G2659" s="1">
        <v>62451</v>
      </c>
      <c r="H2659" s="1">
        <v>3530353</v>
      </c>
      <c r="I2659" s="1">
        <v>56.53008064516127</v>
      </c>
      <c r="J2659" s="1">
        <v>0</v>
      </c>
      <c r="K2659" s="1">
        <v>63</v>
      </c>
      <c r="L2659" s="1">
        <v>59</v>
      </c>
      <c r="M2659" s="1"/>
      <c r="N2659" s="1">
        <v>0</v>
      </c>
    </row>
    <row r="2660" spans="1:14" x14ac:dyDescent="0.35">
      <c r="A2660" s="1" t="s">
        <v>111</v>
      </c>
      <c r="B2660" s="1">
        <v>202508</v>
      </c>
      <c r="C2660" s="1" t="str">
        <f>MID(analisis_productividad__4[[#This Row],[Periodo]],1,4)</f>
        <v>2025</v>
      </c>
      <c r="D2660" s="1" t="str">
        <f>MID(analisis_productividad__4[[#This Row],[Periodo]],5,2)</f>
        <v>08</v>
      </c>
      <c r="E2660" s="1" t="s">
        <v>34</v>
      </c>
      <c r="F2660" s="1" t="s">
        <v>35</v>
      </c>
      <c r="G2660" s="1">
        <v>62451</v>
      </c>
      <c r="H2660" s="1">
        <v>2341679</v>
      </c>
      <c r="I2660" s="1">
        <v>37.496525537634412</v>
      </c>
      <c r="J2660" s="1">
        <v>65077.749545937026</v>
      </c>
      <c r="K2660" s="1">
        <v>45.5</v>
      </c>
      <c r="L2660" s="1">
        <v>42.5</v>
      </c>
      <c r="M2660" s="1">
        <v>35.982785304323684</v>
      </c>
      <c r="N2660" s="1">
        <v>2401397</v>
      </c>
    </row>
    <row r="2661" spans="1:14" x14ac:dyDescent="0.35">
      <c r="A2661" s="1" t="s">
        <v>108</v>
      </c>
      <c r="B2661" s="1">
        <v>202407</v>
      </c>
      <c r="C2661" s="1" t="str">
        <f>MID(analisis_productividad__4[[#This Row],[Periodo]],1,4)</f>
        <v>2024</v>
      </c>
      <c r="D2661" s="1" t="str">
        <f>MID(analisis_productividad__4[[#This Row],[Periodo]],5,2)</f>
        <v>07</v>
      </c>
      <c r="E2661" s="1" t="s">
        <v>11</v>
      </c>
      <c r="F2661" s="1" t="s">
        <v>14</v>
      </c>
      <c r="G2661" s="1">
        <v>62423</v>
      </c>
      <c r="H2661" s="1">
        <v>2946064</v>
      </c>
      <c r="I2661" s="1">
        <v>47.19510080645162</v>
      </c>
      <c r="J2661" s="1">
        <v>0</v>
      </c>
      <c r="K2661" s="1">
        <v>47.5</v>
      </c>
      <c r="L2661" s="1">
        <v>43</v>
      </c>
      <c r="M2661" s="1"/>
      <c r="N2661" s="1">
        <v>0</v>
      </c>
    </row>
    <row r="2662" spans="1:14" x14ac:dyDescent="0.35">
      <c r="A2662" s="1" t="s">
        <v>114</v>
      </c>
      <c r="B2662" s="1">
        <v>202406</v>
      </c>
      <c r="C2662" s="1" t="str">
        <f>MID(analisis_productividad__4[[#This Row],[Periodo]],1,4)</f>
        <v>2024</v>
      </c>
      <c r="D2662" s="1" t="str">
        <f>MID(analisis_productividad__4[[#This Row],[Periodo]],5,2)</f>
        <v>06</v>
      </c>
      <c r="E2662" s="1" t="s">
        <v>9</v>
      </c>
      <c r="F2662" s="1" t="s">
        <v>9</v>
      </c>
      <c r="G2662" s="1">
        <v>62422</v>
      </c>
      <c r="H2662" s="1">
        <v>856504</v>
      </c>
      <c r="I2662" s="1">
        <v>13.721215277777777</v>
      </c>
      <c r="J2662" s="1">
        <v>0</v>
      </c>
      <c r="K2662" s="1">
        <v>13.5</v>
      </c>
      <c r="L2662" s="1">
        <v>14.5</v>
      </c>
      <c r="M2662" s="1"/>
      <c r="N2662" s="1">
        <v>0</v>
      </c>
    </row>
    <row r="2663" spans="1:14" x14ac:dyDescent="0.35">
      <c r="A2663" s="1" t="s">
        <v>113</v>
      </c>
      <c r="B2663" s="1">
        <v>202405</v>
      </c>
      <c r="C2663" s="1" t="str">
        <f>MID(analisis_productividad__4[[#This Row],[Periodo]],1,4)</f>
        <v>2024</v>
      </c>
      <c r="D2663" s="1" t="str">
        <f>MID(analisis_productividad__4[[#This Row],[Periodo]],5,2)</f>
        <v>05</v>
      </c>
      <c r="E2663" s="1" t="s">
        <v>9</v>
      </c>
      <c r="F2663" s="1" t="s">
        <v>9</v>
      </c>
      <c r="G2663" s="1">
        <v>62371</v>
      </c>
      <c r="H2663" s="1">
        <v>602683</v>
      </c>
      <c r="I2663" s="1">
        <v>9.6629166666666677</v>
      </c>
      <c r="J2663" s="1">
        <v>0</v>
      </c>
      <c r="K2663" s="1">
        <v>11.5</v>
      </c>
      <c r="L2663" s="1">
        <v>10</v>
      </c>
      <c r="M2663" s="1"/>
      <c r="N2663" s="1">
        <v>0</v>
      </c>
    </row>
    <row r="2664" spans="1:14" x14ac:dyDescent="0.35">
      <c r="A2664" s="1" t="s">
        <v>105</v>
      </c>
      <c r="B2664" s="1">
        <v>202509</v>
      </c>
      <c r="C2664" s="1" t="str">
        <f>MID(analisis_productividad__4[[#This Row],[Periodo]],1,4)</f>
        <v>2025</v>
      </c>
      <c r="D2664" s="1" t="str">
        <f>MID(analisis_productividad__4[[#This Row],[Periodo]],5,2)</f>
        <v>09</v>
      </c>
      <c r="E2664" s="1" t="s">
        <v>34</v>
      </c>
      <c r="F2664" s="1" t="s">
        <v>35</v>
      </c>
      <c r="G2664" s="1">
        <v>62342</v>
      </c>
      <c r="H2664" s="1">
        <v>2125939</v>
      </c>
      <c r="I2664" s="1">
        <v>34.101034722222217</v>
      </c>
      <c r="J2664" s="1">
        <v>56194.808763333</v>
      </c>
      <c r="K2664" s="1">
        <v>33</v>
      </c>
      <c r="L2664" s="1">
        <v>31.5</v>
      </c>
      <c r="M2664" s="1">
        <v>37.83158438982305</v>
      </c>
      <c r="N2664" s="1">
        <v>2645208</v>
      </c>
    </row>
    <row r="2665" spans="1:14" x14ac:dyDescent="0.35">
      <c r="A2665" s="1" t="s">
        <v>121</v>
      </c>
      <c r="B2665" s="1">
        <v>202505</v>
      </c>
      <c r="C2665" s="1" t="str">
        <f>MID(analisis_productividad__4[[#This Row],[Periodo]],1,4)</f>
        <v>2025</v>
      </c>
      <c r="D2665" s="1" t="str">
        <f>MID(analisis_productividad__4[[#This Row],[Periodo]],5,2)</f>
        <v>05</v>
      </c>
      <c r="E2665" s="1" t="s">
        <v>11</v>
      </c>
      <c r="F2665" s="1" t="s">
        <v>14</v>
      </c>
      <c r="G2665" s="1">
        <v>62309</v>
      </c>
      <c r="H2665" s="1">
        <v>1989571</v>
      </c>
      <c r="I2665" s="1">
        <v>31.930678763440856</v>
      </c>
      <c r="J2665" s="1">
        <v>55049.27232488407</v>
      </c>
      <c r="K2665" s="1">
        <v>36</v>
      </c>
      <c r="L2665" s="1">
        <v>35</v>
      </c>
      <c r="M2665" s="1">
        <v>36.141641223850456</v>
      </c>
      <c r="N2665" s="1">
        <v>2024388</v>
      </c>
    </row>
    <row r="2666" spans="1:14" x14ac:dyDescent="0.35">
      <c r="A2666" s="1" t="s">
        <v>118</v>
      </c>
      <c r="B2666" s="1">
        <v>202408</v>
      </c>
      <c r="C2666" s="1" t="str">
        <f>MID(analisis_productividad__4[[#This Row],[Periodo]],1,4)</f>
        <v>2024</v>
      </c>
      <c r="D2666" s="1" t="str">
        <f>MID(analisis_productividad__4[[#This Row],[Periodo]],5,2)</f>
        <v>08</v>
      </c>
      <c r="E2666" s="1" t="s">
        <v>34</v>
      </c>
      <c r="F2666" s="1" t="s">
        <v>35</v>
      </c>
      <c r="G2666" s="1">
        <v>62280</v>
      </c>
      <c r="H2666" s="1">
        <v>1213449</v>
      </c>
      <c r="I2666" s="1">
        <v>19.483709677419359</v>
      </c>
      <c r="J2666" s="1">
        <v>0</v>
      </c>
      <c r="K2666" s="1">
        <v>19</v>
      </c>
      <c r="L2666" s="1">
        <v>21.5</v>
      </c>
      <c r="M2666" s="1"/>
      <c r="N2666" s="1">
        <v>0</v>
      </c>
    </row>
    <row r="2667" spans="1:14" x14ac:dyDescent="0.35">
      <c r="A2667" s="1" t="s">
        <v>102</v>
      </c>
      <c r="B2667" s="1">
        <v>202602</v>
      </c>
      <c r="C2667" s="1" t="str">
        <f>MID(analisis_productividad__4[[#This Row],[Periodo]],1,4)</f>
        <v>2026</v>
      </c>
      <c r="D2667" s="1" t="str">
        <f>MID(analisis_productividad__4[[#This Row],[Periodo]],5,2)</f>
        <v>02</v>
      </c>
      <c r="E2667" s="1" t="s">
        <v>11</v>
      </c>
      <c r="F2667" s="1" t="s">
        <v>12</v>
      </c>
      <c r="G2667" s="1">
        <v>62232</v>
      </c>
      <c r="H2667" s="1">
        <v>1815764</v>
      </c>
      <c r="I2667" s="1">
        <v>29.177187499999999</v>
      </c>
      <c r="J2667" s="1">
        <v>57191.088217385673</v>
      </c>
      <c r="K2667" s="1">
        <v>34</v>
      </c>
      <c r="L2667" s="1">
        <v>34</v>
      </c>
      <c r="M2667" s="1">
        <v>29.696606396863505</v>
      </c>
      <c r="N2667" s="1">
        <v>1698381</v>
      </c>
    </row>
    <row r="2668" spans="1:14" x14ac:dyDescent="0.35">
      <c r="A2668" s="1" t="s">
        <v>108</v>
      </c>
      <c r="B2668" s="1">
        <v>202511</v>
      </c>
      <c r="C2668" s="1" t="str">
        <f>MID(analisis_productividad__4[[#This Row],[Periodo]],1,4)</f>
        <v>2025</v>
      </c>
      <c r="D2668" s="1" t="str">
        <f>MID(analisis_productividad__4[[#This Row],[Periodo]],5,2)</f>
        <v>11</v>
      </c>
      <c r="E2668" s="1" t="s">
        <v>11</v>
      </c>
      <c r="F2668" s="1" t="s">
        <v>14</v>
      </c>
      <c r="G2668" s="1">
        <v>62229</v>
      </c>
      <c r="H2668" s="1">
        <v>2507948</v>
      </c>
      <c r="I2668" s="1">
        <v>40.301673611111106</v>
      </c>
      <c r="J2668" s="1">
        <v>64444.085821496075</v>
      </c>
      <c r="K2668" s="1">
        <v>47.5</v>
      </c>
      <c r="L2668" s="1">
        <v>43</v>
      </c>
      <c r="M2668" s="1">
        <v>38.916650426957311</v>
      </c>
      <c r="N2668" s="1">
        <v>3048531</v>
      </c>
    </row>
    <row r="2669" spans="1:14" x14ac:dyDescent="0.35">
      <c r="A2669" s="1" t="s">
        <v>85</v>
      </c>
      <c r="B2669" s="1">
        <v>202404</v>
      </c>
      <c r="C2669" s="1" t="str">
        <f>MID(analisis_productividad__4[[#This Row],[Periodo]],1,4)</f>
        <v>2024</v>
      </c>
      <c r="D2669" s="1" t="str">
        <f>MID(analisis_productividad__4[[#This Row],[Periodo]],5,2)</f>
        <v>04</v>
      </c>
      <c r="E2669" s="1" t="s">
        <v>11</v>
      </c>
      <c r="F2669" s="1" t="s">
        <v>14</v>
      </c>
      <c r="G2669" s="1">
        <v>62212</v>
      </c>
      <c r="H2669" s="1">
        <v>3340792</v>
      </c>
      <c r="I2669" s="1">
        <v>53.700208333333329</v>
      </c>
      <c r="J2669" s="1">
        <v>0</v>
      </c>
      <c r="K2669" s="1">
        <v>60.5</v>
      </c>
      <c r="L2669" s="1">
        <v>57.5</v>
      </c>
      <c r="M2669" s="1"/>
      <c r="N2669" s="1">
        <v>0</v>
      </c>
    </row>
    <row r="2670" spans="1:14" x14ac:dyDescent="0.35">
      <c r="A2670" s="1" t="s">
        <v>85</v>
      </c>
      <c r="B2670" s="1">
        <v>202506</v>
      </c>
      <c r="C2670" s="1" t="str">
        <f>MID(analisis_productividad__4[[#This Row],[Periodo]],1,4)</f>
        <v>2025</v>
      </c>
      <c r="D2670" s="1" t="str">
        <f>MID(analisis_productividad__4[[#This Row],[Periodo]],5,2)</f>
        <v>06</v>
      </c>
      <c r="E2670" s="1" t="s">
        <v>11</v>
      </c>
      <c r="F2670" s="1" t="s">
        <v>14</v>
      </c>
      <c r="G2670" s="1">
        <v>62198</v>
      </c>
      <c r="H2670" s="1">
        <v>3322932</v>
      </c>
      <c r="I2670" s="1">
        <v>53.425409722222248</v>
      </c>
      <c r="J2670" s="1">
        <v>73709.551659058983</v>
      </c>
      <c r="K2670" s="1">
        <v>60.5</v>
      </c>
      <c r="L2670" s="1">
        <v>57.5</v>
      </c>
      <c r="M2670" s="1">
        <v>45.081423712493958</v>
      </c>
      <c r="N2670" s="1">
        <v>3793753</v>
      </c>
    </row>
    <row r="2671" spans="1:14" x14ac:dyDescent="0.35">
      <c r="A2671" s="1" t="s">
        <v>113</v>
      </c>
      <c r="B2671" s="1">
        <v>202603</v>
      </c>
      <c r="C2671" s="1" t="str">
        <f>MID(analisis_productividad__4[[#This Row],[Periodo]],1,4)</f>
        <v>2026</v>
      </c>
      <c r="D2671" s="1" t="str">
        <f>MID(analisis_productividad__4[[#This Row],[Periodo]],5,2)</f>
        <v>03</v>
      </c>
      <c r="E2671" s="1" t="s">
        <v>9</v>
      </c>
      <c r="F2671" s="1" t="s">
        <v>9</v>
      </c>
      <c r="G2671" s="1">
        <v>62177</v>
      </c>
      <c r="H2671" s="1">
        <v>647020</v>
      </c>
      <c r="I2671" s="1">
        <v>10.406102150537633</v>
      </c>
      <c r="J2671" s="1">
        <v>67737.987190859189</v>
      </c>
      <c r="K2671" s="1">
        <v>11.5</v>
      </c>
      <c r="L2671" s="1">
        <v>10</v>
      </c>
      <c r="M2671" s="1">
        <v>10.042294324207418</v>
      </c>
      <c r="N2671" s="1">
        <v>680245</v>
      </c>
    </row>
    <row r="2672" spans="1:14" x14ac:dyDescent="0.35">
      <c r="A2672" s="1" t="s">
        <v>110</v>
      </c>
      <c r="B2672" s="1">
        <v>202501</v>
      </c>
      <c r="C2672" s="1" t="str">
        <f>MID(analisis_productividad__4[[#This Row],[Periodo]],1,4)</f>
        <v>2025</v>
      </c>
      <c r="D2672" s="1" t="str">
        <f>MID(analisis_productividad__4[[#This Row],[Periodo]],5,2)</f>
        <v>01</v>
      </c>
      <c r="E2672" s="1" t="s">
        <v>34</v>
      </c>
      <c r="F2672" s="1" t="s">
        <v>35</v>
      </c>
      <c r="G2672" s="1">
        <v>62169</v>
      </c>
      <c r="H2672" s="1">
        <v>2185237</v>
      </c>
      <c r="I2672" s="1">
        <v>35.149879032258056</v>
      </c>
      <c r="J2672" s="1">
        <v>64546.729086109925</v>
      </c>
      <c r="K2672" s="1">
        <v>41.5</v>
      </c>
      <c r="L2672" s="1">
        <v>43</v>
      </c>
      <c r="M2672" s="1">
        <v>33.855111962137364</v>
      </c>
      <c r="N2672" s="1">
        <v>2347229</v>
      </c>
    </row>
    <row r="2673" spans="1:14" x14ac:dyDescent="0.35">
      <c r="A2673" s="1" t="s">
        <v>92</v>
      </c>
      <c r="B2673" s="1">
        <v>202404</v>
      </c>
      <c r="C2673" s="1" t="str">
        <f>MID(analisis_productividad__4[[#This Row],[Periodo]],1,4)</f>
        <v>2024</v>
      </c>
      <c r="D2673" s="1" t="str">
        <f>MID(analisis_productividad__4[[#This Row],[Periodo]],5,2)</f>
        <v>04</v>
      </c>
      <c r="E2673" s="1" t="s">
        <v>11</v>
      </c>
      <c r="F2673" s="1" t="s">
        <v>14</v>
      </c>
      <c r="G2673" s="1">
        <v>62163</v>
      </c>
      <c r="H2673" s="1">
        <v>3504098</v>
      </c>
      <c r="I2673" s="1">
        <v>56.369152777777792</v>
      </c>
      <c r="J2673" s="1">
        <v>0</v>
      </c>
      <c r="K2673" s="1">
        <v>63</v>
      </c>
      <c r="L2673" s="1">
        <v>59</v>
      </c>
      <c r="M2673" s="1"/>
      <c r="N2673" s="1">
        <v>0</v>
      </c>
    </row>
    <row r="2674" spans="1:14" x14ac:dyDescent="0.35">
      <c r="A2674" s="1" t="s">
        <v>114</v>
      </c>
      <c r="B2674" s="1">
        <v>202408</v>
      </c>
      <c r="C2674" s="1" t="str">
        <f>MID(analisis_productividad__4[[#This Row],[Periodo]],1,4)</f>
        <v>2024</v>
      </c>
      <c r="D2674" s="1" t="str">
        <f>MID(analisis_productividad__4[[#This Row],[Periodo]],5,2)</f>
        <v>08</v>
      </c>
      <c r="E2674" s="1" t="s">
        <v>9</v>
      </c>
      <c r="F2674" s="1" t="s">
        <v>9</v>
      </c>
      <c r="G2674" s="1">
        <v>62159</v>
      </c>
      <c r="H2674" s="1">
        <v>777329</v>
      </c>
      <c r="I2674" s="1">
        <v>12.505490591397853</v>
      </c>
      <c r="J2674" s="1">
        <v>0</v>
      </c>
      <c r="K2674" s="1">
        <v>13.5</v>
      </c>
      <c r="L2674" s="1">
        <v>14.5</v>
      </c>
      <c r="M2674" s="1"/>
      <c r="N2674" s="1">
        <v>0</v>
      </c>
    </row>
    <row r="2675" spans="1:14" x14ac:dyDescent="0.35">
      <c r="A2675" s="1" t="s">
        <v>92</v>
      </c>
      <c r="B2675" s="1">
        <v>202411</v>
      </c>
      <c r="C2675" s="1" t="str">
        <f>MID(analisis_productividad__4[[#This Row],[Periodo]],1,4)</f>
        <v>2024</v>
      </c>
      <c r="D2675" s="1" t="str">
        <f>MID(analisis_productividad__4[[#This Row],[Periodo]],5,2)</f>
        <v>11</v>
      </c>
      <c r="E2675" s="1" t="s">
        <v>11</v>
      </c>
      <c r="F2675" s="1" t="s">
        <v>14</v>
      </c>
      <c r="G2675" s="1">
        <v>62100</v>
      </c>
      <c r="H2675" s="1">
        <v>3602140</v>
      </c>
      <c r="I2675" s="1">
        <v>58.005159722222224</v>
      </c>
      <c r="J2675" s="1">
        <v>0</v>
      </c>
      <c r="K2675" s="1">
        <v>63</v>
      </c>
      <c r="L2675" s="1">
        <v>59</v>
      </c>
      <c r="M2675" s="1"/>
      <c r="N2675" s="1">
        <v>0</v>
      </c>
    </row>
    <row r="2676" spans="1:14" x14ac:dyDescent="0.35">
      <c r="A2676" s="1" t="s">
        <v>115</v>
      </c>
      <c r="B2676" s="1">
        <v>202508</v>
      </c>
      <c r="C2676" s="1" t="str">
        <f>MID(analisis_productividad__4[[#This Row],[Periodo]],1,4)</f>
        <v>2025</v>
      </c>
      <c r="D2676" s="1" t="str">
        <f>MID(analisis_productividad__4[[#This Row],[Periodo]],5,2)</f>
        <v>08</v>
      </c>
      <c r="E2676" s="1" t="s">
        <v>34</v>
      </c>
      <c r="F2676" s="1" t="s">
        <v>35</v>
      </c>
      <c r="G2676" s="1">
        <v>62048</v>
      </c>
      <c r="H2676" s="1">
        <v>2856244</v>
      </c>
      <c r="I2676" s="1">
        <v>46.032762096774192</v>
      </c>
      <c r="J2676" s="1">
        <v>63836.599296574401</v>
      </c>
      <c r="K2676" s="1">
        <v>53.5</v>
      </c>
      <c r="L2676" s="1">
        <v>51</v>
      </c>
      <c r="M2676" s="1">
        <v>44.743041632439706</v>
      </c>
      <c r="N2676" s="1">
        <v>3140492</v>
      </c>
    </row>
    <row r="2677" spans="1:14" x14ac:dyDescent="0.35">
      <c r="A2677" s="1" t="s">
        <v>119</v>
      </c>
      <c r="B2677" s="1">
        <v>202401</v>
      </c>
      <c r="C2677" s="1" t="str">
        <f>MID(analisis_productividad__4[[#This Row],[Periodo]],1,4)</f>
        <v>2024</v>
      </c>
      <c r="D2677" s="1" t="str">
        <f>MID(analisis_productividad__4[[#This Row],[Periodo]],5,2)</f>
        <v>01</v>
      </c>
      <c r="E2677" s="1" t="s">
        <v>16</v>
      </c>
      <c r="F2677" s="1" t="s">
        <v>21</v>
      </c>
      <c r="G2677" s="1">
        <v>61992</v>
      </c>
      <c r="H2677" s="1">
        <v>3333399</v>
      </c>
      <c r="I2677" s="1">
        <v>53.771102150537651</v>
      </c>
      <c r="J2677" s="1">
        <v>0</v>
      </c>
      <c r="K2677" s="1">
        <v>52.5</v>
      </c>
      <c r="L2677" s="1">
        <v>52.5</v>
      </c>
      <c r="M2677" s="1"/>
      <c r="N2677" s="1">
        <v>0</v>
      </c>
    </row>
    <row r="2678" spans="1:14" x14ac:dyDescent="0.35">
      <c r="A2678" s="1" t="s">
        <v>116</v>
      </c>
      <c r="B2678" s="1">
        <v>202504</v>
      </c>
      <c r="C2678" s="1" t="str">
        <f>MID(analisis_productividad__4[[#This Row],[Periodo]],1,4)</f>
        <v>2025</v>
      </c>
      <c r="D2678" s="1" t="str">
        <f>MID(analisis_productividad__4[[#This Row],[Periodo]],5,2)</f>
        <v>04</v>
      </c>
      <c r="E2678" s="1" t="s">
        <v>9</v>
      </c>
      <c r="F2678" s="1" t="s">
        <v>9</v>
      </c>
      <c r="G2678" s="1">
        <v>61981</v>
      </c>
      <c r="H2678" s="1">
        <v>613405</v>
      </c>
      <c r="I2678" s="1">
        <v>9.896638888888889</v>
      </c>
      <c r="J2678" s="1">
        <v>60463.477131881496</v>
      </c>
      <c r="K2678" s="1">
        <v>11.5</v>
      </c>
      <c r="L2678" s="1">
        <v>10</v>
      </c>
      <c r="M2678" s="1">
        <v>10.145057960561125</v>
      </c>
      <c r="N2678" s="1">
        <v>674470</v>
      </c>
    </row>
    <row r="2679" spans="1:14" x14ac:dyDescent="0.35">
      <c r="A2679" s="1" t="s">
        <v>99</v>
      </c>
      <c r="B2679" s="1">
        <v>202604</v>
      </c>
      <c r="C2679" s="1" t="str">
        <f>MID(analisis_productividad__4[[#This Row],[Periodo]],1,4)</f>
        <v>2026</v>
      </c>
      <c r="D2679" s="1" t="str">
        <f>MID(analisis_productividad__4[[#This Row],[Periodo]],5,2)</f>
        <v>04</v>
      </c>
      <c r="E2679" s="1" t="s">
        <v>11</v>
      </c>
      <c r="F2679" s="1" t="s">
        <v>12</v>
      </c>
      <c r="G2679" s="1">
        <v>61981</v>
      </c>
      <c r="H2679" s="1">
        <v>1474556</v>
      </c>
      <c r="I2679" s="1">
        <v>23.79047222222222</v>
      </c>
      <c r="J2679" s="1">
        <v>73667.269059276834</v>
      </c>
      <c r="K2679" s="1">
        <v>27</v>
      </c>
      <c r="L2679" s="1">
        <v>27</v>
      </c>
      <c r="M2679" s="1">
        <v>23.582599197509253</v>
      </c>
      <c r="N2679" s="1">
        <v>1737266</v>
      </c>
    </row>
    <row r="2680" spans="1:14" x14ac:dyDescent="0.35">
      <c r="A2680" s="1" t="s">
        <v>111</v>
      </c>
      <c r="B2680" s="1">
        <v>202408</v>
      </c>
      <c r="C2680" s="1" t="str">
        <f>MID(analisis_productividad__4[[#This Row],[Periodo]],1,4)</f>
        <v>2024</v>
      </c>
      <c r="D2680" s="1" t="str">
        <f>MID(analisis_productividad__4[[#This Row],[Periodo]],5,2)</f>
        <v>08</v>
      </c>
      <c r="E2680" s="1" t="s">
        <v>34</v>
      </c>
      <c r="F2680" s="1" t="s">
        <v>35</v>
      </c>
      <c r="G2680" s="1">
        <v>61979</v>
      </c>
      <c r="H2680" s="1">
        <v>2299143</v>
      </c>
      <c r="I2680" s="1">
        <v>37.095624999999998</v>
      </c>
      <c r="J2680" s="1">
        <v>0</v>
      </c>
      <c r="K2680" s="1">
        <v>45.5</v>
      </c>
      <c r="L2680" s="1">
        <v>42.5</v>
      </c>
      <c r="M2680" s="1"/>
      <c r="N2680" s="1">
        <v>0</v>
      </c>
    </row>
    <row r="2681" spans="1:14" x14ac:dyDescent="0.35">
      <c r="A2681" s="1" t="s">
        <v>111</v>
      </c>
      <c r="B2681" s="1">
        <v>202606</v>
      </c>
      <c r="C2681" s="1" t="str">
        <f>MID(analisis_productividad__4[[#This Row],[Periodo]],1,4)</f>
        <v>2026</v>
      </c>
      <c r="D2681" s="1" t="str">
        <f>MID(analisis_productividad__4[[#This Row],[Periodo]],5,2)</f>
        <v>06</v>
      </c>
      <c r="E2681" s="1" t="s">
        <v>34</v>
      </c>
      <c r="F2681" s="1" t="s">
        <v>35</v>
      </c>
      <c r="G2681" s="1">
        <v>61962</v>
      </c>
      <c r="H2681" s="1">
        <v>2347084</v>
      </c>
      <c r="I2681" s="1">
        <v>37.879381944444056</v>
      </c>
      <c r="J2681" s="1">
        <v>62557.850578079015</v>
      </c>
      <c r="K2681" s="1">
        <v>45.5</v>
      </c>
      <c r="L2681" s="1">
        <v>42.5</v>
      </c>
      <c r="M2681" s="1">
        <v>36.981595266169094</v>
      </c>
      <c r="N2681" s="1">
        <v>2313489</v>
      </c>
    </row>
    <row r="2682" spans="1:14" x14ac:dyDescent="0.35">
      <c r="A2682" s="1" t="s">
        <v>120</v>
      </c>
      <c r="B2682" s="1">
        <v>202511</v>
      </c>
      <c r="C2682" s="1" t="str">
        <f>MID(analisis_productividad__4[[#This Row],[Periodo]],1,4)</f>
        <v>2025</v>
      </c>
      <c r="D2682" s="1" t="str">
        <f>MID(analisis_productividad__4[[#This Row],[Periodo]],5,2)</f>
        <v>11</v>
      </c>
      <c r="E2682" s="1" t="s">
        <v>9</v>
      </c>
      <c r="F2682" s="1" t="s">
        <v>9</v>
      </c>
      <c r="G2682" s="1">
        <v>61947</v>
      </c>
      <c r="H2682" s="1">
        <v>712017</v>
      </c>
      <c r="I2682" s="1">
        <v>11.493999999999998</v>
      </c>
      <c r="J2682" s="1">
        <v>71204.444174849312</v>
      </c>
      <c r="K2682" s="1">
        <v>11.5</v>
      </c>
      <c r="L2682" s="1">
        <v>12</v>
      </c>
      <c r="M2682" s="1">
        <v>9.9996185385784866</v>
      </c>
      <c r="N2682" s="1">
        <v>864725</v>
      </c>
    </row>
    <row r="2683" spans="1:14" x14ac:dyDescent="0.35">
      <c r="A2683" s="1" t="s">
        <v>110</v>
      </c>
      <c r="B2683" s="1">
        <v>202411</v>
      </c>
      <c r="C2683" s="1" t="str">
        <f>MID(analisis_productividad__4[[#This Row],[Periodo]],1,4)</f>
        <v>2024</v>
      </c>
      <c r="D2683" s="1" t="str">
        <f>MID(analisis_productividad__4[[#This Row],[Periodo]],5,2)</f>
        <v>11</v>
      </c>
      <c r="E2683" s="1" t="s">
        <v>34</v>
      </c>
      <c r="F2683" s="1" t="s">
        <v>35</v>
      </c>
      <c r="G2683" s="1">
        <v>61868</v>
      </c>
      <c r="H2683" s="1">
        <v>2180306</v>
      </c>
      <c r="I2683" s="1">
        <v>35.241500000000016</v>
      </c>
      <c r="J2683" s="1">
        <v>0</v>
      </c>
      <c r="K2683" s="1">
        <v>41.5</v>
      </c>
      <c r="L2683" s="1">
        <v>43</v>
      </c>
      <c r="M2683" s="1"/>
      <c r="N2683" s="1">
        <v>0</v>
      </c>
    </row>
    <row r="2684" spans="1:14" x14ac:dyDescent="0.35">
      <c r="A2684" s="1" t="s">
        <v>8</v>
      </c>
      <c r="B2684" s="1">
        <v>202410</v>
      </c>
      <c r="C2684" s="1" t="str">
        <f>MID(analisis_productividad__4[[#This Row],[Periodo]],1,4)</f>
        <v>2024</v>
      </c>
      <c r="D2684" s="1" t="str">
        <f>MID(analisis_productividad__4[[#This Row],[Periodo]],5,2)</f>
        <v>10</v>
      </c>
      <c r="E2684" s="1" t="s">
        <v>9</v>
      </c>
      <c r="F2684" s="1" t="s">
        <v>9</v>
      </c>
      <c r="G2684" s="1">
        <v>61857</v>
      </c>
      <c r="H2684" s="1">
        <v>792295</v>
      </c>
      <c r="I2684" s="1">
        <v>12.808494623655919</v>
      </c>
      <c r="J2684" s="1">
        <v>0</v>
      </c>
      <c r="K2684" s="1">
        <v>13.5</v>
      </c>
      <c r="L2684" s="1">
        <v>12.5</v>
      </c>
      <c r="M2684" s="1"/>
      <c r="N2684" s="1">
        <v>0</v>
      </c>
    </row>
    <row r="2685" spans="1:14" x14ac:dyDescent="0.35">
      <c r="A2685" s="1" t="s">
        <v>121</v>
      </c>
      <c r="B2685" s="1">
        <v>202507</v>
      </c>
      <c r="C2685" s="1" t="str">
        <f>MID(analisis_productividad__4[[#This Row],[Periodo]],1,4)</f>
        <v>2025</v>
      </c>
      <c r="D2685" s="1" t="str">
        <f>MID(analisis_productividad__4[[#This Row],[Periodo]],5,2)</f>
        <v>07</v>
      </c>
      <c r="E2685" s="1" t="s">
        <v>11</v>
      </c>
      <c r="F2685" s="1" t="s">
        <v>14</v>
      </c>
      <c r="G2685" s="1">
        <v>61841</v>
      </c>
      <c r="H2685" s="1">
        <v>2010223</v>
      </c>
      <c r="I2685" s="1">
        <v>32.506485215053765</v>
      </c>
      <c r="J2685" s="1">
        <v>63351.520369439611</v>
      </c>
      <c r="K2685" s="1">
        <v>36</v>
      </c>
      <c r="L2685" s="1">
        <v>35</v>
      </c>
      <c r="M2685" s="1">
        <v>31.731244621711063</v>
      </c>
      <c r="N2685" s="1">
        <v>2288125</v>
      </c>
    </row>
    <row r="2686" spans="1:14" x14ac:dyDescent="0.35">
      <c r="A2686" s="1" t="s">
        <v>90</v>
      </c>
      <c r="B2686" s="1">
        <v>202404</v>
      </c>
      <c r="C2686" s="1" t="str">
        <f>MID(analisis_productividad__4[[#This Row],[Periodo]],1,4)</f>
        <v>2024</v>
      </c>
      <c r="D2686" s="1" t="str">
        <f>MID(analisis_productividad__4[[#This Row],[Periodo]],5,2)</f>
        <v>04</v>
      </c>
      <c r="E2686" s="1" t="s">
        <v>11</v>
      </c>
      <c r="F2686" s="1" t="s">
        <v>14</v>
      </c>
      <c r="G2686" s="1">
        <v>61827</v>
      </c>
      <c r="H2686" s="1">
        <v>5352725</v>
      </c>
      <c r="I2686" s="1">
        <v>86.575756944444421</v>
      </c>
      <c r="J2686" s="1">
        <v>0</v>
      </c>
      <c r="K2686" s="1">
        <v>84.5</v>
      </c>
      <c r="L2686" s="1">
        <v>78.5</v>
      </c>
      <c r="M2686" s="1"/>
      <c r="N2686" s="1">
        <v>0</v>
      </c>
    </row>
    <row r="2687" spans="1:14" x14ac:dyDescent="0.35">
      <c r="A2687" s="1" t="s">
        <v>127</v>
      </c>
      <c r="B2687" s="1">
        <v>202501</v>
      </c>
      <c r="C2687" s="1" t="str">
        <f>MID(analisis_productividad__4[[#This Row],[Periodo]],1,4)</f>
        <v>2025</v>
      </c>
      <c r="D2687" s="1" t="str">
        <f>MID(analisis_productividad__4[[#This Row],[Periodo]],5,2)</f>
        <v>01</v>
      </c>
      <c r="E2687" s="1" t="s">
        <v>104</v>
      </c>
      <c r="F2687" s="1" t="s">
        <v>104</v>
      </c>
      <c r="G2687" s="1">
        <v>61822</v>
      </c>
      <c r="H2687" s="1">
        <v>3268596</v>
      </c>
      <c r="I2687" s="1">
        <v>52.870934139784943</v>
      </c>
      <c r="J2687" s="1">
        <v>59762.566401335469</v>
      </c>
      <c r="K2687" s="1">
        <v>61.5</v>
      </c>
      <c r="L2687" s="1">
        <v>56</v>
      </c>
      <c r="M2687" s="1">
        <v>54.69303473431421</v>
      </c>
      <c r="N2687" s="1">
        <v>3179676</v>
      </c>
    </row>
    <row r="2688" spans="1:14" x14ac:dyDescent="0.35">
      <c r="A2688" s="1" t="s">
        <v>113</v>
      </c>
      <c r="B2688" s="1">
        <v>202510</v>
      </c>
      <c r="C2688" s="1" t="str">
        <f>MID(analisis_productividad__4[[#This Row],[Periodo]],1,4)</f>
        <v>2025</v>
      </c>
      <c r="D2688" s="1" t="str">
        <f>MID(analisis_productividad__4[[#This Row],[Periodo]],5,2)</f>
        <v>10</v>
      </c>
      <c r="E2688" s="1" t="s">
        <v>9</v>
      </c>
      <c r="F2688" s="1" t="s">
        <v>9</v>
      </c>
      <c r="G2688" s="1">
        <v>61766</v>
      </c>
      <c r="H2688" s="1">
        <v>551640</v>
      </c>
      <c r="I2688" s="1">
        <v>8.9311155913978499</v>
      </c>
      <c r="J2688" s="1">
        <v>58324.04545410526</v>
      </c>
      <c r="K2688" s="1">
        <v>11.5</v>
      </c>
      <c r="L2688" s="1">
        <v>10</v>
      </c>
      <c r="M2688" s="1">
        <v>9.4581983417813742</v>
      </c>
      <c r="N2688" s="1">
        <v>657794</v>
      </c>
    </row>
    <row r="2689" spans="1:14" x14ac:dyDescent="0.35">
      <c r="A2689" s="1" t="s">
        <v>116</v>
      </c>
      <c r="B2689" s="1">
        <v>202508</v>
      </c>
      <c r="C2689" s="1" t="str">
        <f>MID(analisis_productividad__4[[#This Row],[Periodo]],1,4)</f>
        <v>2025</v>
      </c>
      <c r="D2689" s="1" t="str">
        <f>MID(analisis_productividad__4[[#This Row],[Periodo]],5,2)</f>
        <v>08</v>
      </c>
      <c r="E2689" s="1" t="s">
        <v>9</v>
      </c>
      <c r="F2689" s="1" t="s">
        <v>9</v>
      </c>
      <c r="G2689" s="1">
        <v>61745</v>
      </c>
      <c r="H2689" s="1">
        <v>620337</v>
      </c>
      <c r="I2689" s="1">
        <v>10.04674059139785</v>
      </c>
      <c r="J2689" s="1">
        <v>56120.828959276005</v>
      </c>
      <c r="K2689" s="1">
        <v>11.5</v>
      </c>
      <c r="L2689" s="1">
        <v>10</v>
      </c>
      <c r="M2689" s="1">
        <v>11.053604365861148</v>
      </c>
      <c r="N2689" s="1">
        <v>664981</v>
      </c>
    </row>
    <row r="2690" spans="1:14" x14ac:dyDescent="0.35">
      <c r="A2690" s="1" t="s">
        <v>48</v>
      </c>
      <c r="B2690" s="1">
        <v>202409</v>
      </c>
      <c r="C2690" s="1" t="str">
        <f>MID(analisis_productividad__4[[#This Row],[Periodo]],1,4)</f>
        <v>2024</v>
      </c>
      <c r="D2690" s="1" t="str">
        <f>MID(analisis_productividad__4[[#This Row],[Periodo]],5,2)</f>
        <v>09</v>
      </c>
      <c r="E2690" s="1" t="s">
        <v>16</v>
      </c>
      <c r="F2690" s="1" t="s">
        <v>21</v>
      </c>
      <c r="G2690" s="1">
        <v>61743</v>
      </c>
      <c r="H2690" s="1">
        <v>3313877</v>
      </c>
      <c r="I2690" s="1">
        <v>53.672013888888898</v>
      </c>
      <c r="J2690" s="1">
        <v>0</v>
      </c>
      <c r="K2690" s="1">
        <v>56</v>
      </c>
      <c r="L2690" s="1">
        <v>60</v>
      </c>
      <c r="M2690" s="1"/>
      <c r="N2690" s="1">
        <v>0</v>
      </c>
    </row>
    <row r="2691" spans="1:14" x14ac:dyDescent="0.35">
      <c r="A2691" s="1" t="s">
        <v>78</v>
      </c>
      <c r="B2691" s="1">
        <v>202502</v>
      </c>
      <c r="C2691" s="1" t="str">
        <f>MID(analisis_productividad__4[[#This Row],[Periodo]],1,4)</f>
        <v>2025</v>
      </c>
      <c r="D2691" s="1" t="str">
        <f>MID(analisis_productividad__4[[#This Row],[Periodo]],5,2)</f>
        <v>02</v>
      </c>
      <c r="E2691" s="1" t="s">
        <v>11</v>
      </c>
      <c r="F2691" s="1" t="s">
        <v>14</v>
      </c>
      <c r="G2691" s="1">
        <v>61706</v>
      </c>
      <c r="H2691" s="1">
        <v>4481766</v>
      </c>
      <c r="I2691" s="1">
        <v>72.63041666666669</v>
      </c>
      <c r="J2691" s="1">
        <v>70330.854174203589</v>
      </c>
      <c r="K2691" s="1">
        <v>79.5</v>
      </c>
      <c r="L2691" s="1">
        <v>67</v>
      </c>
      <c r="M2691" s="1">
        <v>63.724043488780076</v>
      </c>
      <c r="N2691" s="1">
        <v>4805013</v>
      </c>
    </row>
    <row r="2692" spans="1:14" x14ac:dyDescent="0.35">
      <c r="A2692" s="1" t="s">
        <v>89</v>
      </c>
      <c r="B2692" s="1">
        <v>202411</v>
      </c>
      <c r="C2692" s="1" t="str">
        <f>MID(analisis_productividad__4[[#This Row],[Periodo]],1,4)</f>
        <v>2024</v>
      </c>
      <c r="D2692" s="1" t="str">
        <f>MID(analisis_productividad__4[[#This Row],[Periodo]],5,2)</f>
        <v>11</v>
      </c>
      <c r="E2692" s="1" t="s">
        <v>9</v>
      </c>
      <c r="F2692" s="1" t="s">
        <v>9</v>
      </c>
      <c r="G2692" s="1">
        <v>61655</v>
      </c>
      <c r="H2692" s="1">
        <v>962555</v>
      </c>
      <c r="I2692" s="1">
        <v>15.611944444444449</v>
      </c>
      <c r="J2692" s="1">
        <v>0</v>
      </c>
      <c r="K2692" s="1">
        <v>17</v>
      </c>
      <c r="L2692" s="1">
        <v>13.5</v>
      </c>
      <c r="M2692" s="1"/>
      <c r="N2692" s="1">
        <v>0</v>
      </c>
    </row>
    <row r="2693" spans="1:14" x14ac:dyDescent="0.35">
      <c r="A2693" s="1" t="s">
        <v>110</v>
      </c>
      <c r="B2693" s="1">
        <v>202503</v>
      </c>
      <c r="C2693" s="1" t="str">
        <f>MID(analisis_productividad__4[[#This Row],[Periodo]],1,4)</f>
        <v>2025</v>
      </c>
      <c r="D2693" s="1" t="str">
        <f>MID(analisis_productividad__4[[#This Row],[Periodo]],5,2)</f>
        <v>03</v>
      </c>
      <c r="E2693" s="1" t="s">
        <v>34</v>
      </c>
      <c r="F2693" s="1" t="s">
        <v>35</v>
      </c>
      <c r="G2693" s="1">
        <v>61577</v>
      </c>
      <c r="H2693" s="1">
        <v>2347002</v>
      </c>
      <c r="I2693" s="1">
        <v>38.115188172043005</v>
      </c>
      <c r="J2693" s="1">
        <v>63805.815704606866</v>
      </c>
      <c r="K2693" s="1">
        <v>41.5</v>
      </c>
      <c r="L2693" s="1">
        <v>43</v>
      </c>
      <c r="M2693" s="1">
        <v>36.783512193709683</v>
      </c>
      <c r="N2693" s="1">
        <v>2436628</v>
      </c>
    </row>
    <row r="2694" spans="1:14" x14ac:dyDescent="0.35">
      <c r="A2694" s="1" t="s">
        <v>92</v>
      </c>
      <c r="B2694" s="1">
        <v>202504</v>
      </c>
      <c r="C2694" s="1" t="str">
        <f>MID(analisis_productividad__4[[#This Row],[Periodo]],1,4)</f>
        <v>2025</v>
      </c>
      <c r="D2694" s="1" t="str">
        <f>MID(analisis_productividad__4[[#This Row],[Periodo]],5,2)</f>
        <v>04</v>
      </c>
      <c r="E2694" s="1" t="s">
        <v>11</v>
      </c>
      <c r="F2694" s="1" t="s">
        <v>14</v>
      </c>
      <c r="G2694" s="1">
        <v>61563</v>
      </c>
      <c r="H2694" s="1">
        <v>3653034</v>
      </c>
      <c r="I2694" s="1">
        <v>59.33836805555557</v>
      </c>
      <c r="J2694" s="1">
        <v>65271.561770757697</v>
      </c>
      <c r="K2694" s="1">
        <v>63</v>
      </c>
      <c r="L2694" s="1">
        <v>59</v>
      </c>
      <c r="M2694" s="1">
        <v>55.966693777451418</v>
      </c>
      <c r="N2694" s="1">
        <v>3980602</v>
      </c>
    </row>
    <row r="2695" spans="1:14" x14ac:dyDescent="0.35">
      <c r="A2695" s="1" t="s">
        <v>114</v>
      </c>
      <c r="B2695" s="1">
        <v>202512</v>
      </c>
      <c r="C2695" s="1" t="str">
        <f>MID(analisis_productividad__4[[#This Row],[Periodo]],1,4)</f>
        <v>2025</v>
      </c>
      <c r="D2695" s="1" t="str">
        <f>MID(analisis_productividad__4[[#This Row],[Periodo]],5,2)</f>
        <v>12</v>
      </c>
      <c r="E2695" s="1" t="s">
        <v>9</v>
      </c>
      <c r="F2695" s="1" t="s">
        <v>9</v>
      </c>
      <c r="G2695" s="1">
        <v>61555</v>
      </c>
      <c r="H2695" s="1">
        <v>1162585</v>
      </c>
      <c r="I2695" s="1">
        <v>18.886780913978487</v>
      </c>
      <c r="J2695" s="1">
        <v>67174.379761159027</v>
      </c>
      <c r="K2695" s="1">
        <v>13.5</v>
      </c>
      <c r="L2695" s="1">
        <v>14.5</v>
      </c>
      <c r="M2695" s="1">
        <v>17.306969325710387</v>
      </c>
      <c r="N2695" s="1">
        <v>1363035</v>
      </c>
    </row>
    <row r="2696" spans="1:14" x14ac:dyDescent="0.35">
      <c r="A2696" s="1" t="s">
        <v>114</v>
      </c>
      <c r="B2696" s="1">
        <v>202409</v>
      </c>
      <c r="C2696" s="1" t="str">
        <f>MID(analisis_productividad__4[[#This Row],[Periodo]],1,4)</f>
        <v>2024</v>
      </c>
      <c r="D2696" s="1" t="str">
        <f>MID(analisis_productividad__4[[#This Row],[Periodo]],5,2)</f>
        <v>09</v>
      </c>
      <c r="E2696" s="1" t="s">
        <v>9</v>
      </c>
      <c r="F2696" s="1" t="s">
        <v>9</v>
      </c>
      <c r="G2696" s="1">
        <v>61539</v>
      </c>
      <c r="H2696" s="1">
        <v>822095</v>
      </c>
      <c r="I2696" s="1">
        <v>13.358965277777779</v>
      </c>
      <c r="J2696" s="1">
        <v>0</v>
      </c>
      <c r="K2696" s="1">
        <v>13.5</v>
      </c>
      <c r="L2696" s="1">
        <v>14.5</v>
      </c>
      <c r="M2696" s="1"/>
      <c r="N2696" s="1">
        <v>0</v>
      </c>
    </row>
    <row r="2697" spans="1:14" x14ac:dyDescent="0.35">
      <c r="A2697" s="1" t="s">
        <v>73</v>
      </c>
      <c r="B2697" s="1">
        <v>202405</v>
      </c>
      <c r="C2697" s="1" t="str">
        <f>MID(analisis_productividad__4[[#This Row],[Periodo]],1,4)</f>
        <v>2024</v>
      </c>
      <c r="D2697" s="1" t="str">
        <f>MID(analisis_productividad__4[[#This Row],[Periodo]],5,2)</f>
        <v>05</v>
      </c>
      <c r="E2697" s="1" t="s">
        <v>16</v>
      </c>
      <c r="F2697" s="1" t="s">
        <v>21</v>
      </c>
      <c r="G2697" s="1">
        <v>61538</v>
      </c>
      <c r="H2697" s="1">
        <v>2561476</v>
      </c>
      <c r="I2697" s="1">
        <v>41.624220430107535</v>
      </c>
      <c r="J2697" s="1">
        <v>0</v>
      </c>
      <c r="K2697" s="1">
        <v>43.5</v>
      </c>
      <c r="L2697" s="1">
        <v>41</v>
      </c>
      <c r="M2697" s="1"/>
      <c r="N2697" s="1">
        <v>0</v>
      </c>
    </row>
    <row r="2698" spans="1:14" x14ac:dyDescent="0.35">
      <c r="A2698" s="1" t="s">
        <v>113</v>
      </c>
      <c r="B2698" s="1">
        <v>202401</v>
      </c>
      <c r="C2698" s="1" t="str">
        <f>MID(analisis_productividad__4[[#This Row],[Periodo]],1,4)</f>
        <v>2024</v>
      </c>
      <c r="D2698" s="1" t="str">
        <f>MID(analisis_productividad__4[[#This Row],[Periodo]],5,2)</f>
        <v>01</v>
      </c>
      <c r="E2698" s="1" t="s">
        <v>9</v>
      </c>
      <c r="F2698" s="1" t="s">
        <v>9</v>
      </c>
      <c r="G2698" s="1">
        <v>61522</v>
      </c>
      <c r="H2698" s="1">
        <v>608172</v>
      </c>
      <c r="I2698" s="1">
        <v>9.8854771505376373</v>
      </c>
      <c r="J2698" s="1">
        <v>0</v>
      </c>
      <c r="K2698" s="1">
        <v>11.5</v>
      </c>
      <c r="L2698" s="1">
        <v>10</v>
      </c>
      <c r="M2698" s="1"/>
      <c r="N2698" s="1">
        <v>0</v>
      </c>
    </row>
    <row r="2699" spans="1:14" x14ac:dyDescent="0.35">
      <c r="A2699" s="1" t="s">
        <v>114</v>
      </c>
      <c r="B2699" s="1">
        <v>202405</v>
      </c>
      <c r="C2699" s="1" t="str">
        <f>MID(analisis_productividad__4[[#This Row],[Periodo]],1,4)</f>
        <v>2024</v>
      </c>
      <c r="D2699" s="1" t="str">
        <f>MID(analisis_productividad__4[[#This Row],[Periodo]],5,2)</f>
        <v>05</v>
      </c>
      <c r="E2699" s="1" t="s">
        <v>9</v>
      </c>
      <c r="F2699" s="1" t="s">
        <v>9</v>
      </c>
      <c r="G2699" s="1">
        <v>61506</v>
      </c>
      <c r="H2699" s="1">
        <v>914045</v>
      </c>
      <c r="I2699" s="1">
        <v>14.860981182795701</v>
      </c>
      <c r="J2699" s="1">
        <v>0</v>
      </c>
      <c r="K2699" s="1">
        <v>13.5</v>
      </c>
      <c r="L2699" s="1">
        <v>14.5</v>
      </c>
      <c r="M2699" s="1"/>
      <c r="N2699" s="1">
        <v>0</v>
      </c>
    </row>
    <row r="2700" spans="1:14" x14ac:dyDescent="0.35">
      <c r="A2700" s="1" t="s">
        <v>71</v>
      </c>
      <c r="B2700" s="1">
        <v>202401</v>
      </c>
      <c r="C2700" s="1" t="str">
        <f>MID(analisis_productividad__4[[#This Row],[Periodo]],1,4)</f>
        <v>2024</v>
      </c>
      <c r="D2700" s="1" t="str">
        <f>MID(analisis_productividad__4[[#This Row],[Periodo]],5,2)</f>
        <v>01</v>
      </c>
      <c r="E2700" s="1" t="s">
        <v>16</v>
      </c>
      <c r="F2700" s="1" t="s">
        <v>19</v>
      </c>
      <c r="G2700" s="1">
        <v>61497</v>
      </c>
      <c r="H2700" s="1">
        <v>1966223</v>
      </c>
      <c r="I2700" s="1">
        <v>31.972641129032255</v>
      </c>
      <c r="J2700" s="1">
        <v>0</v>
      </c>
      <c r="K2700" s="1">
        <v>41.5</v>
      </c>
      <c r="L2700" s="1">
        <v>35.5</v>
      </c>
      <c r="M2700" s="1"/>
      <c r="N2700" s="1">
        <v>0</v>
      </c>
    </row>
    <row r="2701" spans="1:14" x14ac:dyDescent="0.35">
      <c r="A2701" s="1" t="s">
        <v>124</v>
      </c>
      <c r="B2701" s="1">
        <v>202404</v>
      </c>
      <c r="C2701" s="1" t="str">
        <f>MID(analisis_productividad__4[[#This Row],[Periodo]],1,4)</f>
        <v>2024</v>
      </c>
      <c r="D2701" s="1" t="str">
        <f>MID(analisis_productividad__4[[#This Row],[Periodo]],5,2)</f>
        <v>04</v>
      </c>
      <c r="E2701" s="1" t="s">
        <v>9</v>
      </c>
      <c r="F2701" s="1" t="s">
        <v>9</v>
      </c>
      <c r="G2701" s="1">
        <v>61486</v>
      </c>
      <c r="H2701" s="1">
        <v>596769</v>
      </c>
      <c r="I2701" s="1">
        <v>9.7057430555555548</v>
      </c>
      <c r="J2701" s="1">
        <v>0</v>
      </c>
      <c r="K2701" s="1">
        <v>11</v>
      </c>
      <c r="L2701" s="1">
        <v>12</v>
      </c>
      <c r="M2701" s="1"/>
      <c r="N2701" s="1">
        <v>0</v>
      </c>
    </row>
    <row r="2702" spans="1:14" x14ac:dyDescent="0.35">
      <c r="A2702" s="1" t="s">
        <v>107</v>
      </c>
      <c r="B2702" s="1">
        <v>202501</v>
      </c>
      <c r="C2702" s="1" t="str">
        <f>MID(analisis_productividad__4[[#This Row],[Periodo]],1,4)</f>
        <v>2025</v>
      </c>
      <c r="D2702" s="1" t="str">
        <f>MID(analisis_productividad__4[[#This Row],[Periodo]],5,2)</f>
        <v>01</v>
      </c>
      <c r="E2702" s="1" t="s">
        <v>34</v>
      </c>
      <c r="F2702" s="1" t="s">
        <v>35</v>
      </c>
      <c r="G2702" s="1">
        <v>61482</v>
      </c>
      <c r="H2702" s="1">
        <v>4780613</v>
      </c>
      <c r="I2702" s="1">
        <v>77.756122311827951</v>
      </c>
      <c r="J2702" s="1">
        <v>74321.899393539526</v>
      </c>
      <c r="K2702" s="1">
        <v>87</v>
      </c>
      <c r="L2702" s="1">
        <v>77.5</v>
      </c>
      <c r="M2702" s="1">
        <v>64.323069902806566</v>
      </c>
      <c r="N2702" s="1">
        <v>5317650</v>
      </c>
    </row>
    <row r="2703" spans="1:14" x14ac:dyDescent="0.35">
      <c r="A2703" s="1" t="s">
        <v>117</v>
      </c>
      <c r="B2703" s="1">
        <v>202412</v>
      </c>
      <c r="C2703" s="1" t="str">
        <f>MID(analisis_productividad__4[[#This Row],[Periodo]],1,4)</f>
        <v>2024</v>
      </c>
      <c r="D2703" s="1" t="str">
        <f>MID(analisis_productividad__4[[#This Row],[Periodo]],5,2)</f>
        <v>12</v>
      </c>
      <c r="E2703" s="1" t="s">
        <v>104</v>
      </c>
      <c r="F2703" s="1" t="s">
        <v>104</v>
      </c>
      <c r="G2703" s="1">
        <v>61479</v>
      </c>
      <c r="H2703" s="1">
        <v>3892343</v>
      </c>
      <c r="I2703" s="1">
        <v>63.31142473118279</v>
      </c>
      <c r="J2703" s="1">
        <v>0</v>
      </c>
      <c r="K2703" s="1">
        <v>66</v>
      </c>
      <c r="L2703" s="1">
        <v>65.5</v>
      </c>
      <c r="M2703" s="1"/>
      <c r="N2703" s="1">
        <v>0</v>
      </c>
    </row>
    <row r="2704" spans="1:14" x14ac:dyDescent="0.35">
      <c r="A2704" s="1" t="s">
        <v>110</v>
      </c>
      <c r="B2704" s="1">
        <v>202401</v>
      </c>
      <c r="C2704" s="1" t="str">
        <f>MID(analisis_productividad__4[[#This Row],[Periodo]],1,4)</f>
        <v>2024</v>
      </c>
      <c r="D2704" s="1" t="str">
        <f>MID(analisis_productividad__4[[#This Row],[Periodo]],5,2)</f>
        <v>01</v>
      </c>
      <c r="E2704" s="1" t="s">
        <v>34</v>
      </c>
      <c r="F2704" s="1" t="s">
        <v>35</v>
      </c>
      <c r="G2704" s="1">
        <v>61473</v>
      </c>
      <c r="H2704" s="1">
        <v>2267898</v>
      </c>
      <c r="I2704" s="1">
        <v>36.892540322580651</v>
      </c>
      <c r="J2704" s="1">
        <v>0</v>
      </c>
      <c r="K2704" s="1">
        <v>41.5</v>
      </c>
      <c r="L2704" s="1">
        <v>43</v>
      </c>
      <c r="M2704" s="1"/>
      <c r="N2704" s="1">
        <v>0</v>
      </c>
    </row>
    <row r="2705" spans="1:14" x14ac:dyDescent="0.35">
      <c r="A2705" s="1" t="s">
        <v>117</v>
      </c>
      <c r="B2705" s="1">
        <v>202509</v>
      </c>
      <c r="C2705" s="1" t="str">
        <f>MID(analisis_productividad__4[[#This Row],[Periodo]],1,4)</f>
        <v>2025</v>
      </c>
      <c r="D2705" s="1" t="str">
        <f>MID(analisis_productividad__4[[#This Row],[Periodo]],5,2)</f>
        <v>09</v>
      </c>
      <c r="E2705" s="1" t="s">
        <v>104</v>
      </c>
      <c r="F2705" s="1" t="s">
        <v>104</v>
      </c>
      <c r="G2705" s="1">
        <v>61471</v>
      </c>
      <c r="H2705" s="1">
        <v>3628906</v>
      </c>
      <c r="I2705" s="1">
        <v>59.034548611111134</v>
      </c>
      <c r="J2705" s="1">
        <v>62641.475536460101</v>
      </c>
      <c r="K2705" s="1">
        <v>66</v>
      </c>
      <c r="L2705" s="1">
        <v>65.5</v>
      </c>
      <c r="M2705" s="1">
        <v>57.931358719157508</v>
      </c>
      <c r="N2705" s="1">
        <v>3836609</v>
      </c>
    </row>
    <row r="2706" spans="1:14" x14ac:dyDescent="0.35">
      <c r="A2706" s="1" t="s">
        <v>48</v>
      </c>
      <c r="B2706" s="1">
        <v>202404</v>
      </c>
      <c r="C2706" s="1" t="str">
        <f>MID(analisis_productividad__4[[#This Row],[Periodo]],1,4)</f>
        <v>2024</v>
      </c>
      <c r="D2706" s="1" t="str">
        <f>MID(analisis_productividad__4[[#This Row],[Periodo]],5,2)</f>
        <v>04</v>
      </c>
      <c r="E2706" s="1" t="s">
        <v>16</v>
      </c>
      <c r="F2706" s="1" t="s">
        <v>21</v>
      </c>
      <c r="G2706" s="1">
        <v>61409</v>
      </c>
      <c r="H2706" s="1">
        <v>3631196</v>
      </c>
      <c r="I2706" s="1">
        <v>59.131138888888898</v>
      </c>
      <c r="J2706" s="1">
        <v>0</v>
      </c>
      <c r="K2706" s="1">
        <v>56</v>
      </c>
      <c r="L2706" s="1">
        <v>60</v>
      </c>
      <c r="M2706" s="1"/>
      <c r="N2706" s="1">
        <v>0</v>
      </c>
    </row>
    <row r="2707" spans="1:14" x14ac:dyDescent="0.35">
      <c r="A2707" s="1" t="s">
        <v>108</v>
      </c>
      <c r="B2707" s="1">
        <v>202411</v>
      </c>
      <c r="C2707" s="1" t="str">
        <f>MID(analisis_productividad__4[[#This Row],[Periodo]],1,4)</f>
        <v>2024</v>
      </c>
      <c r="D2707" s="1" t="str">
        <f>MID(analisis_productividad__4[[#This Row],[Periodo]],5,2)</f>
        <v>11</v>
      </c>
      <c r="E2707" s="1" t="s">
        <v>11</v>
      </c>
      <c r="F2707" s="1" t="s">
        <v>14</v>
      </c>
      <c r="G2707" s="1">
        <v>61375</v>
      </c>
      <c r="H2707" s="1">
        <v>2724824</v>
      </c>
      <c r="I2707" s="1">
        <v>44.39609027777778</v>
      </c>
      <c r="J2707" s="1">
        <v>0</v>
      </c>
      <c r="K2707" s="1">
        <v>47.5</v>
      </c>
      <c r="L2707" s="1">
        <v>43</v>
      </c>
      <c r="M2707" s="1"/>
      <c r="N2707" s="1">
        <v>0</v>
      </c>
    </row>
    <row r="2708" spans="1:14" x14ac:dyDescent="0.35">
      <c r="A2708" s="1" t="s">
        <v>115</v>
      </c>
      <c r="B2708" s="1">
        <v>202403</v>
      </c>
      <c r="C2708" s="1" t="str">
        <f>MID(analisis_productividad__4[[#This Row],[Periodo]],1,4)</f>
        <v>2024</v>
      </c>
      <c r="D2708" s="1" t="str">
        <f>MID(analisis_productividad__4[[#This Row],[Periodo]],5,2)</f>
        <v>03</v>
      </c>
      <c r="E2708" s="1" t="s">
        <v>34</v>
      </c>
      <c r="F2708" s="1" t="s">
        <v>35</v>
      </c>
      <c r="G2708" s="1">
        <v>61333</v>
      </c>
      <c r="H2708" s="1">
        <v>3285366</v>
      </c>
      <c r="I2708" s="1">
        <v>53.565900537634384</v>
      </c>
      <c r="J2708" s="1">
        <v>0</v>
      </c>
      <c r="K2708" s="1">
        <v>53.5</v>
      </c>
      <c r="L2708" s="1">
        <v>51</v>
      </c>
      <c r="M2708" s="1"/>
      <c r="N2708" s="1">
        <v>0</v>
      </c>
    </row>
    <row r="2709" spans="1:14" x14ac:dyDescent="0.35">
      <c r="A2709" s="1" t="s">
        <v>116</v>
      </c>
      <c r="B2709" s="1">
        <v>202507</v>
      </c>
      <c r="C2709" s="1" t="str">
        <f>MID(analisis_productividad__4[[#This Row],[Periodo]],1,4)</f>
        <v>2025</v>
      </c>
      <c r="D2709" s="1" t="str">
        <f>MID(analisis_productividad__4[[#This Row],[Periodo]],5,2)</f>
        <v>07</v>
      </c>
      <c r="E2709" s="1" t="s">
        <v>9</v>
      </c>
      <c r="F2709" s="1" t="s">
        <v>9</v>
      </c>
      <c r="G2709" s="1">
        <v>61317</v>
      </c>
      <c r="H2709" s="1">
        <v>652448</v>
      </c>
      <c r="I2709" s="1">
        <v>10.640611559139789</v>
      </c>
      <c r="J2709" s="1">
        <v>61898.1737404542</v>
      </c>
      <c r="K2709" s="1">
        <v>11.5</v>
      </c>
      <c r="L2709" s="1">
        <v>10</v>
      </c>
      <c r="M2709" s="1">
        <v>10.540662519960359</v>
      </c>
      <c r="N2709" s="1">
        <v>703877</v>
      </c>
    </row>
    <row r="2710" spans="1:14" x14ac:dyDescent="0.35">
      <c r="A2710" s="1" t="s">
        <v>98</v>
      </c>
      <c r="B2710" s="1">
        <v>202404</v>
      </c>
      <c r="C2710" s="1" t="str">
        <f>MID(analisis_productividad__4[[#This Row],[Periodo]],1,4)</f>
        <v>2024</v>
      </c>
      <c r="D2710" s="1" t="str">
        <f>MID(analisis_productividad__4[[#This Row],[Periodo]],5,2)</f>
        <v>04</v>
      </c>
      <c r="E2710" s="1" t="s">
        <v>11</v>
      </c>
      <c r="F2710" s="1" t="s">
        <v>14</v>
      </c>
      <c r="G2710" s="1">
        <v>61265</v>
      </c>
      <c r="H2710" s="1">
        <v>3537290</v>
      </c>
      <c r="I2710" s="1">
        <v>57.737701388888908</v>
      </c>
      <c r="J2710" s="1">
        <v>0</v>
      </c>
      <c r="K2710" s="1">
        <v>61.5</v>
      </c>
      <c r="L2710" s="1">
        <v>56</v>
      </c>
      <c r="M2710" s="1"/>
      <c r="N2710" s="1">
        <v>0</v>
      </c>
    </row>
    <row r="2711" spans="1:14" x14ac:dyDescent="0.35">
      <c r="A2711" s="1" t="s">
        <v>95</v>
      </c>
      <c r="B2711" s="1">
        <v>202501</v>
      </c>
      <c r="C2711" s="1" t="str">
        <f>MID(analisis_productividad__4[[#This Row],[Periodo]],1,4)</f>
        <v>2025</v>
      </c>
      <c r="D2711" s="1" t="str">
        <f>MID(analisis_productividad__4[[#This Row],[Periodo]],5,2)</f>
        <v>01</v>
      </c>
      <c r="E2711" s="1" t="s">
        <v>9</v>
      </c>
      <c r="F2711" s="1" t="s">
        <v>9</v>
      </c>
      <c r="G2711" s="1">
        <v>61258</v>
      </c>
      <c r="H2711" s="1">
        <v>609575</v>
      </c>
      <c r="I2711" s="1">
        <v>9.950866935483873</v>
      </c>
      <c r="J2711" s="1">
        <v>73480.818267320661</v>
      </c>
      <c r="K2711" s="1">
        <v>11</v>
      </c>
      <c r="L2711" s="1">
        <v>11</v>
      </c>
      <c r="M2711" s="1">
        <v>8.2956985833008616</v>
      </c>
      <c r="N2711" s="1">
        <v>667618</v>
      </c>
    </row>
    <row r="2712" spans="1:14" x14ac:dyDescent="0.35">
      <c r="A2712" s="1" t="s">
        <v>109</v>
      </c>
      <c r="B2712" s="1">
        <v>202601</v>
      </c>
      <c r="C2712" s="1" t="str">
        <f>MID(analisis_productividad__4[[#This Row],[Periodo]],1,4)</f>
        <v>2026</v>
      </c>
      <c r="D2712" s="1" t="str">
        <f>MID(analisis_productividad__4[[#This Row],[Periodo]],5,2)</f>
        <v>01</v>
      </c>
      <c r="E2712" s="1" t="s">
        <v>9</v>
      </c>
      <c r="F2712" s="1" t="s">
        <v>9</v>
      </c>
      <c r="G2712" s="1">
        <v>61208</v>
      </c>
      <c r="H2712" s="1">
        <v>465374</v>
      </c>
      <c r="I2712" s="1">
        <v>7.6031384408602163</v>
      </c>
      <c r="J2712" s="1">
        <v>64884.803833776772</v>
      </c>
      <c r="K2712" s="1">
        <v>10</v>
      </c>
      <c r="L2712" s="1">
        <v>9</v>
      </c>
      <c r="M2712" s="1">
        <v>8.1521894564878892</v>
      </c>
      <c r="N2712" s="1">
        <v>528953</v>
      </c>
    </row>
    <row r="2713" spans="1:14" x14ac:dyDescent="0.35">
      <c r="A2713" s="1" t="s">
        <v>92</v>
      </c>
      <c r="B2713" s="1">
        <v>202409</v>
      </c>
      <c r="C2713" s="1" t="str">
        <f>MID(analisis_productividad__4[[#This Row],[Periodo]],1,4)</f>
        <v>2024</v>
      </c>
      <c r="D2713" s="1" t="str">
        <f>MID(analisis_productividad__4[[#This Row],[Periodo]],5,2)</f>
        <v>09</v>
      </c>
      <c r="E2713" s="1" t="s">
        <v>11</v>
      </c>
      <c r="F2713" s="1" t="s">
        <v>14</v>
      </c>
      <c r="G2713" s="1">
        <v>61206</v>
      </c>
      <c r="H2713" s="1">
        <v>3574601</v>
      </c>
      <c r="I2713" s="1">
        <v>58.402895833333339</v>
      </c>
      <c r="J2713" s="1">
        <v>0</v>
      </c>
      <c r="K2713" s="1">
        <v>63</v>
      </c>
      <c r="L2713" s="1">
        <v>59</v>
      </c>
      <c r="M2713" s="1"/>
      <c r="N2713" s="1">
        <v>0</v>
      </c>
    </row>
    <row r="2714" spans="1:14" x14ac:dyDescent="0.35">
      <c r="A2714" s="1" t="s">
        <v>91</v>
      </c>
      <c r="B2714" s="1">
        <v>202404</v>
      </c>
      <c r="C2714" s="1" t="str">
        <f>MID(analisis_productividad__4[[#This Row],[Periodo]],1,4)</f>
        <v>2024</v>
      </c>
      <c r="D2714" s="1" t="str">
        <f>MID(analisis_productividad__4[[#This Row],[Periodo]],5,2)</f>
        <v>04</v>
      </c>
      <c r="E2714" s="1" t="s">
        <v>11</v>
      </c>
      <c r="F2714" s="1" t="s">
        <v>12</v>
      </c>
      <c r="G2714" s="1">
        <v>61177</v>
      </c>
      <c r="H2714" s="1">
        <v>3338291</v>
      </c>
      <c r="I2714" s="1">
        <v>54.567625000000007</v>
      </c>
      <c r="J2714" s="1">
        <v>0</v>
      </c>
      <c r="K2714" s="1">
        <v>55</v>
      </c>
      <c r="L2714" s="1">
        <v>55.5</v>
      </c>
      <c r="M2714" s="1"/>
      <c r="N2714" s="1">
        <v>0</v>
      </c>
    </row>
    <row r="2715" spans="1:14" x14ac:dyDescent="0.35">
      <c r="A2715" s="1" t="s">
        <v>101</v>
      </c>
      <c r="B2715" s="1">
        <v>202404</v>
      </c>
      <c r="C2715" s="1" t="str">
        <f>MID(analisis_productividad__4[[#This Row],[Periodo]],1,4)</f>
        <v>2024</v>
      </c>
      <c r="D2715" s="1" t="str">
        <f>MID(analisis_productividad__4[[#This Row],[Periodo]],5,2)</f>
        <v>04</v>
      </c>
      <c r="E2715" s="1" t="s">
        <v>9</v>
      </c>
      <c r="F2715" s="1" t="s">
        <v>9</v>
      </c>
      <c r="G2715" s="1">
        <v>61165</v>
      </c>
      <c r="H2715" s="1">
        <v>337045</v>
      </c>
      <c r="I2715" s="1">
        <v>5.5104583333333323</v>
      </c>
      <c r="J2715" s="1">
        <v>0</v>
      </c>
      <c r="K2715" s="1">
        <v>8.5</v>
      </c>
      <c r="L2715" s="1">
        <v>6.5</v>
      </c>
      <c r="M2715" s="1"/>
      <c r="N2715" s="1">
        <v>0</v>
      </c>
    </row>
    <row r="2716" spans="1:14" x14ac:dyDescent="0.35">
      <c r="A2716" s="1" t="s">
        <v>89</v>
      </c>
      <c r="B2716" s="1">
        <v>202511</v>
      </c>
      <c r="C2716" s="1" t="str">
        <f>MID(analisis_productividad__4[[#This Row],[Periodo]],1,4)</f>
        <v>2025</v>
      </c>
      <c r="D2716" s="1" t="str">
        <f>MID(analisis_productividad__4[[#This Row],[Periodo]],5,2)</f>
        <v>11</v>
      </c>
      <c r="E2716" s="1" t="s">
        <v>9</v>
      </c>
      <c r="F2716" s="1" t="s">
        <v>9</v>
      </c>
      <c r="G2716" s="1">
        <v>61161</v>
      </c>
      <c r="H2716" s="1">
        <v>968081</v>
      </c>
      <c r="I2716" s="1">
        <v>15.828312499999992</v>
      </c>
      <c r="J2716" s="1">
        <v>64737.796761738675</v>
      </c>
      <c r="K2716" s="1">
        <v>17</v>
      </c>
      <c r="L2716" s="1">
        <v>13.5</v>
      </c>
      <c r="M2716" s="1">
        <v>14.953875145966586</v>
      </c>
      <c r="N2716" s="1">
        <v>1088357</v>
      </c>
    </row>
    <row r="2717" spans="1:14" x14ac:dyDescent="0.35">
      <c r="A2717" s="1" t="s">
        <v>82</v>
      </c>
      <c r="B2717" s="1">
        <v>202404</v>
      </c>
      <c r="C2717" s="1" t="str">
        <f>MID(analisis_productividad__4[[#This Row],[Periodo]],1,4)</f>
        <v>2024</v>
      </c>
      <c r="D2717" s="1" t="str">
        <f>MID(analisis_productividad__4[[#This Row],[Periodo]],5,2)</f>
        <v>04</v>
      </c>
      <c r="E2717" s="1" t="s">
        <v>11</v>
      </c>
      <c r="F2717" s="1" t="s">
        <v>12</v>
      </c>
      <c r="G2717" s="1">
        <v>61154</v>
      </c>
      <c r="H2717" s="1">
        <v>3389244</v>
      </c>
      <c r="I2717" s="1">
        <v>55.421819444444445</v>
      </c>
      <c r="J2717" s="1">
        <v>0</v>
      </c>
      <c r="K2717" s="1">
        <v>53.5</v>
      </c>
      <c r="L2717" s="1">
        <v>54</v>
      </c>
      <c r="M2717" s="1"/>
      <c r="N2717" s="1">
        <v>0</v>
      </c>
    </row>
    <row r="2718" spans="1:14" x14ac:dyDescent="0.35">
      <c r="A2718" s="1" t="s">
        <v>112</v>
      </c>
      <c r="B2718" s="1">
        <v>202404</v>
      </c>
      <c r="C2718" s="1" t="str">
        <f>MID(analisis_productividad__4[[#This Row],[Periodo]],1,4)</f>
        <v>2024</v>
      </c>
      <c r="D2718" s="1" t="str">
        <f>MID(analisis_productividad__4[[#This Row],[Periodo]],5,2)</f>
        <v>04</v>
      </c>
      <c r="E2718" s="1" t="s">
        <v>34</v>
      </c>
      <c r="F2718" s="1" t="s">
        <v>35</v>
      </c>
      <c r="G2718" s="1">
        <v>61123</v>
      </c>
      <c r="H2718" s="1">
        <v>1707532</v>
      </c>
      <c r="I2718" s="1">
        <v>27.935881944444443</v>
      </c>
      <c r="J2718" s="1">
        <v>0</v>
      </c>
      <c r="K2718" s="1">
        <v>31</v>
      </c>
      <c r="L2718" s="1">
        <v>27</v>
      </c>
      <c r="M2718" s="1"/>
      <c r="N2718" s="1">
        <v>0</v>
      </c>
    </row>
    <row r="2719" spans="1:14" x14ac:dyDescent="0.35">
      <c r="A2719" s="1" t="s">
        <v>111</v>
      </c>
      <c r="B2719" s="1">
        <v>202509</v>
      </c>
      <c r="C2719" s="1" t="str">
        <f>MID(analisis_productividad__4[[#This Row],[Periodo]],1,4)</f>
        <v>2025</v>
      </c>
      <c r="D2719" s="1" t="str">
        <f>MID(analisis_productividad__4[[#This Row],[Periodo]],5,2)</f>
        <v>09</v>
      </c>
      <c r="E2719" s="1" t="s">
        <v>34</v>
      </c>
      <c r="F2719" s="1" t="s">
        <v>35</v>
      </c>
      <c r="G2719" s="1">
        <v>61096</v>
      </c>
      <c r="H2719" s="1">
        <v>2126028</v>
      </c>
      <c r="I2719" s="1">
        <v>34.798312499999987</v>
      </c>
      <c r="J2719" s="1">
        <v>58056.786087450106</v>
      </c>
      <c r="K2719" s="1">
        <v>45.5</v>
      </c>
      <c r="L2719" s="1">
        <v>42.5</v>
      </c>
      <c r="M2719" s="1">
        <v>36.619800944502757</v>
      </c>
      <c r="N2719" s="1">
        <v>2408983</v>
      </c>
    </row>
    <row r="2720" spans="1:14" x14ac:dyDescent="0.35">
      <c r="A2720" s="1" t="s">
        <v>102</v>
      </c>
      <c r="B2720" s="1">
        <v>202407</v>
      </c>
      <c r="C2720" s="1" t="str">
        <f>MID(analisis_productividad__4[[#This Row],[Periodo]],1,4)</f>
        <v>2024</v>
      </c>
      <c r="D2720" s="1" t="str">
        <f>MID(analisis_productividad__4[[#This Row],[Periodo]],5,2)</f>
        <v>07</v>
      </c>
      <c r="E2720" s="1" t="s">
        <v>11</v>
      </c>
      <c r="F2720" s="1" t="s">
        <v>12</v>
      </c>
      <c r="G2720" s="1">
        <v>61092</v>
      </c>
      <c r="H2720" s="1">
        <v>1982991</v>
      </c>
      <c r="I2720" s="1">
        <v>32.459112903225808</v>
      </c>
      <c r="J2720" s="1">
        <v>0</v>
      </c>
      <c r="K2720" s="1">
        <v>34</v>
      </c>
      <c r="L2720" s="1">
        <v>34</v>
      </c>
      <c r="M2720" s="1"/>
      <c r="N2720" s="1">
        <v>0</v>
      </c>
    </row>
    <row r="2721" spans="1:14" x14ac:dyDescent="0.35">
      <c r="A2721" s="1" t="s">
        <v>123</v>
      </c>
      <c r="B2721" s="1">
        <v>202603</v>
      </c>
      <c r="C2721" s="1" t="str">
        <f>MID(analisis_productividad__4[[#This Row],[Periodo]],1,4)</f>
        <v>2026</v>
      </c>
      <c r="D2721" s="1" t="str">
        <f>MID(analisis_productividad__4[[#This Row],[Periodo]],5,2)</f>
        <v>03</v>
      </c>
      <c r="E2721" s="1" t="s">
        <v>9</v>
      </c>
      <c r="F2721" s="1" t="s">
        <v>9</v>
      </c>
      <c r="G2721" s="1">
        <v>61046</v>
      </c>
      <c r="H2721" s="1">
        <v>566105</v>
      </c>
      <c r="I2721" s="1">
        <v>9.2733534946236578</v>
      </c>
      <c r="J2721" s="1">
        <v>58583.964674689523</v>
      </c>
      <c r="K2721" s="1">
        <v>11</v>
      </c>
      <c r="L2721" s="1">
        <v>10</v>
      </c>
      <c r="M2721" s="1">
        <v>10.023956063077975</v>
      </c>
      <c r="N2721" s="1">
        <v>587243</v>
      </c>
    </row>
    <row r="2722" spans="1:14" x14ac:dyDescent="0.35">
      <c r="A2722" s="1" t="s">
        <v>102</v>
      </c>
      <c r="B2722" s="1">
        <v>202411</v>
      </c>
      <c r="C2722" s="1" t="str">
        <f>MID(analisis_productividad__4[[#This Row],[Periodo]],1,4)</f>
        <v>2024</v>
      </c>
      <c r="D2722" s="1" t="str">
        <f>MID(analisis_productividad__4[[#This Row],[Periodo]],5,2)</f>
        <v>11</v>
      </c>
      <c r="E2722" s="1" t="s">
        <v>11</v>
      </c>
      <c r="F2722" s="1" t="s">
        <v>12</v>
      </c>
      <c r="G2722" s="1">
        <v>61036</v>
      </c>
      <c r="H2722" s="1">
        <v>1767853</v>
      </c>
      <c r="I2722" s="1">
        <v>28.96425</v>
      </c>
      <c r="J2722" s="1">
        <v>0</v>
      </c>
      <c r="K2722" s="1">
        <v>34</v>
      </c>
      <c r="L2722" s="1">
        <v>34</v>
      </c>
      <c r="M2722" s="1"/>
      <c r="N2722" s="1">
        <v>0</v>
      </c>
    </row>
    <row r="2723" spans="1:14" x14ac:dyDescent="0.35">
      <c r="A2723" s="1" t="s">
        <v>45</v>
      </c>
      <c r="B2723" s="1">
        <v>202504</v>
      </c>
      <c r="C2723" s="1" t="str">
        <f>MID(analisis_productividad__4[[#This Row],[Periodo]],1,4)</f>
        <v>2025</v>
      </c>
      <c r="D2723" s="1" t="str">
        <f>MID(analisis_productividad__4[[#This Row],[Periodo]],5,2)</f>
        <v>04</v>
      </c>
      <c r="E2723" s="1" t="s">
        <v>34</v>
      </c>
      <c r="F2723" s="1" t="s">
        <v>35</v>
      </c>
      <c r="G2723" s="1">
        <v>60971</v>
      </c>
      <c r="H2723" s="1">
        <v>1251344</v>
      </c>
      <c r="I2723" s="1">
        <v>20.523562500000008</v>
      </c>
      <c r="J2723" s="1">
        <v>47904.603429141003</v>
      </c>
      <c r="K2723" s="1">
        <v>22.5</v>
      </c>
      <c r="L2723" s="1">
        <v>21</v>
      </c>
      <c r="M2723" s="1">
        <v>26.121576642439983</v>
      </c>
      <c r="N2723" s="1">
        <v>877253</v>
      </c>
    </row>
    <row r="2724" spans="1:14" x14ac:dyDescent="0.35">
      <c r="A2724" s="1" t="s">
        <v>109</v>
      </c>
      <c r="B2724" s="1">
        <v>202604</v>
      </c>
      <c r="C2724" s="1" t="str">
        <f>MID(analisis_productividad__4[[#This Row],[Periodo]],1,4)</f>
        <v>2026</v>
      </c>
      <c r="D2724" s="1" t="str">
        <f>MID(analisis_productividad__4[[#This Row],[Periodo]],5,2)</f>
        <v>04</v>
      </c>
      <c r="E2724" s="1" t="s">
        <v>9</v>
      </c>
      <c r="F2724" s="1" t="s">
        <v>9</v>
      </c>
      <c r="G2724" s="1">
        <v>60956</v>
      </c>
      <c r="H2724" s="1">
        <v>498743</v>
      </c>
      <c r="I2724" s="1">
        <v>8.1820763888888877</v>
      </c>
      <c r="J2724" s="1">
        <v>54492.477005236789</v>
      </c>
      <c r="K2724" s="1">
        <v>10</v>
      </c>
      <c r="L2724" s="1">
        <v>9</v>
      </c>
      <c r="M2724" s="1">
        <v>8.1521894564878892</v>
      </c>
      <c r="N2724" s="1">
        <v>444233</v>
      </c>
    </row>
    <row r="2725" spans="1:14" x14ac:dyDescent="0.35">
      <c r="A2725" s="1" t="s">
        <v>114</v>
      </c>
      <c r="B2725" s="1">
        <v>202402</v>
      </c>
      <c r="C2725" s="1" t="str">
        <f>MID(analisis_productividad__4[[#This Row],[Periodo]],1,4)</f>
        <v>2024</v>
      </c>
      <c r="D2725" s="1" t="str">
        <f>MID(analisis_productividad__4[[#This Row],[Periodo]],5,2)</f>
        <v>02</v>
      </c>
      <c r="E2725" s="1" t="s">
        <v>9</v>
      </c>
      <c r="F2725" s="1" t="s">
        <v>9</v>
      </c>
      <c r="G2725" s="1">
        <v>60944</v>
      </c>
      <c r="H2725" s="1">
        <v>899897</v>
      </c>
      <c r="I2725" s="1">
        <v>14.766027298850577</v>
      </c>
      <c r="J2725" s="1">
        <v>0</v>
      </c>
      <c r="K2725" s="1">
        <v>13.5</v>
      </c>
      <c r="L2725" s="1">
        <v>14.5</v>
      </c>
      <c r="M2725" s="1"/>
      <c r="N2725" s="1">
        <v>0</v>
      </c>
    </row>
    <row r="2726" spans="1:14" x14ac:dyDescent="0.35">
      <c r="A2726" s="1" t="s">
        <v>109</v>
      </c>
      <c r="B2726" s="1">
        <v>202401</v>
      </c>
      <c r="C2726" s="1" t="str">
        <f>MID(analisis_productividad__4[[#This Row],[Periodo]],1,4)</f>
        <v>2024</v>
      </c>
      <c r="D2726" s="1" t="str">
        <f>MID(analisis_productividad__4[[#This Row],[Periodo]],5,2)</f>
        <v>01</v>
      </c>
      <c r="E2726" s="1" t="s">
        <v>9</v>
      </c>
      <c r="F2726" s="1" t="s">
        <v>9</v>
      </c>
      <c r="G2726" s="1">
        <v>60910</v>
      </c>
      <c r="H2726" s="1">
        <v>548623</v>
      </c>
      <c r="I2726" s="1">
        <v>9.0071370967741942</v>
      </c>
      <c r="J2726" s="1">
        <v>0</v>
      </c>
      <c r="K2726" s="1">
        <v>10</v>
      </c>
      <c r="L2726" s="1">
        <v>9</v>
      </c>
      <c r="M2726" s="1"/>
      <c r="N2726" s="1">
        <v>0</v>
      </c>
    </row>
    <row r="2727" spans="1:14" x14ac:dyDescent="0.35">
      <c r="A2727" s="1" t="s">
        <v>48</v>
      </c>
      <c r="B2727" s="1">
        <v>202410</v>
      </c>
      <c r="C2727" s="1" t="str">
        <f>MID(analisis_productividad__4[[#This Row],[Periodo]],1,4)</f>
        <v>2024</v>
      </c>
      <c r="D2727" s="1" t="str">
        <f>MID(analisis_productividad__4[[#This Row],[Periodo]],5,2)</f>
        <v>10</v>
      </c>
      <c r="E2727" s="1" t="s">
        <v>16</v>
      </c>
      <c r="F2727" s="1" t="s">
        <v>21</v>
      </c>
      <c r="G2727" s="1">
        <v>60903</v>
      </c>
      <c r="H2727" s="1">
        <v>3183302</v>
      </c>
      <c r="I2727" s="1">
        <v>52.268124999999998</v>
      </c>
      <c r="J2727" s="1">
        <v>0</v>
      </c>
      <c r="K2727" s="1">
        <v>56</v>
      </c>
      <c r="L2727" s="1">
        <v>60</v>
      </c>
      <c r="M2727" s="1"/>
      <c r="N2727" s="1">
        <v>0</v>
      </c>
    </row>
    <row r="2728" spans="1:14" x14ac:dyDescent="0.35">
      <c r="A2728" s="1" t="s">
        <v>108</v>
      </c>
      <c r="B2728" s="1">
        <v>202402</v>
      </c>
      <c r="C2728" s="1" t="str">
        <f>MID(analisis_productividad__4[[#This Row],[Periodo]],1,4)</f>
        <v>2024</v>
      </c>
      <c r="D2728" s="1" t="str">
        <f>MID(analisis_productividad__4[[#This Row],[Periodo]],5,2)</f>
        <v>02</v>
      </c>
      <c r="E2728" s="1" t="s">
        <v>11</v>
      </c>
      <c r="F2728" s="1" t="s">
        <v>14</v>
      </c>
      <c r="G2728" s="1">
        <v>60883</v>
      </c>
      <c r="H2728" s="1">
        <v>2892307</v>
      </c>
      <c r="I2728" s="1">
        <v>47.506264367816094</v>
      </c>
      <c r="J2728" s="1">
        <v>0</v>
      </c>
      <c r="K2728" s="1">
        <v>47.5</v>
      </c>
      <c r="L2728" s="1">
        <v>43</v>
      </c>
      <c r="M2728" s="1"/>
      <c r="N2728" s="1">
        <v>0</v>
      </c>
    </row>
    <row r="2729" spans="1:14" x14ac:dyDescent="0.35">
      <c r="A2729" s="1" t="s">
        <v>118</v>
      </c>
      <c r="B2729" s="1">
        <v>202411</v>
      </c>
      <c r="C2729" s="1" t="str">
        <f>MID(analisis_productividad__4[[#This Row],[Periodo]],1,4)</f>
        <v>2024</v>
      </c>
      <c r="D2729" s="1" t="str">
        <f>MID(analisis_productividad__4[[#This Row],[Periodo]],5,2)</f>
        <v>11</v>
      </c>
      <c r="E2729" s="1" t="s">
        <v>34</v>
      </c>
      <c r="F2729" s="1" t="s">
        <v>35</v>
      </c>
      <c r="G2729" s="1">
        <v>60870</v>
      </c>
      <c r="H2729" s="1">
        <v>1157447</v>
      </c>
      <c r="I2729" s="1">
        <v>19.014916666666668</v>
      </c>
      <c r="J2729" s="1">
        <v>0</v>
      </c>
      <c r="K2729" s="1">
        <v>19</v>
      </c>
      <c r="L2729" s="1">
        <v>21.5</v>
      </c>
      <c r="M2729" s="1"/>
      <c r="N2729" s="1">
        <v>0</v>
      </c>
    </row>
    <row r="2730" spans="1:14" x14ac:dyDescent="0.35">
      <c r="A2730" s="1" t="s">
        <v>113</v>
      </c>
      <c r="B2730" s="1">
        <v>202506</v>
      </c>
      <c r="C2730" s="1" t="str">
        <f>MID(analisis_productividad__4[[#This Row],[Periodo]],1,4)</f>
        <v>2025</v>
      </c>
      <c r="D2730" s="1" t="str">
        <f>MID(analisis_productividad__4[[#This Row],[Periodo]],5,2)</f>
        <v>06</v>
      </c>
      <c r="E2730" s="1" t="s">
        <v>9</v>
      </c>
      <c r="F2730" s="1" t="s">
        <v>9</v>
      </c>
      <c r="G2730" s="1">
        <v>60839</v>
      </c>
      <c r="H2730" s="1">
        <v>553282</v>
      </c>
      <c r="I2730" s="1">
        <v>9.0941666666666663</v>
      </c>
      <c r="J2730" s="1">
        <v>68505.811199402466</v>
      </c>
      <c r="K2730" s="1">
        <v>11.5</v>
      </c>
      <c r="L2730" s="1">
        <v>10</v>
      </c>
      <c r="M2730" s="1">
        <v>8.0764214059087873</v>
      </c>
      <c r="N2730" s="1">
        <v>639745</v>
      </c>
    </row>
    <row r="2731" spans="1:14" x14ac:dyDescent="0.35">
      <c r="A2731" s="1" t="s">
        <v>121</v>
      </c>
      <c r="B2731" s="1">
        <v>202508</v>
      </c>
      <c r="C2731" s="1" t="str">
        <f>MID(analisis_productividad__4[[#This Row],[Periodo]],1,4)</f>
        <v>2025</v>
      </c>
      <c r="D2731" s="1" t="str">
        <f>MID(analisis_productividad__4[[#This Row],[Periodo]],5,2)</f>
        <v>08</v>
      </c>
      <c r="E2731" s="1" t="s">
        <v>11</v>
      </c>
      <c r="F2731" s="1" t="s">
        <v>14</v>
      </c>
      <c r="G2731" s="1">
        <v>60838</v>
      </c>
      <c r="H2731" s="1">
        <v>1825597</v>
      </c>
      <c r="I2731" s="1">
        <v>30.007654569892466</v>
      </c>
      <c r="J2731" s="1">
        <v>61475.135646099086</v>
      </c>
      <c r="K2731" s="1">
        <v>36</v>
      </c>
      <c r="L2731" s="1">
        <v>35</v>
      </c>
      <c r="M2731" s="1">
        <v>29.696502509723917</v>
      </c>
      <c r="N2731" s="1">
        <v>2064322</v>
      </c>
    </row>
    <row r="2732" spans="1:14" x14ac:dyDescent="0.35">
      <c r="A2732" s="1" t="s">
        <v>124</v>
      </c>
      <c r="B2732" s="1">
        <v>202603</v>
      </c>
      <c r="C2732" s="1" t="str">
        <f>MID(analisis_productividad__4[[#This Row],[Periodo]],1,4)</f>
        <v>2026</v>
      </c>
      <c r="D2732" s="1" t="str">
        <f>MID(analisis_productividad__4[[#This Row],[Periodo]],5,2)</f>
        <v>03</v>
      </c>
      <c r="E2732" s="1" t="s">
        <v>9</v>
      </c>
      <c r="F2732" s="1" t="s">
        <v>9</v>
      </c>
      <c r="G2732" s="1">
        <v>60831</v>
      </c>
      <c r="H2732" s="1">
        <v>736031</v>
      </c>
      <c r="I2732" s="1">
        <v>12.099650537634407</v>
      </c>
      <c r="J2732" s="1">
        <v>75154.427411477256</v>
      </c>
      <c r="K2732" s="1">
        <v>11</v>
      </c>
      <c r="L2732" s="1">
        <v>12</v>
      </c>
      <c r="M2732" s="1">
        <v>10.653753026634384</v>
      </c>
      <c r="N2732" s="1">
        <v>800677</v>
      </c>
    </row>
    <row r="2733" spans="1:14" x14ac:dyDescent="0.35">
      <c r="A2733" s="1" t="s">
        <v>119</v>
      </c>
      <c r="B2733" s="1">
        <v>202509</v>
      </c>
      <c r="C2733" s="1" t="str">
        <f>MID(analisis_productividad__4[[#This Row],[Periodo]],1,4)</f>
        <v>2025</v>
      </c>
      <c r="D2733" s="1" t="str">
        <f>MID(analisis_productividad__4[[#This Row],[Periodo]],5,2)</f>
        <v>09</v>
      </c>
      <c r="E2733" s="1" t="s">
        <v>16</v>
      </c>
      <c r="F2733" s="1" t="s">
        <v>21</v>
      </c>
      <c r="G2733" s="1">
        <v>60805</v>
      </c>
      <c r="H2733" s="1">
        <v>2704834</v>
      </c>
      <c r="I2733" s="1">
        <v>44.483736111111121</v>
      </c>
      <c r="J2733" s="1">
        <v>65890.492023799947</v>
      </c>
      <c r="K2733" s="1">
        <v>52.5</v>
      </c>
      <c r="L2733" s="1">
        <v>52.5</v>
      </c>
      <c r="M2733" s="1">
        <v>41.050439402137137</v>
      </c>
      <c r="N2733" s="1">
        <v>3494292</v>
      </c>
    </row>
    <row r="2734" spans="1:14" x14ac:dyDescent="0.35">
      <c r="A2734" s="1" t="s">
        <v>116</v>
      </c>
      <c r="B2734" s="1">
        <v>202511</v>
      </c>
      <c r="C2734" s="1" t="str">
        <f>MID(analisis_productividad__4[[#This Row],[Periodo]],1,4)</f>
        <v>2025</v>
      </c>
      <c r="D2734" s="1" t="str">
        <f>MID(analisis_productividad__4[[#This Row],[Periodo]],5,2)</f>
        <v>11</v>
      </c>
      <c r="E2734" s="1" t="s">
        <v>9</v>
      </c>
      <c r="F2734" s="1" t="s">
        <v>9</v>
      </c>
      <c r="G2734" s="1">
        <v>60801</v>
      </c>
      <c r="H2734" s="1">
        <v>599401</v>
      </c>
      <c r="I2734" s="1">
        <v>9.8583333333333343</v>
      </c>
      <c r="J2734" s="1">
        <v>62533.630136268599</v>
      </c>
      <c r="K2734" s="1">
        <v>11.5</v>
      </c>
      <c r="L2734" s="1">
        <v>10</v>
      </c>
      <c r="M2734" s="1">
        <v>9.5852578635500656</v>
      </c>
      <c r="N2734" s="1">
        <v>694560</v>
      </c>
    </row>
    <row r="2735" spans="1:14" x14ac:dyDescent="0.35">
      <c r="A2735" s="1" t="s">
        <v>115</v>
      </c>
      <c r="B2735" s="1">
        <v>202408</v>
      </c>
      <c r="C2735" s="1" t="str">
        <f>MID(analisis_productividad__4[[#This Row],[Periodo]],1,4)</f>
        <v>2024</v>
      </c>
      <c r="D2735" s="1" t="str">
        <f>MID(analisis_productividad__4[[#This Row],[Periodo]],5,2)</f>
        <v>08</v>
      </c>
      <c r="E2735" s="1" t="s">
        <v>34</v>
      </c>
      <c r="F2735" s="1" t="s">
        <v>35</v>
      </c>
      <c r="G2735" s="1">
        <v>60797</v>
      </c>
      <c r="H2735" s="1">
        <v>3009584</v>
      </c>
      <c r="I2735" s="1">
        <v>49.502372311827941</v>
      </c>
      <c r="J2735" s="1">
        <v>0</v>
      </c>
      <c r="K2735" s="1">
        <v>53.5</v>
      </c>
      <c r="L2735" s="1">
        <v>51</v>
      </c>
      <c r="M2735" s="1"/>
      <c r="N2735" s="1">
        <v>0</v>
      </c>
    </row>
    <row r="2736" spans="1:14" x14ac:dyDescent="0.35">
      <c r="A2736" s="1" t="s">
        <v>105</v>
      </c>
      <c r="B2736" s="1">
        <v>202403</v>
      </c>
      <c r="C2736" s="1" t="str">
        <f>MID(analisis_productividad__4[[#This Row],[Periodo]],1,4)</f>
        <v>2024</v>
      </c>
      <c r="D2736" s="1" t="str">
        <f>MID(analisis_productividad__4[[#This Row],[Periodo]],5,2)</f>
        <v>03</v>
      </c>
      <c r="E2736" s="1" t="s">
        <v>34</v>
      </c>
      <c r="F2736" s="1" t="s">
        <v>35</v>
      </c>
      <c r="G2736" s="1">
        <v>60788</v>
      </c>
      <c r="H2736" s="1">
        <v>2579412</v>
      </c>
      <c r="I2736" s="1">
        <v>42.432795698924721</v>
      </c>
      <c r="J2736" s="1">
        <v>0</v>
      </c>
      <c r="K2736" s="1">
        <v>33</v>
      </c>
      <c r="L2736" s="1">
        <v>31.5</v>
      </c>
      <c r="M2736" s="1"/>
      <c r="N2736" s="1">
        <v>0</v>
      </c>
    </row>
    <row r="2737" spans="1:14" x14ac:dyDescent="0.35">
      <c r="A2737" s="1" t="s">
        <v>110</v>
      </c>
      <c r="B2737" s="1">
        <v>202507</v>
      </c>
      <c r="C2737" s="1" t="str">
        <f>MID(analisis_productividad__4[[#This Row],[Periodo]],1,4)</f>
        <v>2025</v>
      </c>
      <c r="D2737" s="1" t="str">
        <f>MID(analisis_productividad__4[[#This Row],[Periodo]],5,2)</f>
        <v>07</v>
      </c>
      <c r="E2737" s="1" t="s">
        <v>34</v>
      </c>
      <c r="F2737" s="1" t="s">
        <v>35</v>
      </c>
      <c r="G2737" s="1">
        <v>60774</v>
      </c>
      <c r="H2737" s="1">
        <v>2136099</v>
      </c>
      <c r="I2737" s="1">
        <v>35.148420698924753</v>
      </c>
      <c r="J2737" s="1">
        <v>61696.571245355146</v>
      </c>
      <c r="K2737" s="1">
        <v>41.5</v>
      </c>
      <c r="L2737" s="1">
        <v>43</v>
      </c>
      <c r="M2737" s="1">
        <v>34.622651905648929</v>
      </c>
      <c r="N2737" s="1">
        <v>2379109</v>
      </c>
    </row>
    <row r="2738" spans="1:14" x14ac:dyDescent="0.35">
      <c r="A2738" s="1" t="s">
        <v>110</v>
      </c>
      <c r="B2738" s="1">
        <v>202403</v>
      </c>
      <c r="C2738" s="1" t="str">
        <f>MID(analisis_productividad__4[[#This Row],[Periodo]],1,4)</f>
        <v>2024</v>
      </c>
      <c r="D2738" s="1" t="str">
        <f>MID(analisis_productividad__4[[#This Row],[Periodo]],5,2)</f>
        <v>03</v>
      </c>
      <c r="E2738" s="1" t="s">
        <v>34</v>
      </c>
      <c r="F2738" s="1" t="s">
        <v>35</v>
      </c>
      <c r="G2738" s="1">
        <v>60767</v>
      </c>
      <c r="H2738" s="1">
        <v>2449737</v>
      </c>
      <c r="I2738" s="1">
        <v>40.313319892473103</v>
      </c>
      <c r="J2738" s="1">
        <v>0</v>
      </c>
      <c r="K2738" s="1">
        <v>41.5</v>
      </c>
      <c r="L2738" s="1">
        <v>43</v>
      </c>
      <c r="M2738" s="1"/>
      <c r="N2738" s="1">
        <v>0</v>
      </c>
    </row>
    <row r="2739" spans="1:14" x14ac:dyDescent="0.35">
      <c r="A2739" s="1" t="s">
        <v>112</v>
      </c>
      <c r="B2739" s="1">
        <v>202509</v>
      </c>
      <c r="C2739" s="1" t="str">
        <f>MID(analisis_productividad__4[[#This Row],[Periodo]],1,4)</f>
        <v>2025</v>
      </c>
      <c r="D2739" s="1" t="str">
        <f>MID(analisis_productividad__4[[#This Row],[Periodo]],5,2)</f>
        <v>09</v>
      </c>
      <c r="E2739" s="1" t="s">
        <v>34</v>
      </c>
      <c r="F2739" s="1" t="s">
        <v>35</v>
      </c>
      <c r="G2739" s="1">
        <v>60736</v>
      </c>
      <c r="H2739" s="1">
        <v>1551267</v>
      </c>
      <c r="I2739" s="1">
        <v>25.541006944444447</v>
      </c>
      <c r="J2739" s="1">
        <v>66695.012886887402</v>
      </c>
      <c r="K2739" s="1">
        <v>31</v>
      </c>
      <c r="L2739" s="1">
        <v>27</v>
      </c>
      <c r="M2739" s="1">
        <v>23.259112980919557</v>
      </c>
      <c r="N2739" s="1">
        <v>1609700</v>
      </c>
    </row>
    <row r="2740" spans="1:14" x14ac:dyDescent="0.35">
      <c r="A2740" s="1" t="s">
        <v>102</v>
      </c>
      <c r="B2740" s="1">
        <v>202605</v>
      </c>
      <c r="C2740" s="1" t="str">
        <f>MID(analisis_productividad__4[[#This Row],[Periodo]],1,4)</f>
        <v>2026</v>
      </c>
      <c r="D2740" s="1" t="str">
        <f>MID(analisis_productividad__4[[#This Row],[Periodo]],5,2)</f>
        <v>05</v>
      </c>
      <c r="E2740" s="1" t="s">
        <v>11</v>
      </c>
      <c r="F2740" s="1" t="s">
        <v>12</v>
      </c>
      <c r="G2740" s="1">
        <v>60712</v>
      </c>
      <c r="H2740" s="1">
        <v>1858752</v>
      </c>
      <c r="I2740" s="1">
        <v>30.615779569892776</v>
      </c>
      <c r="J2740" s="1">
        <v>64398.840932948719</v>
      </c>
      <c r="K2740" s="1">
        <v>34</v>
      </c>
      <c r="L2740" s="1">
        <v>34</v>
      </c>
      <c r="M2740" s="1">
        <v>29.696606396863505</v>
      </c>
      <c r="N2740" s="1">
        <v>1912427</v>
      </c>
    </row>
    <row r="2741" spans="1:14" x14ac:dyDescent="0.35">
      <c r="A2741" s="1" t="s">
        <v>127</v>
      </c>
      <c r="B2741" s="1">
        <v>202506</v>
      </c>
      <c r="C2741" s="1" t="str">
        <f>MID(analisis_productividad__4[[#This Row],[Periodo]],1,4)</f>
        <v>2025</v>
      </c>
      <c r="D2741" s="1" t="str">
        <f>MID(analisis_productividad__4[[#This Row],[Periodo]],5,2)</f>
        <v>06</v>
      </c>
      <c r="E2741" s="1" t="s">
        <v>104</v>
      </c>
      <c r="F2741" s="1" t="s">
        <v>104</v>
      </c>
      <c r="G2741" s="1">
        <v>60709</v>
      </c>
      <c r="H2741" s="1">
        <v>3244500</v>
      </c>
      <c r="I2741" s="1">
        <v>53.443541666666675</v>
      </c>
      <c r="J2741" s="1">
        <v>56747.713313363834</v>
      </c>
      <c r="K2741" s="1">
        <v>61.5</v>
      </c>
      <c r="L2741" s="1">
        <v>56</v>
      </c>
      <c r="M2741" s="1">
        <v>57.174115229695694</v>
      </c>
      <c r="N2741" s="1">
        <v>3426889</v>
      </c>
    </row>
    <row r="2742" spans="1:14" x14ac:dyDescent="0.35">
      <c r="A2742" s="1" t="s">
        <v>118</v>
      </c>
      <c r="B2742" s="1">
        <v>202502</v>
      </c>
      <c r="C2742" s="1" t="str">
        <f>MID(analisis_productividad__4[[#This Row],[Periodo]],1,4)</f>
        <v>2025</v>
      </c>
      <c r="D2742" s="1" t="str">
        <f>MID(analisis_productividad__4[[#This Row],[Periodo]],5,2)</f>
        <v>02</v>
      </c>
      <c r="E2742" s="1" t="s">
        <v>34</v>
      </c>
      <c r="F2742" s="1" t="s">
        <v>35</v>
      </c>
      <c r="G2742" s="1">
        <v>60708</v>
      </c>
      <c r="H2742" s="1">
        <v>1170970</v>
      </c>
      <c r="I2742" s="1">
        <v>19.288697916666671</v>
      </c>
      <c r="J2742" s="1">
        <v>57366.020556004638</v>
      </c>
      <c r="K2742" s="1">
        <v>19</v>
      </c>
      <c r="L2742" s="1">
        <v>21.5</v>
      </c>
      <c r="M2742" s="1">
        <v>20.412263020001859</v>
      </c>
      <c r="N2742" s="1">
        <v>1141420</v>
      </c>
    </row>
    <row r="2743" spans="1:14" x14ac:dyDescent="0.35">
      <c r="A2743" s="1" t="s">
        <v>112</v>
      </c>
      <c r="B2743" s="1">
        <v>202510</v>
      </c>
      <c r="C2743" s="1" t="str">
        <f>MID(analisis_productividad__4[[#This Row],[Periodo]],1,4)</f>
        <v>2025</v>
      </c>
      <c r="D2743" s="1" t="str">
        <f>MID(analisis_productividad__4[[#This Row],[Periodo]],5,2)</f>
        <v>10</v>
      </c>
      <c r="E2743" s="1" t="s">
        <v>34</v>
      </c>
      <c r="F2743" s="1" t="s">
        <v>35</v>
      </c>
      <c r="G2743" s="1">
        <v>60643</v>
      </c>
      <c r="H2743" s="1">
        <v>1547006</v>
      </c>
      <c r="I2743" s="1">
        <v>25.510060483870969</v>
      </c>
      <c r="J2743" s="1">
        <v>69331.199186136495</v>
      </c>
      <c r="K2743" s="1">
        <v>31</v>
      </c>
      <c r="L2743" s="1">
        <v>27</v>
      </c>
      <c r="M2743" s="1">
        <v>22.313273074170912</v>
      </c>
      <c r="N2743" s="1">
        <v>1684326</v>
      </c>
    </row>
    <row r="2744" spans="1:14" x14ac:dyDescent="0.35">
      <c r="A2744" s="1" t="s">
        <v>105</v>
      </c>
      <c r="B2744" s="1">
        <v>202412</v>
      </c>
      <c r="C2744" s="1" t="str">
        <f>MID(analisis_productividad__4[[#This Row],[Periodo]],1,4)</f>
        <v>2024</v>
      </c>
      <c r="D2744" s="1" t="str">
        <f>MID(analisis_productividad__4[[#This Row],[Periodo]],5,2)</f>
        <v>12</v>
      </c>
      <c r="E2744" s="1" t="s">
        <v>34</v>
      </c>
      <c r="F2744" s="1" t="s">
        <v>35</v>
      </c>
      <c r="G2744" s="1">
        <v>60600</v>
      </c>
      <c r="H2744" s="1">
        <v>3137712</v>
      </c>
      <c r="I2744" s="1">
        <v>51.777184139784929</v>
      </c>
      <c r="J2744" s="1">
        <v>0</v>
      </c>
      <c r="K2744" s="1">
        <v>33</v>
      </c>
      <c r="L2744" s="1">
        <v>31.5</v>
      </c>
      <c r="M2744" s="1"/>
      <c r="N2744" s="1">
        <v>0</v>
      </c>
    </row>
    <row r="2745" spans="1:14" x14ac:dyDescent="0.35">
      <c r="A2745" s="1" t="s">
        <v>115</v>
      </c>
      <c r="B2745" s="1">
        <v>202510</v>
      </c>
      <c r="C2745" s="1" t="str">
        <f>MID(analisis_productividad__4[[#This Row],[Periodo]],1,4)</f>
        <v>2025</v>
      </c>
      <c r="D2745" s="1" t="str">
        <f>MID(analisis_productividad__4[[#This Row],[Periodo]],5,2)</f>
        <v>10</v>
      </c>
      <c r="E2745" s="1" t="s">
        <v>34</v>
      </c>
      <c r="F2745" s="1" t="s">
        <v>35</v>
      </c>
      <c r="G2745" s="1">
        <v>60542</v>
      </c>
      <c r="H2745" s="1">
        <v>2859461</v>
      </c>
      <c r="I2745" s="1">
        <v>47.230665322580663</v>
      </c>
      <c r="J2745" s="1">
        <v>56823.434353153483</v>
      </c>
      <c r="K2745" s="1">
        <v>53.5</v>
      </c>
      <c r="L2745" s="1">
        <v>51</v>
      </c>
      <c r="M2745" s="1">
        <v>50.32186460657514</v>
      </c>
      <c r="N2745" s="1">
        <v>3261894</v>
      </c>
    </row>
    <row r="2746" spans="1:14" x14ac:dyDescent="0.35">
      <c r="A2746" s="1" t="s">
        <v>99</v>
      </c>
      <c r="B2746" s="1">
        <v>202407</v>
      </c>
      <c r="C2746" s="1" t="str">
        <f>MID(analisis_productividad__4[[#This Row],[Periodo]],1,4)</f>
        <v>2024</v>
      </c>
      <c r="D2746" s="1" t="str">
        <f>MID(analisis_productividad__4[[#This Row],[Periodo]],5,2)</f>
        <v>07</v>
      </c>
      <c r="E2746" s="1" t="s">
        <v>11</v>
      </c>
      <c r="F2746" s="1" t="s">
        <v>12</v>
      </c>
      <c r="G2746" s="1">
        <v>60476</v>
      </c>
      <c r="H2746" s="1">
        <v>1549399</v>
      </c>
      <c r="I2746" s="1">
        <v>25.619905913978496</v>
      </c>
      <c r="J2746" s="1">
        <v>0</v>
      </c>
      <c r="K2746" s="1">
        <v>27</v>
      </c>
      <c r="L2746" s="1">
        <v>27</v>
      </c>
      <c r="M2746" s="1"/>
      <c r="N2746" s="1">
        <v>0</v>
      </c>
    </row>
    <row r="2747" spans="1:14" x14ac:dyDescent="0.35">
      <c r="A2747" s="1" t="s">
        <v>113</v>
      </c>
      <c r="B2747" s="1">
        <v>202404</v>
      </c>
      <c r="C2747" s="1" t="str">
        <f>MID(analisis_productividad__4[[#This Row],[Periodo]],1,4)</f>
        <v>2024</v>
      </c>
      <c r="D2747" s="1" t="str">
        <f>MID(analisis_productividad__4[[#This Row],[Periodo]],5,2)</f>
        <v>04</v>
      </c>
      <c r="E2747" s="1" t="s">
        <v>9</v>
      </c>
      <c r="F2747" s="1" t="s">
        <v>9</v>
      </c>
      <c r="G2747" s="1">
        <v>60475</v>
      </c>
      <c r="H2747" s="1">
        <v>585020</v>
      </c>
      <c r="I2747" s="1">
        <v>9.6738055555555569</v>
      </c>
      <c r="J2747" s="1">
        <v>0</v>
      </c>
      <c r="K2747" s="1">
        <v>11.5</v>
      </c>
      <c r="L2747" s="1">
        <v>10</v>
      </c>
      <c r="M2747" s="1"/>
      <c r="N2747" s="1">
        <v>0</v>
      </c>
    </row>
    <row r="2748" spans="1:14" x14ac:dyDescent="0.35">
      <c r="A2748" s="1" t="s">
        <v>109</v>
      </c>
      <c r="B2748" s="1">
        <v>202402</v>
      </c>
      <c r="C2748" s="1" t="str">
        <f>MID(analisis_productividad__4[[#This Row],[Periodo]],1,4)</f>
        <v>2024</v>
      </c>
      <c r="D2748" s="1" t="str">
        <f>MID(analisis_productividad__4[[#This Row],[Periodo]],5,2)</f>
        <v>02</v>
      </c>
      <c r="E2748" s="1" t="s">
        <v>9</v>
      </c>
      <c r="F2748" s="1" t="s">
        <v>9</v>
      </c>
      <c r="G2748" s="1">
        <v>60466</v>
      </c>
      <c r="H2748" s="1">
        <v>531731</v>
      </c>
      <c r="I2748" s="1">
        <v>8.7938505747126445</v>
      </c>
      <c r="J2748" s="1">
        <v>0</v>
      </c>
      <c r="K2748" s="1">
        <v>10</v>
      </c>
      <c r="L2748" s="1">
        <v>9</v>
      </c>
      <c r="M2748" s="1"/>
      <c r="N2748" s="1">
        <v>0</v>
      </c>
    </row>
    <row r="2749" spans="1:14" x14ac:dyDescent="0.35">
      <c r="A2749" s="1" t="s">
        <v>119</v>
      </c>
      <c r="B2749" s="1">
        <v>202605</v>
      </c>
      <c r="C2749" s="1" t="str">
        <f>MID(analisis_productividad__4[[#This Row],[Periodo]],1,4)</f>
        <v>2026</v>
      </c>
      <c r="D2749" s="1" t="str">
        <f>MID(analisis_productividad__4[[#This Row],[Periodo]],5,2)</f>
        <v>05</v>
      </c>
      <c r="E2749" s="1" t="s">
        <v>16</v>
      </c>
      <c r="F2749" s="1" t="s">
        <v>21</v>
      </c>
      <c r="G2749" s="1">
        <v>60430</v>
      </c>
      <c r="H2749" s="1">
        <v>2837037</v>
      </c>
      <c r="I2749" s="1">
        <v>46.947278225807167</v>
      </c>
      <c r="J2749" s="1">
        <v>73265.106943532708</v>
      </c>
      <c r="K2749" s="1">
        <v>52.5</v>
      </c>
      <c r="L2749" s="1">
        <v>52.5</v>
      </c>
      <c r="M2749" s="1">
        <v>46.965208254619732</v>
      </c>
      <c r="N2749" s="1">
        <v>3440911</v>
      </c>
    </row>
    <row r="2750" spans="1:14" x14ac:dyDescent="0.35">
      <c r="A2750" s="1" t="s">
        <v>110</v>
      </c>
      <c r="B2750" s="1">
        <v>202406</v>
      </c>
      <c r="C2750" s="1" t="str">
        <f>MID(analisis_productividad__4[[#This Row],[Periodo]],1,4)</f>
        <v>2024</v>
      </c>
      <c r="D2750" s="1" t="str">
        <f>MID(analisis_productividad__4[[#This Row],[Periodo]],5,2)</f>
        <v>06</v>
      </c>
      <c r="E2750" s="1" t="s">
        <v>34</v>
      </c>
      <c r="F2750" s="1" t="s">
        <v>35</v>
      </c>
      <c r="G2750" s="1">
        <v>60424</v>
      </c>
      <c r="H2750" s="1">
        <v>2273610</v>
      </c>
      <c r="I2750" s="1">
        <v>37.62733333333334</v>
      </c>
      <c r="J2750" s="1">
        <v>0</v>
      </c>
      <c r="K2750" s="1">
        <v>41.5</v>
      </c>
      <c r="L2750" s="1">
        <v>43</v>
      </c>
      <c r="M2750" s="1"/>
      <c r="N2750" s="1">
        <v>0</v>
      </c>
    </row>
    <row r="2751" spans="1:14" x14ac:dyDescent="0.35">
      <c r="A2751" s="1" t="s">
        <v>95</v>
      </c>
      <c r="B2751" s="1">
        <v>202502</v>
      </c>
      <c r="C2751" s="1" t="str">
        <f>MID(analisis_productividad__4[[#This Row],[Periodo]],1,4)</f>
        <v>2025</v>
      </c>
      <c r="D2751" s="1" t="str">
        <f>MID(analisis_productividad__4[[#This Row],[Periodo]],5,2)</f>
        <v>02</v>
      </c>
      <c r="E2751" s="1" t="s">
        <v>9</v>
      </c>
      <c r="F2751" s="1" t="s">
        <v>9</v>
      </c>
      <c r="G2751" s="1">
        <v>60405</v>
      </c>
      <c r="H2751" s="1">
        <v>604072</v>
      </c>
      <c r="I2751" s="1">
        <v>10.000364583333333</v>
      </c>
      <c r="J2751" s="1">
        <v>81288.584684543413</v>
      </c>
      <c r="K2751" s="1">
        <v>11</v>
      </c>
      <c r="L2751" s="1">
        <v>11</v>
      </c>
      <c r="M2751" s="1">
        <v>7.4312028231789471</v>
      </c>
      <c r="N2751" s="1">
        <v>651006</v>
      </c>
    </row>
    <row r="2752" spans="1:14" x14ac:dyDescent="0.35">
      <c r="A2752" s="1" t="s">
        <v>118</v>
      </c>
      <c r="B2752" s="1">
        <v>202604</v>
      </c>
      <c r="C2752" s="1" t="str">
        <f>MID(analisis_productividad__4[[#This Row],[Periodo]],1,4)</f>
        <v>2026</v>
      </c>
      <c r="D2752" s="1" t="str">
        <f>MID(analisis_productividad__4[[#This Row],[Periodo]],5,2)</f>
        <v>04</v>
      </c>
      <c r="E2752" s="1" t="s">
        <v>34</v>
      </c>
      <c r="F2752" s="1" t="s">
        <v>35</v>
      </c>
      <c r="G2752" s="1">
        <v>60380</v>
      </c>
      <c r="H2752" s="1">
        <v>1163569</v>
      </c>
      <c r="I2752" s="1">
        <v>19.270854166666687</v>
      </c>
      <c r="J2752" s="1">
        <v>62135.3623502513</v>
      </c>
      <c r="K2752" s="1">
        <v>19</v>
      </c>
      <c r="L2752" s="1">
        <v>21.5</v>
      </c>
      <c r="M2752" s="1">
        <v>17.464859694273773</v>
      </c>
      <c r="N2752" s="1">
        <v>1085185</v>
      </c>
    </row>
    <row r="2753" spans="1:14" x14ac:dyDescent="0.35">
      <c r="A2753" s="1" t="s">
        <v>126</v>
      </c>
      <c r="B2753" s="1">
        <v>202412</v>
      </c>
      <c r="C2753" s="1" t="str">
        <f>MID(analisis_productividad__4[[#This Row],[Periodo]],1,4)</f>
        <v>2024</v>
      </c>
      <c r="D2753" s="1" t="str">
        <f>MID(analisis_productividad__4[[#This Row],[Periodo]],5,2)</f>
        <v>12</v>
      </c>
      <c r="E2753" s="1" t="s">
        <v>104</v>
      </c>
      <c r="F2753" s="1" t="s">
        <v>104</v>
      </c>
      <c r="G2753" s="1">
        <v>60376</v>
      </c>
      <c r="H2753" s="1">
        <v>3644203</v>
      </c>
      <c r="I2753" s="1">
        <v>60.358487903225779</v>
      </c>
      <c r="J2753" s="1">
        <v>0</v>
      </c>
      <c r="K2753" s="1">
        <v>64.5</v>
      </c>
      <c r="L2753" s="1">
        <v>61</v>
      </c>
      <c r="M2753" s="1"/>
      <c r="N2753" s="1">
        <v>0</v>
      </c>
    </row>
    <row r="2754" spans="1:14" x14ac:dyDescent="0.35">
      <c r="A2754" s="1" t="s">
        <v>101</v>
      </c>
      <c r="B2754" s="1">
        <v>202606</v>
      </c>
      <c r="C2754" s="1" t="str">
        <f>MID(analisis_productividad__4[[#This Row],[Periodo]],1,4)</f>
        <v>2026</v>
      </c>
      <c r="D2754" s="1" t="str">
        <f>MID(analisis_productividad__4[[#This Row],[Periodo]],5,2)</f>
        <v>06</v>
      </c>
      <c r="E2754" s="1" t="s">
        <v>9</v>
      </c>
      <c r="F2754" s="1" t="s">
        <v>9</v>
      </c>
      <c r="G2754" s="1">
        <v>60341</v>
      </c>
      <c r="H2754" s="1">
        <v>335763</v>
      </c>
      <c r="I2754" s="1">
        <v>5.5644652777777779</v>
      </c>
      <c r="J2754" s="1">
        <v>44707.452040538046</v>
      </c>
      <c r="K2754" s="1">
        <v>8.5</v>
      </c>
      <c r="L2754" s="1">
        <v>6.5</v>
      </c>
      <c r="M2754" s="1">
        <v>7.4225653700663532</v>
      </c>
      <c r="N2754" s="1">
        <v>331844</v>
      </c>
    </row>
    <row r="2755" spans="1:14" x14ac:dyDescent="0.35">
      <c r="A2755" s="1" t="s">
        <v>121</v>
      </c>
      <c r="B2755" s="1">
        <v>202407</v>
      </c>
      <c r="C2755" s="1" t="str">
        <f>MID(analisis_productividad__4[[#This Row],[Periodo]],1,4)</f>
        <v>2024</v>
      </c>
      <c r="D2755" s="1" t="str">
        <f>MID(analisis_productividad__4[[#This Row],[Periodo]],5,2)</f>
        <v>07</v>
      </c>
      <c r="E2755" s="1" t="s">
        <v>11</v>
      </c>
      <c r="F2755" s="1" t="s">
        <v>14</v>
      </c>
      <c r="G2755" s="1">
        <v>60335</v>
      </c>
      <c r="H2755" s="1">
        <v>2224938</v>
      </c>
      <c r="I2755" s="1">
        <v>36.876545698924723</v>
      </c>
      <c r="J2755" s="1">
        <v>0</v>
      </c>
      <c r="K2755" s="1">
        <v>36</v>
      </c>
      <c r="L2755" s="1">
        <v>35</v>
      </c>
      <c r="M2755" s="1"/>
      <c r="N2755" s="1">
        <v>0</v>
      </c>
    </row>
    <row r="2756" spans="1:14" x14ac:dyDescent="0.35">
      <c r="A2756" s="1" t="s">
        <v>125</v>
      </c>
      <c r="B2756" s="1">
        <v>202606</v>
      </c>
      <c r="C2756" s="1" t="str">
        <f>MID(analisis_productividad__4[[#This Row],[Periodo]],1,4)</f>
        <v>2026</v>
      </c>
      <c r="D2756" s="1" t="str">
        <f>MID(analisis_productividad__4[[#This Row],[Periodo]],5,2)</f>
        <v>06</v>
      </c>
      <c r="E2756" s="1" t="s">
        <v>104</v>
      </c>
      <c r="F2756" s="1" t="s">
        <v>104</v>
      </c>
      <c r="G2756" s="1">
        <v>60188</v>
      </c>
      <c r="H2756" s="1">
        <v>2854550</v>
      </c>
      <c r="I2756" s="1">
        <v>47.427381944444448</v>
      </c>
      <c r="J2756" s="1">
        <v>55173.888862472057</v>
      </c>
      <c r="K2756" s="1">
        <v>59</v>
      </c>
      <c r="L2756" s="1">
        <v>50</v>
      </c>
      <c r="M2756" s="1">
        <v>50.48039166574727</v>
      </c>
      <c r="N2756" s="1">
        <v>2785200</v>
      </c>
    </row>
    <row r="2757" spans="1:14" x14ac:dyDescent="0.35">
      <c r="A2757" s="1" t="s">
        <v>120</v>
      </c>
      <c r="B2757" s="1">
        <v>202510</v>
      </c>
      <c r="C2757" s="1" t="str">
        <f>MID(analisis_productividad__4[[#This Row],[Periodo]],1,4)</f>
        <v>2025</v>
      </c>
      <c r="D2757" s="1" t="str">
        <f>MID(analisis_productividad__4[[#This Row],[Periodo]],5,2)</f>
        <v>10</v>
      </c>
      <c r="E2757" s="1" t="s">
        <v>9</v>
      </c>
      <c r="F2757" s="1" t="s">
        <v>9</v>
      </c>
      <c r="G2757" s="1">
        <v>60123</v>
      </c>
      <c r="H2757" s="1">
        <v>674923</v>
      </c>
      <c r="I2757" s="1">
        <v>11.225779569892476</v>
      </c>
      <c r="J2757" s="1">
        <v>68349.184238919304</v>
      </c>
      <c r="K2757" s="1">
        <v>11.5</v>
      </c>
      <c r="L2757" s="1">
        <v>12</v>
      </c>
      <c r="M2757" s="1">
        <v>9.8746261204926942</v>
      </c>
      <c r="N2757" s="1">
        <v>877570</v>
      </c>
    </row>
    <row r="2758" spans="1:14" x14ac:dyDescent="0.35">
      <c r="A2758" s="1" t="s">
        <v>48</v>
      </c>
      <c r="B2758" s="1">
        <v>202411</v>
      </c>
      <c r="C2758" s="1" t="str">
        <f>MID(analisis_productividad__4[[#This Row],[Periodo]],1,4)</f>
        <v>2024</v>
      </c>
      <c r="D2758" s="1" t="str">
        <f>MID(analisis_productividad__4[[#This Row],[Periodo]],5,2)</f>
        <v>11</v>
      </c>
      <c r="E2758" s="1" t="s">
        <v>16</v>
      </c>
      <c r="F2758" s="1" t="s">
        <v>21</v>
      </c>
      <c r="G2758" s="1">
        <v>60107</v>
      </c>
      <c r="H2758" s="1">
        <v>3205105</v>
      </c>
      <c r="I2758" s="1">
        <v>53.322986111111121</v>
      </c>
      <c r="J2758" s="1">
        <v>0</v>
      </c>
      <c r="K2758" s="1">
        <v>56</v>
      </c>
      <c r="L2758" s="1">
        <v>60</v>
      </c>
      <c r="M2758" s="1"/>
      <c r="N2758" s="1">
        <v>0</v>
      </c>
    </row>
    <row r="2759" spans="1:14" x14ac:dyDescent="0.35">
      <c r="A2759" s="1" t="s">
        <v>117</v>
      </c>
      <c r="B2759" s="1">
        <v>202605</v>
      </c>
      <c r="C2759" s="1" t="str">
        <f>MID(analisis_productividad__4[[#This Row],[Periodo]],1,4)</f>
        <v>2026</v>
      </c>
      <c r="D2759" s="1" t="str">
        <f>MID(analisis_productividad__4[[#This Row],[Periodo]],5,2)</f>
        <v>05</v>
      </c>
      <c r="E2759" s="1" t="s">
        <v>104</v>
      </c>
      <c r="F2759" s="1" t="s">
        <v>104</v>
      </c>
      <c r="G2759" s="1">
        <v>60097</v>
      </c>
      <c r="H2759" s="1">
        <v>3684960</v>
      </c>
      <c r="I2759" s="1">
        <v>61.317130376344778</v>
      </c>
      <c r="J2759" s="1">
        <v>62951.728929195699</v>
      </c>
      <c r="K2759" s="1">
        <v>66</v>
      </c>
      <c r="L2759" s="1">
        <v>65.5</v>
      </c>
      <c r="M2759" s="1">
        <v>58.116081161406527</v>
      </c>
      <c r="N2759" s="1">
        <v>3658508</v>
      </c>
    </row>
    <row r="2760" spans="1:14" x14ac:dyDescent="0.35">
      <c r="A2760" s="1" t="s">
        <v>115</v>
      </c>
      <c r="B2760" s="1">
        <v>202601</v>
      </c>
      <c r="C2760" s="1" t="str">
        <f>MID(analisis_productividad__4[[#This Row],[Periodo]],1,4)</f>
        <v>2026</v>
      </c>
      <c r="D2760" s="1" t="str">
        <f>MID(analisis_productividad__4[[#This Row],[Periodo]],5,2)</f>
        <v>01</v>
      </c>
      <c r="E2760" s="1" t="s">
        <v>34</v>
      </c>
      <c r="F2760" s="1" t="s">
        <v>35</v>
      </c>
      <c r="G2760" s="1">
        <v>60076</v>
      </c>
      <c r="H2760" s="1">
        <v>2882492</v>
      </c>
      <c r="I2760" s="1">
        <v>47.981142473118261</v>
      </c>
      <c r="J2760" s="1">
        <v>70225.000016786071</v>
      </c>
      <c r="K2760" s="1">
        <v>53.5</v>
      </c>
      <c r="L2760" s="1">
        <v>51</v>
      </c>
      <c r="M2760" s="1">
        <v>45.515809558361951</v>
      </c>
      <c r="N2760" s="1">
        <v>3196348</v>
      </c>
    </row>
    <row r="2761" spans="1:14" x14ac:dyDescent="0.35">
      <c r="A2761" s="1" t="s">
        <v>117</v>
      </c>
      <c r="B2761" s="1">
        <v>202504</v>
      </c>
      <c r="C2761" s="1" t="str">
        <f>MID(analisis_productividad__4[[#This Row],[Periodo]],1,4)</f>
        <v>2025</v>
      </c>
      <c r="D2761" s="1" t="str">
        <f>MID(analisis_productividad__4[[#This Row],[Periodo]],5,2)</f>
        <v>04</v>
      </c>
      <c r="E2761" s="1" t="s">
        <v>104</v>
      </c>
      <c r="F2761" s="1" t="s">
        <v>104</v>
      </c>
      <c r="G2761" s="1">
        <v>60075</v>
      </c>
      <c r="H2761" s="1">
        <v>3443434</v>
      </c>
      <c r="I2761" s="1">
        <v>57.319013888888904</v>
      </c>
      <c r="J2761" s="1">
        <v>58646.546651065684</v>
      </c>
      <c r="K2761" s="1">
        <v>66</v>
      </c>
      <c r="L2761" s="1">
        <v>65.5</v>
      </c>
      <c r="M2761" s="1">
        <v>58.715036206440104</v>
      </c>
      <c r="N2761" s="1">
        <v>3701498</v>
      </c>
    </row>
    <row r="2762" spans="1:14" x14ac:dyDescent="0.35">
      <c r="A2762" s="1" t="s">
        <v>111</v>
      </c>
      <c r="B2762" s="1">
        <v>202403</v>
      </c>
      <c r="C2762" s="1" t="str">
        <f>MID(analisis_productividad__4[[#This Row],[Periodo]],1,4)</f>
        <v>2024</v>
      </c>
      <c r="D2762" s="1" t="str">
        <f>MID(analisis_productividad__4[[#This Row],[Periodo]],5,2)</f>
        <v>03</v>
      </c>
      <c r="E2762" s="1" t="s">
        <v>34</v>
      </c>
      <c r="F2762" s="1" t="s">
        <v>35</v>
      </c>
      <c r="G2762" s="1">
        <v>60042</v>
      </c>
      <c r="H2762" s="1">
        <v>2647640</v>
      </c>
      <c r="I2762" s="1">
        <v>44.096377688172048</v>
      </c>
      <c r="J2762" s="1">
        <v>0</v>
      </c>
      <c r="K2762" s="1">
        <v>45.5</v>
      </c>
      <c r="L2762" s="1">
        <v>42.5</v>
      </c>
      <c r="M2762" s="1"/>
      <c r="N2762" s="1">
        <v>0</v>
      </c>
    </row>
    <row r="2763" spans="1:14" x14ac:dyDescent="0.35">
      <c r="A2763" s="1" t="s">
        <v>111</v>
      </c>
      <c r="B2763" s="1">
        <v>202602</v>
      </c>
      <c r="C2763" s="1" t="str">
        <f>MID(analisis_productividad__4[[#This Row],[Periodo]],1,4)</f>
        <v>2026</v>
      </c>
      <c r="D2763" s="1" t="str">
        <f>MID(analisis_productividad__4[[#This Row],[Periodo]],5,2)</f>
        <v>02</v>
      </c>
      <c r="E2763" s="1" t="s">
        <v>34</v>
      </c>
      <c r="F2763" s="1" t="s">
        <v>35</v>
      </c>
      <c r="G2763" s="1">
        <v>60036</v>
      </c>
      <c r="H2763" s="1">
        <v>2348347</v>
      </c>
      <c r="I2763" s="1">
        <v>39.115781249999998</v>
      </c>
      <c r="J2763" s="1">
        <v>61943.894607911039</v>
      </c>
      <c r="K2763" s="1">
        <v>45.5</v>
      </c>
      <c r="L2763" s="1">
        <v>42.5</v>
      </c>
      <c r="M2763" s="1">
        <v>36.981595266169094</v>
      </c>
      <c r="N2763" s="1">
        <v>2290784</v>
      </c>
    </row>
    <row r="2764" spans="1:14" x14ac:dyDescent="0.35">
      <c r="A2764" s="1" t="s">
        <v>109</v>
      </c>
      <c r="B2764" s="1">
        <v>202602</v>
      </c>
      <c r="C2764" s="1" t="str">
        <f>MID(analisis_productividad__4[[#This Row],[Periodo]],1,4)</f>
        <v>2026</v>
      </c>
      <c r="D2764" s="1" t="str">
        <f>MID(analisis_productividad__4[[#This Row],[Periodo]],5,2)</f>
        <v>02</v>
      </c>
      <c r="E2764" s="1" t="s">
        <v>9</v>
      </c>
      <c r="F2764" s="1" t="s">
        <v>9</v>
      </c>
      <c r="G2764" s="1">
        <v>59966</v>
      </c>
      <c r="H2764" s="1">
        <v>465796</v>
      </c>
      <c r="I2764" s="1">
        <v>7.7676041666666658</v>
      </c>
      <c r="J2764" s="1">
        <v>59272.734187432936</v>
      </c>
      <c r="K2764" s="1">
        <v>10</v>
      </c>
      <c r="L2764" s="1">
        <v>9</v>
      </c>
      <c r="M2764" s="1">
        <v>8.1521894564878892</v>
      </c>
      <c r="N2764" s="1">
        <v>483203</v>
      </c>
    </row>
    <row r="2765" spans="1:14" x14ac:dyDescent="0.35">
      <c r="A2765" s="1" t="s">
        <v>89</v>
      </c>
      <c r="B2765" s="1">
        <v>202404</v>
      </c>
      <c r="C2765" s="1" t="str">
        <f>MID(analisis_productividad__4[[#This Row],[Periodo]],1,4)</f>
        <v>2024</v>
      </c>
      <c r="D2765" s="1" t="str">
        <f>MID(analisis_productividad__4[[#This Row],[Periodo]],5,2)</f>
        <v>04</v>
      </c>
      <c r="E2765" s="1" t="s">
        <v>9</v>
      </c>
      <c r="F2765" s="1" t="s">
        <v>9</v>
      </c>
      <c r="G2765" s="1">
        <v>59962</v>
      </c>
      <c r="H2765" s="1">
        <v>1035652</v>
      </c>
      <c r="I2765" s="1">
        <v>17.271722222222227</v>
      </c>
      <c r="J2765" s="1">
        <v>0</v>
      </c>
      <c r="K2765" s="1">
        <v>17</v>
      </c>
      <c r="L2765" s="1">
        <v>13.5</v>
      </c>
      <c r="M2765" s="1"/>
      <c r="N2765" s="1">
        <v>0</v>
      </c>
    </row>
    <row r="2766" spans="1:14" x14ac:dyDescent="0.35">
      <c r="A2766" s="1" t="s">
        <v>125</v>
      </c>
      <c r="B2766" s="1">
        <v>202508</v>
      </c>
      <c r="C2766" s="1" t="str">
        <f>MID(analisis_productividad__4[[#This Row],[Periodo]],1,4)</f>
        <v>2025</v>
      </c>
      <c r="D2766" s="1" t="str">
        <f>MID(analisis_productividad__4[[#This Row],[Periodo]],5,2)</f>
        <v>08</v>
      </c>
      <c r="E2766" s="1" t="s">
        <v>104</v>
      </c>
      <c r="F2766" s="1" t="s">
        <v>104</v>
      </c>
      <c r="G2766" s="1">
        <v>59858</v>
      </c>
      <c r="H2766" s="1">
        <v>2722294</v>
      </c>
      <c r="I2766" s="1">
        <v>45.479065860215066</v>
      </c>
      <c r="J2766" s="1">
        <v>58620.803417057978</v>
      </c>
      <c r="K2766" s="1">
        <v>59</v>
      </c>
      <c r="L2766" s="1">
        <v>50</v>
      </c>
      <c r="M2766" s="1">
        <v>46.439048960694457</v>
      </c>
      <c r="N2766" s="1">
        <v>2800998</v>
      </c>
    </row>
    <row r="2767" spans="1:14" x14ac:dyDescent="0.35">
      <c r="A2767" s="1" t="s">
        <v>116</v>
      </c>
      <c r="B2767" s="1">
        <v>202602</v>
      </c>
      <c r="C2767" s="1" t="str">
        <f>MID(analisis_productividad__4[[#This Row],[Periodo]],1,4)</f>
        <v>2026</v>
      </c>
      <c r="D2767" s="1" t="str">
        <f>MID(analisis_productividad__4[[#This Row],[Periodo]],5,2)</f>
        <v>02</v>
      </c>
      <c r="E2767" s="1" t="s">
        <v>9</v>
      </c>
      <c r="F2767" s="1" t="s">
        <v>9</v>
      </c>
      <c r="G2767" s="1">
        <v>59849</v>
      </c>
      <c r="H2767" s="1">
        <v>603202</v>
      </c>
      <c r="I2767" s="1">
        <v>10.078645833333333</v>
      </c>
      <c r="J2767" s="1">
        <v>65449.887473983632</v>
      </c>
      <c r="K2767" s="1">
        <v>11.5</v>
      </c>
      <c r="L2767" s="1">
        <v>10</v>
      </c>
      <c r="M2767" s="1">
        <v>10.042294324207418</v>
      </c>
      <c r="N2767" s="1">
        <v>657267</v>
      </c>
    </row>
    <row r="2768" spans="1:14" x14ac:dyDescent="0.35">
      <c r="A2768" s="1" t="s">
        <v>123</v>
      </c>
      <c r="B2768" s="1">
        <v>202407</v>
      </c>
      <c r="C2768" s="1" t="str">
        <f>MID(analisis_productividad__4[[#This Row],[Periodo]],1,4)</f>
        <v>2024</v>
      </c>
      <c r="D2768" s="1" t="str">
        <f>MID(analisis_productividad__4[[#This Row],[Periodo]],5,2)</f>
        <v>07</v>
      </c>
      <c r="E2768" s="1" t="s">
        <v>9</v>
      </c>
      <c r="F2768" s="1" t="s">
        <v>9</v>
      </c>
      <c r="G2768" s="1">
        <v>59839</v>
      </c>
      <c r="H2768" s="1">
        <v>556030</v>
      </c>
      <c r="I2768" s="1">
        <v>9.2921706989247337</v>
      </c>
      <c r="J2768" s="1">
        <v>0</v>
      </c>
      <c r="K2768" s="1">
        <v>11</v>
      </c>
      <c r="L2768" s="1">
        <v>10</v>
      </c>
      <c r="M2768" s="1"/>
      <c r="N2768" s="1">
        <v>0</v>
      </c>
    </row>
    <row r="2769" spans="1:14" x14ac:dyDescent="0.35">
      <c r="A2769" s="1" t="s">
        <v>102</v>
      </c>
      <c r="B2769" s="1">
        <v>202410</v>
      </c>
      <c r="C2769" s="1" t="str">
        <f>MID(analisis_productividad__4[[#This Row],[Periodo]],1,4)</f>
        <v>2024</v>
      </c>
      <c r="D2769" s="1" t="str">
        <f>MID(analisis_productividad__4[[#This Row],[Periodo]],5,2)</f>
        <v>10</v>
      </c>
      <c r="E2769" s="1" t="s">
        <v>11</v>
      </c>
      <c r="F2769" s="1" t="s">
        <v>12</v>
      </c>
      <c r="G2769" s="1">
        <v>59811</v>
      </c>
      <c r="H2769" s="1">
        <v>1670453</v>
      </c>
      <c r="I2769" s="1">
        <v>27.928635752688173</v>
      </c>
      <c r="J2769" s="1">
        <v>0</v>
      </c>
      <c r="K2769" s="1">
        <v>34</v>
      </c>
      <c r="L2769" s="1">
        <v>34</v>
      </c>
      <c r="M2769" s="1"/>
      <c r="N2769" s="1">
        <v>0</v>
      </c>
    </row>
    <row r="2770" spans="1:14" x14ac:dyDescent="0.35">
      <c r="A2770" s="1" t="s">
        <v>108</v>
      </c>
      <c r="B2770" s="1">
        <v>202510</v>
      </c>
      <c r="C2770" s="1" t="str">
        <f>MID(analisis_productividad__4[[#This Row],[Periodo]],1,4)</f>
        <v>2025</v>
      </c>
      <c r="D2770" s="1" t="str">
        <f>MID(analisis_productividad__4[[#This Row],[Periodo]],5,2)</f>
        <v>10</v>
      </c>
      <c r="E2770" s="1" t="s">
        <v>11</v>
      </c>
      <c r="F2770" s="1" t="s">
        <v>14</v>
      </c>
      <c r="G2770" s="1">
        <v>59721</v>
      </c>
      <c r="H2770" s="1">
        <v>2176587</v>
      </c>
      <c r="I2770" s="1">
        <v>36.445725806451613</v>
      </c>
      <c r="J2770" s="1">
        <v>57906.933865138824</v>
      </c>
      <c r="K2770" s="1">
        <v>47.5</v>
      </c>
      <c r="L2770" s="1">
        <v>43</v>
      </c>
      <c r="M2770" s="1">
        <v>37.58767292133129</v>
      </c>
      <c r="N2770" s="1">
        <v>3009988</v>
      </c>
    </row>
    <row r="2771" spans="1:14" x14ac:dyDescent="0.35">
      <c r="A2771" s="1" t="s">
        <v>102</v>
      </c>
      <c r="B2771" s="1">
        <v>202601</v>
      </c>
      <c r="C2771" s="1" t="str">
        <f>MID(analisis_productividad__4[[#This Row],[Periodo]],1,4)</f>
        <v>2026</v>
      </c>
      <c r="D2771" s="1" t="str">
        <f>MID(analisis_productividad__4[[#This Row],[Periodo]],5,2)</f>
        <v>01</v>
      </c>
      <c r="E2771" s="1" t="s">
        <v>11</v>
      </c>
      <c r="F2771" s="1" t="s">
        <v>12</v>
      </c>
      <c r="G2771" s="1">
        <v>59721</v>
      </c>
      <c r="H2771" s="1">
        <v>1773812</v>
      </c>
      <c r="I2771" s="1">
        <v>29.701875000000001</v>
      </c>
      <c r="J2771" s="1">
        <v>60173.339347917317</v>
      </c>
      <c r="K2771" s="1">
        <v>34</v>
      </c>
      <c r="L2771" s="1">
        <v>34</v>
      </c>
      <c r="M2771" s="1">
        <v>29.696606396863505</v>
      </c>
      <c r="N2771" s="1">
        <v>1786944</v>
      </c>
    </row>
    <row r="2772" spans="1:14" x14ac:dyDescent="0.35">
      <c r="A2772" s="1" t="s">
        <v>107</v>
      </c>
      <c r="B2772" s="1">
        <v>202406</v>
      </c>
      <c r="C2772" s="1" t="str">
        <f>MID(analisis_productividad__4[[#This Row],[Periodo]],1,4)</f>
        <v>2024</v>
      </c>
      <c r="D2772" s="1" t="str">
        <f>MID(analisis_productividad__4[[#This Row],[Periodo]],5,2)</f>
        <v>06</v>
      </c>
      <c r="E2772" s="1" t="s">
        <v>34</v>
      </c>
      <c r="F2772" s="1" t="s">
        <v>35</v>
      </c>
      <c r="G2772" s="1">
        <v>59710</v>
      </c>
      <c r="H2772" s="1">
        <v>5055235</v>
      </c>
      <c r="I2772" s="1">
        <v>84.66247222222222</v>
      </c>
      <c r="J2772" s="1">
        <v>0</v>
      </c>
      <c r="K2772" s="1">
        <v>87</v>
      </c>
      <c r="L2772" s="1">
        <v>77.5</v>
      </c>
      <c r="M2772" s="1"/>
      <c r="N2772" s="1">
        <v>0</v>
      </c>
    </row>
    <row r="2773" spans="1:14" x14ac:dyDescent="0.35">
      <c r="A2773" s="1" t="s">
        <v>109</v>
      </c>
      <c r="B2773" s="1">
        <v>202407</v>
      </c>
      <c r="C2773" s="1" t="str">
        <f>MID(analisis_productividad__4[[#This Row],[Periodo]],1,4)</f>
        <v>2024</v>
      </c>
      <c r="D2773" s="1" t="str">
        <f>MID(analisis_productividad__4[[#This Row],[Periodo]],5,2)</f>
        <v>07</v>
      </c>
      <c r="E2773" s="1" t="s">
        <v>9</v>
      </c>
      <c r="F2773" s="1" t="s">
        <v>9</v>
      </c>
      <c r="G2773" s="1">
        <v>59702</v>
      </c>
      <c r="H2773" s="1">
        <v>568477</v>
      </c>
      <c r="I2773" s="1">
        <v>9.5218817204301107</v>
      </c>
      <c r="J2773" s="1">
        <v>0</v>
      </c>
      <c r="K2773" s="1">
        <v>10</v>
      </c>
      <c r="L2773" s="1">
        <v>9</v>
      </c>
      <c r="M2773" s="1"/>
      <c r="N2773" s="1">
        <v>0</v>
      </c>
    </row>
    <row r="2774" spans="1:14" x14ac:dyDescent="0.35">
      <c r="A2774" s="1" t="s">
        <v>95</v>
      </c>
      <c r="B2774" s="1">
        <v>202508</v>
      </c>
      <c r="C2774" s="1" t="str">
        <f>MID(analisis_productividad__4[[#This Row],[Periodo]],1,4)</f>
        <v>2025</v>
      </c>
      <c r="D2774" s="1" t="str">
        <f>MID(analisis_productividad__4[[#This Row],[Periodo]],5,2)</f>
        <v>08</v>
      </c>
      <c r="E2774" s="1" t="s">
        <v>9</v>
      </c>
      <c r="F2774" s="1" t="s">
        <v>9</v>
      </c>
      <c r="G2774" s="1">
        <v>59672</v>
      </c>
      <c r="H2774" s="1">
        <v>636861</v>
      </c>
      <c r="I2774" s="1">
        <v>10.672647849462365</v>
      </c>
      <c r="J2774" s="1">
        <v>73233.051077736003</v>
      </c>
      <c r="K2774" s="1">
        <v>11</v>
      </c>
      <c r="L2774" s="1">
        <v>11</v>
      </c>
      <c r="M2774" s="1">
        <v>8.696358824705797</v>
      </c>
      <c r="N2774" s="1">
        <v>695471</v>
      </c>
    </row>
    <row r="2775" spans="1:14" x14ac:dyDescent="0.35">
      <c r="A2775" s="1" t="s">
        <v>109</v>
      </c>
      <c r="B2775" s="1">
        <v>202507</v>
      </c>
      <c r="C2775" s="1" t="str">
        <f>MID(analisis_productividad__4[[#This Row],[Periodo]],1,4)</f>
        <v>2025</v>
      </c>
      <c r="D2775" s="1" t="str">
        <f>MID(analisis_productividad__4[[#This Row],[Periodo]],5,2)</f>
        <v>07</v>
      </c>
      <c r="E2775" s="1" t="s">
        <v>9</v>
      </c>
      <c r="F2775" s="1" t="s">
        <v>9</v>
      </c>
      <c r="G2775" s="1">
        <v>59665</v>
      </c>
      <c r="H2775" s="1">
        <v>485401</v>
      </c>
      <c r="I2775" s="1">
        <v>8.1354771505376355</v>
      </c>
      <c r="J2775" s="1">
        <v>62687.261827595743</v>
      </c>
      <c r="K2775" s="1">
        <v>10</v>
      </c>
      <c r="L2775" s="1">
        <v>9</v>
      </c>
      <c r="M2775" s="1">
        <v>7.7432216027390757</v>
      </c>
      <c r="N2775" s="1">
        <v>596164</v>
      </c>
    </row>
    <row r="2776" spans="1:14" x14ac:dyDescent="0.35">
      <c r="A2776" s="1" t="s">
        <v>117</v>
      </c>
      <c r="B2776" s="1">
        <v>202409</v>
      </c>
      <c r="C2776" s="1" t="str">
        <f>MID(analisis_productividad__4[[#This Row],[Periodo]],1,4)</f>
        <v>2024</v>
      </c>
      <c r="D2776" s="1" t="str">
        <f>MID(analisis_productividad__4[[#This Row],[Periodo]],5,2)</f>
        <v>09</v>
      </c>
      <c r="E2776" s="1" t="s">
        <v>104</v>
      </c>
      <c r="F2776" s="1" t="s">
        <v>104</v>
      </c>
      <c r="G2776" s="1">
        <v>59659</v>
      </c>
      <c r="H2776" s="1">
        <v>3264239</v>
      </c>
      <c r="I2776" s="1">
        <v>54.715354166666678</v>
      </c>
      <c r="J2776" s="1">
        <v>0</v>
      </c>
      <c r="K2776" s="1">
        <v>66</v>
      </c>
      <c r="L2776" s="1">
        <v>65.5</v>
      </c>
      <c r="M2776" s="1"/>
      <c r="N2776" s="1">
        <v>0</v>
      </c>
    </row>
    <row r="2777" spans="1:14" x14ac:dyDescent="0.35">
      <c r="A2777" s="1" t="s">
        <v>45</v>
      </c>
      <c r="B2777" s="1">
        <v>202604</v>
      </c>
      <c r="C2777" s="1" t="str">
        <f>MID(analisis_productividad__4[[#This Row],[Periodo]],1,4)</f>
        <v>2026</v>
      </c>
      <c r="D2777" s="1" t="str">
        <f>MID(analisis_productividad__4[[#This Row],[Periodo]],5,2)</f>
        <v>04</v>
      </c>
      <c r="E2777" s="1" t="s">
        <v>34</v>
      </c>
      <c r="F2777" s="1" t="s">
        <v>35</v>
      </c>
      <c r="G2777" s="1">
        <v>59602</v>
      </c>
      <c r="H2777" s="1">
        <v>1189667</v>
      </c>
      <c r="I2777" s="1">
        <v>19.960159722222286</v>
      </c>
      <c r="J2777" s="1">
        <v>65879.568889695642</v>
      </c>
      <c r="K2777" s="1">
        <v>22.5</v>
      </c>
      <c r="L2777" s="1">
        <v>21</v>
      </c>
      <c r="M2777" s="1">
        <v>19.647967156057994</v>
      </c>
      <c r="N2777" s="1">
        <v>1294400</v>
      </c>
    </row>
    <row r="2778" spans="1:14" x14ac:dyDescent="0.35">
      <c r="A2778" s="1" t="s">
        <v>118</v>
      </c>
      <c r="B2778" s="1">
        <v>202510</v>
      </c>
      <c r="C2778" s="1" t="str">
        <f>MID(analisis_productividad__4[[#This Row],[Periodo]],1,4)</f>
        <v>2025</v>
      </c>
      <c r="D2778" s="1" t="str">
        <f>MID(analisis_productividad__4[[#This Row],[Periodo]],5,2)</f>
        <v>10</v>
      </c>
      <c r="E2778" s="1" t="s">
        <v>34</v>
      </c>
      <c r="F2778" s="1" t="s">
        <v>35</v>
      </c>
      <c r="G2778" s="1">
        <v>59589</v>
      </c>
      <c r="H2778" s="1">
        <v>1038126</v>
      </c>
      <c r="I2778" s="1">
        <v>17.421438172043004</v>
      </c>
      <c r="J2778" s="1">
        <v>65781.072873047713</v>
      </c>
      <c r="K2778" s="1">
        <v>19</v>
      </c>
      <c r="L2778" s="1">
        <v>21.5</v>
      </c>
      <c r="M2778" s="1">
        <v>15.781527796050105</v>
      </c>
      <c r="N2778" s="1">
        <v>1230484</v>
      </c>
    </row>
    <row r="2779" spans="1:14" x14ac:dyDescent="0.35">
      <c r="A2779" s="1" t="s">
        <v>121</v>
      </c>
      <c r="B2779" s="1">
        <v>202503</v>
      </c>
      <c r="C2779" s="1" t="str">
        <f>MID(analisis_productividad__4[[#This Row],[Periodo]],1,4)</f>
        <v>2025</v>
      </c>
      <c r="D2779" s="1" t="str">
        <f>MID(analisis_productividad__4[[#This Row],[Periodo]],5,2)</f>
        <v>03</v>
      </c>
      <c r="E2779" s="1" t="s">
        <v>11</v>
      </c>
      <c r="F2779" s="1" t="s">
        <v>14</v>
      </c>
      <c r="G2779" s="1">
        <v>59576</v>
      </c>
      <c r="H2779" s="1">
        <v>2126697</v>
      </c>
      <c r="I2779" s="1">
        <v>35.697177419354837</v>
      </c>
      <c r="J2779" s="1">
        <v>65775.617360423843</v>
      </c>
      <c r="K2779" s="1">
        <v>36</v>
      </c>
      <c r="L2779" s="1">
        <v>35</v>
      </c>
      <c r="M2779" s="1">
        <v>32.332602951433493</v>
      </c>
      <c r="N2779" s="1">
        <v>2296305</v>
      </c>
    </row>
    <row r="2780" spans="1:14" x14ac:dyDescent="0.35">
      <c r="A2780" s="1" t="s">
        <v>116</v>
      </c>
      <c r="B2780" s="1">
        <v>202411</v>
      </c>
      <c r="C2780" s="1" t="str">
        <f>MID(analisis_productividad__4[[#This Row],[Periodo]],1,4)</f>
        <v>2024</v>
      </c>
      <c r="D2780" s="1" t="str">
        <f>MID(analisis_productividad__4[[#This Row],[Periodo]],5,2)</f>
        <v>11</v>
      </c>
      <c r="E2780" s="1" t="s">
        <v>9</v>
      </c>
      <c r="F2780" s="1" t="s">
        <v>9</v>
      </c>
      <c r="G2780" s="1">
        <v>59556</v>
      </c>
      <c r="H2780" s="1">
        <v>607830</v>
      </c>
      <c r="I2780" s="1">
        <v>10.206048611111111</v>
      </c>
      <c r="J2780" s="1">
        <v>0</v>
      </c>
      <c r="K2780" s="1">
        <v>11.5</v>
      </c>
      <c r="L2780" s="1">
        <v>10</v>
      </c>
      <c r="M2780" s="1"/>
      <c r="N2780" s="1">
        <v>0</v>
      </c>
    </row>
    <row r="2781" spans="1:14" x14ac:dyDescent="0.35">
      <c r="A2781" s="1" t="s">
        <v>110</v>
      </c>
      <c r="B2781" s="1">
        <v>202605</v>
      </c>
      <c r="C2781" s="1" t="str">
        <f>MID(analisis_productividad__4[[#This Row],[Periodo]],1,4)</f>
        <v>2026</v>
      </c>
      <c r="D2781" s="1" t="str">
        <f>MID(analisis_productividad__4[[#This Row],[Periodo]],5,2)</f>
        <v>05</v>
      </c>
      <c r="E2781" s="1" t="s">
        <v>34</v>
      </c>
      <c r="F2781" s="1" t="s">
        <v>35</v>
      </c>
      <c r="G2781" s="1">
        <v>59548</v>
      </c>
      <c r="H2781" s="1">
        <v>2207601</v>
      </c>
      <c r="I2781" s="1">
        <v>37.072903225806641</v>
      </c>
      <c r="J2781" s="1">
        <v>70019.471582744809</v>
      </c>
      <c r="K2781" s="1">
        <v>41.5</v>
      </c>
      <c r="L2781" s="1">
        <v>43</v>
      </c>
      <c r="M2781" s="1">
        <v>33.730466012000377</v>
      </c>
      <c r="N2781" s="1">
        <v>2361789</v>
      </c>
    </row>
    <row r="2782" spans="1:14" x14ac:dyDescent="0.35">
      <c r="A2782" s="1" t="s">
        <v>124</v>
      </c>
      <c r="B2782" s="1">
        <v>202604</v>
      </c>
      <c r="C2782" s="1" t="str">
        <f>MID(analisis_productividad__4[[#This Row],[Periodo]],1,4)</f>
        <v>2026</v>
      </c>
      <c r="D2782" s="1" t="str">
        <f>MID(analisis_productividad__4[[#This Row],[Periodo]],5,2)</f>
        <v>04</v>
      </c>
      <c r="E2782" s="1" t="s">
        <v>9</v>
      </c>
      <c r="F2782" s="1" t="s">
        <v>9</v>
      </c>
      <c r="G2782" s="1">
        <v>59532</v>
      </c>
      <c r="H2782" s="1">
        <v>672313</v>
      </c>
      <c r="I2782" s="1">
        <v>11.293381944444421</v>
      </c>
      <c r="J2782" s="1">
        <v>65712.53362545454</v>
      </c>
      <c r="K2782" s="1">
        <v>11</v>
      </c>
      <c r="L2782" s="1">
        <v>12</v>
      </c>
      <c r="M2782" s="1">
        <v>10.653753026634384</v>
      </c>
      <c r="N2782" s="1">
        <v>700085</v>
      </c>
    </row>
    <row r="2783" spans="1:14" x14ac:dyDescent="0.35">
      <c r="A2783" s="1" t="s">
        <v>117</v>
      </c>
      <c r="B2783" s="1">
        <v>202410</v>
      </c>
      <c r="C2783" s="1" t="str">
        <f>MID(analisis_productividad__4[[#This Row],[Periodo]],1,4)</f>
        <v>2024</v>
      </c>
      <c r="D2783" s="1" t="str">
        <f>MID(analisis_productividad__4[[#This Row],[Periodo]],5,2)</f>
        <v>10</v>
      </c>
      <c r="E2783" s="1" t="s">
        <v>104</v>
      </c>
      <c r="F2783" s="1" t="s">
        <v>104</v>
      </c>
      <c r="G2783" s="1">
        <v>59526</v>
      </c>
      <c r="H2783" s="1">
        <v>3204716</v>
      </c>
      <c r="I2783" s="1">
        <v>53.83724462365592</v>
      </c>
      <c r="J2783" s="1">
        <v>0</v>
      </c>
      <c r="K2783" s="1">
        <v>66</v>
      </c>
      <c r="L2783" s="1">
        <v>65.5</v>
      </c>
      <c r="M2783" s="1"/>
      <c r="N2783" s="1">
        <v>0</v>
      </c>
    </row>
    <row r="2784" spans="1:14" x14ac:dyDescent="0.35">
      <c r="A2784" s="1" t="s">
        <v>124</v>
      </c>
      <c r="B2784" s="1">
        <v>202409</v>
      </c>
      <c r="C2784" s="1" t="str">
        <f>MID(analisis_productividad__4[[#This Row],[Periodo]],1,4)</f>
        <v>2024</v>
      </c>
      <c r="D2784" s="1" t="str">
        <f>MID(analisis_productividad__4[[#This Row],[Periodo]],5,2)</f>
        <v>09</v>
      </c>
      <c r="E2784" s="1" t="s">
        <v>9</v>
      </c>
      <c r="F2784" s="1" t="s">
        <v>9</v>
      </c>
      <c r="G2784" s="1">
        <v>59510</v>
      </c>
      <c r="H2784" s="1">
        <v>592436</v>
      </c>
      <c r="I2784" s="1">
        <v>9.9553124999999998</v>
      </c>
      <c r="J2784" s="1">
        <v>0</v>
      </c>
      <c r="K2784" s="1">
        <v>11</v>
      </c>
      <c r="L2784" s="1">
        <v>12</v>
      </c>
      <c r="M2784" s="1"/>
      <c r="N2784" s="1">
        <v>0</v>
      </c>
    </row>
    <row r="2785" spans="1:14" x14ac:dyDescent="0.35">
      <c r="A2785" s="1" t="s">
        <v>111</v>
      </c>
      <c r="B2785" s="1">
        <v>202407</v>
      </c>
      <c r="C2785" s="1" t="str">
        <f>MID(analisis_productividad__4[[#This Row],[Periodo]],1,4)</f>
        <v>2024</v>
      </c>
      <c r="D2785" s="1" t="str">
        <f>MID(analisis_productividad__4[[#This Row],[Periodo]],5,2)</f>
        <v>07</v>
      </c>
      <c r="E2785" s="1" t="s">
        <v>34</v>
      </c>
      <c r="F2785" s="1" t="s">
        <v>35</v>
      </c>
      <c r="G2785" s="1">
        <v>59487</v>
      </c>
      <c r="H2785" s="1">
        <v>2421473</v>
      </c>
      <c r="I2785" s="1">
        <v>40.705752688172034</v>
      </c>
      <c r="J2785" s="1">
        <v>0</v>
      </c>
      <c r="K2785" s="1">
        <v>45.5</v>
      </c>
      <c r="L2785" s="1">
        <v>42.5</v>
      </c>
      <c r="M2785" s="1"/>
      <c r="N2785" s="1">
        <v>0</v>
      </c>
    </row>
    <row r="2786" spans="1:14" x14ac:dyDescent="0.35">
      <c r="A2786" s="1" t="s">
        <v>99</v>
      </c>
      <c r="B2786" s="1">
        <v>202408</v>
      </c>
      <c r="C2786" s="1" t="str">
        <f>MID(analisis_productividad__4[[#This Row],[Periodo]],1,4)</f>
        <v>2024</v>
      </c>
      <c r="D2786" s="1" t="str">
        <f>MID(analisis_productividad__4[[#This Row],[Periodo]],5,2)</f>
        <v>08</v>
      </c>
      <c r="E2786" s="1" t="s">
        <v>11</v>
      </c>
      <c r="F2786" s="1" t="s">
        <v>12</v>
      </c>
      <c r="G2786" s="1">
        <v>59486</v>
      </c>
      <c r="H2786" s="1">
        <v>1503568</v>
      </c>
      <c r="I2786" s="1">
        <v>25.276115591397847</v>
      </c>
      <c r="J2786" s="1">
        <v>0</v>
      </c>
      <c r="K2786" s="1">
        <v>27</v>
      </c>
      <c r="L2786" s="1">
        <v>27</v>
      </c>
      <c r="M2786" s="1"/>
      <c r="N2786" s="1">
        <v>0</v>
      </c>
    </row>
    <row r="2787" spans="1:14" x14ac:dyDescent="0.35">
      <c r="A2787" s="1" t="s">
        <v>128</v>
      </c>
      <c r="B2787" s="1">
        <v>202508</v>
      </c>
      <c r="C2787" s="1" t="str">
        <f>MID(analisis_productividad__4[[#This Row],[Periodo]],1,4)</f>
        <v>2025</v>
      </c>
      <c r="D2787" s="1" t="str">
        <f>MID(analisis_productividad__4[[#This Row],[Periodo]],5,2)</f>
        <v>08</v>
      </c>
      <c r="E2787" s="1" t="s">
        <v>104</v>
      </c>
      <c r="F2787" s="1" t="s">
        <v>104</v>
      </c>
      <c r="G2787" s="1">
        <v>59472</v>
      </c>
      <c r="H2787" s="1">
        <v>2669829</v>
      </c>
      <c r="I2787" s="1">
        <v>44.89253360215055</v>
      </c>
      <c r="J2787" s="1">
        <v>53678.184174585687</v>
      </c>
      <c r="K2787" s="1">
        <v>57.5</v>
      </c>
      <c r="L2787" s="1">
        <v>57</v>
      </c>
      <c r="M2787" s="1">
        <v>49.737695323606872</v>
      </c>
      <c r="N2787" s="1">
        <v>2610554</v>
      </c>
    </row>
    <row r="2788" spans="1:14" x14ac:dyDescent="0.35">
      <c r="A2788" s="1" t="s">
        <v>121</v>
      </c>
      <c r="B2788" s="1">
        <v>202401</v>
      </c>
      <c r="C2788" s="1" t="str">
        <f>MID(analisis_productividad__4[[#This Row],[Periodo]],1,4)</f>
        <v>2024</v>
      </c>
      <c r="D2788" s="1" t="str">
        <f>MID(analisis_productividad__4[[#This Row],[Periodo]],5,2)</f>
        <v>01</v>
      </c>
      <c r="E2788" s="1" t="s">
        <v>11</v>
      </c>
      <c r="F2788" s="1" t="s">
        <v>14</v>
      </c>
      <c r="G2788" s="1">
        <v>59388</v>
      </c>
      <c r="H2788" s="1">
        <v>2038209</v>
      </c>
      <c r="I2788" s="1">
        <v>34.320322580645168</v>
      </c>
      <c r="J2788" s="1">
        <v>0</v>
      </c>
      <c r="K2788" s="1">
        <v>36</v>
      </c>
      <c r="L2788" s="1">
        <v>35</v>
      </c>
      <c r="M2788" s="1"/>
      <c r="N2788" s="1">
        <v>0</v>
      </c>
    </row>
    <row r="2789" spans="1:14" x14ac:dyDescent="0.35">
      <c r="A2789" s="1" t="s">
        <v>8</v>
      </c>
      <c r="B2789" s="1">
        <v>202504</v>
      </c>
      <c r="C2789" s="1" t="str">
        <f>MID(analisis_productividad__4[[#This Row],[Periodo]],1,4)</f>
        <v>2025</v>
      </c>
      <c r="D2789" s="1" t="str">
        <f>MID(analisis_productividad__4[[#This Row],[Periodo]],5,2)</f>
        <v>04</v>
      </c>
      <c r="E2789" s="1" t="s">
        <v>9</v>
      </c>
      <c r="F2789" s="1" t="s">
        <v>9</v>
      </c>
      <c r="G2789" s="1">
        <v>59339</v>
      </c>
      <c r="H2789" s="1">
        <v>1380007</v>
      </c>
      <c r="I2789" s="1">
        <v>23.256479166666665</v>
      </c>
      <c r="J2789" s="1">
        <v>70492.122266405466</v>
      </c>
      <c r="K2789" s="1">
        <v>13.5</v>
      </c>
      <c r="L2789" s="1">
        <v>12.5</v>
      </c>
      <c r="M2789" s="1">
        <v>19.576753197820398</v>
      </c>
      <c r="N2789" s="1">
        <v>879806</v>
      </c>
    </row>
    <row r="2790" spans="1:14" x14ac:dyDescent="0.35">
      <c r="A2790" s="1" t="s">
        <v>127</v>
      </c>
      <c r="B2790" s="1">
        <v>202403</v>
      </c>
      <c r="C2790" s="1" t="str">
        <f>MID(analisis_productividad__4[[#This Row],[Periodo]],1,4)</f>
        <v>2024</v>
      </c>
      <c r="D2790" s="1" t="str">
        <f>MID(analisis_productividad__4[[#This Row],[Periodo]],5,2)</f>
        <v>03</v>
      </c>
      <c r="E2790" s="1" t="s">
        <v>104</v>
      </c>
      <c r="F2790" s="1" t="s">
        <v>104</v>
      </c>
      <c r="G2790" s="1">
        <v>59319</v>
      </c>
      <c r="H2790" s="1">
        <v>3422536</v>
      </c>
      <c r="I2790" s="1">
        <v>57.697452956989238</v>
      </c>
      <c r="J2790" s="1">
        <v>0</v>
      </c>
      <c r="K2790" s="1">
        <v>61.5</v>
      </c>
      <c r="L2790" s="1">
        <v>56</v>
      </c>
      <c r="M2790" s="1"/>
      <c r="N2790" s="1">
        <v>0</v>
      </c>
    </row>
    <row r="2791" spans="1:14" x14ac:dyDescent="0.35">
      <c r="A2791" s="1" t="s">
        <v>102</v>
      </c>
      <c r="B2791" s="1">
        <v>202504</v>
      </c>
      <c r="C2791" s="1" t="str">
        <f>MID(analisis_productividad__4[[#This Row],[Periodo]],1,4)</f>
        <v>2025</v>
      </c>
      <c r="D2791" s="1" t="str">
        <f>MID(analisis_productividad__4[[#This Row],[Periodo]],5,2)</f>
        <v>04</v>
      </c>
      <c r="E2791" s="1" t="s">
        <v>11</v>
      </c>
      <c r="F2791" s="1" t="s">
        <v>12</v>
      </c>
      <c r="G2791" s="1">
        <v>59310</v>
      </c>
      <c r="H2791" s="1">
        <v>1711418</v>
      </c>
      <c r="I2791" s="1">
        <v>28.855652777777784</v>
      </c>
      <c r="J2791" s="1">
        <v>56463.179922599709</v>
      </c>
      <c r="K2791" s="1">
        <v>34</v>
      </c>
      <c r="L2791" s="1">
        <v>34</v>
      </c>
      <c r="M2791" s="1">
        <v>30.310332722068225</v>
      </c>
      <c r="N2791" s="1">
        <v>1795569</v>
      </c>
    </row>
    <row r="2792" spans="1:14" x14ac:dyDescent="0.35">
      <c r="A2792" s="1" t="s">
        <v>115</v>
      </c>
      <c r="B2792" s="1">
        <v>202407</v>
      </c>
      <c r="C2792" s="1" t="str">
        <f>MID(analisis_productividad__4[[#This Row],[Periodo]],1,4)</f>
        <v>2024</v>
      </c>
      <c r="D2792" s="1" t="str">
        <f>MID(analisis_productividad__4[[#This Row],[Periodo]],5,2)</f>
        <v>07</v>
      </c>
      <c r="E2792" s="1" t="s">
        <v>34</v>
      </c>
      <c r="F2792" s="1" t="s">
        <v>35</v>
      </c>
      <c r="G2792" s="1">
        <v>59307</v>
      </c>
      <c r="H2792" s="1">
        <v>2990369</v>
      </c>
      <c r="I2792" s="1">
        <v>50.421498655913972</v>
      </c>
      <c r="J2792" s="1">
        <v>0</v>
      </c>
      <c r="K2792" s="1">
        <v>53.5</v>
      </c>
      <c r="L2792" s="1">
        <v>51</v>
      </c>
      <c r="M2792" s="1"/>
      <c r="N2792" s="1">
        <v>0</v>
      </c>
    </row>
    <row r="2793" spans="1:14" x14ac:dyDescent="0.35">
      <c r="A2793" s="1" t="s">
        <v>102</v>
      </c>
      <c r="B2793" s="1">
        <v>202406</v>
      </c>
      <c r="C2793" s="1" t="str">
        <f>MID(analisis_productividad__4[[#This Row],[Periodo]],1,4)</f>
        <v>2024</v>
      </c>
      <c r="D2793" s="1" t="str">
        <f>MID(analisis_productividad__4[[#This Row],[Periodo]],5,2)</f>
        <v>06</v>
      </c>
      <c r="E2793" s="1" t="s">
        <v>11</v>
      </c>
      <c r="F2793" s="1" t="s">
        <v>12</v>
      </c>
      <c r="G2793" s="1">
        <v>59182</v>
      </c>
      <c r="H2793" s="1">
        <v>1782815</v>
      </c>
      <c r="I2793" s="1">
        <v>30.124500000000005</v>
      </c>
      <c r="J2793" s="1">
        <v>0</v>
      </c>
      <c r="K2793" s="1">
        <v>34</v>
      </c>
      <c r="L2793" s="1">
        <v>34</v>
      </c>
      <c r="M2793" s="1"/>
      <c r="N2793" s="1">
        <v>0</v>
      </c>
    </row>
    <row r="2794" spans="1:14" x14ac:dyDescent="0.35">
      <c r="A2794" s="1" t="s">
        <v>117</v>
      </c>
      <c r="B2794" s="1">
        <v>202408</v>
      </c>
      <c r="C2794" s="1" t="str">
        <f>MID(analisis_productividad__4[[#This Row],[Periodo]],1,4)</f>
        <v>2024</v>
      </c>
      <c r="D2794" s="1" t="str">
        <f>MID(analisis_productividad__4[[#This Row],[Periodo]],5,2)</f>
        <v>08</v>
      </c>
      <c r="E2794" s="1" t="s">
        <v>104</v>
      </c>
      <c r="F2794" s="1" t="s">
        <v>104</v>
      </c>
      <c r="G2794" s="1">
        <v>59160</v>
      </c>
      <c r="H2794" s="1">
        <v>3476282</v>
      </c>
      <c r="I2794" s="1">
        <v>58.760766129032248</v>
      </c>
      <c r="J2794" s="1">
        <v>0</v>
      </c>
      <c r="K2794" s="1">
        <v>66</v>
      </c>
      <c r="L2794" s="1">
        <v>65.5</v>
      </c>
      <c r="M2794" s="1"/>
      <c r="N2794" s="1">
        <v>0</v>
      </c>
    </row>
    <row r="2795" spans="1:14" x14ac:dyDescent="0.35">
      <c r="A2795" s="1" t="s">
        <v>118</v>
      </c>
      <c r="B2795" s="1">
        <v>202401</v>
      </c>
      <c r="C2795" s="1" t="str">
        <f>MID(analisis_productividad__4[[#This Row],[Periodo]],1,4)</f>
        <v>2024</v>
      </c>
      <c r="D2795" s="1" t="str">
        <f>MID(analisis_productividad__4[[#This Row],[Periodo]],5,2)</f>
        <v>01</v>
      </c>
      <c r="E2795" s="1" t="s">
        <v>34</v>
      </c>
      <c r="F2795" s="1" t="s">
        <v>35</v>
      </c>
      <c r="G2795" s="1">
        <v>59149</v>
      </c>
      <c r="H2795" s="1">
        <v>1132392</v>
      </c>
      <c r="I2795" s="1">
        <v>19.144576612903229</v>
      </c>
      <c r="J2795" s="1">
        <v>0</v>
      </c>
      <c r="K2795" s="1">
        <v>19</v>
      </c>
      <c r="L2795" s="1">
        <v>21.5</v>
      </c>
      <c r="M2795" s="1"/>
      <c r="N2795" s="1">
        <v>0</v>
      </c>
    </row>
    <row r="2796" spans="1:14" x14ac:dyDescent="0.35">
      <c r="A2796" s="1" t="s">
        <v>119</v>
      </c>
      <c r="B2796" s="1">
        <v>202602</v>
      </c>
      <c r="C2796" s="1" t="str">
        <f>MID(analisis_productividad__4[[#This Row],[Periodo]],1,4)</f>
        <v>2026</v>
      </c>
      <c r="D2796" s="1" t="str">
        <f>MID(analisis_productividad__4[[#This Row],[Periodo]],5,2)</f>
        <v>02</v>
      </c>
      <c r="E2796" s="1" t="s">
        <v>16</v>
      </c>
      <c r="F2796" s="1" t="s">
        <v>21</v>
      </c>
      <c r="G2796" s="1">
        <v>59138</v>
      </c>
      <c r="H2796" s="1">
        <v>2779834</v>
      </c>
      <c r="I2796" s="1">
        <v>47.005520833333321</v>
      </c>
      <c r="J2796" s="1">
        <v>66446.737071437019</v>
      </c>
      <c r="K2796" s="1">
        <v>52.5</v>
      </c>
      <c r="L2796" s="1">
        <v>52.5</v>
      </c>
      <c r="M2796" s="1">
        <v>46.965208254619732</v>
      </c>
      <c r="N2796" s="1">
        <v>3120685</v>
      </c>
    </row>
    <row r="2797" spans="1:14" x14ac:dyDescent="0.35">
      <c r="A2797" s="1" t="s">
        <v>118</v>
      </c>
      <c r="B2797" s="1">
        <v>202405</v>
      </c>
      <c r="C2797" s="1" t="str">
        <f>MID(analisis_productividad__4[[#This Row],[Periodo]],1,4)</f>
        <v>2024</v>
      </c>
      <c r="D2797" s="1" t="str">
        <f>MID(analisis_productividad__4[[#This Row],[Periodo]],5,2)</f>
        <v>05</v>
      </c>
      <c r="E2797" s="1" t="s">
        <v>34</v>
      </c>
      <c r="F2797" s="1" t="s">
        <v>35</v>
      </c>
      <c r="G2797" s="1">
        <v>59129</v>
      </c>
      <c r="H2797" s="1">
        <v>1103857</v>
      </c>
      <c r="I2797" s="1">
        <v>18.668595430107523</v>
      </c>
      <c r="J2797" s="1">
        <v>0</v>
      </c>
      <c r="K2797" s="1">
        <v>19</v>
      </c>
      <c r="L2797" s="1">
        <v>21.5</v>
      </c>
      <c r="M2797" s="1"/>
      <c r="N2797" s="1">
        <v>0</v>
      </c>
    </row>
    <row r="2798" spans="1:14" x14ac:dyDescent="0.35">
      <c r="A2798" s="1" t="s">
        <v>108</v>
      </c>
      <c r="B2798" s="1">
        <v>202502</v>
      </c>
      <c r="C2798" s="1" t="str">
        <f>MID(analisis_productividad__4[[#This Row],[Periodo]],1,4)</f>
        <v>2025</v>
      </c>
      <c r="D2798" s="1" t="str">
        <f>MID(analisis_productividad__4[[#This Row],[Periodo]],5,2)</f>
        <v>02</v>
      </c>
      <c r="E2798" s="1" t="s">
        <v>11</v>
      </c>
      <c r="F2798" s="1" t="s">
        <v>14</v>
      </c>
      <c r="G2798" s="1">
        <v>59116</v>
      </c>
      <c r="H2798" s="1">
        <v>2775224</v>
      </c>
      <c r="I2798" s="1">
        <v>46.945052083333316</v>
      </c>
      <c r="J2798" s="1">
        <v>63926.766446772293</v>
      </c>
      <c r="K2798" s="1">
        <v>47.5</v>
      </c>
      <c r="L2798" s="1">
        <v>43</v>
      </c>
      <c r="M2798" s="1">
        <v>43.412556809216227</v>
      </c>
      <c r="N2798" s="1">
        <v>2931971</v>
      </c>
    </row>
    <row r="2799" spans="1:14" x14ac:dyDescent="0.35">
      <c r="A2799" s="1" t="s">
        <v>95</v>
      </c>
      <c r="B2799" s="1">
        <v>202507</v>
      </c>
      <c r="C2799" s="1" t="str">
        <f>MID(analisis_productividad__4[[#This Row],[Periodo]],1,4)</f>
        <v>2025</v>
      </c>
      <c r="D2799" s="1" t="str">
        <f>MID(analisis_productividad__4[[#This Row],[Periodo]],5,2)</f>
        <v>07</v>
      </c>
      <c r="E2799" s="1" t="s">
        <v>9</v>
      </c>
      <c r="F2799" s="1" t="s">
        <v>9</v>
      </c>
      <c r="G2799" s="1">
        <v>58964</v>
      </c>
      <c r="H2799" s="1">
        <v>631090</v>
      </c>
      <c r="I2799" s="1">
        <v>10.702896505376343</v>
      </c>
      <c r="J2799" s="1">
        <v>77401.883683630265</v>
      </c>
      <c r="K2799" s="1">
        <v>11</v>
      </c>
      <c r="L2799" s="1">
        <v>11</v>
      </c>
      <c r="M2799" s="1">
        <v>8.1534144902660692</v>
      </c>
      <c r="N2799" s="1">
        <v>723569</v>
      </c>
    </row>
    <row r="2800" spans="1:14" x14ac:dyDescent="0.35">
      <c r="A2800" s="1" t="s">
        <v>116</v>
      </c>
      <c r="B2800" s="1">
        <v>202407</v>
      </c>
      <c r="C2800" s="1" t="str">
        <f>MID(analisis_productividad__4[[#This Row],[Periodo]],1,4)</f>
        <v>2024</v>
      </c>
      <c r="D2800" s="1" t="str">
        <f>MID(analisis_productividad__4[[#This Row],[Periodo]],5,2)</f>
        <v>07</v>
      </c>
      <c r="E2800" s="1" t="s">
        <v>9</v>
      </c>
      <c r="F2800" s="1" t="s">
        <v>9</v>
      </c>
      <c r="G2800" s="1">
        <v>58951</v>
      </c>
      <c r="H2800" s="1">
        <v>669280</v>
      </c>
      <c r="I2800" s="1">
        <v>11.353219086021506</v>
      </c>
      <c r="J2800" s="1">
        <v>0</v>
      </c>
      <c r="K2800" s="1">
        <v>11.5</v>
      </c>
      <c r="L2800" s="1">
        <v>10</v>
      </c>
      <c r="M2800" s="1"/>
      <c r="N2800" s="1">
        <v>0</v>
      </c>
    </row>
    <row r="2801" spans="1:14" x14ac:dyDescent="0.35">
      <c r="A2801" s="1" t="s">
        <v>117</v>
      </c>
      <c r="B2801" s="1">
        <v>202510</v>
      </c>
      <c r="C2801" s="1" t="str">
        <f>MID(analisis_productividad__4[[#This Row],[Periodo]],1,4)</f>
        <v>2025</v>
      </c>
      <c r="D2801" s="1" t="str">
        <f>MID(analisis_productividad__4[[#This Row],[Periodo]],5,2)</f>
        <v>10</v>
      </c>
      <c r="E2801" s="1" t="s">
        <v>104</v>
      </c>
      <c r="F2801" s="1" t="s">
        <v>104</v>
      </c>
      <c r="G2801" s="1">
        <v>58945</v>
      </c>
      <c r="H2801" s="1">
        <v>3755725</v>
      </c>
      <c r="I2801" s="1">
        <v>63.716182795698955</v>
      </c>
      <c r="J2801" s="1">
        <v>62502.298567141974</v>
      </c>
      <c r="K2801" s="1">
        <v>66</v>
      </c>
      <c r="L2801" s="1">
        <v>65.5</v>
      </c>
      <c r="M2801" s="1">
        <v>60.089383848267282</v>
      </c>
      <c r="N2801" s="1">
        <v>3728861</v>
      </c>
    </row>
    <row r="2802" spans="1:14" x14ac:dyDescent="0.35">
      <c r="A2802" s="1" t="s">
        <v>64</v>
      </c>
      <c r="B2802" s="1">
        <v>202506</v>
      </c>
      <c r="C2802" s="1" t="str">
        <f>MID(analisis_productividad__4[[#This Row],[Periodo]],1,4)</f>
        <v>2025</v>
      </c>
      <c r="D2802" s="1" t="str">
        <f>MID(analisis_productividad__4[[#This Row],[Periodo]],5,2)</f>
        <v>06</v>
      </c>
      <c r="E2802" s="1" t="s">
        <v>16</v>
      </c>
      <c r="F2802" s="1" t="s">
        <v>21</v>
      </c>
      <c r="G2802" s="1">
        <v>58893</v>
      </c>
      <c r="H2802" s="1">
        <v>7651930</v>
      </c>
      <c r="I2802" s="1">
        <v>129.92870138888892</v>
      </c>
      <c r="J2802" s="1">
        <v>77987.955874729843</v>
      </c>
      <c r="K2802" s="1">
        <v>88.5</v>
      </c>
      <c r="L2802" s="1">
        <v>92.5</v>
      </c>
      <c r="M2802" s="1">
        <v>98.116811297004716</v>
      </c>
      <c r="N2802" s="1">
        <v>5962370</v>
      </c>
    </row>
    <row r="2803" spans="1:14" x14ac:dyDescent="0.35">
      <c r="A2803" s="1" t="s">
        <v>115</v>
      </c>
      <c r="B2803" s="1">
        <v>202504</v>
      </c>
      <c r="C2803" s="1" t="str">
        <f>MID(analisis_productividad__4[[#This Row],[Periodo]],1,4)</f>
        <v>2025</v>
      </c>
      <c r="D2803" s="1" t="str">
        <f>MID(analisis_productividad__4[[#This Row],[Periodo]],5,2)</f>
        <v>04</v>
      </c>
      <c r="E2803" s="1" t="s">
        <v>34</v>
      </c>
      <c r="F2803" s="1" t="s">
        <v>35</v>
      </c>
      <c r="G2803" s="1">
        <v>58888</v>
      </c>
      <c r="H2803" s="1">
        <v>2990521</v>
      </c>
      <c r="I2803" s="1">
        <v>50.782958333333326</v>
      </c>
      <c r="J2803" s="1">
        <v>57351.307324359717</v>
      </c>
      <c r="K2803" s="1">
        <v>53.5</v>
      </c>
      <c r="L2803" s="1">
        <v>51</v>
      </c>
      <c r="M2803" s="1">
        <v>52.143899930416929</v>
      </c>
      <c r="N2803" s="1">
        <v>3196285</v>
      </c>
    </row>
    <row r="2804" spans="1:14" x14ac:dyDescent="0.35">
      <c r="A2804" s="1" t="s">
        <v>115</v>
      </c>
      <c r="B2804" s="1">
        <v>202406</v>
      </c>
      <c r="C2804" s="1" t="str">
        <f>MID(analisis_productividad__4[[#This Row],[Periodo]],1,4)</f>
        <v>2024</v>
      </c>
      <c r="D2804" s="1" t="str">
        <f>MID(analisis_productividad__4[[#This Row],[Periodo]],5,2)</f>
        <v>06</v>
      </c>
      <c r="E2804" s="1" t="s">
        <v>34</v>
      </c>
      <c r="F2804" s="1" t="s">
        <v>35</v>
      </c>
      <c r="G2804" s="1">
        <v>58850</v>
      </c>
      <c r="H2804" s="1">
        <v>2987857</v>
      </c>
      <c r="I2804" s="1">
        <v>50.770368055555558</v>
      </c>
      <c r="J2804" s="1">
        <v>0</v>
      </c>
      <c r="K2804" s="1">
        <v>53.5</v>
      </c>
      <c r="L2804" s="1">
        <v>51</v>
      </c>
      <c r="M2804" s="1"/>
      <c r="N2804" s="1">
        <v>0</v>
      </c>
    </row>
    <row r="2805" spans="1:14" x14ac:dyDescent="0.35">
      <c r="A2805" s="1" t="s">
        <v>111</v>
      </c>
      <c r="B2805" s="1">
        <v>202502</v>
      </c>
      <c r="C2805" s="1" t="str">
        <f>MID(analisis_productividad__4[[#This Row],[Periodo]],1,4)</f>
        <v>2025</v>
      </c>
      <c r="D2805" s="1" t="str">
        <f>MID(analisis_productividad__4[[#This Row],[Periodo]],5,2)</f>
        <v>02</v>
      </c>
      <c r="E2805" s="1" t="s">
        <v>34</v>
      </c>
      <c r="F2805" s="1" t="s">
        <v>35</v>
      </c>
      <c r="G2805" s="1">
        <v>58813</v>
      </c>
      <c r="H2805" s="1">
        <v>2174557</v>
      </c>
      <c r="I2805" s="1">
        <v>36.974322916666672</v>
      </c>
      <c r="J2805" s="1">
        <v>57768.367422201816</v>
      </c>
      <c r="K2805" s="1">
        <v>45.5</v>
      </c>
      <c r="L2805" s="1">
        <v>42.5</v>
      </c>
      <c r="M2805" s="1">
        <v>37.642696462359503</v>
      </c>
      <c r="N2805" s="1">
        <v>2245141</v>
      </c>
    </row>
    <row r="2806" spans="1:14" x14ac:dyDescent="0.35">
      <c r="A2806" s="1" t="s">
        <v>112</v>
      </c>
      <c r="B2806" s="1">
        <v>202601</v>
      </c>
      <c r="C2806" s="1" t="str">
        <f>MID(analisis_productividad__4[[#This Row],[Periodo]],1,4)</f>
        <v>2026</v>
      </c>
      <c r="D2806" s="1" t="str">
        <f>MID(analisis_productividad__4[[#This Row],[Periodo]],5,2)</f>
        <v>01</v>
      </c>
      <c r="E2806" s="1" t="s">
        <v>34</v>
      </c>
      <c r="F2806" s="1" t="s">
        <v>35</v>
      </c>
      <c r="G2806" s="1">
        <v>58809</v>
      </c>
      <c r="H2806" s="1">
        <v>1535141</v>
      </c>
      <c r="I2806" s="1">
        <v>26.104025537634406</v>
      </c>
      <c r="J2806" s="1">
        <v>65497.882946665741</v>
      </c>
      <c r="K2806" s="1">
        <v>31</v>
      </c>
      <c r="L2806" s="1">
        <v>27</v>
      </c>
      <c r="M2806" s="1">
        <v>27.070532526124346</v>
      </c>
      <c r="N2806" s="1">
        <v>1773063</v>
      </c>
    </row>
    <row r="2807" spans="1:14" x14ac:dyDescent="0.35">
      <c r="A2807" s="1" t="s">
        <v>110</v>
      </c>
      <c r="B2807" s="1">
        <v>202405</v>
      </c>
      <c r="C2807" s="1" t="str">
        <f>MID(analisis_productividad__4[[#This Row],[Periodo]],1,4)</f>
        <v>2024</v>
      </c>
      <c r="D2807" s="1" t="str">
        <f>MID(analisis_productividad__4[[#This Row],[Periodo]],5,2)</f>
        <v>05</v>
      </c>
      <c r="E2807" s="1" t="s">
        <v>34</v>
      </c>
      <c r="F2807" s="1" t="s">
        <v>35</v>
      </c>
      <c r="G2807" s="1">
        <v>58798</v>
      </c>
      <c r="H2807" s="1">
        <v>2318569</v>
      </c>
      <c r="I2807" s="1">
        <v>39.433004032258069</v>
      </c>
      <c r="J2807" s="1">
        <v>0</v>
      </c>
      <c r="K2807" s="1">
        <v>41.5</v>
      </c>
      <c r="L2807" s="1">
        <v>43</v>
      </c>
      <c r="M2807" s="1"/>
      <c r="N2807" s="1">
        <v>0</v>
      </c>
    </row>
    <row r="2808" spans="1:14" x14ac:dyDescent="0.35">
      <c r="A2808" s="1" t="s">
        <v>109</v>
      </c>
      <c r="B2808" s="1">
        <v>202511</v>
      </c>
      <c r="C2808" s="1" t="str">
        <f>MID(analisis_productividad__4[[#This Row],[Periodo]],1,4)</f>
        <v>2025</v>
      </c>
      <c r="D2808" s="1" t="str">
        <f>MID(analisis_productividad__4[[#This Row],[Periodo]],5,2)</f>
        <v>11</v>
      </c>
      <c r="E2808" s="1" t="s">
        <v>9</v>
      </c>
      <c r="F2808" s="1" t="s">
        <v>9</v>
      </c>
      <c r="G2808" s="1">
        <v>58788</v>
      </c>
      <c r="H2808" s="1">
        <v>487732</v>
      </c>
      <c r="I2808" s="1">
        <v>8.2964097222222222</v>
      </c>
      <c r="J2808" s="1">
        <v>60043.768922203024</v>
      </c>
      <c r="K2808" s="1">
        <v>10</v>
      </c>
      <c r="L2808" s="1">
        <v>9</v>
      </c>
      <c r="M2808" s="1">
        <v>8.1229472892006633</v>
      </c>
      <c r="N2808" s="1">
        <v>580756</v>
      </c>
    </row>
    <row r="2809" spans="1:14" x14ac:dyDescent="0.35">
      <c r="A2809" s="1" t="s">
        <v>123</v>
      </c>
      <c r="B2809" s="1">
        <v>202408</v>
      </c>
      <c r="C2809" s="1" t="str">
        <f>MID(analisis_productividad__4[[#This Row],[Periodo]],1,4)</f>
        <v>2024</v>
      </c>
      <c r="D2809" s="1" t="str">
        <f>MID(analisis_productividad__4[[#This Row],[Periodo]],5,2)</f>
        <v>08</v>
      </c>
      <c r="E2809" s="1" t="s">
        <v>9</v>
      </c>
      <c r="F2809" s="1" t="s">
        <v>9</v>
      </c>
      <c r="G2809" s="1">
        <v>58786</v>
      </c>
      <c r="H2809" s="1">
        <v>556845</v>
      </c>
      <c r="I2809" s="1">
        <v>9.4724395161290342</v>
      </c>
      <c r="J2809" s="1">
        <v>0</v>
      </c>
      <c r="K2809" s="1">
        <v>11</v>
      </c>
      <c r="L2809" s="1">
        <v>10</v>
      </c>
      <c r="M2809" s="1"/>
      <c r="N2809" s="1">
        <v>0</v>
      </c>
    </row>
    <row r="2810" spans="1:14" x14ac:dyDescent="0.35">
      <c r="A2810" s="1" t="s">
        <v>126</v>
      </c>
      <c r="B2810" s="1">
        <v>202601</v>
      </c>
      <c r="C2810" s="1" t="str">
        <f>MID(analisis_productividad__4[[#This Row],[Periodo]],1,4)</f>
        <v>2026</v>
      </c>
      <c r="D2810" s="1" t="str">
        <f>MID(analisis_productividad__4[[#This Row],[Periodo]],5,2)</f>
        <v>01</v>
      </c>
      <c r="E2810" s="1" t="s">
        <v>104</v>
      </c>
      <c r="F2810" s="1" t="s">
        <v>104</v>
      </c>
      <c r="G2810" s="1">
        <v>58768</v>
      </c>
      <c r="H2810" s="1">
        <v>3274355</v>
      </c>
      <c r="I2810" s="1">
        <v>55.716518817204324</v>
      </c>
      <c r="J2810" s="1">
        <v>59287.666607148429</v>
      </c>
      <c r="K2810" s="1">
        <v>64.5</v>
      </c>
      <c r="L2810" s="1">
        <v>61</v>
      </c>
      <c r="M2810" s="1">
        <v>55.57085132952011</v>
      </c>
      <c r="N2810" s="1">
        <v>3294666</v>
      </c>
    </row>
    <row r="2811" spans="1:14" x14ac:dyDescent="0.35">
      <c r="A2811" s="1" t="s">
        <v>110</v>
      </c>
      <c r="B2811" s="1">
        <v>202407</v>
      </c>
      <c r="C2811" s="1" t="str">
        <f>MID(analisis_productividad__4[[#This Row],[Periodo]],1,4)</f>
        <v>2024</v>
      </c>
      <c r="D2811" s="1" t="str">
        <f>MID(analisis_productividad__4[[#This Row],[Periodo]],5,2)</f>
        <v>07</v>
      </c>
      <c r="E2811" s="1" t="s">
        <v>34</v>
      </c>
      <c r="F2811" s="1" t="s">
        <v>35</v>
      </c>
      <c r="G2811" s="1">
        <v>58759</v>
      </c>
      <c r="H2811" s="1">
        <v>2267360</v>
      </c>
      <c r="I2811" s="1">
        <v>38.587688172043016</v>
      </c>
      <c r="J2811" s="1">
        <v>0</v>
      </c>
      <c r="K2811" s="1">
        <v>41.5</v>
      </c>
      <c r="L2811" s="1">
        <v>43</v>
      </c>
      <c r="M2811" s="1"/>
      <c r="N2811" s="1">
        <v>0</v>
      </c>
    </row>
    <row r="2812" spans="1:14" x14ac:dyDescent="0.35">
      <c r="A2812" s="1" t="s">
        <v>120</v>
      </c>
      <c r="B2812" s="1">
        <v>202509</v>
      </c>
      <c r="C2812" s="1" t="str">
        <f>MID(analisis_productividad__4[[#This Row],[Periodo]],1,4)</f>
        <v>2025</v>
      </c>
      <c r="D2812" s="1" t="str">
        <f>MID(analisis_productividad__4[[#This Row],[Periodo]],5,2)</f>
        <v>09</v>
      </c>
      <c r="E2812" s="1" t="s">
        <v>9</v>
      </c>
      <c r="F2812" s="1" t="s">
        <v>9</v>
      </c>
      <c r="G2812" s="1">
        <v>58756</v>
      </c>
      <c r="H2812" s="1">
        <v>667524</v>
      </c>
      <c r="I2812" s="1">
        <v>11.360902777777778</v>
      </c>
      <c r="J2812" s="1">
        <v>68893.222491471795</v>
      </c>
      <c r="K2812" s="1">
        <v>11.5</v>
      </c>
      <c r="L2812" s="1">
        <v>12</v>
      </c>
      <c r="M2812" s="1">
        <v>9.6892597828854932</v>
      </c>
      <c r="N2812" s="1">
        <v>855400</v>
      </c>
    </row>
    <row r="2813" spans="1:14" x14ac:dyDescent="0.35">
      <c r="A2813" s="1" t="s">
        <v>116</v>
      </c>
      <c r="B2813" s="1">
        <v>202402</v>
      </c>
      <c r="C2813" s="1" t="str">
        <f>MID(analisis_productividad__4[[#This Row],[Periodo]],1,4)</f>
        <v>2024</v>
      </c>
      <c r="D2813" s="1" t="str">
        <f>MID(analisis_productividad__4[[#This Row],[Periodo]],5,2)</f>
        <v>02</v>
      </c>
      <c r="E2813" s="1" t="s">
        <v>9</v>
      </c>
      <c r="F2813" s="1" t="s">
        <v>9</v>
      </c>
      <c r="G2813" s="1">
        <v>58745</v>
      </c>
      <c r="H2813" s="1">
        <v>671131</v>
      </c>
      <c r="I2813" s="1">
        <v>11.424482758620693</v>
      </c>
      <c r="J2813" s="1">
        <v>0</v>
      </c>
      <c r="K2813" s="1">
        <v>11.5</v>
      </c>
      <c r="L2813" s="1">
        <v>10</v>
      </c>
      <c r="M2813" s="1"/>
      <c r="N2813" s="1">
        <v>0</v>
      </c>
    </row>
    <row r="2814" spans="1:14" x14ac:dyDescent="0.35">
      <c r="A2814" s="1" t="s">
        <v>118</v>
      </c>
      <c r="B2814" s="1">
        <v>202409</v>
      </c>
      <c r="C2814" s="1" t="str">
        <f>MID(analisis_productividad__4[[#This Row],[Periodo]],1,4)</f>
        <v>2024</v>
      </c>
      <c r="D2814" s="1" t="str">
        <f>MID(analisis_productividad__4[[#This Row],[Periodo]],5,2)</f>
        <v>09</v>
      </c>
      <c r="E2814" s="1" t="s">
        <v>34</v>
      </c>
      <c r="F2814" s="1" t="s">
        <v>35</v>
      </c>
      <c r="G2814" s="1">
        <v>58682</v>
      </c>
      <c r="H2814" s="1">
        <v>1066628</v>
      </c>
      <c r="I2814" s="1">
        <v>18.176326388888889</v>
      </c>
      <c r="J2814" s="1">
        <v>0</v>
      </c>
      <c r="K2814" s="1">
        <v>19</v>
      </c>
      <c r="L2814" s="1">
        <v>21.5</v>
      </c>
      <c r="M2814" s="1"/>
      <c r="N2814" s="1">
        <v>0</v>
      </c>
    </row>
    <row r="2815" spans="1:14" x14ac:dyDescent="0.35">
      <c r="A2815" s="1" t="s">
        <v>127</v>
      </c>
      <c r="B2815" s="1">
        <v>202606</v>
      </c>
      <c r="C2815" s="1" t="str">
        <f>MID(analisis_productividad__4[[#This Row],[Periodo]],1,4)</f>
        <v>2026</v>
      </c>
      <c r="D2815" s="1" t="str">
        <f>MID(analisis_productividad__4[[#This Row],[Periodo]],5,2)</f>
        <v>06</v>
      </c>
      <c r="E2815" s="1" t="s">
        <v>104</v>
      </c>
      <c r="F2815" s="1" t="s">
        <v>104</v>
      </c>
      <c r="G2815" s="1">
        <v>58661</v>
      </c>
      <c r="H2815" s="1">
        <v>2920448</v>
      </c>
      <c r="I2815" s="1">
        <v>49.785458333333416</v>
      </c>
      <c r="J2815" s="1"/>
      <c r="K2815" s="1">
        <v>61.5</v>
      </c>
      <c r="L2815" s="1">
        <v>56</v>
      </c>
      <c r="M2815" s="1"/>
      <c r="N2815" s="1">
        <v>3350928</v>
      </c>
    </row>
    <row r="2816" spans="1:14" x14ac:dyDescent="0.35">
      <c r="A2816" s="1" t="s">
        <v>101</v>
      </c>
      <c r="B2816" s="1">
        <v>202512</v>
      </c>
      <c r="C2816" s="1" t="str">
        <f>MID(analisis_productividad__4[[#This Row],[Periodo]],1,4)</f>
        <v>2025</v>
      </c>
      <c r="D2816" s="1" t="str">
        <f>MID(analisis_productividad__4[[#This Row],[Periodo]],5,2)</f>
        <v>12</v>
      </c>
      <c r="E2816" s="1" t="s">
        <v>9</v>
      </c>
      <c r="F2816" s="1" t="s">
        <v>9</v>
      </c>
      <c r="G2816" s="1">
        <v>58656</v>
      </c>
      <c r="H2816" s="1">
        <v>373185</v>
      </c>
      <c r="I2816" s="1">
        <v>6.3622849462365458</v>
      </c>
      <c r="J2816" s="1">
        <v>55796.735028354677</v>
      </c>
      <c r="K2816" s="1">
        <v>8.5</v>
      </c>
      <c r="L2816" s="1">
        <v>6.5</v>
      </c>
      <c r="M2816" s="1">
        <v>6.6882986936485711</v>
      </c>
      <c r="N2816" s="1">
        <v>396541</v>
      </c>
    </row>
    <row r="2817" spans="1:14" x14ac:dyDescent="0.35">
      <c r="A2817" s="1" t="s">
        <v>121</v>
      </c>
      <c r="B2817" s="1">
        <v>202504</v>
      </c>
      <c r="C2817" s="1" t="str">
        <f>MID(analisis_productividad__4[[#This Row],[Periodo]],1,4)</f>
        <v>2025</v>
      </c>
      <c r="D2817" s="1" t="str">
        <f>MID(analisis_productividad__4[[#This Row],[Periodo]],5,2)</f>
        <v>04</v>
      </c>
      <c r="E2817" s="1" t="s">
        <v>11</v>
      </c>
      <c r="F2817" s="1" t="s">
        <v>14</v>
      </c>
      <c r="G2817" s="1">
        <v>58651</v>
      </c>
      <c r="H2817" s="1">
        <v>1919161</v>
      </c>
      <c r="I2817" s="1">
        <v>32.721888888888905</v>
      </c>
      <c r="J2817" s="1">
        <v>53630.960740027491</v>
      </c>
      <c r="K2817" s="1">
        <v>36</v>
      </c>
      <c r="L2817" s="1">
        <v>35</v>
      </c>
      <c r="M2817" s="1">
        <v>35.784578413633248</v>
      </c>
      <c r="N2817" s="1">
        <v>2026039</v>
      </c>
    </row>
    <row r="2818" spans="1:14" x14ac:dyDescent="0.35">
      <c r="A2818" s="1" t="s">
        <v>124</v>
      </c>
      <c r="B2818" s="1">
        <v>202605</v>
      </c>
      <c r="C2818" s="1" t="str">
        <f>MID(analisis_productividad__4[[#This Row],[Periodo]],1,4)</f>
        <v>2026</v>
      </c>
      <c r="D2818" s="1" t="str">
        <f>MID(analisis_productividad__4[[#This Row],[Periodo]],5,2)</f>
        <v>05</v>
      </c>
      <c r="E2818" s="1" t="s">
        <v>9</v>
      </c>
      <c r="F2818" s="1" t="s">
        <v>9</v>
      </c>
      <c r="G2818" s="1">
        <v>58631</v>
      </c>
      <c r="H2818" s="1">
        <v>697767</v>
      </c>
      <c r="I2818" s="1">
        <v>11.900940860215069</v>
      </c>
      <c r="J2818" s="1">
        <v>65816.996399954543</v>
      </c>
      <c r="K2818" s="1">
        <v>11</v>
      </c>
      <c r="L2818" s="1">
        <v>12</v>
      </c>
      <c r="M2818" s="1">
        <v>10.653753026634384</v>
      </c>
      <c r="N2818" s="1">
        <v>701198</v>
      </c>
    </row>
    <row r="2819" spans="1:14" x14ac:dyDescent="0.35">
      <c r="A2819" s="1" t="s">
        <v>117</v>
      </c>
      <c r="B2819" s="1">
        <v>202602</v>
      </c>
      <c r="C2819" s="1" t="str">
        <f>MID(analisis_productividad__4[[#This Row],[Periodo]],1,4)</f>
        <v>2026</v>
      </c>
      <c r="D2819" s="1" t="str">
        <f>MID(analisis_productividad__4[[#This Row],[Periodo]],5,2)</f>
        <v>02</v>
      </c>
      <c r="E2819" s="1" t="s">
        <v>104</v>
      </c>
      <c r="F2819" s="1" t="s">
        <v>104</v>
      </c>
      <c r="G2819" s="1">
        <v>58628</v>
      </c>
      <c r="H2819" s="1">
        <v>3462166</v>
      </c>
      <c r="I2819" s="1">
        <v>59.053124999999987</v>
      </c>
      <c r="J2819" s="1">
        <v>47730.289879594944</v>
      </c>
      <c r="K2819" s="1">
        <v>66</v>
      </c>
      <c r="L2819" s="1">
        <v>65.5</v>
      </c>
      <c r="M2819" s="1">
        <v>58.116081161406527</v>
      </c>
      <c r="N2819" s="1">
        <v>2773897</v>
      </c>
    </row>
    <row r="2820" spans="1:14" x14ac:dyDescent="0.35">
      <c r="A2820" s="1" t="s">
        <v>116</v>
      </c>
      <c r="B2820" s="1">
        <v>202505</v>
      </c>
      <c r="C2820" s="1" t="str">
        <f>MID(analisis_productividad__4[[#This Row],[Periodo]],1,4)</f>
        <v>2025</v>
      </c>
      <c r="D2820" s="1" t="str">
        <f>MID(analisis_productividad__4[[#This Row],[Periodo]],5,2)</f>
        <v>05</v>
      </c>
      <c r="E2820" s="1" t="s">
        <v>9</v>
      </c>
      <c r="F2820" s="1" t="s">
        <v>9</v>
      </c>
      <c r="G2820" s="1">
        <v>58592</v>
      </c>
      <c r="H2820" s="1">
        <v>605059</v>
      </c>
      <c r="I2820" s="1">
        <v>10.326599462365593</v>
      </c>
      <c r="J2820" s="1">
        <v>57487.690511162029</v>
      </c>
      <c r="K2820" s="1">
        <v>11.5</v>
      </c>
      <c r="L2820" s="1">
        <v>10</v>
      </c>
      <c r="M2820" s="1">
        <v>10.525023785440109</v>
      </c>
      <c r="N2820" s="1">
        <v>674475</v>
      </c>
    </row>
    <row r="2821" spans="1:14" x14ac:dyDescent="0.35">
      <c r="A2821" s="1" t="s">
        <v>126</v>
      </c>
      <c r="B2821" s="1">
        <v>202501</v>
      </c>
      <c r="C2821" s="1" t="str">
        <f>MID(analisis_productividad__4[[#This Row],[Periodo]],1,4)</f>
        <v>2025</v>
      </c>
      <c r="D2821" s="1" t="str">
        <f>MID(analisis_productividad__4[[#This Row],[Periodo]],5,2)</f>
        <v>01</v>
      </c>
      <c r="E2821" s="1" t="s">
        <v>104</v>
      </c>
      <c r="F2821" s="1" t="s">
        <v>104</v>
      </c>
      <c r="G2821" s="1">
        <v>58583</v>
      </c>
      <c r="H2821" s="1">
        <v>3197874</v>
      </c>
      <c r="I2821" s="1">
        <v>54.587016129032257</v>
      </c>
      <c r="J2821" s="1">
        <v>53493.039269444314</v>
      </c>
      <c r="K2821" s="1">
        <v>64.5</v>
      </c>
      <c r="L2821" s="1">
        <v>61</v>
      </c>
      <c r="M2821" s="1">
        <v>59.781130473673691</v>
      </c>
      <c r="N2821" s="1">
        <v>3002472</v>
      </c>
    </row>
    <row r="2822" spans="1:14" x14ac:dyDescent="0.35">
      <c r="A2822" s="1" t="s">
        <v>101</v>
      </c>
      <c r="B2822" s="1">
        <v>202409</v>
      </c>
      <c r="C2822" s="1" t="str">
        <f>MID(analisis_productividad__4[[#This Row],[Periodo]],1,4)</f>
        <v>2024</v>
      </c>
      <c r="D2822" s="1" t="str">
        <f>MID(analisis_productividad__4[[#This Row],[Periodo]],5,2)</f>
        <v>09</v>
      </c>
      <c r="E2822" s="1" t="s">
        <v>9</v>
      </c>
      <c r="F2822" s="1" t="s">
        <v>9</v>
      </c>
      <c r="G2822" s="1">
        <v>58571</v>
      </c>
      <c r="H2822" s="1">
        <v>364024</v>
      </c>
      <c r="I2822" s="1">
        <v>6.2151250000000005</v>
      </c>
      <c r="J2822" s="1">
        <v>0</v>
      </c>
      <c r="K2822" s="1">
        <v>8.5</v>
      </c>
      <c r="L2822" s="1">
        <v>6.5</v>
      </c>
      <c r="M2822" s="1"/>
      <c r="N2822" s="1">
        <v>0</v>
      </c>
    </row>
    <row r="2823" spans="1:14" x14ac:dyDescent="0.35">
      <c r="A2823" s="1" t="s">
        <v>121</v>
      </c>
      <c r="B2823" s="1">
        <v>202408</v>
      </c>
      <c r="C2823" s="1" t="str">
        <f>MID(analisis_productividad__4[[#This Row],[Periodo]],1,4)</f>
        <v>2024</v>
      </c>
      <c r="D2823" s="1" t="str">
        <f>MID(analisis_productividad__4[[#This Row],[Periodo]],5,2)</f>
        <v>08</v>
      </c>
      <c r="E2823" s="1" t="s">
        <v>11</v>
      </c>
      <c r="F2823" s="1" t="s">
        <v>14</v>
      </c>
      <c r="G2823" s="1">
        <v>58548</v>
      </c>
      <c r="H2823" s="1">
        <v>2007532</v>
      </c>
      <c r="I2823" s="1">
        <v>34.28880376344086</v>
      </c>
      <c r="J2823" s="1">
        <v>0</v>
      </c>
      <c r="K2823" s="1">
        <v>36</v>
      </c>
      <c r="L2823" s="1">
        <v>35</v>
      </c>
      <c r="M2823" s="1"/>
      <c r="N2823" s="1">
        <v>0</v>
      </c>
    </row>
    <row r="2824" spans="1:14" x14ac:dyDescent="0.35">
      <c r="A2824" s="1" t="s">
        <v>108</v>
      </c>
      <c r="B2824" s="1">
        <v>202409</v>
      </c>
      <c r="C2824" s="1" t="str">
        <f>MID(analisis_productividad__4[[#This Row],[Periodo]],1,4)</f>
        <v>2024</v>
      </c>
      <c r="D2824" s="1" t="str">
        <f>MID(analisis_productividad__4[[#This Row],[Periodo]],5,2)</f>
        <v>09</v>
      </c>
      <c r="E2824" s="1" t="s">
        <v>11</v>
      </c>
      <c r="F2824" s="1" t="s">
        <v>14</v>
      </c>
      <c r="G2824" s="1">
        <v>58532</v>
      </c>
      <c r="H2824" s="1">
        <v>2482785</v>
      </c>
      <c r="I2824" s="1">
        <v>42.417666666666683</v>
      </c>
      <c r="J2824" s="1">
        <v>0</v>
      </c>
      <c r="K2824" s="1">
        <v>47.5</v>
      </c>
      <c r="L2824" s="1">
        <v>43</v>
      </c>
      <c r="M2824" s="1"/>
      <c r="N2824" s="1">
        <v>0</v>
      </c>
    </row>
    <row r="2825" spans="1:14" x14ac:dyDescent="0.35">
      <c r="A2825" s="1" t="s">
        <v>124</v>
      </c>
      <c r="B2825" s="1">
        <v>202407</v>
      </c>
      <c r="C2825" s="1" t="str">
        <f>MID(analisis_productividad__4[[#This Row],[Periodo]],1,4)</f>
        <v>2024</v>
      </c>
      <c r="D2825" s="1" t="str">
        <f>MID(analisis_productividad__4[[#This Row],[Periodo]],5,2)</f>
        <v>07</v>
      </c>
      <c r="E2825" s="1" t="s">
        <v>9</v>
      </c>
      <c r="F2825" s="1" t="s">
        <v>9</v>
      </c>
      <c r="G2825" s="1">
        <v>58532</v>
      </c>
      <c r="H2825" s="1">
        <v>608138</v>
      </c>
      <c r="I2825" s="1">
        <v>10.389919354838712</v>
      </c>
      <c r="J2825" s="1">
        <v>0</v>
      </c>
      <c r="K2825" s="1">
        <v>11</v>
      </c>
      <c r="L2825" s="1">
        <v>12</v>
      </c>
      <c r="M2825" s="1"/>
      <c r="N2825" s="1">
        <v>0</v>
      </c>
    </row>
    <row r="2826" spans="1:14" x14ac:dyDescent="0.35">
      <c r="A2826" s="1" t="s">
        <v>110</v>
      </c>
      <c r="B2826" s="1">
        <v>202402</v>
      </c>
      <c r="C2826" s="1" t="str">
        <f>MID(analisis_productividad__4[[#This Row],[Periodo]],1,4)</f>
        <v>2024</v>
      </c>
      <c r="D2826" s="1" t="str">
        <f>MID(analisis_productividad__4[[#This Row],[Periodo]],5,2)</f>
        <v>02</v>
      </c>
      <c r="E2826" s="1" t="s">
        <v>34</v>
      </c>
      <c r="F2826" s="1" t="s">
        <v>35</v>
      </c>
      <c r="G2826" s="1">
        <v>58529</v>
      </c>
      <c r="H2826" s="1">
        <v>2233159</v>
      </c>
      <c r="I2826" s="1">
        <v>38.154525862068986</v>
      </c>
      <c r="J2826" s="1">
        <v>0</v>
      </c>
      <c r="K2826" s="1">
        <v>41.5</v>
      </c>
      <c r="L2826" s="1">
        <v>43</v>
      </c>
      <c r="M2826" s="1"/>
      <c r="N2826" s="1">
        <v>0</v>
      </c>
    </row>
    <row r="2827" spans="1:14" x14ac:dyDescent="0.35">
      <c r="A2827" s="1" t="s">
        <v>109</v>
      </c>
      <c r="B2827" s="1">
        <v>202405</v>
      </c>
      <c r="C2827" s="1" t="str">
        <f>MID(analisis_productividad__4[[#This Row],[Periodo]],1,4)</f>
        <v>2024</v>
      </c>
      <c r="D2827" s="1" t="str">
        <f>MID(analisis_productividad__4[[#This Row],[Periodo]],5,2)</f>
        <v>05</v>
      </c>
      <c r="E2827" s="1" t="s">
        <v>9</v>
      </c>
      <c r="F2827" s="1" t="s">
        <v>9</v>
      </c>
      <c r="G2827" s="1">
        <v>58460</v>
      </c>
      <c r="H2827" s="1">
        <v>544483</v>
      </c>
      <c r="I2827" s="1">
        <v>9.313716397849463</v>
      </c>
      <c r="J2827" s="1">
        <v>0</v>
      </c>
      <c r="K2827" s="1">
        <v>10</v>
      </c>
      <c r="L2827" s="1">
        <v>9</v>
      </c>
      <c r="M2827" s="1"/>
      <c r="N2827" s="1">
        <v>0</v>
      </c>
    </row>
    <row r="2828" spans="1:14" x14ac:dyDescent="0.35">
      <c r="A2828" s="1" t="s">
        <v>113</v>
      </c>
      <c r="B2828" s="1">
        <v>202502</v>
      </c>
      <c r="C2828" s="1" t="str">
        <f>MID(analisis_productividad__4[[#This Row],[Periodo]],1,4)</f>
        <v>2025</v>
      </c>
      <c r="D2828" s="1" t="str">
        <f>MID(analisis_productividad__4[[#This Row],[Periodo]],5,2)</f>
        <v>02</v>
      </c>
      <c r="E2828" s="1" t="s">
        <v>9</v>
      </c>
      <c r="F2828" s="1" t="s">
        <v>9</v>
      </c>
      <c r="G2828" s="1">
        <v>58454</v>
      </c>
      <c r="H2828" s="1">
        <v>543513</v>
      </c>
      <c r="I2828" s="1">
        <v>9.2980729166666674</v>
      </c>
      <c r="J2828" s="1">
        <v>58570.610201847376</v>
      </c>
      <c r="K2828" s="1">
        <v>11.5</v>
      </c>
      <c r="L2828" s="1">
        <v>10</v>
      </c>
      <c r="M2828" s="1">
        <v>9.2796168270559889</v>
      </c>
      <c r="N2828" s="1">
        <v>575429</v>
      </c>
    </row>
    <row r="2829" spans="1:14" x14ac:dyDescent="0.35">
      <c r="A2829" s="1" t="s">
        <v>126</v>
      </c>
      <c r="B2829" s="1">
        <v>202508</v>
      </c>
      <c r="C2829" s="1" t="str">
        <f>MID(analisis_productividad__4[[#This Row],[Periodo]],1,4)</f>
        <v>2025</v>
      </c>
      <c r="D2829" s="1" t="str">
        <f>MID(analisis_productividad__4[[#This Row],[Periodo]],5,2)</f>
        <v>08</v>
      </c>
      <c r="E2829" s="1" t="s">
        <v>104</v>
      </c>
      <c r="F2829" s="1" t="s">
        <v>104</v>
      </c>
      <c r="G2829" s="1">
        <v>58414</v>
      </c>
      <c r="H2829" s="1">
        <v>3195837</v>
      </c>
      <c r="I2829" s="1">
        <v>54.710409946236588</v>
      </c>
      <c r="J2829" s="1">
        <v>58034.33703917278</v>
      </c>
      <c r="K2829" s="1">
        <v>64.5</v>
      </c>
      <c r="L2829" s="1">
        <v>61</v>
      </c>
      <c r="M2829" s="1">
        <v>55.068037528245256</v>
      </c>
      <c r="N2829" s="1">
        <v>3227369</v>
      </c>
    </row>
    <row r="2830" spans="1:14" x14ac:dyDescent="0.35">
      <c r="A2830" s="1" t="s">
        <v>112</v>
      </c>
      <c r="B2830" s="1">
        <v>202501</v>
      </c>
      <c r="C2830" s="1" t="str">
        <f>MID(analisis_productividad__4[[#This Row],[Periodo]],1,4)</f>
        <v>2025</v>
      </c>
      <c r="D2830" s="1" t="str">
        <f>MID(analisis_productividad__4[[#This Row],[Periodo]],5,2)</f>
        <v>01</v>
      </c>
      <c r="E2830" s="1" t="s">
        <v>34</v>
      </c>
      <c r="F2830" s="1" t="s">
        <v>35</v>
      </c>
      <c r="G2830" s="1">
        <v>58410</v>
      </c>
      <c r="H2830" s="1">
        <v>1570142</v>
      </c>
      <c r="I2830" s="1">
        <v>26.881176075268808</v>
      </c>
      <c r="J2830" s="1">
        <v>65964.487108396948</v>
      </c>
      <c r="K2830" s="1">
        <v>31</v>
      </c>
      <c r="L2830" s="1">
        <v>27</v>
      </c>
      <c r="M2830" s="1">
        <v>23.802832839734592</v>
      </c>
      <c r="N2830" s="1">
        <v>1569109</v>
      </c>
    </row>
    <row r="2831" spans="1:14" x14ac:dyDescent="0.35">
      <c r="A2831" s="1" t="s">
        <v>95</v>
      </c>
      <c r="B2831" s="1">
        <v>202511</v>
      </c>
      <c r="C2831" s="1" t="str">
        <f>MID(analisis_productividad__4[[#This Row],[Periodo]],1,4)</f>
        <v>2025</v>
      </c>
      <c r="D2831" s="1" t="str">
        <f>MID(analisis_productividad__4[[#This Row],[Periodo]],5,2)</f>
        <v>11</v>
      </c>
      <c r="E2831" s="1" t="s">
        <v>9</v>
      </c>
      <c r="F2831" s="1" t="s">
        <v>9</v>
      </c>
      <c r="G2831" s="1">
        <v>58410</v>
      </c>
      <c r="H2831" s="1">
        <v>644661</v>
      </c>
      <c r="I2831" s="1">
        <v>11.036909722222218</v>
      </c>
      <c r="J2831" s="1">
        <v>82554.291258030789</v>
      </c>
      <c r="K2831" s="1">
        <v>11</v>
      </c>
      <c r="L2831" s="1">
        <v>11</v>
      </c>
      <c r="M2831" s="1">
        <v>7.8089309492713754</v>
      </c>
      <c r="N2831" s="1">
        <v>688718</v>
      </c>
    </row>
    <row r="2832" spans="1:14" x14ac:dyDescent="0.35">
      <c r="A2832" s="1" t="s">
        <v>114</v>
      </c>
      <c r="B2832" s="1">
        <v>202606</v>
      </c>
      <c r="C2832" s="1" t="str">
        <f>MID(analisis_productividad__4[[#This Row],[Periodo]],1,4)</f>
        <v>2026</v>
      </c>
      <c r="D2832" s="1" t="str">
        <f>MID(analisis_productividad__4[[#This Row],[Periodo]],5,2)</f>
        <v>06</v>
      </c>
      <c r="E2832" s="1" t="s">
        <v>9</v>
      </c>
      <c r="F2832" s="1" t="s">
        <v>9</v>
      </c>
      <c r="G2832" s="1">
        <v>58340</v>
      </c>
      <c r="H2832" s="1">
        <v>862652</v>
      </c>
      <c r="I2832" s="1">
        <v>14.786624999999999</v>
      </c>
      <c r="J2832" s="1">
        <v>58760.527396708741</v>
      </c>
      <c r="K2832" s="1">
        <v>13.5</v>
      </c>
      <c r="L2832" s="1">
        <v>14.5</v>
      </c>
      <c r="M2832" s="1">
        <v>13.189776457714554</v>
      </c>
      <c r="N2832" s="1">
        <v>775038</v>
      </c>
    </row>
    <row r="2833" spans="1:14" x14ac:dyDescent="0.35">
      <c r="A2833" s="1" t="s">
        <v>115</v>
      </c>
      <c r="B2833" s="1">
        <v>202505</v>
      </c>
      <c r="C2833" s="1" t="str">
        <f>MID(analisis_productividad__4[[#This Row],[Periodo]],1,4)</f>
        <v>2025</v>
      </c>
      <c r="D2833" s="1" t="str">
        <f>MID(analisis_productividad__4[[#This Row],[Periodo]],5,2)</f>
        <v>05</v>
      </c>
      <c r="E2833" s="1" t="s">
        <v>34</v>
      </c>
      <c r="F2833" s="1" t="s">
        <v>35</v>
      </c>
      <c r="G2833" s="1">
        <v>58337</v>
      </c>
      <c r="H2833" s="1">
        <v>2996508</v>
      </c>
      <c r="I2833" s="1">
        <v>51.365087365591386</v>
      </c>
      <c r="J2833" s="1">
        <v>58781.59644793794</v>
      </c>
      <c r="K2833" s="1">
        <v>53.5</v>
      </c>
      <c r="L2833" s="1">
        <v>51</v>
      </c>
      <c r="M2833" s="1">
        <v>50.976971383449346</v>
      </c>
      <c r="N2833" s="1">
        <v>3163356</v>
      </c>
    </row>
    <row r="2834" spans="1:14" x14ac:dyDescent="0.35">
      <c r="A2834" s="1" t="s">
        <v>118</v>
      </c>
      <c r="B2834" s="1">
        <v>202407</v>
      </c>
      <c r="C2834" s="1" t="str">
        <f>MID(analisis_productividad__4[[#This Row],[Periodo]],1,4)</f>
        <v>2024</v>
      </c>
      <c r="D2834" s="1" t="str">
        <f>MID(analisis_productividad__4[[#This Row],[Periodo]],5,2)</f>
        <v>07</v>
      </c>
      <c r="E2834" s="1" t="s">
        <v>34</v>
      </c>
      <c r="F2834" s="1" t="s">
        <v>35</v>
      </c>
      <c r="G2834" s="1">
        <v>58317</v>
      </c>
      <c r="H2834" s="1">
        <v>1243210</v>
      </c>
      <c r="I2834" s="1">
        <v>21.317963709677418</v>
      </c>
      <c r="J2834" s="1">
        <v>0</v>
      </c>
      <c r="K2834" s="1">
        <v>19</v>
      </c>
      <c r="L2834" s="1">
        <v>21.5</v>
      </c>
      <c r="M2834" s="1"/>
      <c r="N2834" s="1">
        <v>0</v>
      </c>
    </row>
    <row r="2835" spans="1:14" x14ac:dyDescent="0.35">
      <c r="A2835" s="1" t="s">
        <v>118</v>
      </c>
      <c r="B2835" s="1">
        <v>202508</v>
      </c>
      <c r="C2835" s="1" t="str">
        <f>MID(analisis_productividad__4[[#This Row],[Periodo]],1,4)</f>
        <v>2025</v>
      </c>
      <c r="D2835" s="1" t="str">
        <f>MID(analisis_productividad__4[[#This Row],[Periodo]],5,2)</f>
        <v>08</v>
      </c>
      <c r="E2835" s="1" t="s">
        <v>34</v>
      </c>
      <c r="F2835" s="1" t="s">
        <v>35</v>
      </c>
      <c r="G2835" s="1">
        <v>58305</v>
      </c>
      <c r="H2835" s="1">
        <v>1088181</v>
      </c>
      <c r="I2835" s="1">
        <v>18.663608870967739</v>
      </c>
      <c r="J2835" s="1">
        <v>65394.20270035346</v>
      </c>
      <c r="K2835" s="1">
        <v>19</v>
      </c>
      <c r="L2835" s="1">
        <v>21.5</v>
      </c>
      <c r="M2835" s="1">
        <v>16.640329800887969</v>
      </c>
      <c r="N2835" s="1">
        <v>1277129</v>
      </c>
    </row>
    <row r="2836" spans="1:14" x14ac:dyDescent="0.35">
      <c r="A2836" s="1" t="s">
        <v>115</v>
      </c>
      <c r="B2836" s="1">
        <v>202401</v>
      </c>
      <c r="C2836" s="1" t="str">
        <f>MID(analisis_productividad__4[[#This Row],[Periodo]],1,4)</f>
        <v>2024</v>
      </c>
      <c r="D2836" s="1" t="str">
        <f>MID(analisis_productividad__4[[#This Row],[Periodo]],5,2)</f>
        <v>01</v>
      </c>
      <c r="E2836" s="1" t="s">
        <v>34</v>
      </c>
      <c r="F2836" s="1" t="s">
        <v>35</v>
      </c>
      <c r="G2836" s="1">
        <v>58243</v>
      </c>
      <c r="H2836" s="1">
        <v>3044318</v>
      </c>
      <c r="I2836" s="1">
        <v>52.268924731182764</v>
      </c>
      <c r="J2836" s="1">
        <v>0</v>
      </c>
      <c r="K2836" s="1">
        <v>53.5</v>
      </c>
      <c r="L2836" s="1">
        <v>51</v>
      </c>
      <c r="M2836" s="1"/>
      <c r="N2836" s="1">
        <v>0</v>
      </c>
    </row>
    <row r="2837" spans="1:14" x14ac:dyDescent="0.35">
      <c r="A2837" s="1" t="s">
        <v>109</v>
      </c>
      <c r="B2837" s="1">
        <v>202410</v>
      </c>
      <c r="C2837" s="1" t="str">
        <f>MID(analisis_productividad__4[[#This Row],[Periodo]],1,4)</f>
        <v>2024</v>
      </c>
      <c r="D2837" s="1" t="str">
        <f>MID(analisis_productividad__4[[#This Row],[Periodo]],5,2)</f>
        <v>10</v>
      </c>
      <c r="E2837" s="1" t="s">
        <v>9</v>
      </c>
      <c r="F2837" s="1" t="s">
        <v>9</v>
      </c>
      <c r="G2837" s="1">
        <v>58176</v>
      </c>
      <c r="H2837" s="1">
        <v>510476</v>
      </c>
      <c r="I2837" s="1">
        <v>8.7747446236559163</v>
      </c>
      <c r="J2837" s="1">
        <v>0</v>
      </c>
      <c r="K2837" s="1">
        <v>10</v>
      </c>
      <c r="L2837" s="1">
        <v>9</v>
      </c>
      <c r="M2837" s="1"/>
      <c r="N2837" s="1">
        <v>0</v>
      </c>
    </row>
    <row r="2838" spans="1:14" x14ac:dyDescent="0.35">
      <c r="A2838" s="1" t="s">
        <v>117</v>
      </c>
      <c r="B2838" s="1">
        <v>202403</v>
      </c>
      <c r="C2838" s="1" t="str">
        <f>MID(analisis_productividad__4[[#This Row],[Periodo]],1,4)</f>
        <v>2024</v>
      </c>
      <c r="D2838" s="1" t="str">
        <f>MID(analisis_productividad__4[[#This Row],[Periodo]],5,2)</f>
        <v>03</v>
      </c>
      <c r="E2838" s="1" t="s">
        <v>104</v>
      </c>
      <c r="F2838" s="1" t="s">
        <v>104</v>
      </c>
      <c r="G2838" s="1">
        <v>58165</v>
      </c>
      <c r="H2838" s="1">
        <v>3667681</v>
      </c>
      <c r="I2838" s="1">
        <v>63.056545698924744</v>
      </c>
      <c r="J2838" s="1">
        <v>0</v>
      </c>
      <c r="K2838" s="1">
        <v>66</v>
      </c>
      <c r="L2838" s="1">
        <v>65.5</v>
      </c>
      <c r="M2838" s="1"/>
      <c r="N2838" s="1">
        <v>0</v>
      </c>
    </row>
    <row r="2839" spans="1:14" x14ac:dyDescent="0.35">
      <c r="A2839" s="1" t="s">
        <v>113</v>
      </c>
      <c r="B2839" s="1">
        <v>202602</v>
      </c>
      <c r="C2839" s="1" t="str">
        <f>MID(analisis_productividad__4[[#This Row],[Periodo]],1,4)</f>
        <v>2026</v>
      </c>
      <c r="D2839" s="1" t="str">
        <f>MID(analisis_productividad__4[[#This Row],[Periodo]],5,2)</f>
        <v>02</v>
      </c>
      <c r="E2839" s="1" t="s">
        <v>9</v>
      </c>
      <c r="F2839" s="1" t="s">
        <v>9</v>
      </c>
      <c r="G2839" s="1">
        <v>58155</v>
      </c>
      <c r="H2839" s="1">
        <v>565192</v>
      </c>
      <c r="I2839" s="1">
        <v>9.7188020833333333</v>
      </c>
      <c r="J2839" s="1">
        <v>58912.666368867169</v>
      </c>
      <c r="K2839" s="1">
        <v>11.5</v>
      </c>
      <c r="L2839" s="1">
        <v>10</v>
      </c>
      <c r="M2839" s="1">
        <v>10.042294324207418</v>
      </c>
      <c r="N2839" s="1">
        <v>591618</v>
      </c>
    </row>
    <row r="2840" spans="1:14" x14ac:dyDescent="0.35">
      <c r="A2840" s="1" t="s">
        <v>110</v>
      </c>
      <c r="B2840" s="1">
        <v>202404</v>
      </c>
      <c r="C2840" s="1" t="str">
        <f>MID(analisis_productividad__4[[#This Row],[Periodo]],1,4)</f>
        <v>2024</v>
      </c>
      <c r="D2840" s="1" t="str">
        <f>MID(analisis_productividad__4[[#This Row],[Periodo]],5,2)</f>
        <v>04</v>
      </c>
      <c r="E2840" s="1" t="s">
        <v>34</v>
      </c>
      <c r="F2840" s="1" t="s">
        <v>35</v>
      </c>
      <c r="G2840" s="1">
        <v>58137</v>
      </c>
      <c r="H2840" s="1">
        <v>2294310</v>
      </c>
      <c r="I2840" s="1">
        <v>39.463958333333331</v>
      </c>
      <c r="J2840" s="1">
        <v>0</v>
      </c>
      <c r="K2840" s="1">
        <v>41.5</v>
      </c>
      <c r="L2840" s="1">
        <v>43</v>
      </c>
      <c r="M2840" s="1"/>
      <c r="N2840" s="1">
        <v>0</v>
      </c>
    </row>
    <row r="2841" spans="1:14" x14ac:dyDescent="0.35">
      <c r="A2841" s="1" t="s">
        <v>120</v>
      </c>
      <c r="B2841" s="1">
        <v>202602</v>
      </c>
      <c r="C2841" s="1" t="str">
        <f>MID(analisis_productividad__4[[#This Row],[Periodo]],1,4)</f>
        <v>2026</v>
      </c>
      <c r="D2841" s="1" t="str">
        <f>MID(analisis_productividad__4[[#This Row],[Periodo]],5,2)</f>
        <v>02</v>
      </c>
      <c r="E2841" s="1" t="s">
        <v>9</v>
      </c>
      <c r="F2841" s="1" t="s">
        <v>9</v>
      </c>
      <c r="G2841" s="1">
        <v>58115</v>
      </c>
      <c r="H2841" s="1">
        <v>655011</v>
      </c>
      <c r="I2841" s="1">
        <v>11.270937499999999</v>
      </c>
      <c r="J2841" s="1">
        <v>75343.304495281816</v>
      </c>
      <c r="K2841" s="1">
        <v>11.5</v>
      </c>
      <c r="L2841" s="1">
        <v>12</v>
      </c>
      <c r="M2841" s="1">
        <v>10.04229432420742</v>
      </c>
      <c r="N2841" s="1">
        <v>756620</v>
      </c>
    </row>
    <row r="2842" spans="1:14" x14ac:dyDescent="0.35">
      <c r="A2842" s="1" t="s">
        <v>121</v>
      </c>
      <c r="B2842" s="1">
        <v>202603</v>
      </c>
      <c r="C2842" s="1" t="str">
        <f>MID(analisis_productividad__4[[#This Row],[Periodo]],1,4)</f>
        <v>2026</v>
      </c>
      <c r="D2842" s="1" t="str">
        <f>MID(analisis_productividad__4[[#This Row],[Periodo]],5,2)</f>
        <v>03</v>
      </c>
      <c r="E2842" s="1" t="s">
        <v>11</v>
      </c>
      <c r="F2842" s="1" t="s">
        <v>14</v>
      </c>
      <c r="G2842" s="1">
        <v>58101</v>
      </c>
      <c r="H2842" s="1">
        <v>2126605</v>
      </c>
      <c r="I2842" s="1">
        <v>36.601673387096767</v>
      </c>
      <c r="J2842" s="1">
        <v>68357.87186025118</v>
      </c>
      <c r="K2842" s="1">
        <v>36</v>
      </c>
      <c r="L2842" s="1">
        <v>35</v>
      </c>
      <c r="M2842" s="1">
        <v>31.443465596679005</v>
      </c>
      <c r="N2842" s="1">
        <v>2149408</v>
      </c>
    </row>
    <row r="2843" spans="1:14" x14ac:dyDescent="0.35">
      <c r="A2843" s="1" t="s">
        <v>110</v>
      </c>
      <c r="B2843" s="1">
        <v>202506</v>
      </c>
      <c r="C2843" s="1" t="str">
        <f>MID(analisis_productividad__4[[#This Row],[Periodo]],1,4)</f>
        <v>2025</v>
      </c>
      <c r="D2843" s="1" t="str">
        <f>MID(analisis_productividad__4[[#This Row],[Periodo]],5,2)</f>
        <v>06</v>
      </c>
      <c r="E2843" s="1" t="s">
        <v>34</v>
      </c>
      <c r="F2843" s="1" t="s">
        <v>35</v>
      </c>
      <c r="G2843" s="1">
        <v>58100</v>
      </c>
      <c r="H2843" s="1">
        <v>2162608</v>
      </c>
      <c r="I2843" s="1">
        <v>37.222159722222237</v>
      </c>
      <c r="J2843" s="1">
        <v>63445.652920749097</v>
      </c>
      <c r="K2843" s="1">
        <v>41.5</v>
      </c>
      <c r="L2843" s="1">
        <v>43</v>
      </c>
      <c r="M2843" s="1">
        <v>34.085991245158212</v>
      </c>
      <c r="N2843" s="1">
        <v>2374343</v>
      </c>
    </row>
    <row r="2844" spans="1:14" x14ac:dyDescent="0.35">
      <c r="A2844" s="1" t="s">
        <v>111</v>
      </c>
      <c r="B2844" s="1">
        <v>202501</v>
      </c>
      <c r="C2844" s="1" t="str">
        <f>MID(analisis_productividad__4[[#This Row],[Periodo]],1,4)</f>
        <v>2025</v>
      </c>
      <c r="D2844" s="1" t="str">
        <f>MID(analisis_productividad__4[[#This Row],[Periodo]],5,2)</f>
        <v>01</v>
      </c>
      <c r="E2844" s="1" t="s">
        <v>34</v>
      </c>
      <c r="F2844" s="1" t="s">
        <v>35</v>
      </c>
      <c r="G2844" s="1">
        <v>58094</v>
      </c>
      <c r="H2844" s="1">
        <v>2225295</v>
      </c>
      <c r="I2844" s="1">
        <v>38.304818548387104</v>
      </c>
      <c r="J2844" s="1">
        <v>59781.538471576852</v>
      </c>
      <c r="K2844" s="1">
        <v>45.5</v>
      </c>
      <c r="L2844" s="1">
        <v>42.5</v>
      </c>
      <c r="M2844" s="1">
        <v>37.223783744843189</v>
      </c>
      <c r="N2844" s="1">
        <v>2397517</v>
      </c>
    </row>
    <row r="2845" spans="1:14" x14ac:dyDescent="0.35">
      <c r="A2845" s="1" t="s">
        <v>108</v>
      </c>
      <c r="B2845" s="1">
        <v>202504</v>
      </c>
      <c r="C2845" s="1" t="str">
        <f>MID(analisis_productividad__4[[#This Row],[Periodo]],1,4)</f>
        <v>2025</v>
      </c>
      <c r="D2845" s="1" t="str">
        <f>MID(analisis_productividad__4[[#This Row],[Periodo]],5,2)</f>
        <v>04</v>
      </c>
      <c r="E2845" s="1" t="s">
        <v>11</v>
      </c>
      <c r="F2845" s="1" t="s">
        <v>14</v>
      </c>
      <c r="G2845" s="1">
        <v>58050</v>
      </c>
      <c r="H2845" s="1">
        <v>2649130</v>
      </c>
      <c r="I2845" s="1">
        <v>45.635041666666659</v>
      </c>
      <c r="J2845" s="1">
        <v>57290.172052808164</v>
      </c>
      <c r="K2845" s="1">
        <v>47.5</v>
      </c>
      <c r="L2845" s="1">
        <v>43</v>
      </c>
      <c r="M2845" s="1">
        <v>46.240569282251769</v>
      </c>
      <c r="N2845" s="1">
        <v>3155897</v>
      </c>
    </row>
    <row r="2846" spans="1:14" x14ac:dyDescent="0.35">
      <c r="A2846" s="1" t="s">
        <v>117</v>
      </c>
      <c r="B2846" s="1">
        <v>202501</v>
      </c>
      <c r="C2846" s="1" t="str">
        <f>MID(analisis_productividad__4[[#This Row],[Periodo]],1,4)</f>
        <v>2025</v>
      </c>
      <c r="D2846" s="1" t="str">
        <f>MID(analisis_productividad__4[[#This Row],[Periodo]],5,2)</f>
        <v>01</v>
      </c>
      <c r="E2846" s="1" t="s">
        <v>104</v>
      </c>
      <c r="F2846" s="1" t="s">
        <v>104</v>
      </c>
      <c r="G2846" s="1">
        <v>57965</v>
      </c>
      <c r="H2846" s="1">
        <v>3307978</v>
      </c>
      <c r="I2846" s="1">
        <v>57.068393817204317</v>
      </c>
      <c r="J2846" s="1">
        <v>59840.638207872966</v>
      </c>
      <c r="K2846" s="1">
        <v>66</v>
      </c>
      <c r="L2846" s="1">
        <v>65.5</v>
      </c>
      <c r="M2846" s="1">
        <v>55.279793114986937</v>
      </c>
      <c r="N2846" s="1">
        <v>3540031</v>
      </c>
    </row>
    <row r="2847" spans="1:14" x14ac:dyDescent="0.35">
      <c r="A2847" s="1" t="s">
        <v>113</v>
      </c>
      <c r="B2847" s="1">
        <v>202601</v>
      </c>
      <c r="C2847" s="1" t="str">
        <f>MID(analisis_productividad__4[[#This Row],[Periodo]],1,4)</f>
        <v>2026</v>
      </c>
      <c r="D2847" s="1" t="str">
        <f>MID(analisis_productividad__4[[#This Row],[Periodo]],5,2)</f>
        <v>01</v>
      </c>
      <c r="E2847" s="1" t="s">
        <v>9</v>
      </c>
      <c r="F2847" s="1" t="s">
        <v>9</v>
      </c>
      <c r="G2847" s="1">
        <v>57948</v>
      </c>
      <c r="H2847" s="1">
        <v>582226</v>
      </c>
      <c r="I2847" s="1">
        <v>10.047399193548388</v>
      </c>
      <c r="J2847" s="1">
        <v>64228.781300024944</v>
      </c>
      <c r="K2847" s="1">
        <v>11.5</v>
      </c>
      <c r="L2847" s="1">
        <v>10</v>
      </c>
      <c r="M2847" s="1">
        <v>10.042294324207418</v>
      </c>
      <c r="N2847" s="1">
        <v>645004</v>
      </c>
    </row>
    <row r="2848" spans="1:14" x14ac:dyDescent="0.35">
      <c r="A2848" s="1" t="s">
        <v>124</v>
      </c>
      <c r="B2848" s="1">
        <v>202411</v>
      </c>
      <c r="C2848" s="1" t="str">
        <f>MID(analisis_productividad__4[[#This Row],[Periodo]],1,4)</f>
        <v>2024</v>
      </c>
      <c r="D2848" s="1" t="str">
        <f>MID(analisis_productividad__4[[#This Row],[Periodo]],5,2)</f>
        <v>11</v>
      </c>
      <c r="E2848" s="1" t="s">
        <v>9</v>
      </c>
      <c r="F2848" s="1" t="s">
        <v>9</v>
      </c>
      <c r="G2848" s="1">
        <v>57942</v>
      </c>
      <c r="H2848" s="1">
        <v>591405</v>
      </c>
      <c r="I2848" s="1">
        <v>10.20682638888889</v>
      </c>
      <c r="J2848" s="1">
        <v>0</v>
      </c>
      <c r="K2848" s="1">
        <v>11</v>
      </c>
      <c r="L2848" s="1">
        <v>12</v>
      </c>
      <c r="M2848" s="1"/>
      <c r="N2848" s="1">
        <v>0</v>
      </c>
    </row>
    <row r="2849" spans="1:14" x14ac:dyDescent="0.35">
      <c r="A2849" s="1" t="s">
        <v>110</v>
      </c>
      <c r="B2849" s="1">
        <v>202509</v>
      </c>
      <c r="C2849" s="1" t="str">
        <f>MID(analisis_productividad__4[[#This Row],[Periodo]],1,4)</f>
        <v>2025</v>
      </c>
      <c r="D2849" s="1" t="str">
        <f>MID(analisis_productividad__4[[#This Row],[Periodo]],5,2)</f>
        <v>09</v>
      </c>
      <c r="E2849" s="1" t="s">
        <v>34</v>
      </c>
      <c r="F2849" s="1" t="s">
        <v>35</v>
      </c>
      <c r="G2849" s="1">
        <v>57836</v>
      </c>
      <c r="H2849" s="1">
        <v>2057836</v>
      </c>
      <c r="I2849" s="1">
        <v>35.580513888888895</v>
      </c>
      <c r="J2849" s="1">
        <v>67847.081992609921</v>
      </c>
      <c r="K2849" s="1">
        <v>41.5</v>
      </c>
      <c r="L2849" s="1">
        <v>43</v>
      </c>
      <c r="M2849" s="1">
        <v>30.330507658739762</v>
      </c>
      <c r="N2849" s="1">
        <v>2402330</v>
      </c>
    </row>
    <row r="2850" spans="1:14" x14ac:dyDescent="0.35">
      <c r="A2850" s="1" t="s">
        <v>105</v>
      </c>
      <c r="B2850" s="1">
        <v>202410</v>
      </c>
      <c r="C2850" s="1" t="str">
        <f>MID(analisis_productividad__4[[#This Row],[Periodo]],1,4)</f>
        <v>2024</v>
      </c>
      <c r="D2850" s="1" t="str">
        <f>MID(analisis_productividad__4[[#This Row],[Periodo]],5,2)</f>
        <v>10</v>
      </c>
      <c r="E2850" s="1" t="s">
        <v>34</v>
      </c>
      <c r="F2850" s="1" t="s">
        <v>35</v>
      </c>
      <c r="G2850" s="1">
        <v>57821</v>
      </c>
      <c r="H2850" s="1">
        <v>2389872</v>
      </c>
      <c r="I2850" s="1">
        <v>41.3323185483871</v>
      </c>
      <c r="J2850" s="1">
        <v>0</v>
      </c>
      <c r="K2850" s="1">
        <v>33</v>
      </c>
      <c r="L2850" s="1">
        <v>31.5</v>
      </c>
      <c r="M2850" s="1"/>
      <c r="N2850" s="1">
        <v>0</v>
      </c>
    </row>
    <row r="2851" spans="1:14" x14ac:dyDescent="0.35">
      <c r="A2851" s="1" t="s">
        <v>108</v>
      </c>
      <c r="B2851" s="1">
        <v>202501</v>
      </c>
      <c r="C2851" s="1" t="str">
        <f>MID(analisis_productividad__4[[#This Row],[Periodo]],1,4)</f>
        <v>2025</v>
      </c>
      <c r="D2851" s="1" t="str">
        <f>MID(analisis_productividad__4[[#This Row],[Periodo]],5,2)</f>
        <v>01</v>
      </c>
      <c r="E2851" s="1" t="s">
        <v>11</v>
      </c>
      <c r="F2851" s="1" t="s">
        <v>14</v>
      </c>
      <c r="G2851" s="1">
        <v>57805</v>
      </c>
      <c r="H2851" s="1">
        <v>2496107</v>
      </c>
      <c r="I2851" s="1">
        <v>43.181814516129037</v>
      </c>
      <c r="J2851" s="1">
        <v>59437.46708346637</v>
      </c>
      <c r="K2851" s="1">
        <v>47.5</v>
      </c>
      <c r="L2851" s="1">
        <v>43</v>
      </c>
      <c r="M2851" s="1">
        <v>41.995519534753825</v>
      </c>
      <c r="N2851" s="1">
        <v>2731123</v>
      </c>
    </row>
    <row r="2852" spans="1:14" x14ac:dyDescent="0.35">
      <c r="A2852" s="1" t="s">
        <v>117</v>
      </c>
      <c r="B2852" s="1">
        <v>202507</v>
      </c>
      <c r="C2852" s="1" t="str">
        <f>MID(analisis_productividad__4[[#This Row],[Periodo]],1,4)</f>
        <v>2025</v>
      </c>
      <c r="D2852" s="1" t="str">
        <f>MID(analisis_productividad__4[[#This Row],[Periodo]],5,2)</f>
        <v>07</v>
      </c>
      <c r="E2852" s="1" t="s">
        <v>104</v>
      </c>
      <c r="F2852" s="1" t="s">
        <v>104</v>
      </c>
      <c r="G2852" s="1">
        <v>57783</v>
      </c>
      <c r="H2852" s="1">
        <v>3540284</v>
      </c>
      <c r="I2852" s="1">
        <v>61.268770161290341</v>
      </c>
      <c r="J2852" s="1">
        <v>60379.600810782933</v>
      </c>
      <c r="K2852" s="1">
        <v>66</v>
      </c>
      <c r="L2852" s="1">
        <v>65.5</v>
      </c>
      <c r="M2852" s="1">
        <v>58.633775852452402</v>
      </c>
      <c r="N2852" s="1">
        <v>3598882</v>
      </c>
    </row>
    <row r="2853" spans="1:14" x14ac:dyDescent="0.35">
      <c r="A2853" s="1" t="s">
        <v>111</v>
      </c>
      <c r="B2853" s="1">
        <v>202507</v>
      </c>
      <c r="C2853" s="1" t="str">
        <f>MID(analisis_productividad__4[[#This Row],[Periodo]],1,4)</f>
        <v>2025</v>
      </c>
      <c r="D2853" s="1" t="str">
        <f>MID(analisis_productividad__4[[#This Row],[Periodo]],5,2)</f>
        <v>07</v>
      </c>
      <c r="E2853" s="1" t="s">
        <v>34</v>
      </c>
      <c r="F2853" s="1" t="s">
        <v>35</v>
      </c>
      <c r="G2853" s="1">
        <v>57772</v>
      </c>
      <c r="H2853" s="1">
        <v>2359337</v>
      </c>
      <c r="I2853" s="1">
        <v>40.838743279569897</v>
      </c>
      <c r="J2853" s="1">
        <v>62461.597368737355</v>
      </c>
      <c r="K2853" s="1">
        <v>45.5</v>
      </c>
      <c r="L2853" s="1">
        <v>42.5</v>
      </c>
      <c r="M2853" s="1">
        <v>37.772602837417537</v>
      </c>
      <c r="N2853" s="1">
        <v>2529845</v>
      </c>
    </row>
    <row r="2854" spans="1:14" x14ac:dyDescent="0.35">
      <c r="A2854" s="1" t="s">
        <v>113</v>
      </c>
      <c r="B2854" s="1">
        <v>202408</v>
      </c>
      <c r="C2854" s="1" t="str">
        <f>MID(analisis_productividad__4[[#This Row],[Periodo]],1,4)</f>
        <v>2024</v>
      </c>
      <c r="D2854" s="1" t="str">
        <f>MID(analisis_productividad__4[[#This Row],[Periodo]],5,2)</f>
        <v>08</v>
      </c>
      <c r="E2854" s="1" t="s">
        <v>9</v>
      </c>
      <c r="F2854" s="1" t="s">
        <v>9</v>
      </c>
      <c r="G2854" s="1">
        <v>57758</v>
      </c>
      <c r="H2854" s="1">
        <v>633258</v>
      </c>
      <c r="I2854" s="1">
        <v>10.963891129032261</v>
      </c>
      <c r="J2854" s="1">
        <v>0</v>
      </c>
      <c r="K2854" s="1">
        <v>11.5</v>
      </c>
      <c r="L2854" s="1">
        <v>10</v>
      </c>
      <c r="M2854" s="1"/>
      <c r="N2854" s="1">
        <v>0</v>
      </c>
    </row>
    <row r="2855" spans="1:14" x14ac:dyDescent="0.35">
      <c r="A2855" s="1" t="s">
        <v>101</v>
      </c>
      <c r="B2855" s="1">
        <v>202511</v>
      </c>
      <c r="C2855" s="1" t="str">
        <f>MID(analisis_productividad__4[[#This Row],[Periodo]],1,4)</f>
        <v>2025</v>
      </c>
      <c r="D2855" s="1" t="str">
        <f>MID(analisis_productividad__4[[#This Row],[Periodo]],5,2)</f>
        <v>11</v>
      </c>
      <c r="E2855" s="1" t="s">
        <v>9</v>
      </c>
      <c r="F2855" s="1" t="s">
        <v>9</v>
      </c>
      <c r="G2855" s="1">
        <v>57730</v>
      </c>
      <c r="H2855" s="1">
        <v>317345</v>
      </c>
      <c r="I2855" s="1">
        <v>5.4970902777777795</v>
      </c>
      <c r="J2855" s="1">
        <v>55898.895761410873</v>
      </c>
      <c r="K2855" s="1">
        <v>8.5</v>
      </c>
      <c r="L2855" s="1">
        <v>6.5</v>
      </c>
      <c r="M2855" s="1">
        <v>5.6771239516877046</v>
      </c>
      <c r="N2855" s="1">
        <v>342071</v>
      </c>
    </row>
    <row r="2856" spans="1:14" x14ac:dyDescent="0.35">
      <c r="A2856" s="1" t="s">
        <v>112</v>
      </c>
      <c r="B2856" s="1">
        <v>202506</v>
      </c>
      <c r="C2856" s="1" t="str">
        <f>MID(analisis_productividad__4[[#This Row],[Periodo]],1,4)</f>
        <v>2025</v>
      </c>
      <c r="D2856" s="1" t="str">
        <f>MID(analisis_productividad__4[[#This Row],[Periodo]],5,2)</f>
        <v>06</v>
      </c>
      <c r="E2856" s="1" t="s">
        <v>34</v>
      </c>
      <c r="F2856" s="1" t="s">
        <v>35</v>
      </c>
      <c r="G2856" s="1">
        <v>57724</v>
      </c>
      <c r="H2856" s="1">
        <v>1568156</v>
      </c>
      <c r="I2856" s="1">
        <v>27.166562500000015</v>
      </c>
      <c r="J2856" s="1">
        <v>68886.849868990525</v>
      </c>
      <c r="K2856" s="1">
        <v>31</v>
      </c>
      <c r="L2856" s="1">
        <v>27</v>
      </c>
      <c r="M2856" s="1">
        <v>22.764225581258678</v>
      </c>
      <c r="N2856" s="1">
        <v>1473350</v>
      </c>
    </row>
    <row r="2857" spans="1:14" x14ac:dyDescent="0.35">
      <c r="A2857" s="1" t="s">
        <v>111</v>
      </c>
      <c r="B2857" s="1">
        <v>202505</v>
      </c>
      <c r="C2857" s="1" t="str">
        <f>MID(analisis_productividad__4[[#This Row],[Periodo]],1,4)</f>
        <v>2025</v>
      </c>
      <c r="D2857" s="1" t="str">
        <f>MID(analisis_productividad__4[[#This Row],[Periodo]],5,2)</f>
        <v>05</v>
      </c>
      <c r="E2857" s="1" t="s">
        <v>34</v>
      </c>
      <c r="F2857" s="1" t="s">
        <v>35</v>
      </c>
      <c r="G2857" s="1">
        <v>57701</v>
      </c>
      <c r="H2857" s="1">
        <v>2363562</v>
      </c>
      <c r="I2857" s="1">
        <v>40.962137096774178</v>
      </c>
      <c r="J2857" s="1">
        <v>51308.0762759996</v>
      </c>
      <c r="K2857" s="1">
        <v>45.5</v>
      </c>
      <c r="L2857" s="1">
        <v>42.5</v>
      </c>
      <c r="M2857" s="1">
        <v>46.066089425878644</v>
      </c>
      <c r="N2857" s="1">
        <v>2133699</v>
      </c>
    </row>
    <row r="2858" spans="1:14" x14ac:dyDescent="0.35">
      <c r="A2858" s="1" t="s">
        <v>105</v>
      </c>
      <c r="B2858" s="1">
        <v>202407</v>
      </c>
      <c r="C2858" s="1" t="str">
        <f>MID(analisis_productividad__4[[#This Row],[Periodo]],1,4)</f>
        <v>2024</v>
      </c>
      <c r="D2858" s="1" t="str">
        <f>MID(analisis_productividad__4[[#This Row],[Periodo]],5,2)</f>
        <v>07</v>
      </c>
      <c r="E2858" s="1" t="s">
        <v>34</v>
      </c>
      <c r="F2858" s="1" t="s">
        <v>35</v>
      </c>
      <c r="G2858" s="1">
        <v>57699</v>
      </c>
      <c r="H2858" s="1">
        <v>2389532</v>
      </c>
      <c r="I2858" s="1">
        <v>41.413514784946237</v>
      </c>
      <c r="J2858" s="1">
        <v>0</v>
      </c>
      <c r="K2858" s="1">
        <v>33</v>
      </c>
      <c r="L2858" s="1">
        <v>31.5</v>
      </c>
      <c r="M2858" s="1"/>
      <c r="N2858" s="1">
        <v>0</v>
      </c>
    </row>
    <row r="2859" spans="1:14" x14ac:dyDescent="0.35">
      <c r="A2859" s="1" t="s">
        <v>110</v>
      </c>
      <c r="B2859" s="1">
        <v>202601</v>
      </c>
      <c r="C2859" s="1" t="str">
        <f>MID(analisis_productividad__4[[#This Row],[Periodo]],1,4)</f>
        <v>2026</v>
      </c>
      <c r="D2859" s="1" t="str">
        <f>MID(analisis_productividad__4[[#This Row],[Periodo]],5,2)</f>
        <v>01</v>
      </c>
      <c r="E2859" s="1" t="s">
        <v>34</v>
      </c>
      <c r="F2859" s="1" t="s">
        <v>35</v>
      </c>
      <c r="G2859" s="1">
        <v>57667</v>
      </c>
      <c r="H2859" s="1">
        <v>2001640</v>
      </c>
      <c r="I2859" s="1">
        <v>34.710450268817205</v>
      </c>
      <c r="J2859" s="1">
        <v>70583.081006143722</v>
      </c>
      <c r="K2859" s="1">
        <v>41.5</v>
      </c>
      <c r="L2859" s="1">
        <v>43</v>
      </c>
      <c r="M2859" s="1">
        <v>33.730466012000377</v>
      </c>
      <c r="N2859" s="1">
        <v>2380800</v>
      </c>
    </row>
    <row r="2860" spans="1:14" x14ac:dyDescent="0.35">
      <c r="A2860" s="1" t="s">
        <v>121</v>
      </c>
      <c r="B2860" s="1">
        <v>202501</v>
      </c>
      <c r="C2860" s="1" t="str">
        <f>MID(analisis_productividad__4[[#This Row],[Periodo]],1,4)</f>
        <v>2025</v>
      </c>
      <c r="D2860" s="1" t="str">
        <f>MID(analisis_productividad__4[[#This Row],[Periodo]],5,2)</f>
        <v>01</v>
      </c>
      <c r="E2860" s="1" t="s">
        <v>11</v>
      </c>
      <c r="F2860" s="1" t="s">
        <v>14</v>
      </c>
      <c r="G2860" s="1">
        <v>57665</v>
      </c>
      <c r="H2860" s="1">
        <v>1825356</v>
      </c>
      <c r="I2860" s="1">
        <v>31.654301075268826</v>
      </c>
      <c r="J2860" s="1">
        <v>62357.203358773586</v>
      </c>
      <c r="K2860" s="1">
        <v>36</v>
      </c>
      <c r="L2860" s="1">
        <v>35</v>
      </c>
      <c r="M2860" s="1">
        <v>29.272569032606786</v>
      </c>
      <c r="N2860" s="1">
        <v>1953570</v>
      </c>
    </row>
    <row r="2861" spans="1:14" x14ac:dyDescent="0.35">
      <c r="A2861" s="1" t="s">
        <v>126</v>
      </c>
      <c r="B2861" s="1">
        <v>202502</v>
      </c>
      <c r="C2861" s="1" t="str">
        <f>MID(analisis_productividad__4[[#This Row],[Periodo]],1,4)</f>
        <v>2025</v>
      </c>
      <c r="D2861" s="1" t="str">
        <f>MID(analisis_productividad__4[[#This Row],[Periodo]],5,2)</f>
        <v>02</v>
      </c>
      <c r="E2861" s="1" t="s">
        <v>104</v>
      </c>
      <c r="F2861" s="1" t="s">
        <v>104</v>
      </c>
      <c r="G2861" s="1">
        <v>57658</v>
      </c>
      <c r="H2861" s="1">
        <v>3045628</v>
      </c>
      <c r="I2861" s="1">
        <v>52.822239583333342</v>
      </c>
      <c r="J2861" s="1">
        <v>51222.101577207774</v>
      </c>
      <c r="K2861" s="1">
        <v>64.5</v>
      </c>
      <c r="L2861" s="1">
        <v>61</v>
      </c>
      <c r="M2861" s="1">
        <v>59.459259503620387</v>
      </c>
      <c r="N2861" s="1">
        <v>2907850</v>
      </c>
    </row>
    <row r="2862" spans="1:14" x14ac:dyDescent="0.35">
      <c r="A2862" s="1" t="s">
        <v>124</v>
      </c>
      <c r="B2862" s="1">
        <v>202606</v>
      </c>
      <c r="C2862" s="1" t="str">
        <f>MID(analisis_productividad__4[[#This Row],[Periodo]],1,4)</f>
        <v>2026</v>
      </c>
      <c r="D2862" s="1" t="str">
        <f>MID(analisis_productividad__4[[#This Row],[Periodo]],5,2)</f>
        <v>06</v>
      </c>
      <c r="E2862" s="1" t="s">
        <v>9</v>
      </c>
      <c r="F2862" s="1" t="s">
        <v>9</v>
      </c>
      <c r="G2862" s="1">
        <v>57650</v>
      </c>
      <c r="H2862" s="1">
        <v>661304</v>
      </c>
      <c r="I2862" s="1">
        <v>11.471006944444442</v>
      </c>
      <c r="J2862" s="1">
        <v>61182.246666545434</v>
      </c>
      <c r="K2862" s="1">
        <v>11</v>
      </c>
      <c r="L2862" s="1">
        <v>12</v>
      </c>
      <c r="M2862" s="1">
        <v>10.653753026634384</v>
      </c>
      <c r="N2862" s="1">
        <v>651821</v>
      </c>
    </row>
    <row r="2863" spans="1:14" x14ac:dyDescent="0.35">
      <c r="A2863" s="1" t="s">
        <v>114</v>
      </c>
      <c r="B2863" s="1">
        <v>202410</v>
      </c>
      <c r="C2863" s="1" t="str">
        <f>MID(analisis_productividad__4[[#This Row],[Periodo]],1,4)</f>
        <v>2024</v>
      </c>
      <c r="D2863" s="1" t="str">
        <f>MID(analisis_productividad__4[[#This Row],[Periodo]],5,2)</f>
        <v>10</v>
      </c>
      <c r="E2863" s="1" t="s">
        <v>9</v>
      </c>
      <c r="F2863" s="1" t="s">
        <v>9</v>
      </c>
      <c r="G2863" s="1">
        <v>57637</v>
      </c>
      <c r="H2863" s="1">
        <v>786738</v>
      </c>
      <c r="I2863" s="1">
        <v>13.649905913978499</v>
      </c>
      <c r="J2863" s="1">
        <v>0</v>
      </c>
      <c r="K2863" s="1">
        <v>13.5</v>
      </c>
      <c r="L2863" s="1">
        <v>14.5</v>
      </c>
      <c r="M2863" s="1"/>
      <c r="N2863" s="1">
        <v>0</v>
      </c>
    </row>
    <row r="2864" spans="1:14" x14ac:dyDescent="0.35">
      <c r="A2864" s="1" t="s">
        <v>121</v>
      </c>
      <c r="B2864" s="1">
        <v>202601</v>
      </c>
      <c r="C2864" s="1" t="str">
        <f>MID(analisis_productividad__4[[#This Row],[Periodo]],1,4)</f>
        <v>2026</v>
      </c>
      <c r="D2864" s="1" t="str">
        <f>MID(analisis_productividad__4[[#This Row],[Periodo]],5,2)</f>
        <v>01</v>
      </c>
      <c r="E2864" s="1" t="s">
        <v>11</v>
      </c>
      <c r="F2864" s="1" t="s">
        <v>14</v>
      </c>
      <c r="G2864" s="1">
        <v>57623</v>
      </c>
      <c r="H2864" s="1">
        <v>1886916</v>
      </c>
      <c r="I2864" s="1">
        <v>32.745651881720427</v>
      </c>
      <c r="J2864" s="1">
        <v>58637.478888291967</v>
      </c>
      <c r="K2864" s="1">
        <v>36</v>
      </c>
      <c r="L2864" s="1">
        <v>35</v>
      </c>
      <c r="M2864" s="1">
        <v>31.443465596679005</v>
      </c>
      <c r="N2864" s="1">
        <v>1843766</v>
      </c>
    </row>
    <row r="2865" spans="1:14" x14ac:dyDescent="0.35">
      <c r="A2865" s="1" t="s">
        <v>113</v>
      </c>
      <c r="B2865" s="1">
        <v>202509</v>
      </c>
      <c r="C2865" s="1" t="str">
        <f>MID(analisis_productividad__4[[#This Row],[Periodo]],1,4)</f>
        <v>2025</v>
      </c>
      <c r="D2865" s="1" t="str">
        <f>MID(analisis_productividad__4[[#This Row],[Periodo]],5,2)</f>
        <v>09</v>
      </c>
      <c r="E2865" s="1" t="s">
        <v>9</v>
      </c>
      <c r="F2865" s="1" t="s">
        <v>9</v>
      </c>
      <c r="G2865" s="1">
        <v>57612</v>
      </c>
      <c r="H2865" s="1">
        <v>558835</v>
      </c>
      <c r="I2865" s="1">
        <v>9.7000555555555543</v>
      </c>
      <c r="J2865" s="1">
        <v>60302.037870425396</v>
      </c>
      <c r="K2865" s="1">
        <v>11.5</v>
      </c>
      <c r="L2865" s="1">
        <v>10</v>
      </c>
      <c r="M2865" s="1">
        <v>9.2672667414789931</v>
      </c>
      <c r="N2865" s="1">
        <v>646275</v>
      </c>
    </row>
    <row r="2866" spans="1:14" x14ac:dyDescent="0.35">
      <c r="A2866" s="1" t="s">
        <v>8</v>
      </c>
      <c r="B2866" s="1">
        <v>202411</v>
      </c>
      <c r="C2866" s="1" t="str">
        <f>MID(analisis_productividad__4[[#This Row],[Periodo]],1,4)</f>
        <v>2024</v>
      </c>
      <c r="D2866" s="1" t="str">
        <f>MID(analisis_productividad__4[[#This Row],[Periodo]],5,2)</f>
        <v>11</v>
      </c>
      <c r="E2866" s="1" t="s">
        <v>9</v>
      </c>
      <c r="F2866" s="1" t="s">
        <v>9</v>
      </c>
      <c r="G2866" s="1">
        <v>57585</v>
      </c>
      <c r="H2866" s="1">
        <v>768126</v>
      </c>
      <c r="I2866" s="1">
        <v>13.33898611111111</v>
      </c>
      <c r="J2866" s="1">
        <v>0</v>
      </c>
      <c r="K2866" s="1">
        <v>13.5</v>
      </c>
      <c r="L2866" s="1">
        <v>12.5</v>
      </c>
      <c r="M2866" s="1"/>
      <c r="N2866" s="1">
        <v>0</v>
      </c>
    </row>
    <row r="2867" spans="1:14" x14ac:dyDescent="0.35">
      <c r="A2867" s="1" t="s">
        <v>116</v>
      </c>
      <c r="B2867" s="1">
        <v>202404</v>
      </c>
      <c r="C2867" s="1" t="str">
        <f>MID(analisis_productividad__4[[#This Row],[Periodo]],1,4)</f>
        <v>2024</v>
      </c>
      <c r="D2867" s="1" t="str">
        <f>MID(analisis_productividad__4[[#This Row],[Periodo]],5,2)</f>
        <v>04</v>
      </c>
      <c r="E2867" s="1" t="s">
        <v>9</v>
      </c>
      <c r="F2867" s="1" t="s">
        <v>9</v>
      </c>
      <c r="G2867" s="1">
        <v>57584</v>
      </c>
      <c r="H2867" s="1">
        <v>627401</v>
      </c>
      <c r="I2867" s="1">
        <v>10.895354166666673</v>
      </c>
      <c r="J2867" s="1">
        <v>0</v>
      </c>
      <c r="K2867" s="1">
        <v>11.5</v>
      </c>
      <c r="L2867" s="1">
        <v>10</v>
      </c>
      <c r="M2867" s="1"/>
      <c r="N2867" s="1">
        <v>0</v>
      </c>
    </row>
    <row r="2868" spans="1:14" x14ac:dyDescent="0.35">
      <c r="A2868" s="1" t="s">
        <v>127</v>
      </c>
      <c r="B2868" s="1">
        <v>202502</v>
      </c>
      <c r="C2868" s="1" t="str">
        <f>MID(analisis_productividad__4[[#This Row],[Periodo]],1,4)</f>
        <v>2025</v>
      </c>
      <c r="D2868" s="1" t="str">
        <f>MID(analisis_productividad__4[[#This Row],[Periodo]],5,2)</f>
        <v>02</v>
      </c>
      <c r="E2868" s="1" t="s">
        <v>104</v>
      </c>
      <c r="F2868" s="1" t="s">
        <v>104</v>
      </c>
      <c r="G2868" s="1">
        <v>57575</v>
      </c>
      <c r="H2868" s="1">
        <v>3074727</v>
      </c>
      <c r="I2868" s="1">
        <v>53.403906249999999</v>
      </c>
      <c r="J2868" s="1">
        <v>56950.110791693412</v>
      </c>
      <c r="K2868" s="1">
        <v>61.5</v>
      </c>
      <c r="L2868" s="1">
        <v>56</v>
      </c>
      <c r="M2868" s="1">
        <v>53.989835441171287</v>
      </c>
      <c r="N2868" s="1">
        <v>2973673</v>
      </c>
    </row>
    <row r="2869" spans="1:14" x14ac:dyDescent="0.35">
      <c r="A2869" s="1" t="s">
        <v>127</v>
      </c>
      <c r="B2869" s="1">
        <v>202408</v>
      </c>
      <c r="C2869" s="1" t="str">
        <f>MID(analisis_productividad__4[[#This Row],[Periodo]],1,4)</f>
        <v>2024</v>
      </c>
      <c r="D2869" s="1" t="str">
        <f>MID(analisis_productividad__4[[#This Row],[Periodo]],5,2)</f>
        <v>08</v>
      </c>
      <c r="E2869" s="1" t="s">
        <v>104</v>
      </c>
      <c r="F2869" s="1" t="s">
        <v>104</v>
      </c>
      <c r="G2869" s="1">
        <v>57548</v>
      </c>
      <c r="H2869" s="1">
        <v>3256744</v>
      </c>
      <c r="I2869" s="1">
        <v>56.591989247311844</v>
      </c>
      <c r="J2869" s="1">
        <v>0</v>
      </c>
      <c r="K2869" s="1">
        <v>61.5</v>
      </c>
      <c r="L2869" s="1">
        <v>56</v>
      </c>
      <c r="M2869" s="1"/>
      <c r="N2869" s="1">
        <v>0</v>
      </c>
    </row>
    <row r="2870" spans="1:14" x14ac:dyDescent="0.35">
      <c r="A2870" s="1" t="s">
        <v>116</v>
      </c>
      <c r="B2870" s="1">
        <v>202409</v>
      </c>
      <c r="C2870" s="1" t="str">
        <f>MID(analisis_productividad__4[[#This Row],[Periodo]],1,4)</f>
        <v>2024</v>
      </c>
      <c r="D2870" s="1" t="str">
        <f>MID(analisis_productividad__4[[#This Row],[Periodo]],5,2)</f>
        <v>09</v>
      </c>
      <c r="E2870" s="1" t="s">
        <v>9</v>
      </c>
      <c r="F2870" s="1" t="s">
        <v>9</v>
      </c>
      <c r="G2870" s="1">
        <v>57516</v>
      </c>
      <c r="H2870" s="1">
        <v>595987</v>
      </c>
      <c r="I2870" s="1">
        <v>10.362041666666668</v>
      </c>
      <c r="J2870" s="1">
        <v>0</v>
      </c>
      <c r="K2870" s="1">
        <v>11.5</v>
      </c>
      <c r="L2870" s="1">
        <v>10</v>
      </c>
      <c r="M2870" s="1"/>
      <c r="N2870" s="1">
        <v>0</v>
      </c>
    </row>
    <row r="2871" spans="1:14" x14ac:dyDescent="0.35">
      <c r="A2871" s="1" t="s">
        <v>117</v>
      </c>
      <c r="B2871" s="1">
        <v>202407</v>
      </c>
      <c r="C2871" s="1" t="str">
        <f>MID(analisis_productividad__4[[#This Row],[Periodo]],1,4)</f>
        <v>2024</v>
      </c>
      <c r="D2871" s="1" t="str">
        <f>MID(analisis_productividad__4[[#This Row],[Periodo]],5,2)</f>
        <v>07</v>
      </c>
      <c r="E2871" s="1" t="s">
        <v>104</v>
      </c>
      <c r="F2871" s="1" t="s">
        <v>104</v>
      </c>
      <c r="G2871" s="1">
        <v>57504</v>
      </c>
      <c r="H2871" s="1">
        <v>3383213</v>
      </c>
      <c r="I2871" s="1">
        <v>58.834012096774202</v>
      </c>
      <c r="J2871" s="1">
        <v>0</v>
      </c>
      <c r="K2871" s="1">
        <v>66</v>
      </c>
      <c r="L2871" s="1">
        <v>65.5</v>
      </c>
      <c r="M2871" s="1"/>
      <c r="N2871" s="1">
        <v>0</v>
      </c>
    </row>
    <row r="2872" spans="1:14" x14ac:dyDescent="0.35">
      <c r="A2872" s="1" t="s">
        <v>112</v>
      </c>
      <c r="B2872" s="1">
        <v>202504</v>
      </c>
      <c r="C2872" s="1" t="str">
        <f>MID(analisis_productividad__4[[#This Row],[Periodo]],1,4)</f>
        <v>2025</v>
      </c>
      <c r="D2872" s="1" t="str">
        <f>MID(analisis_productividad__4[[#This Row],[Periodo]],5,2)</f>
        <v>04</v>
      </c>
      <c r="E2872" s="1" t="s">
        <v>34</v>
      </c>
      <c r="F2872" s="1" t="s">
        <v>35</v>
      </c>
      <c r="G2872" s="1">
        <v>57456</v>
      </c>
      <c r="H2872" s="1">
        <v>1540390</v>
      </c>
      <c r="I2872" s="1">
        <v>26.809854166666668</v>
      </c>
      <c r="J2872" s="1">
        <v>64179.430689373774</v>
      </c>
      <c r="K2872" s="1">
        <v>31</v>
      </c>
      <c r="L2872" s="1">
        <v>27</v>
      </c>
      <c r="M2872" s="1">
        <v>24.001305612314241</v>
      </c>
      <c r="N2872" s="1">
        <v>1479918</v>
      </c>
    </row>
    <row r="2873" spans="1:14" x14ac:dyDescent="0.35">
      <c r="A2873" s="1" t="s">
        <v>108</v>
      </c>
      <c r="B2873" s="1">
        <v>202509</v>
      </c>
      <c r="C2873" s="1" t="str">
        <f>MID(analisis_productividad__4[[#This Row],[Periodo]],1,4)</f>
        <v>2025</v>
      </c>
      <c r="D2873" s="1" t="str">
        <f>MID(analisis_productividad__4[[#This Row],[Periodo]],5,2)</f>
        <v>09</v>
      </c>
      <c r="E2873" s="1" t="s">
        <v>11</v>
      </c>
      <c r="F2873" s="1" t="s">
        <v>14</v>
      </c>
      <c r="G2873" s="1">
        <v>57431</v>
      </c>
      <c r="H2873" s="1">
        <v>2098240</v>
      </c>
      <c r="I2873" s="1">
        <v>36.534652777777779</v>
      </c>
      <c r="J2873" s="1">
        <v>61458.45580064907</v>
      </c>
      <c r="K2873" s="1">
        <v>47.5</v>
      </c>
      <c r="L2873" s="1">
        <v>43</v>
      </c>
      <c r="M2873" s="1">
        <v>34.140783276527429</v>
      </c>
      <c r="N2873" s="1">
        <v>2940499</v>
      </c>
    </row>
    <row r="2874" spans="1:14" x14ac:dyDescent="0.35">
      <c r="A2874" s="1" t="s">
        <v>113</v>
      </c>
      <c r="B2874" s="1">
        <v>202409</v>
      </c>
      <c r="C2874" s="1" t="str">
        <f>MID(analisis_productividad__4[[#This Row],[Periodo]],1,4)</f>
        <v>2024</v>
      </c>
      <c r="D2874" s="1" t="str">
        <f>MID(analisis_productividad__4[[#This Row],[Periodo]],5,2)</f>
        <v>09</v>
      </c>
      <c r="E2874" s="1" t="s">
        <v>9</v>
      </c>
      <c r="F2874" s="1" t="s">
        <v>9</v>
      </c>
      <c r="G2874" s="1">
        <v>57431</v>
      </c>
      <c r="H2874" s="1">
        <v>591814</v>
      </c>
      <c r="I2874" s="1">
        <v>10.304875000000003</v>
      </c>
      <c r="J2874" s="1">
        <v>0</v>
      </c>
      <c r="K2874" s="1">
        <v>11.5</v>
      </c>
      <c r="L2874" s="1">
        <v>10</v>
      </c>
      <c r="M2874" s="1"/>
      <c r="N2874" s="1">
        <v>0</v>
      </c>
    </row>
    <row r="2875" spans="1:14" x14ac:dyDescent="0.35">
      <c r="A2875" s="1" t="s">
        <v>105</v>
      </c>
      <c r="B2875" s="1">
        <v>202401</v>
      </c>
      <c r="C2875" s="1" t="str">
        <f>MID(analisis_productividad__4[[#This Row],[Periodo]],1,4)</f>
        <v>2024</v>
      </c>
      <c r="D2875" s="1" t="str">
        <f>MID(analisis_productividad__4[[#This Row],[Periodo]],5,2)</f>
        <v>01</v>
      </c>
      <c r="E2875" s="1" t="s">
        <v>34</v>
      </c>
      <c r="F2875" s="1" t="s">
        <v>35</v>
      </c>
      <c r="G2875" s="1">
        <v>57397</v>
      </c>
      <c r="H2875" s="1">
        <v>2468942</v>
      </c>
      <c r="I2875" s="1">
        <v>43.014811827956983</v>
      </c>
      <c r="J2875" s="1">
        <v>0</v>
      </c>
      <c r="K2875" s="1">
        <v>33</v>
      </c>
      <c r="L2875" s="1">
        <v>31.5</v>
      </c>
      <c r="M2875" s="1"/>
      <c r="N2875" s="1">
        <v>0</v>
      </c>
    </row>
    <row r="2876" spans="1:14" x14ac:dyDescent="0.35">
      <c r="A2876" s="1" t="s">
        <v>126</v>
      </c>
      <c r="B2876" s="1">
        <v>202512</v>
      </c>
      <c r="C2876" s="1" t="str">
        <f>MID(analisis_productividad__4[[#This Row],[Periodo]],1,4)</f>
        <v>2025</v>
      </c>
      <c r="D2876" s="1" t="str">
        <f>MID(analisis_productividad__4[[#This Row],[Periodo]],5,2)</f>
        <v>12</v>
      </c>
      <c r="E2876" s="1" t="s">
        <v>104</v>
      </c>
      <c r="F2876" s="1" t="s">
        <v>104</v>
      </c>
      <c r="G2876" s="1">
        <v>57372</v>
      </c>
      <c r="H2876" s="1">
        <v>3697500</v>
      </c>
      <c r="I2876" s="1">
        <v>64.448172043010715</v>
      </c>
      <c r="J2876" s="1">
        <v>63394.784593261858</v>
      </c>
      <c r="K2876" s="1">
        <v>64.5</v>
      </c>
      <c r="L2876" s="1">
        <v>61</v>
      </c>
      <c r="M2876" s="1">
        <v>58.324990828867044</v>
      </c>
      <c r="N2876" s="1">
        <v>3620998</v>
      </c>
    </row>
    <row r="2877" spans="1:14" x14ac:dyDescent="0.35">
      <c r="A2877" s="1" t="s">
        <v>117</v>
      </c>
      <c r="B2877" s="1">
        <v>202406</v>
      </c>
      <c r="C2877" s="1" t="str">
        <f>MID(analisis_productividad__4[[#This Row],[Periodo]],1,4)</f>
        <v>2024</v>
      </c>
      <c r="D2877" s="1" t="str">
        <f>MID(analisis_productividad__4[[#This Row],[Periodo]],5,2)</f>
        <v>06</v>
      </c>
      <c r="E2877" s="1" t="s">
        <v>104</v>
      </c>
      <c r="F2877" s="1" t="s">
        <v>104</v>
      </c>
      <c r="G2877" s="1">
        <v>57347</v>
      </c>
      <c r="H2877" s="1">
        <v>3479178</v>
      </c>
      <c r="I2877" s="1">
        <v>60.668368055555575</v>
      </c>
      <c r="J2877" s="1">
        <v>0</v>
      </c>
      <c r="K2877" s="1">
        <v>66</v>
      </c>
      <c r="L2877" s="1">
        <v>65.5</v>
      </c>
      <c r="M2877" s="1"/>
      <c r="N2877" s="1">
        <v>0</v>
      </c>
    </row>
    <row r="2878" spans="1:14" x14ac:dyDescent="0.35">
      <c r="A2878" s="1" t="s">
        <v>107</v>
      </c>
      <c r="B2878" s="1">
        <v>202407</v>
      </c>
      <c r="C2878" s="1" t="str">
        <f>MID(analisis_productividad__4[[#This Row],[Periodo]],1,4)</f>
        <v>2024</v>
      </c>
      <c r="D2878" s="1" t="str">
        <f>MID(analisis_productividad__4[[#This Row],[Periodo]],5,2)</f>
        <v>07</v>
      </c>
      <c r="E2878" s="1" t="s">
        <v>34</v>
      </c>
      <c r="F2878" s="1" t="s">
        <v>35</v>
      </c>
      <c r="G2878" s="1">
        <v>57345</v>
      </c>
      <c r="H2878" s="1">
        <v>4910168</v>
      </c>
      <c r="I2878" s="1">
        <v>85.62533602150539</v>
      </c>
      <c r="J2878" s="1">
        <v>0</v>
      </c>
      <c r="K2878" s="1">
        <v>87</v>
      </c>
      <c r="L2878" s="1">
        <v>77.5</v>
      </c>
      <c r="M2878" s="1"/>
      <c r="N2878" s="1">
        <v>0</v>
      </c>
    </row>
    <row r="2879" spans="1:14" x14ac:dyDescent="0.35">
      <c r="A2879" s="1" t="s">
        <v>118</v>
      </c>
      <c r="B2879" s="1">
        <v>202507</v>
      </c>
      <c r="C2879" s="1" t="str">
        <f>MID(analisis_productividad__4[[#This Row],[Periodo]],1,4)</f>
        <v>2025</v>
      </c>
      <c r="D2879" s="1" t="str">
        <f>MID(analisis_productividad__4[[#This Row],[Periodo]],5,2)</f>
        <v>07</v>
      </c>
      <c r="E2879" s="1" t="s">
        <v>34</v>
      </c>
      <c r="F2879" s="1" t="s">
        <v>35</v>
      </c>
      <c r="G2879" s="1">
        <v>57323</v>
      </c>
      <c r="H2879" s="1">
        <v>1123763</v>
      </c>
      <c r="I2879" s="1">
        <v>19.604045698924729</v>
      </c>
      <c r="J2879" s="1">
        <v>61233.361275843563</v>
      </c>
      <c r="K2879" s="1">
        <v>19</v>
      </c>
      <c r="L2879" s="1">
        <v>21.5</v>
      </c>
      <c r="M2879" s="1">
        <v>18.352132507272994</v>
      </c>
      <c r="N2879" s="1">
        <v>1307076</v>
      </c>
    </row>
    <row r="2880" spans="1:14" x14ac:dyDescent="0.35">
      <c r="A2880" s="1" t="s">
        <v>125</v>
      </c>
      <c r="B2880" s="1">
        <v>202605</v>
      </c>
      <c r="C2880" s="1" t="str">
        <f>MID(analisis_productividad__4[[#This Row],[Periodo]],1,4)</f>
        <v>2026</v>
      </c>
      <c r="D2880" s="1" t="str">
        <f>MID(analisis_productividad__4[[#This Row],[Periodo]],5,2)</f>
        <v>05</v>
      </c>
      <c r="E2880" s="1" t="s">
        <v>104</v>
      </c>
      <c r="F2880" s="1" t="s">
        <v>104</v>
      </c>
      <c r="G2880" s="1">
        <v>57323</v>
      </c>
      <c r="H2880" s="1">
        <v>2782428</v>
      </c>
      <c r="I2880" s="1">
        <v>48.539684139785329</v>
      </c>
      <c r="J2880" s="1">
        <v>57934.110457474933</v>
      </c>
      <c r="K2880" s="1">
        <v>59</v>
      </c>
      <c r="L2880" s="1">
        <v>50</v>
      </c>
      <c r="M2880" s="1">
        <v>50.48039166574727</v>
      </c>
      <c r="N2880" s="1">
        <v>2924537</v>
      </c>
    </row>
    <row r="2881" spans="1:14" x14ac:dyDescent="0.35">
      <c r="A2881" s="1" t="s">
        <v>99</v>
      </c>
      <c r="B2881" s="1">
        <v>202509</v>
      </c>
      <c r="C2881" s="1" t="str">
        <f>MID(analisis_productividad__4[[#This Row],[Periodo]],1,4)</f>
        <v>2025</v>
      </c>
      <c r="D2881" s="1" t="str">
        <f>MID(analisis_productividad__4[[#This Row],[Periodo]],5,2)</f>
        <v>09</v>
      </c>
      <c r="E2881" s="1" t="s">
        <v>11</v>
      </c>
      <c r="F2881" s="1" t="s">
        <v>12</v>
      </c>
      <c r="G2881" s="1">
        <v>57292</v>
      </c>
      <c r="H2881" s="1">
        <v>1261697</v>
      </c>
      <c r="I2881" s="1">
        <v>22.022340277777776</v>
      </c>
      <c r="J2881" s="1">
        <v>57280.493263868462</v>
      </c>
      <c r="K2881" s="1">
        <v>27</v>
      </c>
      <c r="L2881" s="1">
        <v>27</v>
      </c>
      <c r="M2881" s="1">
        <v>22.026649354918465</v>
      </c>
      <c r="N2881" s="1">
        <v>1428697</v>
      </c>
    </row>
    <row r="2882" spans="1:14" x14ac:dyDescent="0.35">
      <c r="A2882" s="1" t="s">
        <v>105</v>
      </c>
      <c r="B2882" s="1">
        <v>202405</v>
      </c>
      <c r="C2882" s="1" t="str">
        <f>MID(analisis_productividad__4[[#This Row],[Periodo]],1,4)</f>
        <v>2024</v>
      </c>
      <c r="D2882" s="1" t="str">
        <f>MID(analisis_productividad__4[[#This Row],[Periodo]],5,2)</f>
        <v>05</v>
      </c>
      <c r="E2882" s="1" t="s">
        <v>34</v>
      </c>
      <c r="F2882" s="1" t="s">
        <v>35</v>
      </c>
      <c r="G2882" s="1">
        <v>57270</v>
      </c>
      <c r="H2882" s="1">
        <v>2437681</v>
      </c>
      <c r="I2882" s="1">
        <v>42.564469086021496</v>
      </c>
      <c r="J2882" s="1">
        <v>0</v>
      </c>
      <c r="K2882" s="1">
        <v>33</v>
      </c>
      <c r="L2882" s="1">
        <v>31.5</v>
      </c>
      <c r="M2882" s="1"/>
      <c r="N2882" s="1">
        <v>0</v>
      </c>
    </row>
    <row r="2883" spans="1:14" x14ac:dyDescent="0.35">
      <c r="A2883" s="1" t="s">
        <v>121</v>
      </c>
      <c r="B2883" s="1">
        <v>202510</v>
      </c>
      <c r="C2883" s="1" t="str">
        <f>MID(analisis_productividad__4[[#This Row],[Periodo]],1,4)</f>
        <v>2025</v>
      </c>
      <c r="D2883" s="1" t="str">
        <f>MID(analisis_productividad__4[[#This Row],[Periodo]],5,2)</f>
        <v>10</v>
      </c>
      <c r="E2883" s="1" t="s">
        <v>11</v>
      </c>
      <c r="F2883" s="1" t="s">
        <v>14</v>
      </c>
      <c r="G2883" s="1">
        <v>57244</v>
      </c>
      <c r="H2883" s="1">
        <v>1774260</v>
      </c>
      <c r="I2883" s="1">
        <v>30.99456989247312</v>
      </c>
      <c r="J2883" s="1">
        <v>57333.367490909863</v>
      </c>
      <c r="K2883" s="1">
        <v>36</v>
      </c>
      <c r="L2883" s="1">
        <v>35</v>
      </c>
      <c r="M2883" s="1">
        <v>30.946383365346659</v>
      </c>
      <c r="N2883" s="1">
        <v>2036866</v>
      </c>
    </row>
    <row r="2884" spans="1:14" x14ac:dyDescent="0.35">
      <c r="A2884" s="1" t="s">
        <v>109</v>
      </c>
      <c r="B2884" s="1">
        <v>202411</v>
      </c>
      <c r="C2884" s="1" t="str">
        <f>MID(analisis_productividad__4[[#This Row],[Periodo]],1,4)</f>
        <v>2024</v>
      </c>
      <c r="D2884" s="1" t="str">
        <f>MID(analisis_productividad__4[[#This Row],[Periodo]],5,2)</f>
        <v>11</v>
      </c>
      <c r="E2884" s="1" t="s">
        <v>9</v>
      </c>
      <c r="F2884" s="1" t="s">
        <v>9</v>
      </c>
      <c r="G2884" s="1">
        <v>57185</v>
      </c>
      <c r="H2884" s="1">
        <v>474693</v>
      </c>
      <c r="I2884" s="1">
        <v>8.3010763888888892</v>
      </c>
      <c r="J2884" s="1">
        <v>0</v>
      </c>
      <c r="K2884" s="1">
        <v>10</v>
      </c>
      <c r="L2884" s="1">
        <v>9</v>
      </c>
      <c r="M2884" s="1"/>
      <c r="N2884" s="1">
        <v>0</v>
      </c>
    </row>
    <row r="2885" spans="1:14" x14ac:dyDescent="0.35">
      <c r="A2885" s="1" t="s">
        <v>95</v>
      </c>
      <c r="B2885" s="1">
        <v>202506</v>
      </c>
      <c r="C2885" s="1" t="str">
        <f>MID(analisis_productividad__4[[#This Row],[Periodo]],1,4)</f>
        <v>2025</v>
      </c>
      <c r="D2885" s="1" t="str">
        <f>MID(analisis_productividad__4[[#This Row],[Periodo]],5,2)</f>
        <v>06</v>
      </c>
      <c r="E2885" s="1" t="s">
        <v>9</v>
      </c>
      <c r="F2885" s="1" t="s">
        <v>9</v>
      </c>
      <c r="G2885" s="1">
        <v>57155</v>
      </c>
      <c r="H2885" s="1">
        <v>600190</v>
      </c>
      <c r="I2885" s="1">
        <v>10.501166666666666</v>
      </c>
      <c r="J2885" s="1">
        <v>77970.734860945566</v>
      </c>
      <c r="K2885" s="1">
        <v>11</v>
      </c>
      <c r="L2885" s="1">
        <v>11</v>
      </c>
      <c r="M2885" s="1">
        <v>7.6976252830037941</v>
      </c>
      <c r="N2885" s="1">
        <v>700311</v>
      </c>
    </row>
    <row r="2886" spans="1:14" x14ac:dyDescent="0.35">
      <c r="A2886" s="1" t="s">
        <v>109</v>
      </c>
      <c r="B2886" s="1">
        <v>202406</v>
      </c>
      <c r="C2886" s="1" t="str">
        <f>MID(analisis_productividad__4[[#This Row],[Periodo]],1,4)</f>
        <v>2024</v>
      </c>
      <c r="D2886" s="1" t="str">
        <f>MID(analisis_productividad__4[[#This Row],[Periodo]],5,2)</f>
        <v>06</v>
      </c>
      <c r="E2886" s="1" t="s">
        <v>9</v>
      </c>
      <c r="F2886" s="1" t="s">
        <v>9</v>
      </c>
      <c r="G2886" s="1">
        <v>57124</v>
      </c>
      <c r="H2886" s="1">
        <v>515248</v>
      </c>
      <c r="I2886" s="1">
        <v>9.019840277777778</v>
      </c>
      <c r="J2886" s="1">
        <v>0</v>
      </c>
      <c r="K2886" s="1">
        <v>10</v>
      </c>
      <c r="L2886" s="1">
        <v>9</v>
      </c>
      <c r="M2886" s="1"/>
      <c r="N2886" s="1">
        <v>0</v>
      </c>
    </row>
    <row r="2887" spans="1:14" x14ac:dyDescent="0.35">
      <c r="A2887" s="1" t="s">
        <v>123</v>
      </c>
      <c r="B2887" s="1">
        <v>202511</v>
      </c>
      <c r="C2887" s="1" t="str">
        <f>MID(analisis_productividad__4[[#This Row],[Periodo]],1,4)</f>
        <v>2025</v>
      </c>
      <c r="D2887" s="1" t="str">
        <f>MID(analisis_productividad__4[[#This Row],[Periodo]],5,2)</f>
        <v>11</v>
      </c>
      <c r="E2887" s="1" t="s">
        <v>9</v>
      </c>
      <c r="F2887" s="1" t="s">
        <v>9</v>
      </c>
      <c r="G2887" s="1">
        <v>57114</v>
      </c>
      <c r="H2887" s="1">
        <v>516147</v>
      </c>
      <c r="I2887" s="1">
        <v>9.0371944444444452</v>
      </c>
      <c r="J2887" s="1">
        <v>66759.350192462633</v>
      </c>
      <c r="K2887" s="1">
        <v>11</v>
      </c>
      <c r="L2887" s="1">
        <v>10</v>
      </c>
      <c r="M2887" s="1">
        <v>7.7314503288600731</v>
      </c>
      <c r="N2887" s="1">
        <v>535291</v>
      </c>
    </row>
    <row r="2888" spans="1:14" x14ac:dyDescent="0.35">
      <c r="A2888" s="1" t="s">
        <v>116</v>
      </c>
      <c r="B2888" s="1">
        <v>202604</v>
      </c>
      <c r="C2888" s="1" t="str">
        <f>MID(analisis_productividad__4[[#This Row],[Periodo]],1,4)</f>
        <v>2026</v>
      </c>
      <c r="D2888" s="1" t="str">
        <f>MID(analisis_productividad__4[[#This Row],[Periodo]],5,2)</f>
        <v>04</v>
      </c>
      <c r="E2888" s="1" t="s">
        <v>9</v>
      </c>
      <c r="F2888" s="1" t="s">
        <v>9</v>
      </c>
      <c r="G2888" s="1">
        <v>57072</v>
      </c>
      <c r="H2888" s="1">
        <v>636295</v>
      </c>
      <c r="I2888" s="1">
        <v>11.149006944444443</v>
      </c>
      <c r="J2888" s="1">
        <v>59235.841919714811</v>
      </c>
      <c r="K2888" s="1">
        <v>11.5</v>
      </c>
      <c r="L2888" s="1">
        <v>10</v>
      </c>
      <c r="M2888" s="1">
        <v>10.042294324207418</v>
      </c>
      <c r="N2888" s="1">
        <v>594864</v>
      </c>
    </row>
    <row r="2889" spans="1:14" x14ac:dyDescent="0.35">
      <c r="A2889" s="1" t="s">
        <v>107</v>
      </c>
      <c r="B2889" s="1">
        <v>202502</v>
      </c>
      <c r="C2889" s="1" t="str">
        <f>MID(analisis_productividad__4[[#This Row],[Periodo]],1,4)</f>
        <v>2025</v>
      </c>
      <c r="D2889" s="1" t="str">
        <f>MID(analisis_productividad__4[[#This Row],[Periodo]],5,2)</f>
        <v>02</v>
      </c>
      <c r="E2889" s="1" t="s">
        <v>34</v>
      </c>
      <c r="F2889" s="1" t="s">
        <v>35</v>
      </c>
      <c r="G2889" s="1">
        <v>57065</v>
      </c>
      <c r="H2889" s="1">
        <v>4473828</v>
      </c>
      <c r="I2889" s="1">
        <v>78.39947916666668</v>
      </c>
      <c r="J2889" s="1">
        <v>66711.246981130709</v>
      </c>
      <c r="K2889" s="1">
        <v>87</v>
      </c>
      <c r="L2889" s="1">
        <v>77.5</v>
      </c>
      <c r="M2889" s="1">
        <v>67.062578537400498</v>
      </c>
      <c r="N2889" s="1">
        <v>4829260</v>
      </c>
    </row>
    <row r="2890" spans="1:14" x14ac:dyDescent="0.35">
      <c r="A2890" s="1" t="s">
        <v>123</v>
      </c>
      <c r="B2890" s="1">
        <v>202410</v>
      </c>
      <c r="C2890" s="1" t="str">
        <f>MID(analisis_productividad__4[[#This Row],[Periodo]],1,4)</f>
        <v>2024</v>
      </c>
      <c r="D2890" s="1" t="str">
        <f>MID(analisis_productividad__4[[#This Row],[Periodo]],5,2)</f>
        <v>10</v>
      </c>
      <c r="E2890" s="1" t="s">
        <v>9</v>
      </c>
      <c r="F2890" s="1" t="s">
        <v>9</v>
      </c>
      <c r="G2890" s="1">
        <v>57039</v>
      </c>
      <c r="H2890" s="1">
        <v>553456</v>
      </c>
      <c r="I2890" s="1">
        <v>9.7030913978494642</v>
      </c>
      <c r="J2890" s="1">
        <v>0</v>
      </c>
      <c r="K2890" s="1">
        <v>11</v>
      </c>
      <c r="L2890" s="1">
        <v>10</v>
      </c>
      <c r="M2890" s="1"/>
      <c r="N2890" s="1">
        <v>0</v>
      </c>
    </row>
    <row r="2891" spans="1:14" x14ac:dyDescent="0.35">
      <c r="A2891" s="1" t="s">
        <v>110</v>
      </c>
      <c r="B2891" s="1">
        <v>202606</v>
      </c>
      <c r="C2891" s="1" t="str">
        <f>MID(analisis_productividad__4[[#This Row],[Periodo]],1,4)</f>
        <v>2026</v>
      </c>
      <c r="D2891" s="1" t="str">
        <f>MID(analisis_productividad__4[[#This Row],[Periodo]],5,2)</f>
        <v>06</v>
      </c>
      <c r="E2891" s="1" t="s">
        <v>34</v>
      </c>
      <c r="F2891" s="1" t="s">
        <v>35</v>
      </c>
      <c r="G2891" s="1">
        <v>57038</v>
      </c>
      <c r="H2891" s="1">
        <v>2119703</v>
      </c>
      <c r="I2891" s="1">
        <v>37.16309722222217</v>
      </c>
      <c r="J2891" s="1">
        <v>68114.52959121883</v>
      </c>
      <c r="K2891" s="1">
        <v>41.5</v>
      </c>
      <c r="L2891" s="1">
        <v>43</v>
      </c>
      <c r="M2891" s="1">
        <v>33.730466012000377</v>
      </c>
      <c r="N2891" s="1">
        <v>2297535</v>
      </c>
    </row>
    <row r="2892" spans="1:14" x14ac:dyDescent="0.35">
      <c r="A2892" s="1" t="s">
        <v>117</v>
      </c>
      <c r="B2892" s="1">
        <v>202401</v>
      </c>
      <c r="C2892" s="1" t="str">
        <f>MID(analisis_productividad__4[[#This Row],[Periodo]],1,4)</f>
        <v>2024</v>
      </c>
      <c r="D2892" s="1" t="str">
        <f>MID(analisis_productividad__4[[#This Row],[Periodo]],5,2)</f>
        <v>01</v>
      </c>
      <c r="E2892" s="1" t="s">
        <v>104</v>
      </c>
      <c r="F2892" s="1" t="s">
        <v>104</v>
      </c>
      <c r="G2892" s="1">
        <v>56991</v>
      </c>
      <c r="H2892" s="1">
        <v>3349856</v>
      </c>
      <c r="I2892" s="1">
        <v>58.778595430107529</v>
      </c>
      <c r="J2892" s="1">
        <v>0</v>
      </c>
      <c r="K2892" s="1">
        <v>66</v>
      </c>
      <c r="L2892" s="1">
        <v>65.5</v>
      </c>
      <c r="M2892" s="1"/>
      <c r="N2892" s="1">
        <v>0</v>
      </c>
    </row>
    <row r="2893" spans="1:14" x14ac:dyDescent="0.35">
      <c r="A2893" s="1" t="s">
        <v>116</v>
      </c>
      <c r="B2893" s="1">
        <v>202501</v>
      </c>
      <c r="C2893" s="1" t="str">
        <f>MID(analisis_productividad__4[[#This Row],[Periodo]],1,4)</f>
        <v>2025</v>
      </c>
      <c r="D2893" s="1" t="str">
        <f>MID(analisis_productividad__4[[#This Row],[Periodo]],5,2)</f>
        <v>01</v>
      </c>
      <c r="E2893" s="1" t="s">
        <v>9</v>
      </c>
      <c r="F2893" s="1" t="s">
        <v>9</v>
      </c>
      <c r="G2893" s="1">
        <v>56982</v>
      </c>
      <c r="H2893" s="1">
        <v>634784</v>
      </c>
      <c r="I2893" s="1">
        <v>11.140020161290323</v>
      </c>
      <c r="J2893" s="1">
        <v>71671.405013665382</v>
      </c>
      <c r="K2893" s="1">
        <v>11.5</v>
      </c>
      <c r="L2893" s="1">
        <v>10</v>
      </c>
      <c r="M2893" s="1">
        <v>8.8568678105161656</v>
      </c>
      <c r="N2893" s="1">
        <v>734107</v>
      </c>
    </row>
    <row r="2894" spans="1:14" x14ac:dyDescent="0.35">
      <c r="A2894" s="1" t="s">
        <v>123</v>
      </c>
      <c r="B2894" s="1">
        <v>202405</v>
      </c>
      <c r="C2894" s="1" t="str">
        <f>MID(analisis_productividad__4[[#This Row],[Periodo]],1,4)</f>
        <v>2024</v>
      </c>
      <c r="D2894" s="1" t="str">
        <f>MID(analisis_productividad__4[[#This Row],[Periodo]],5,2)</f>
        <v>05</v>
      </c>
      <c r="E2894" s="1" t="s">
        <v>9</v>
      </c>
      <c r="F2894" s="1" t="s">
        <v>9</v>
      </c>
      <c r="G2894" s="1">
        <v>56982</v>
      </c>
      <c r="H2894" s="1">
        <v>532477</v>
      </c>
      <c r="I2894" s="1">
        <v>9.3447177419354865</v>
      </c>
      <c r="J2894" s="1">
        <v>0</v>
      </c>
      <c r="K2894" s="1">
        <v>11</v>
      </c>
      <c r="L2894" s="1">
        <v>10</v>
      </c>
      <c r="M2894" s="1"/>
      <c r="N2894" s="1">
        <v>0</v>
      </c>
    </row>
    <row r="2895" spans="1:14" x14ac:dyDescent="0.35">
      <c r="A2895" s="1" t="s">
        <v>127</v>
      </c>
      <c r="B2895" s="1">
        <v>202411</v>
      </c>
      <c r="C2895" s="1" t="str">
        <f>MID(analisis_productividad__4[[#This Row],[Periodo]],1,4)</f>
        <v>2024</v>
      </c>
      <c r="D2895" s="1" t="str">
        <f>MID(analisis_productividad__4[[#This Row],[Periodo]],5,2)</f>
        <v>11</v>
      </c>
      <c r="E2895" s="1" t="s">
        <v>104</v>
      </c>
      <c r="F2895" s="1" t="s">
        <v>104</v>
      </c>
      <c r="G2895" s="1">
        <v>56979</v>
      </c>
      <c r="H2895" s="1">
        <v>3297572</v>
      </c>
      <c r="I2895" s="1">
        <v>57.872986111111082</v>
      </c>
      <c r="J2895" s="1">
        <v>0</v>
      </c>
      <c r="K2895" s="1">
        <v>61.5</v>
      </c>
      <c r="L2895" s="1">
        <v>56</v>
      </c>
      <c r="M2895" s="1"/>
      <c r="N2895" s="1">
        <v>0</v>
      </c>
    </row>
    <row r="2896" spans="1:14" x14ac:dyDescent="0.35">
      <c r="A2896" s="1" t="s">
        <v>89</v>
      </c>
      <c r="B2896" s="1">
        <v>202402</v>
      </c>
      <c r="C2896" s="1" t="str">
        <f>MID(analisis_productividad__4[[#This Row],[Periodo]],1,4)</f>
        <v>2024</v>
      </c>
      <c r="D2896" s="1" t="str">
        <f>MID(analisis_productividad__4[[#This Row],[Periodo]],5,2)</f>
        <v>02</v>
      </c>
      <c r="E2896" s="1" t="s">
        <v>9</v>
      </c>
      <c r="F2896" s="1" t="s">
        <v>9</v>
      </c>
      <c r="G2896" s="1">
        <v>56966</v>
      </c>
      <c r="H2896" s="1">
        <v>1018333</v>
      </c>
      <c r="I2896" s="1">
        <v>17.876048850574712</v>
      </c>
      <c r="J2896" s="1">
        <v>0</v>
      </c>
      <c r="K2896" s="1">
        <v>17</v>
      </c>
      <c r="L2896" s="1">
        <v>13.5</v>
      </c>
      <c r="M2896" s="1"/>
      <c r="N2896" s="1">
        <v>0</v>
      </c>
    </row>
    <row r="2897" spans="1:14" x14ac:dyDescent="0.35">
      <c r="A2897" s="1" t="s">
        <v>111</v>
      </c>
      <c r="B2897" s="1">
        <v>202401</v>
      </c>
      <c r="C2897" s="1" t="str">
        <f>MID(analisis_productividad__4[[#This Row],[Periodo]],1,4)</f>
        <v>2024</v>
      </c>
      <c r="D2897" s="1" t="str">
        <f>MID(analisis_productividad__4[[#This Row],[Periodo]],5,2)</f>
        <v>01</v>
      </c>
      <c r="E2897" s="1" t="s">
        <v>34</v>
      </c>
      <c r="F2897" s="1" t="s">
        <v>35</v>
      </c>
      <c r="G2897" s="1">
        <v>56935</v>
      </c>
      <c r="H2897" s="1">
        <v>2331547</v>
      </c>
      <c r="I2897" s="1">
        <v>40.951176075268812</v>
      </c>
      <c r="J2897" s="1">
        <v>0</v>
      </c>
      <c r="K2897" s="1">
        <v>45.5</v>
      </c>
      <c r="L2897" s="1">
        <v>42.5</v>
      </c>
      <c r="M2897" s="1"/>
      <c r="N2897" s="1">
        <v>0</v>
      </c>
    </row>
    <row r="2898" spans="1:14" x14ac:dyDescent="0.35">
      <c r="A2898" s="1" t="s">
        <v>127</v>
      </c>
      <c r="B2898" s="1">
        <v>202401</v>
      </c>
      <c r="C2898" s="1" t="str">
        <f>MID(analisis_productividad__4[[#This Row],[Periodo]],1,4)</f>
        <v>2024</v>
      </c>
      <c r="D2898" s="1" t="str">
        <f>MID(analisis_productividad__4[[#This Row],[Periodo]],5,2)</f>
        <v>01</v>
      </c>
      <c r="E2898" s="1" t="s">
        <v>104</v>
      </c>
      <c r="F2898" s="1" t="s">
        <v>104</v>
      </c>
      <c r="G2898" s="1">
        <v>56917</v>
      </c>
      <c r="H2898" s="1">
        <v>3156556</v>
      </c>
      <c r="I2898" s="1">
        <v>55.459193548387105</v>
      </c>
      <c r="J2898" s="1">
        <v>0</v>
      </c>
      <c r="K2898" s="1">
        <v>61.5</v>
      </c>
      <c r="L2898" s="1">
        <v>56</v>
      </c>
      <c r="M2898" s="1"/>
      <c r="N2898" s="1">
        <v>0</v>
      </c>
    </row>
    <row r="2899" spans="1:14" x14ac:dyDescent="0.35">
      <c r="A2899" s="1" t="s">
        <v>109</v>
      </c>
      <c r="B2899" s="1">
        <v>202404</v>
      </c>
      <c r="C2899" s="1" t="str">
        <f>MID(analisis_productividad__4[[#This Row],[Periodo]],1,4)</f>
        <v>2024</v>
      </c>
      <c r="D2899" s="1" t="str">
        <f>MID(analisis_productividad__4[[#This Row],[Periodo]],5,2)</f>
        <v>04</v>
      </c>
      <c r="E2899" s="1" t="s">
        <v>9</v>
      </c>
      <c r="F2899" s="1" t="s">
        <v>9</v>
      </c>
      <c r="G2899" s="1">
        <v>56893</v>
      </c>
      <c r="H2899" s="1">
        <v>518613</v>
      </c>
      <c r="I2899" s="1">
        <v>9.1156041666666656</v>
      </c>
      <c r="J2899" s="1">
        <v>0</v>
      </c>
      <c r="K2899" s="1">
        <v>10</v>
      </c>
      <c r="L2899" s="1">
        <v>9</v>
      </c>
      <c r="M2899" s="1"/>
      <c r="N2899" s="1">
        <v>0</v>
      </c>
    </row>
    <row r="2900" spans="1:14" x14ac:dyDescent="0.35">
      <c r="A2900" s="1" t="s">
        <v>126</v>
      </c>
      <c r="B2900" s="1">
        <v>202605</v>
      </c>
      <c r="C2900" s="1" t="str">
        <f>MID(analisis_productividad__4[[#This Row],[Periodo]],1,4)</f>
        <v>2026</v>
      </c>
      <c r="D2900" s="1" t="str">
        <f>MID(analisis_productividad__4[[#This Row],[Periodo]],5,2)</f>
        <v>05</v>
      </c>
      <c r="E2900" s="1" t="s">
        <v>104</v>
      </c>
      <c r="F2900" s="1" t="s">
        <v>104</v>
      </c>
      <c r="G2900" s="1">
        <v>56854</v>
      </c>
      <c r="H2900" s="1">
        <v>3379480</v>
      </c>
      <c r="I2900" s="1">
        <v>59.441713709677479</v>
      </c>
      <c r="J2900" s="1">
        <v>59289.774383027303</v>
      </c>
      <c r="K2900" s="1">
        <v>64.5</v>
      </c>
      <c r="L2900" s="1">
        <v>61</v>
      </c>
      <c r="M2900" s="1">
        <v>55.57085132952011</v>
      </c>
      <c r="N2900" s="1">
        <v>3294783</v>
      </c>
    </row>
    <row r="2901" spans="1:14" x14ac:dyDescent="0.35">
      <c r="A2901" s="1" t="s">
        <v>102</v>
      </c>
      <c r="B2901" s="1">
        <v>202606</v>
      </c>
      <c r="C2901" s="1" t="str">
        <f>MID(analisis_productividad__4[[#This Row],[Periodo]],1,4)</f>
        <v>2026</v>
      </c>
      <c r="D2901" s="1" t="str">
        <f>MID(analisis_productividad__4[[#This Row],[Periodo]],5,2)</f>
        <v>06</v>
      </c>
      <c r="E2901" s="1" t="s">
        <v>11</v>
      </c>
      <c r="F2901" s="1" t="s">
        <v>12</v>
      </c>
      <c r="G2901" s="1">
        <v>56831</v>
      </c>
      <c r="H2901" s="1">
        <v>1748913</v>
      </c>
      <c r="I2901" s="1">
        <v>30.773847222222102</v>
      </c>
      <c r="J2901" s="1">
        <v>57016.047438970345</v>
      </c>
      <c r="K2901" s="1">
        <v>34</v>
      </c>
      <c r="L2901" s="1">
        <v>34</v>
      </c>
      <c r="M2901" s="1">
        <v>29.696606396863505</v>
      </c>
      <c r="N2901" s="1">
        <v>1693183</v>
      </c>
    </row>
    <row r="2902" spans="1:14" x14ac:dyDescent="0.35">
      <c r="A2902" s="1" t="s">
        <v>105</v>
      </c>
      <c r="B2902" s="1">
        <v>202406</v>
      </c>
      <c r="C2902" s="1" t="str">
        <f>MID(analisis_productividad__4[[#This Row],[Periodo]],1,4)</f>
        <v>2024</v>
      </c>
      <c r="D2902" s="1" t="str">
        <f>MID(analisis_productividad__4[[#This Row],[Periodo]],5,2)</f>
        <v>06</v>
      </c>
      <c r="E2902" s="1" t="s">
        <v>34</v>
      </c>
      <c r="F2902" s="1" t="s">
        <v>35</v>
      </c>
      <c r="G2902" s="1">
        <v>56817</v>
      </c>
      <c r="H2902" s="1">
        <v>2385451</v>
      </c>
      <c r="I2902" s="1">
        <v>41.984444444444456</v>
      </c>
      <c r="J2902" s="1">
        <v>0</v>
      </c>
      <c r="K2902" s="1">
        <v>33</v>
      </c>
      <c r="L2902" s="1">
        <v>31.5</v>
      </c>
      <c r="M2902" s="1"/>
      <c r="N2902" s="1">
        <v>0</v>
      </c>
    </row>
    <row r="2903" spans="1:14" x14ac:dyDescent="0.35">
      <c r="A2903" s="1" t="s">
        <v>115</v>
      </c>
      <c r="B2903" s="1">
        <v>202509</v>
      </c>
      <c r="C2903" s="1" t="str">
        <f>MID(analisis_productividad__4[[#This Row],[Periodo]],1,4)</f>
        <v>2025</v>
      </c>
      <c r="D2903" s="1" t="str">
        <f>MID(analisis_productividad__4[[#This Row],[Periodo]],5,2)</f>
        <v>09</v>
      </c>
      <c r="E2903" s="1" t="s">
        <v>34</v>
      </c>
      <c r="F2903" s="1" t="s">
        <v>35</v>
      </c>
      <c r="G2903" s="1">
        <v>56813</v>
      </c>
      <c r="H2903" s="1">
        <v>2755404</v>
      </c>
      <c r="I2903" s="1">
        <v>48.499694444444479</v>
      </c>
      <c r="J2903" s="1">
        <v>57495.340141930727</v>
      </c>
      <c r="K2903" s="1">
        <v>53.5</v>
      </c>
      <c r="L2903" s="1">
        <v>51</v>
      </c>
      <c r="M2903" s="1">
        <v>47.923945544075728</v>
      </c>
      <c r="N2903" s="1">
        <v>3198876</v>
      </c>
    </row>
    <row r="2904" spans="1:14" x14ac:dyDescent="0.35">
      <c r="A2904" s="1" t="s">
        <v>119</v>
      </c>
      <c r="B2904" s="1">
        <v>202402</v>
      </c>
      <c r="C2904" s="1" t="str">
        <f>MID(analisis_productividad__4[[#This Row],[Periodo]],1,4)</f>
        <v>2024</v>
      </c>
      <c r="D2904" s="1" t="str">
        <f>MID(analisis_productividad__4[[#This Row],[Periodo]],5,2)</f>
        <v>02</v>
      </c>
      <c r="E2904" s="1" t="s">
        <v>16</v>
      </c>
      <c r="F2904" s="1" t="s">
        <v>21</v>
      </c>
      <c r="G2904" s="1">
        <v>56778</v>
      </c>
      <c r="H2904" s="1">
        <v>3143089</v>
      </c>
      <c r="I2904" s="1">
        <v>55.357277298850583</v>
      </c>
      <c r="J2904" s="1">
        <v>0</v>
      </c>
      <c r="K2904" s="1">
        <v>52.5</v>
      </c>
      <c r="L2904" s="1">
        <v>52.5</v>
      </c>
      <c r="M2904" s="1"/>
      <c r="N2904" s="1">
        <v>0</v>
      </c>
    </row>
    <row r="2905" spans="1:14" x14ac:dyDescent="0.35">
      <c r="A2905" s="1" t="s">
        <v>125</v>
      </c>
      <c r="B2905" s="1">
        <v>202601</v>
      </c>
      <c r="C2905" s="1" t="str">
        <f>MID(analisis_productividad__4[[#This Row],[Periodo]],1,4)</f>
        <v>2026</v>
      </c>
      <c r="D2905" s="1" t="str">
        <f>MID(analisis_productividad__4[[#This Row],[Periodo]],5,2)</f>
        <v>01</v>
      </c>
      <c r="E2905" s="1" t="s">
        <v>104</v>
      </c>
      <c r="F2905" s="1" t="s">
        <v>104</v>
      </c>
      <c r="G2905" s="1">
        <v>56752</v>
      </c>
      <c r="H2905" s="1">
        <v>2589819</v>
      </c>
      <c r="I2905" s="1">
        <v>45.633978494623662</v>
      </c>
      <c r="J2905" s="1">
        <v>61213.66201872666</v>
      </c>
      <c r="K2905" s="1">
        <v>59</v>
      </c>
      <c r="L2905" s="1">
        <v>50</v>
      </c>
      <c r="M2905" s="1">
        <v>50.48039166574727</v>
      </c>
      <c r="N2905" s="1">
        <v>3090090</v>
      </c>
    </row>
    <row r="2906" spans="1:14" x14ac:dyDescent="0.35">
      <c r="A2906" s="1" t="s">
        <v>109</v>
      </c>
      <c r="B2906" s="1">
        <v>202408</v>
      </c>
      <c r="C2906" s="1" t="str">
        <f>MID(analisis_productividad__4[[#This Row],[Periodo]],1,4)</f>
        <v>2024</v>
      </c>
      <c r="D2906" s="1" t="str">
        <f>MID(analisis_productividad__4[[#This Row],[Periodo]],5,2)</f>
        <v>08</v>
      </c>
      <c r="E2906" s="1" t="s">
        <v>9</v>
      </c>
      <c r="F2906" s="1" t="s">
        <v>9</v>
      </c>
      <c r="G2906" s="1">
        <v>56731</v>
      </c>
      <c r="H2906" s="1">
        <v>552099</v>
      </c>
      <c r="I2906" s="1">
        <v>9.7318817204301116</v>
      </c>
      <c r="J2906" s="1">
        <v>0</v>
      </c>
      <c r="K2906" s="1">
        <v>10</v>
      </c>
      <c r="L2906" s="1">
        <v>9</v>
      </c>
      <c r="M2906" s="1"/>
      <c r="N2906" s="1">
        <v>0</v>
      </c>
    </row>
    <row r="2907" spans="1:14" x14ac:dyDescent="0.35">
      <c r="A2907" s="1" t="s">
        <v>111</v>
      </c>
      <c r="B2907" s="1">
        <v>202404</v>
      </c>
      <c r="C2907" s="1" t="str">
        <f>MID(analisis_productividad__4[[#This Row],[Periodo]],1,4)</f>
        <v>2024</v>
      </c>
      <c r="D2907" s="1" t="str">
        <f>MID(analisis_productividad__4[[#This Row],[Periodo]],5,2)</f>
        <v>04</v>
      </c>
      <c r="E2907" s="1" t="s">
        <v>34</v>
      </c>
      <c r="F2907" s="1" t="s">
        <v>35</v>
      </c>
      <c r="G2907" s="1">
        <v>56683</v>
      </c>
      <c r="H2907" s="1">
        <v>2206003</v>
      </c>
      <c r="I2907" s="1">
        <v>38.918006944444457</v>
      </c>
      <c r="J2907" s="1">
        <v>0</v>
      </c>
      <c r="K2907" s="1">
        <v>45.5</v>
      </c>
      <c r="L2907" s="1">
        <v>42.5</v>
      </c>
      <c r="M2907" s="1"/>
      <c r="N2907" s="1">
        <v>0</v>
      </c>
    </row>
    <row r="2908" spans="1:14" x14ac:dyDescent="0.35">
      <c r="A2908" s="1" t="s">
        <v>126</v>
      </c>
      <c r="B2908" s="1">
        <v>202606</v>
      </c>
      <c r="C2908" s="1" t="str">
        <f>MID(analisis_productividad__4[[#This Row],[Periodo]],1,4)</f>
        <v>2026</v>
      </c>
      <c r="D2908" s="1" t="str">
        <f>MID(analisis_productividad__4[[#This Row],[Periodo]],5,2)</f>
        <v>06</v>
      </c>
      <c r="E2908" s="1" t="s">
        <v>104</v>
      </c>
      <c r="F2908" s="1" t="s">
        <v>104</v>
      </c>
      <c r="G2908" s="1">
        <v>56661</v>
      </c>
      <c r="H2908" s="1">
        <v>3134248</v>
      </c>
      <c r="I2908" s="1">
        <v>55.315749999999838</v>
      </c>
      <c r="J2908" s="1">
        <v>58269.006108961534</v>
      </c>
      <c r="K2908" s="1">
        <v>64.5</v>
      </c>
      <c r="L2908" s="1">
        <v>61</v>
      </c>
      <c r="M2908" s="1">
        <v>55.57085132952011</v>
      </c>
      <c r="N2908" s="1">
        <v>3238058</v>
      </c>
    </row>
    <row r="2909" spans="1:14" x14ac:dyDescent="0.35">
      <c r="A2909" s="1" t="s">
        <v>110</v>
      </c>
      <c r="B2909" s="1">
        <v>202504</v>
      </c>
      <c r="C2909" s="1" t="str">
        <f>MID(analisis_productividad__4[[#This Row],[Periodo]],1,4)</f>
        <v>2025</v>
      </c>
      <c r="D2909" s="1" t="str">
        <f>MID(analisis_productividad__4[[#This Row],[Periodo]],5,2)</f>
        <v>04</v>
      </c>
      <c r="E2909" s="1" t="s">
        <v>34</v>
      </c>
      <c r="F2909" s="1" t="s">
        <v>35</v>
      </c>
      <c r="G2909" s="1">
        <v>56630</v>
      </c>
      <c r="H2909" s="1">
        <v>2207757</v>
      </c>
      <c r="I2909" s="1">
        <v>38.985624999999992</v>
      </c>
      <c r="J2909" s="1">
        <v>61043.683825431435</v>
      </c>
      <c r="K2909" s="1">
        <v>41.5</v>
      </c>
      <c r="L2909" s="1">
        <v>43</v>
      </c>
      <c r="M2909" s="1">
        <v>36.166845636537836</v>
      </c>
      <c r="N2909" s="1">
        <v>2448646</v>
      </c>
    </row>
    <row r="2910" spans="1:14" x14ac:dyDescent="0.35">
      <c r="A2910" s="1" t="s">
        <v>108</v>
      </c>
      <c r="B2910" s="1">
        <v>202401</v>
      </c>
      <c r="C2910" s="1" t="str">
        <f>MID(analisis_productividad__4[[#This Row],[Periodo]],1,4)</f>
        <v>2024</v>
      </c>
      <c r="D2910" s="1" t="str">
        <f>MID(analisis_productividad__4[[#This Row],[Periodo]],5,2)</f>
        <v>01</v>
      </c>
      <c r="E2910" s="1" t="s">
        <v>11</v>
      </c>
      <c r="F2910" s="1" t="s">
        <v>14</v>
      </c>
      <c r="G2910" s="1">
        <v>56607</v>
      </c>
      <c r="H2910" s="1">
        <v>2510485</v>
      </c>
      <c r="I2910" s="1">
        <v>44.349280913978504</v>
      </c>
      <c r="J2910" s="1">
        <v>0</v>
      </c>
      <c r="K2910" s="1">
        <v>47.5</v>
      </c>
      <c r="L2910" s="1">
        <v>43</v>
      </c>
      <c r="M2910" s="1"/>
      <c r="N2910" s="1">
        <v>0</v>
      </c>
    </row>
    <row r="2911" spans="1:14" x14ac:dyDescent="0.35">
      <c r="A2911" s="1" t="s">
        <v>112</v>
      </c>
      <c r="B2911" s="1">
        <v>202402</v>
      </c>
      <c r="C2911" s="1" t="str">
        <f>MID(analisis_productividad__4[[#This Row],[Periodo]],1,4)</f>
        <v>2024</v>
      </c>
      <c r="D2911" s="1" t="str">
        <f>MID(analisis_productividad__4[[#This Row],[Periodo]],5,2)</f>
        <v>02</v>
      </c>
      <c r="E2911" s="1" t="s">
        <v>34</v>
      </c>
      <c r="F2911" s="1" t="s">
        <v>35</v>
      </c>
      <c r="G2911" s="1">
        <v>56539</v>
      </c>
      <c r="H2911" s="1">
        <v>1606633</v>
      </c>
      <c r="I2911" s="1">
        <v>28.4165301724138</v>
      </c>
      <c r="J2911" s="1">
        <v>0</v>
      </c>
      <c r="K2911" s="1">
        <v>31</v>
      </c>
      <c r="L2911" s="1">
        <v>27</v>
      </c>
      <c r="M2911" s="1"/>
      <c r="N2911" s="1">
        <v>0</v>
      </c>
    </row>
    <row r="2912" spans="1:14" x14ac:dyDescent="0.35">
      <c r="A2912" s="1" t="s">
        <v>115</v>
      </c>
      <c r="B2912" s="1">
        <v>202507</v>
      </c>
      <c r="C2912" s="1" t="str">
        <f>MID(analisis_productividad__4[[#This Row],[Periodo]],1,4)</f>
        <v>2025</v>
      </c>
      <c r="D2912" s="1" t="str">
        <f>MID(analisis_productividad__4[[#This Row],[Periodo]],5,2)</f>
        <v>07</v>
      </c>
      <c r="E2912" s="1" t="s">
        <v>34</v>
      </c>
      <c r="F2912" s="1" t="s">
        <v>35</v>
      </c>
      <c r="G2912" s="1">
        <v>56534</v>
      </c>
      <c r="H2912" s="1">
        <v>2843431</v>
      </c>
      <c r="I2912" s="1">
        <v>50.29589381720433</v>
      </c>
      <c r="J2912" s="1">
        <v>62272.786880596235</v>
      </c>
      <c r="K2912" s="1">
        <v>53.5</v>
      </c>
      <c r="L2912" s="1">
        <v>51</v>
      </c>
      <c r="M2912" s="1">
        <v>45.660884351491802</v>
      </c>
      <c r="N2912" s="1">
        <v>3124305</v>
      </c>
    </row>
    <row r="2913" spans="1:14" x14ac:dyDescent="0.35">
      <c r="A2913" s="1" t="s">
        <v>119</v>
      </c>
      <c r="B2913" s="1">
        <v>202405</v>
      </c>
      <c r="C2913" s="1" t="str">
        <f>MID(analisis_productividad__4[[#This Row],[Periodo]],1,4)</f>
        <v>2024</v>
      </c>
      <c r="D2913" s="1" t="str">
        <f>MID(analisis_productividad__4[[#This Row],[Periodo]],5,2)</f>
        <v>05</v>
      </c>
      <c r="E2913" s="1" t="s">
        <v>16</v>
      </c>
      <c r="F2913" s="1" t="s">
        <v>21</v>
      </c>
      <c r="G2913" s="1">
        <v>56505</v>
      </c>
      <c r="H2913" s="1">
        <v>3238597</v>
      </c>
      <c r="I2913" s="1">
        <v>57.314758064516141</v>
      </c>
      <c r="J2913" s="1">
        <v>0</v>
      </c>
      <c r="K2913" s="1">
        <v>52.5</v>
      </c>
      <c r="L2913" s="1">
        <v>52.5</v>
      </c>
      <c r="M2913" s="1"/>
      <c r="N2913" s="1">
        <v>0</v>
      </c>
    </row>
    <row r="2914" spans="1:14" x14ac:dyDescent="0.35">
      <c r="A2914" s="1" t="s">
        <v>124</v>
      </c>
      <c r="B2914" s="1">
        <v>202512</v>
      </c>
      <c r="C2914" s="1" t="str">
        <f>MID(analisis_productividad__4[[#This Row],[Periodo]],1,4)</f>
        <v>2025</v>
      </c>
      <c r="D2914" s="1" t="str">
        <f>MID(analisis_productividad__4[[#This Row],[Periodo]],5,2)</f>
        <v>12</v>
      </c>
      <c r="E2914" s="1" t="s">
        <v>9</v>
      </c>
      <c r="F2914" s="1" t="s">
        <v>9</v>
      </c>
      <c r="G2914" s="1">
        <v>56498</v>
      </c>
      <c r="H2914" s="1">
        <v>921392</v>
      </c>
      <c r="I2914" s="1">
        <v>16.308541666666663</v>
      </c>
      <c r="J2914" s="1">
        <v>75830.432717601245</v>
      </c>
      <c r="K2914" s="1">
        <v>11</v>
      </c>
      <c r="L2914" s="1">
        <v>12</v>
      </c>
      <c r="M2914" s="1">
        <v>12.150688146952019</v>
      </c>
      <c r="N2914" s="1">
        <v>941905</v>
      </c>
    </row>
    <row r="2915" spans="1:14" x14ac:dyDescent="0.35">
      <c r="A2915" s="1" t="s">
        <v>126</v>
      </c>
      <c r="B2915" s="1">
        <v>202507</v>
      </c>
      <c r="C2915" s="1" t="str">
        <f>MID(analisis_productividad__4[[#This Row],[Periodo]],1,4)</f>
        <v>2025</v>
      </c>
      <c r="D2915" s="1" t="str">
        <f>MID(analisis_productividad__4[[#This Row],[Periodo]],5,2)</f>
        <v>07</v>
      </c>
      <c r="E2915" s="1" t="s">
        <v>104</v>
      </c>
      <c r="F2915" s="1" t="s">
        <v>104</v>
      </c>
      <c r="G2915" s="1">
        <v>56470</v>
      </c>
      <c r="H2915" s="1">
        <v>3163743</v>
      </c>
      <c r="I2915" s="1">
        <v>56.025638440860234</v>
      </c>
      <c r="J2915" s="1">
        <v>55489.753917888673</v>
      </c>
      <c r="K2915" s="1">
        <v>64.5</v>
      </c>
      <c r="L2915" s="1">
        <v>61</v>
      </c>
      <c r="M2915" s="1">
        <v>57.014899627804603</v>
      </c>
      <c r="N2915" s="1">
        <v>3250058</v>
      </c>
    </row>
    <row r="2916" spans="1:14" x14ac:dyDescent="0.35">
      <c r="A2916" s="1" t="s">
        <v>127</v>
      </c>
      <c r="B2916" s="1">
        <v>202407</v>
      </c>
      <c r="C2916" s="1" t="str">
        <f>MID(analisis_productividad__4[[#This Row],[Periodo]],1,4)</f>
        <v>2024</v>
      </c>
      <c r="D2916" s="1" t="str">
        <f>MID(analisis_productividad__4[[#This Row],[Periodo]],5,2)</f>
        <v>07</v>
      </c>
      <c r="E2916" s="1" t="s">
        <v>104</v>
      </c>
      <c r="F2916" s="1" t="s">
        <v>104</v>
      </c>
      <c r="G2916" s="1">
        <v>56454</v>
      </c>
      <c r="H2916" s="1">
        <v>3255820</v>
      </c>
      <c r="I2916" s="1">
        <v>57.672426075268831</v>
      </c>
      <c r="J2916" s="1">
        <v>0</v>
      </c>
      <c r="K2916" s="1">
        <v>61.5</v>
      </c>
      <c r="L2916" s="1">
        <v>56</v>
      </c>
      <c r="M2916" s="1"/>
      <c r="N2916" s="1">
        <v>0</v>
      </c>
    </row>
    <row r="2917" spans="1:14" x14ac:dyDescent="0.35">
      <c r="A2917" s="1" t="s">
        <v>102</v>
      </c>
      <c r="B2917" s="1">
        <v>202409</v>
      </c>
      <c r="C2917" s="1" t="str">
        <f>MID(analisis_productividad__4[[#This Row],[Periodo]],1,4)</f>
        <v>2024</v>
      </c>
      <c r="D2917" s="1" t="str">
        <f>MID(analisis_productividad__4[[#This Row],[Periodo]],5,2)</f>
        <v>09</v>
      </c>
      <c r="E2917" s="1" t="s">
        <v>11</v>
      </c>
      <c r="F2917" s="1" t="s">
        <v>12</v>
      </c>
      <c r="G2917" s="1">
        <v>56439</v>
      </c>
      <c r="H2917" s="1">
        <v>1647954</v>
      </c>
      <c r="I2917" s="1">
        <v>29.198750000000015</v>
      </c>
      <c r="J2917" s="1">
        <v>0</v>
      </c>
      <c r="K2917" s="1">
        <v>34</v>
      </c>
      <c r="L2917" s="1">
        <v>34</v>
      </c>
      <c r="M2917" s="1"/>
      <c r="N2917" s="1">
        <v>0</v>
      </c>
    </row>
    <row r="2918" spans="1:14" x14ac:dyDescent="0.35">
      <c r="A2918" s="1" t="s">
        <v>71</v>
      </c>
      <c r="B2918" s="1">
        <v>202402</v>
      </c>
      <c r="C2918" s="1" t="str">
        <f>MID(analisis_productividad__4[[#This Row],[Periodo]],1,4)</f>
        <v>2024</v>
      </c>
      <c r="D2918" s="1" t="str">
        <f>MID(analisis_productividad__4[[#This Row],[Periodo]],5,2)</f>
        <v>02</v>
      </c>
      <c r="E2918" s="1" t="s">
        <v>16</v>
      </c>
      <c r="F2918" s="1" t="s">
        <v>19</v>
      </c>
      <c r="G2918" s="1">
        <v>56396</v>
      </c>
      <c r="H2918" s="1">
        <v>1917553</v>
      </c>
      <c r="I2918" s="1">
        <v>34.001645114942534</v>
      </c>
      <c r="J2918" s="1">
        <v>0</v>
      </c>
      <c r="K2918" s="1">
        <v>41.5</v>
      </c>
      <c r="L2918" s="1">
        <v>35.5</v>
      </c>
      <c r="M2918" s="1"/>
      <c r="N2918" s="1">
        <v>0</v>
      </c>
    </row>
    <row r="2919" spans="1:14" x14ac:dyDescent="0.35">
      <c r="A2919" s="1" t="s">
        <v>121</v>
      </c>
      <c r="B2919" s="1">
        <v>202411</v>
      </c>
      <c r="C2919" s="1" t="str">
        <f>MID(analisis_productividad__4[[#This Row],[Periodo]],1,4)</f>
        <v>2024</v>
      </c>
      <c r="D2919" s="1" t="str">
        <f>MID(analisis_productividad__4[[#This Row],[Periodo]],5,2)</f>
        <v>11</v>
      </c>
      <c r="E2919" s="1" t="s">
        <v>11</v>
      </c>
      <c r="F2919" s="1" t="s">
        <v>14</v>
      </c>
      <c r="G2919" s="1">
        <v>56392</v>
      </c>
      <c r="H2919" s="1">
        <v>2028623</v>
      </c>
      <c r="I2919" s="1">
        <v>35.973437499999996</v>
      </c>
      <c r="J2919" s="1">
        <v>0</v>
      </c>
      <c r="K2919" s="1">
        <v>36</v>
      </c>
      <c r="L2919" s="1">
        <v>35</v>
      </c>
      <c r="M2919" s="1"/>
      <c r="N2919" s="1">
        <v>0</v>
      </c>
    </row>
    <row r="2920" spans="1:14" x14ac:dyDescent="0.35">
      <c r="A2920" s="1" t="s">
        <v>128</v>
      </c>
      <c r="B2920" s="1">
        <v>202606</v>
      </c>
      <c r="C2920" s="1" t="str">
        <f>MID(analisis_productividad__4[[#This Row],[Periodo]],1,4)</f>
        <v>2026</v>
      </c>
      <c r="D2920" s="1" t="str">
        <f>MID(analisis_productividad__4[[#This Row],[Periodo]],5,2)</f>
        <v>06</v>
      </c>
      <c r="E2920" s="1" t="s">
        <v>104</v>
      </c>
      <c r="F2920" s="1" t="s">
        <v>104</v>
      </c>
      <c r="G2920" s="1">
        <v>56387</v>
      </c>
      <c r="H2920" s="1">
        <v>2681039</v>
      </c>
      <c r="I2920" s="1">
        <v>47.547402777777727</v>
      </c>
      <c r="J2920" s="1">
        <v>52244.914385891163</v>
      </c>
      <c r="K2920" s="1">
        <v>57.5</v>
      </c>
      <c r="L2920" s="1">
        <v>57</v>
      </c>
      <c r="M2920" s="1">
        <v>50.0561866937662</v>
      </c>
      <c r="N2920" s="1">
        <v>2615181</v>
      </c>
    </row>
    <row r="2921" spans="1:14" x14ac:dyDescent="0.35">
      <c r="A2921" s="1" t="s">
        <v>123</v>
      </c>
      <c r="B2921" s="1">
        <v>202601</v>
      </c>
      <c r="C2921" s="1" t="str">
        <f>MID(analisis_productividad__4[[#This Row],[Periodo]],1,4)</f>
        <v>2026</v>
      </c>
      <c r="D2921" s="1" t="str">
        <f>MID(analisis_productividad__4[[#This Row],[Periodo]],5,2)</f>
        <v>01</v>
      </c>
      <c r="E2921" s="1" t="s">
        <v>9</v>
      </c>
      <c r="F2921" s="1" t="s">
        <v>9</v>
      </c>
      <c r="G2921" s="1">
        <v>56360</v>
      </c>
      <c r="H2921" s="1">
        <v>492038</v>
      </c>
      <c r="I2921" s="1">
        <v>8.7301948924731203</v>
      </c>
      <c r="J2921" s="1">
        <v>52504.135272356085</v>
      </c>
      <c r="K2921" s="1">
        <v>11</v>
      </c>
      <c r="L2921" s="1">
        <v>10</v>
      </c>
      <c r="M2921" s="1">
        <v>10.023956063077975</v>
      </c>
      <c r="N2921" s="1">
        <v>526299</v>
      </c>
    </row>
    <row r="2922" spans="1:14" x14ac:dyDescent="0.35">
      <c r="A2922" s="1" t="s">
        <v>116</v>
      </c>
      <c r="B2922" s="1">
        <v>202509</v>
      </c>
      <c r="C2922" s="1" t="str">
        <f>MID(analisis_productividad__4[[#This Row],[Periodo]],1,4)</f>
        <v>2025</v>
      </c>
      <c r="D2922" s="1" t="str">
        <f>MID(analisis_productividad__4[[#This Row],[Periodo]],5,2)</f>
        <v>09</v>
      </c>
      <c r="E2922" s="1" t="s">
        <v>9</v>
      </c>
      <c r="F2922" s="1" t="s">
        <v>9</v>
      </c>
      <c r="G2922" s="1">
        <v>56343</v>
      </c>
      <c r="H2922" s="1">
        <v>568094</v>
      </c>
      <c r="I2922" s="1">
        <v>10.082868055555556</v>
      </c>
      <c r="J2922" s="1">
        <v>60392.157851774697</v>
      </c>
      <c r="K2922" s="1">
        <v>11.5</v>
      </c>
      <c r="L2922" s="1">
        <v>10</v>
      </c>
      <c r="M2922" s="1">
        <v>9.4067516414021615</v>
      </c>
      <c r="N2922" s="1">
        <v>699266</v>
      </c>
    </row>
    <row r="2923" spans="1:14" x14ac:dyDescent="0.35">
      <c r="A2923" s="1" t="s">
        <v>89</v>
      </c>
      <c r="B2923" s="1">
        <v>202509</v>
      </c>
      <c r="C2923" s="1" t="str">
        <f>MID(analisis_productividad__4[[#This Row],[Periodo]],1,4)</f>
        <v>2025</v>
      </c>
      <c r="D2923" s="1" t="str">
        <f>MID(analisis_productividad__4[[#This Row],[Periodo]],5,2)</f>
        <v>09</v>
      </c>
      <c r="E2923" s="1" t="s">
        <v>9</v>
      </c>
      <c r="F2923" s="1" t="s">
        <v>9</v>
      </c>
      <c r="G2923" s="1">
        <v>56333</v>
      </c>
      <c r="H2923" s="1">
        <v>889146</v>
      </c>
      <c r="I2923" s="1">
        <v>15.783881944444444</v>
      </c>
      <c r="J2923" s="1">
        <v>67089.793011031026</v>
      </c>
      <c r="K2923" s="1">
        <v>17</v>
      </c>
      <c r="L2923" s="1">
        <v>13.5</v>
      </c>
      <c r="M2923" s="1">
        <v>13.253072041134557</v>
      </c>
      <c r="N2923" s="1">
        <v>1144762</v>
      </c>
    </row>
    <row r="2924" spans="1:14" x14ac:dyDescent="0.35">
      <c r="A2924" s="1" t="s">
        <v>99</v>
      </c>
      <c r="B2924" s="1">
        <v>202510</v>
      </c>
      <c r="C2924" s="1" t="str">
        <f>MID(analisis_productividad__4[[#This Row],[Periodo]],1,4)</f>
        <v>2025</v>
      </c>
      <c r="D2924" s="1" t="str">
        <f>MID(analisis_productividad__4[[#This Row],[Periodo]],5,2)</f>
        <v>10</v>
      </c>
      <c r="E2924" s="1" t="s">
        <v>11</v>
      </c>
      <c r="F2924" s="1" t="s">
        <v>12</v>
      </c>
      <c r="G2924" s="1">
        <v>56330</v>
      </c>
      <c r="H2924" s="1">
        <v>1320182</v>
      </c>
      <c r="I2924" s="1">
        <v>23.436639784946234</v>
      </c>
      <c r="J2924" s="1">
        <v>55194.547147635785</v>
      </c>
      <c r="K2924" s="1">
        <v>27</v>
      </c>
      <c r="L2924" s="1">
        <v>27</v>
      </c>
      <c r="M2924" s="1">
        <v>23.918708427278929</v>
      </c>
      <c r="N2924" s="1">
        <v>1410300</v>
      </c>
    </row>
    <row r="2925" spans="1:14" x14ac:dyDescent="0.35">
      <c r="A2925" s="1" t="s">
        <v>123</v>
      </c>
      <c r="B2925" s="1">
        <v>202403</v>
      </c>
      <c r="C2925" s="1" t="str">
        <f>MID(analisis_productividad__4[[#This Row],[Periodo]],1,4)</f>
        <v>2024</v>
      </c>
      <c r="D2925" s="1" t="str">
        <f>MID(analisis_productividad__4[[#This Row],[Periodo]],5,2)</f>
        <v>03</v>
      </c>
      <c r="E2925" s="1" t="s">
        <v>9</v>
      </c>
      <c r="F2925" s="1" t="s">
        <v>9</v>
      </c>
      <c r="G2925" s="1">
        <v>56302</v>
      </c>
      <c r="H2925" s="1">
        <v>575259</v>
      </c>
      <c r="I2925" s="1">
        <v>10.217459677419358</v>
      </c>
      <c r="J2925" s="1">
        <v>0</v>
      </c>
      <c r="K2925" s="1">
        <v>11</v>
      </c>
      <c r="L2925" s="1">
        <v>10</v>
      </c>
      <c r="M2925" s="1"/>
      <c r="N2925" s="1">
        <v>0</v>
      </c>
    </row>
    <row r="2926" spans="1:14" x14ac:dyDescent="0.35">
      <c r="A2926" s="1" t="s">
        <v>111</v>
      </c>
      <c r="B2926" s="1">
        <v>202410</v>
      </c>
      <c r="C2926" s="1" t="str">
        <f>MID(analisis_productividad__4[[#This Row],[Periodo]],1,4)</f>
        <v>2024</v>
      </c>
      <c r="D2926" s="1" t="str">
        <f>MID(analisis_productividad__4[[#This Row],[Periodo]],5,2)</f>
        <v>10</v>
      </c>
      <c r="E2926" s="1" t="s">
        <v>34</v>
      </c>
      <c r="F2926" s="1" t="s">
        <v>35</v>
      </c>
      <c r="G2926" s="1">
        <v>56291</v>
      </c>
      <c r="H2926" s="1">
        <v>2211877</v>
      </c>
      <c r="I2926" s="1">
        <v>39.293756720430125</v>
      </c>
      <c r="J2926" s="1">
        <v>0</v>
      </c>
      <c r="K2926" s="1">
        <v>45.5</v>
      </c>
      <c r="L2926" s="1">
        <v>42.5</v>
      </c>
      <c r="M2926" s="1"/>
      <c r="N2926" s="1">
        <v>0</v>
      </c>
    </row>
    <row r="2927" spans="1:14" x14ac:dyDescent="0.35">
      <c r="A2927" s="1" t="s">
        <v>105</v>
      </c>
      <c r="B2927" s="1">
        <v>202408</v>
      </c>
      <c r="C2927" s="1" t="str">
        <f>MID(analisis_productividad__4[[#This Row],[Periodo]],1,4)</f>
        <v>2024</v>
      </c>
      <c r="D2927" s="1" t="str">
        <f>MID(analisis_productividad__4[[#This Row],[Periodo]],5,2)</f>
        <v>08</v>
      </c>
      <c r="E2927" s="1" t="s">
        <v>34</v>
      </c>
      <c r="F2927" s="1" t="s">
        <v>35</v>
      </c>
      <c r="G2927" s="1">
        <v>56285</v>
      </c>
      <c r="H2927" s="1">
        <v>2425269</v>
      </c>
      <c r="I2927" s="1">
        <v>43.08871639784946</v>
      </c>
      <c r="J2927" s="1">
        <v>0</v>
      </c>
      <c r="K2927" s="1">
        <v>33</v>
      </c>
      <c r="L2927" s="1">
        <v>31.5</v>
      </c>
      <c r="M2927" s="1"/>
      <c r="N2927" s="1">
        <v>0</v>
      </c>
    </row>
    <row r="2928" spans="1:14" x14ac:dyDescent="0.35">
      <c r="A2928" s="1" t="s">
        <v>117</v>
      </c>
      <c r="B2928" s="1">
        <v>202505</v>
      </c>
      <c r="C2928" s="1" t="str">
        <f>MID(analisis_productividad__4[[#This Row],[Periodo]],1,4)</f>
        <v>2025</v>
      </c>
      <c r="D2928" s="1" t="str">
        <f>MID(analisis_productividad__4[[#This Row],[Periodo]],5,2)</f>
        <v>05</v>
      </c>
      <c r="E2928" s="1" t="s">
        <v>104</v>
      </c>
      <c r="F2928" s="1" t="s">
        <v>104</v>
      </c>
      <c r="G2928" s="1">
        <v>56243</v>
      </c>
      <c r="H2928" s="1">
        <v>3486990</v>
      </c>
      <c r="I2928" s="1">
        <v>61.998689516129048</v>
      </c>
      <c r="J2928" s="1">
        <v>58345.721622917255</v>
      </c>
      <c r="K2928" s="1">
        <v>66</v>
      </c>
      <c r="L2928" s="1">
        <v>65.5</v>
      </c>
      <c r="M2928" s="1">
        <v>59.764285246758625</v>
      </c>
      <c r="N2928" s="1">
        <v>3708002</v>
      </c>
    </row>
    <row r="2929" spans="1:14" x14ac:dyDescent="0.35">
      <c r="A2929" s="1" t="s">
        <v>116</v>
      </c>
      <c r="B2929" s="1">
        <v>202506</v>
      </c>
      <c r="C2929" s="1" t="str">
        <f>MID(analisis_productividad__4[[#This Row],[Periodo]],1,4)</f>
        <v>2025</v>
      </c>
      <c r="D2929" s="1" t="str">
        <f>MID(analisis_productividad__4[[#This Row],[Periodo]],5,2)</f>
        <v>06</v>
      </c>
      <c r="E2929" s="1" t="s">
        <v>9</v>
      </c>
      <c r="F2929" s="1" t="s">
        <v>9</v>
      </c>
      <c r="G2929" s="1">
        <v>56207</v>
      </c>
      <c r="H2929" s="1">
        <v>580203</v>
      </c>
      <c r="I2929" s="1">
        <v>10.322569444444444</v>
      </c>
      <c r="J2929" s="1">
        <v>57488.604841056673</v>
      </c>
      <c r="K2929" s="1">
        <v>11.5</v>
      </c>
      <c r="L2929" s="1">
        <v>10</v>
      </c>
      <c r="M2929" s="1">
        <v>10.092479050485437</v>
      </c>
      <c r="N2929" s="1">
        <v>671559</v>
      </c>
    </row>
    <row r="2930" spans="1:14" x14ac:dyDescent="0.35">
      <c r="A2930" s="1" t="s">
        <v>53</v>
      </c>
      <c r="B2930" s="1">
        <v>202503</v>
      </c>
      <c r="C2930" s="1" t="str">
        <f>MID(analisis_productividad__4[[#This Row],[Periodo]],1,4)</f>
        <v>2025</v>
      </c>
      <c r="D2930" s="1" t="str">
        <f>MID(analisis_productividad__4[[#This Row],[Periodo]],5,2)</f>
        <v>03</v>
      </c>
      <c r="E2930" s="1" t="s">
        <v>11</v>
      </c>
      <c r="F2930" s="1" t="s">
        <v>12</v>
      </c>
      <c r="G2930" s="1">
        <v>56192</v>
      </c>
      <c r="H2930" s="1">
        <v>3832333</v>
      </c>
      <c r="I2930" s="1">
        <v>68.200463709677422</v>
      </c>
      <c r="J2930" s="1">
        <v>108413.73374939286</v>
      </c>
      <c r="K2930" s="1">
        <v>81</v>
      </c>
      <c r="L2930" s="1">
        <v>77</v>
      </c>
      <c r="M2930" s="1">
        <v>35.349148004244078</v>
      </c>
      <c r="N2930" s="1">
        <v>7890806</v>
      </c>
    </row>
    <row r="2931" spans="1:14" x14ac:dyDescent="0.35">
      <c r="A2931" s="1" t="s">
        <v>101</v>
      </c>
      <c r="B2931" s="1">
        <v>202506</v>
      </c>
      <c r="C2931" s="1" t="str">
        <f>MID(analisis_productividad__4[[#This Row],[Periodo]],1,4)</f>
        <v>2025</v>
      </c>
      <c r="D2931" s="1" t="str">
        <f>MID(analisis_productividad__4[[#This Row],[Periodo]],5,2)</f>
        <v>06</v>
      </c>
      <c r="E2931" s="1" t="s">
        <v>9</v>
      </c>
      <c r="F2931" s="1" t="s">
        <v>9</v>
      </c>
      <c r="G2931" s="1">
        <v>56187</v>
      </c>
      <c r="H2931" s="1">
        <v>330401</v>
      </c>
      <c r="I2931" s="1">
        <v>5.8803402777777789</v>
      </c>
      <c r="J2931" s="1">
        <v>40866.219376944224</v>
      </c>
      <c r="K2931" s="1">
        <v>8.5</v>
      </c>
      <c r="L2931" s="1">
        <v>6.5</v>
      </c>
      <c r="M2931" s="1">
        <v>8.0849365328470899</v>
      </c>
      <c r="N2931" s="1">
        <v>351802</v>
      </c>
    </row>
    <row r="2932" spans="1:14" x14ac:dyDescent="0.35">
      <c r="A2932" s="1" t="s">
        <v>109</v>
      </c>
      <c r="B2932" s="1">
        <v>202503</v>
      </c>
      <c r="C2932" s="1" t="str">
        <f>MID(analisis_productividad__4[[#This Row],[Periodo]],1,4)</f>
        <v>2025</v>
      </c>
      <c r="D2932" s="1" t="str">
        <f>MID(analisis_productividad__4[[#This Row],[Periodo]],5,2)</f>
        <v>03</v>
      </c>
      <c r="E2932" s="1" t="s">
        <v>9</v>
      </c>
      <c r="F2932" s="1" t="s">
        <v>9</v>
      </c>
      <c r="G2932" s="1">
        <v>56164</v>
      </c>
      <c r="H2932" s="1">
        <v>462706</v>
      </c>
      <c r="I2932" s="1">
        <v>8.2385483870967757</v>
      </c>
      <c r="J2932" s="1">
        <v>72722.227275524987</v>
      </c>
      <c r="K2932" s="1">
        <v>10</v>
      </c>
      <c r="L2932" s="1">
        <v>9</v>
      </c>
      <c r="M2932" s="1">
        <v>6.3626475334278698</v>
      </c>
      <c r="N2932" s="1">
        <v>579791</v>
      </c>
    </row>
    <row r="2933" spans="1:14" x14ac:dyDescent="0.35">
      <c r="A2933" s="1" t="s">
        <v>110</v>
      </c>
      <c r="B2933" s="1">
        <v>202505</v>
      </c>
      <c r="C2933" s="1" t="str">
        <f>MID(analisis_productividad__4[[#This Row],[Periodo]],1,4)</f>
        <v>2025</v>
      </c>
      <c r="D2933" s="1" t="str">
        <f>MID(analisis_productividad__4[[#This Row],[Periodo]],5,2)</f>
        <v>05</v>
      </c>
      <c r="E2933" s="1" t="s">
        <v>34</v>
      </c>
      <c r="F2933" s="1" t="s">
        <v>35</v>
      </c>
      <c r="G2933" s="1">
        <v>56071</v>
      </c>
      <c r="H2933" s="1">
        <v>2246607</v>
      </c>
      <c r="I2933" s="1">
        <v>40.067426075268799</v>
      </c>
      <c r="J2933" s="1">
        <v>61737.566329171008</v>
      </c>
      <c r="K2933" s="1">
        <v>41.5</v>
      </c>
      <c r="L2933" s="1">
        <v>43</v>
      </c>
      <c r="M2933" s="1">
        <v>36.38962180694962</v>
      </c>
      <c r="N2933" s="1">
        <v>2461996</v>
      </c>
    </row>
    <row r="2934" spans="1:14" x14ac:dyDescent="0.35">
      <c r="A2934" s="1" t="s">
        <v>115</v>
      </c>
      <c r="B2934" s="1">
        <v>202411</v>
      </c>
      <c r="C2934" s="1" t="str">
        <f>MID(analisis_productividad__4[[#This Row],[Periodo]],1,4)</f>
        <v>2024</v>
      </c>
      <c r="D2934" s="1" t="str">
        <f>MID(analisis_productividad__4[[#This Row],[Periodo]],5,2)</f>
        <v>11</v>
      </c>
      <c r="E2934" s="1" t="s">
        <v>34</v>
      </c>
      <c r="F2934" s="1" t="s">
        <v>35</v>
      </c>
      <c r="G2934" s="1">
        <v>56068</v>
      </c>
      <c r="H2934" s="1">
        <v>2902020</v>
      </c>
      <c r="I2934" s="1">
        <v>51.759361111111112</v>
      </c>
      <c r="J2934" s="1">
        <v>0</v>
      </c>
      <c r="K2934" s="1">
        <v>53.5</v>
      </c>
      <c r="L2934" s="1">
        <v>51</v>
      </c>
      <c r="M2934" s="1"/>
      <c r="N2934" s="1">
        <v>0</v>
      </c>
    </row>
    <row r="2935" spans="1:14" x14ac:dyDescent="0.35">
      <c r="A2935" s="1" t="s">
        <v>123</v>
      </c>
      <c r="B2935" s="1">
        <v>202503</v>
      </c>
      <c r="C2935" s="1" t="str">
        <f>MID(analisis_productividad__4[[#This Row],[Periodo]],1,4)</f>
        <v>2025</v>
      </c>
      <c r="D2935" s="1" t="str">
        <f>MID(analisis_productividad__4[[#This Row],[Periodo]],5,2)</f>
        <v>03</v>
      </c>
      <c r="E2935" s="1" t="s">
        <v>9</v>
      </c>
      <c r="F2935" s="1" t="s">
        <v>9</v>
      </c>
      <c r="G2935" s="1">
        <v>56015</v>
      </c>
      <c r="H2935" s="1">
        <v>559020</v>
      </c>
      <c r="I2935" s="1">
        <v>9.9797983870967748</v>
      </c>
      <c r="J2935" s="1">
        <v>59116.670979861301</v>
      </c>
      <c r="K2935" s="1">
        <v>11</v>
      </c>
      <c r="L2935" s="1">
        <v>10</v>
      </c>
      <c r="M2935" s="1">
        <v>9.4562112638317508</v>
      </c>
      <c r="N2935" s="1">
        <v>569805</v>
      </c>
    </row>
    <row r="2936" spans="1:14" x14ac:dyDescent="0.35">
      <c r="A2936" s="1" t="s">
        <v>115</v>
      </c>
      <c r="B2936" s="1">
        <v>202405</v>
      </c>
      <c r="C2936" s="1" t="str">
        <f>MID(analisis_productividad__4[[#This Row],[Periodo]],1,4)</f>
        <v>2024</v>
      </c>
      <c r="D2936" s="1" t="str">
        <f>MID(analisis_productividad__4[[#This Row],[Periodo]],5,2)</f>
        <v>05</v>
      </c>
      <c r="E2936" s="1" t="s">
        <v>34</v>
      </c>
      <c r="F2936" s="1" t="s">
        <v>35</v>
      </c>
      <c r="G2936" s="1">
        <v>55982</v>
      </c>
      <c r="H2936" s="1">
        <v>2975186</v>
      </c>
      <c r="I2936" s="1">
        <v>53.144959677419365</v>
      </c>
      <c r="J2936" s="1">
        <v>0</v>
      </c>
      <c r="K2936" s="1">
        <v>53.5</v>
      </c>
      <c r="L2936" s="1">
        <v>51</v>
      </c>
      <c r="M2936" s="1"/>
      <c r="N2936" s="1">
        <v>0</v>
      </c>
    </row>
    <row r="2937" spans="1:14" x14ac:dyDescent="0.35">
      <c r="A2937" s="1" t="s">
        <v>102</v>
      </c>
      <c r="B2937" s="1">
        <v>202507</v>
      </c>
      <c r="C2937" s="1" t="str">
        <f>MID(analisis_productividad__4[[#This Row],[Periodo]],1,4)</f>
        <v>2025</v>
      </c>
      <c r="D2937" s="1" t="str">
        <f>MID(analisis_productividad__4[[#This Row],[Periodo]],5,2)</f>
        <v>07</v>
      </c>
      <c r="E2937" s="1" t="s">
        <v>11</v>
      </c>
      <c r="F2937" s="1" t="s">
        <v>12</v>
      </c>
      <c r="G2937" s="1">
        <v>55949</v>
      </c>
      <c r="H2937" s="1">
        <v>1784607</v>
      </c>
      <c r="I2937" s="1">
        <v>31.896760752688181</v>
      </c>
      <c r="J2937" s="1">
        <v>64146.550653054837</v>
      </c>
      <c r="K2937" s="1">
        <v>34</v>
      </c>
      <c r="L2937" s="1">
        <v>34</v>
      </c>
      <c r="M2937" s="1">
        <v>27.820783687220946</v>
      </c>
      <c r="N2937" s="1">
        <v>1980355</v>
      </c>
    </row>
    <row r="2938" spans="1:14" x14ac:dyDescent="0.35">
      <c r="A2938" s="1" t="s">
        <v>117</v>
      </c>
      <c r="B2938" s="1">
        <v>202404</v>
      </c>
      <c r="C2938" s="1" t="str">
        <f>MID(analisis_productividad__4[[#This Row],[Periodo]],1,4)</f>
        <v>2024</v>
      </c>
      <c r="D2938" s="1" t="str">
        <f>MID(analisis_productividad__4[[#This Row],[Periodo]],5,2)</f>
        <v>04</v>
      </c>
      <c r="E2938" s="1" t="s">
        <v>104</v>
      </c>
      <c r="F2938" s="1" t="s">
        <v>104</v>
      </c>
      <c r="G2938" s="1">
        <v>55854</v>
      </c>
      <c r="H2938" s="1">
        <v>3434298</v>
      </c>
      <c r="I2938" s="1">
        <v>61.487222222222243</v>
      </c>
      <c r="J2938" s="1">
        <v>0</v>
      </c>
      <c r="K2938" s="1">
        <v>66</v>
      </c>
      <c r="L2938" s="1">
        <v>65.5</v>
      </c>
      <c r="M2938" s="1"/>
      <c r="N2938" s="1">
        <v>0</v>
      </c>
    </row>
    <row r="2939" spans="1:14" x14ac:dyDescent="0.35">
      <c r="A2939" s="1" t="s">
        <v>105</v>
      </c>
      <c r="B2939" s="1">
        <v>202602</v>
      </c>
      <c r="C2939" s="1" t="str">
        <f>MID(analisis_productividad__4[[#This Row],[Periodo]],1,4)</f>
        <v>2026</v>
      </c>
      <c r="D2939" s="1" t="str">
        <f>MID(analisis_productividad__4[[#This Row],[Periodo]],5,2)</f>
        <v>02</v>
      </c>
      <c r="E2939" s="1" t="s">
        <v>34</v>
      </c>
      <c r="F2939" s="1" t="s">
        <v>35</v>
      </c>
      <c r="G2939" s="1">
        <v>55835</v>
      </c>
      <c r="H2939" s="1">
        <v>1759321</v>
      </c>
      <c r="I2939" s="1">
        <v>31.509010416666662</v>
      </c>
      <c r="J2939" s="1">
        <v>0</v>
      </c>
      <c r="K2939" s="1">
        <v>33</v>
      </c>
      <c r="L2939" s="1">
        <v>31.5</v>
      </c>
      <c r="M2939" s="1">
        <v>35.22317754154448</v>
      </c>
      <c r="N2939" s="1">
        <v>0</v>
      </c>
    </row>
    <row r="2940" spans="1:14" x14ac:dyDescent="0.35">
      <c r="A2940" s="1" t="s">
        <v>125</v>
      </c>
      <c r="B2940" s="1">
        <v>202408</v>
      </c>
      <c r="C2940" s="1" t="str">
        <f>MID(analisis_productividad__4[[#This Row],[Periodo]],1,4)</f>
        <v>2024</v>
      </c>
      <c r="D2940" s="1" t="str">
        <f>MID(analisis_productividad__4[[#This Row],[Periodo]],5,2)</f>
        <v>08</v>
      </c>
      <c r="E2940" s="1" t="s">
        <v>104</v>
      </c>
      <c r="F2940" s="1" t="s">
        <v>104</v>
      </c>
      <c r="G2940" s="1">
        <v>55829</v>
      </c>
      <c r="H2940" s="1">
        <v>2654467</v>
      </c>
      <c r="I2940" s="1">
        <v>47.54608870967742</v>
      </c>
      <c r="J2940" s="1">
        <v>0</v>
      </c>
      <c r="K2940" s="1">
        <v>59</v>
      </c>
      <c r="L2940" s="1">
        <v>50</v>
      </c>
      <c r="M2940" s="1"/>
      <c r="N2940" s="1">
        <v>0</v>
      </c>
    </row>
    <row r="2941" spans="1:14" x14ac:dyDescent="0.35">
      <c r="A2941" s="1" t="s">
        <v>111</v>
      </c>
      <c r="B2941" s="1">
        <v>202504</v>
      </c>
      <c r="C2941" s="1" t="str">
        <f>MID(analisis_productividad__4[[#This Row],[Periodo]],1,4)</f>
        <v>2025</v>
      </c>
      <c r="D2941" s="1" t="str">
        <f>MID(analisis_productividad__4[[#This Row],[Periodo]],5,2)</f>
        <v>04</v>
      </c>
      <c r="E2941" s="1" t="s">
        <v>34</v>
      </c>
      <c r="F2941" s="1" t="s">
        <v>35</v>
      </c>
      <c r="G2941" s="1">
        <v>55825</v>
      </c>
      <c r="H2941" s="1">
        <v>2270465</v>
      </c>
      <c r="I2941" s="1">
        <v>40.671312499999999</v>
      </c>
      <c r="J2941" s="1">
        <v>59517.507816022735</v>
      </c>
      <c r="K2941" s="1">
        <v>45.5</v>
      </c>
      <c r="L2941" s="1">
        <v>42.5</v>
      </c>
      <c r="M2941" s="1">
        <v>38.147845286437999</v>
      </c>
      <c r="N2941" s="1">
        <v>2359859</v>
      </c>
    </row>
    <row r="2942" spans="1:14" x14ac:dyDescent="0.35">
      <c r="A2942" s="1" t="s">
        <v>113</v>
      </c>
      <c r="B2942" s="1">
        <v>202402</v>
      </c>
      <c r="C2942" s="1" t="str">
        <f>MID(analisis_productividad__4[[#This Row],[Periodo]],1,4)</f>
        <v>2024</v>
      </c>
      <c r="D2942" s="1" t="str">
        <f>MID(analisis_productividad__4[[#This Row],[Periodo]],5,2)</f>
        <v>02</v>
      </c>
      <c r="E2942" s="1" t="s">
        <v>9</v>
      </c>
      <c r="F2942" s="1" t="s">
        <v>9</v>
      </c>
      <c r="G2942" s="1">
        <v>55782</v>
      </c>
      <c r="H2942" s="1">
        <v>591880</v>
      </c>
      <c r="I2942" s="1">
        <v>10.610682471264372</v>
      </c>
      <c r="J2942" s="1">
        <v>0</v>
      </c>
      <c r="K2942" s="1">
        <v>11.5</v>
      </c>
      <c r="L2942" s="1">
        <v>10</v>
      </c>
      <c r="M2942" s="1"/>
      <c r="N2942" s="1">
        <v>0</v>
      </c>
    </row>
    <row r="2943" spans="1:14" x14ac:dyDescent="0.35">
      <c r="A2943" s="1" t="s">
        <v>123</v>
      </c>
      <c r="B2943" s="1">
        <v>202507</v>
      </c>
      <c r="C2943" s="1" t="str">
        <f>MID(analisis_productividad__4[[#This Row],[Periodo]],1,4)</f>
        <v>2025</v>
      </c>
      <c r="D2943" s="1" t="str">
        <f>MID(analisis_productividad__4[[#This Row],[Periodo]],5,2)</f>
        <v>07</v>
      </c>
      <c r="E2943" s="1" t="s">
        <v>9</v>
      </c>
      <c r="F2943" s="1" t="s">
        <v>9</v>
      </c>
      <c r="G2943" s="1">
        <v>55749</v>
      </c>
      <c r="H2943" s="1">
        <v>530101</v>
      </c>
      <c r="I2943" s="1">
        <v>9.5086626344086014</v>
      </c>
      <c r="J2943" s="1">
        <v>62830.530498924185</v>
      </c>
      <c r="K2943" s="1">
        <v>11</v>
      </c>
      <c r="L2943" s="1">
        <v>10</v>
      </c>
      <c r="M2943" s="1">
        <v>8.4369965650548941</v>
      </c>
      <c r="N2943" s="1">
        <v>582630</v>
      </c>
    </row>
    <row r="2944" spans="1:14" x14ac:dyDescent="0.35">
      <c r="A2944" s="1" t="s">
        <v>125</v>
      </c>
      <c r="B2944" s="1">
        <v>202412</v>
      </c>
      <c r="C2944" s="1" t="str">
        <f>MID(analisis_productividad__4[[#This Row],[Periodo]],1,4)</f>
        <v>2024</v>
      </c>
      <c r="D2944" s="1" t="str">
        <f>MID(analisis_productividad__4[[#This Row],[Periodo]],5,2)</f>
        <v>12</v>
      </c>
      <c r="E2944" s="1" t="s">
        <v>104</v>
      </c>
      <c r="F2944" s="1" t="s">
        <v>104</v>
      </c>
      <c r="G2944" s="1">
        <v>55741</v>
      </c>
      <c r="H2944" s="1">
        <v>3150704</v>
      </c>
      <c r="I2944" s="1">
        <v>56.524341397849476</v>
      </c>
      <c r="J2944" s="1">
        <v>0</v>
      </c>
      <c r="K2944" s="1">
        <v>59</v>
      </c>
      <c r="L2944" s="1">
        <v>50</v>
      </c>
      <c r="M2944" s="1"/>
      <c r="N2944" s="1">
        <v>0</v>
      </c>
    </row>
    <row r="2945" spans="1:14" x14ac:dyDescent="0.35">
      <c r="A2945" s="1" t="s">
        <v>125</v>
      </c>
      <c r="B2945" s="1">
        <v>202604</v>
      </c>
      <c r="C2945" s="1" t="str">
        <f>MID(analisis_productividad__4[[#This Row],[Periodo]],1,4)</f>
        <v>2026</v>
      </c>
      <c r="D2945" s="1" t="str">
        <f>MID(analisis_productividad__4[[#This Row],[Periodo]],5,2)</f>
        <v>04</v>
      </c>
      <c r="E2945" s="1" t="s">
        <v>104</v>
      </c>
      <c r="F2945" s="1" t="s">
        <v>104</v>
      </c>
      <c r="G2945" s="1">
        <v>55694</v>
      </c>
      <c r="H2945" s="1">
        <v>2791217</v>
      </c>
      <c r="I2945" s="1">
        <v>50.116840277777619</v>
      </c>
      <c r="J2945" s="1">
        <v>56175.846823394902</v>
      </c>
      <c r="K2945" s="1">
        <v>59</v>
      </c>
      <c r="L2945" s="1">
        <v>50</v>
      </c>
      <c r="M2945" s="1">
        <v>50.48039166574727</v>
      </c>
      <c r="N2945" s="1">
        <v>2835779</v>
      </c>
    </row>
    <row r="2946" spans="1:14" x14ac:dyDescent="0.35">
      <c r="A2946" s="1" t="s">
        <v>114</v>
      </c>
      <c r="B2946" s="1">
        <v>202501</v>
      </c>
      <c r="C2946" s="1" t="str">
        <f>MID(analisis_productividad__4[[#This Row],[Periodo]],1,4)</f>
        <v>2025</v>
      </c>
      <c r="D2946" s="1" t="str">
        <f>MID(analisis_productividad__4[[#This Row],[Periodo]],5,2)</f>
        <v>01</v>
      </c>
      <c r="E2946" s="1" t="s">
        <v>9</v>
      </c>
      <c r="F2946" s="1" t="s">
        <v>9</v>
      </c>
      <c r="G2946" s="1">
        <v>55690</v>
      </c>
      <c r="H2946" s="1">
        <v>721674</v>
      </c>
      <c r="I2946" s="1">
        <v>12.958797043010756</v>
      </c>
      <c r="J2946" s="1">
        <v>77679.527704463311</v>
      </c>
      <c r="K2946" s="1">
        <v>13.5</v>
      </c>
      <c r="L2946" s="1">
        <v>14.5</v>
      </c>
      <c r="M2946" s="1">
        <v>9.290395054223973</v>
      </c>
      <c r="N2946" s="1">
        <v>1010802</v>
      </c>
    </row>
    <row r="2947" spans="1:14" x14ac:dyDescent="0.35">
      <c r="A2947" s="1" t="s">
        <v>113</v>
      </c>
      <c r="B2947" s="1">
        <v>202411</v>
      </c>
      <c r="C2947" s="1" t="str">
        <f>MID(analisis_productividad__4[[#This Row],[Periodo]],1,4)</f>
        <v>2024</v>
      </c>
      <c r="D2947" s="1" t="str">
        <f>MID(analisis_productividad__4[[#This Row],[Periodo]],5,2)</f>
        <v>11</v>
      </c>
      <c r="E2947" s="1" t="s">
        <v>9</v>
      </c>
      <c r="F2947" s="1" t="s">
        <v>9</v>
      </c>
      <c r="G2947" s="1">
        <v>55652</v>
      </c>
      <c r="H2947" s="1">
        <v>577213</v>
      </c>
      <c r="I2947" s="1">
        <v>10.371812499999999</v>
      </c>
      <c r="J2947" s="1">
        <v>0</v>
      </c>
      <c r="K2947" s="1">
        <v>11.5</v>
      </c>
      <c r="L2947" s="1">
        <v>10</v>
      </c>
      <c r="M2947" s="1"/>
      <c r="N2947" s="1">
        <v>0</v>
      </c>
    </row>
    <row r="2948" spans="1:14" x14ac:dyDescent="0.35">
      <c r="A2948" s="1" t="s">
        <v>126</v>
      </c>
      <c r="B2948" s="1">
        <v>202411</v>
      </c>
      <c r="C2948" s="1" t="str">
        <f>MID(analisis_productividad__4[[#This Row],[Periodo]],1,4)</f>
        <v>2024</v>
      </c>
      <c r="D2948" s="1" t="str">
        <f>MID(analisis_productividad__4[[#This Row],[Periodo]],5,2)</f>
        <v>11</v>
      </c>
      <c r="E2948" s="1" t="s">
        <v>104</v>
      </c>
      <c r="F2948" s="1" t="s">
        <v>104</v>
      </c>
      <c r="G2948" s="1">
        <v>55642</v>
      </c>
      <c r="H2948" s="1">
        <v>3136557</v>
      </c>
      <c r="I2948" s="1">
        <v>56.370125000000002</v>
      </c>
      <c r="J2948" s="1">
        <v>0</v>
      </c>
      <c r="K2948" s="1">
        <v>64.5</v>
      </c>
      <c r="L2948" s="1">
        <v>61</v>
      </c>
      <c r="M2948" s="1"/>
      <c r="N2948" s="1">
        <v>0</v>
      </c>
    </row>
    <row r="2949" spans="1:14" x14ac:dyDescent="0.35">
      <c r="A2949" s="1" t="s">
        <v>117</v>
      </c>
      <c r="B2949" s="1">
        <v>202405</v>
      </c>
      <c r="C2949" s="1" t="str">
        <f>MID(analisis_productividad__4[[#This Row],[Periodo]],1,4)</f>
        <v>2024</v>
      </c>
      <c r="D2949" s="1" t="str">
        <f>MID(analisis_productividad__4[[#This Row],[Periodo]],5,2)</f>
        <v>05</v>
      </c>
      <c r="E2949" s="1" t="s">
        <v>104</v>
      </c>
      <c r="F2949" s="1" t="s">
        <v>104</v>
      </c>
      <c r="G2949" s="1">
        <v>55567</v>
      </c>
      <c r="H2949" s="1">
        <v>3517220</v>
      </c>
      <c r="I2949" s="1">
        <v>63.296512096774173</v>
      </c>
      <c r="J2949" s="1">
        <v>0</v>
      </c>
      <c r="K2949" s="1">
        <v>66</v>
      </c>
      <c r="L2949" s="1">
        <v>65.5</v>
      </c>
      <c r="M2949" s="1"/>
      <c r="N2949" s="1">
        <v>0</v>
      </c>
    </row>
    <row r="2950" spans="1:14" x14ac:dyDescent="0.35">
      <c r="A2950" s="1" t="s">
        <v>127</v>
      </c>
      <c r="B2950" s="1">
        <v>202410</v>
      </c>
      <c r="C2950" s="1" t="str">
        <f>MID(analisis_productividad__4[[#This Row],[Periodo]],1,4)</f>
        <v>2024</v>
      </c>
      <c r="D2950" s="1" t="str">
        <f>MID(analisis_productividad__4[[#This Row],[Periodo]],5,2)</f>
        <v>10</v>
      </c>
      <c r="E2950" s="1" t="s">
        <v>104</v>
      </c>
      <c r="F2950" s="1" t="s">
        <v>104</v>
      </c>
      <c r="G2950" s="1">
        <v>55551</v>
      </c>
      <c r="H2950" s="1">
        <v>3261201</v>
      </c>
      <c r="I2950" s="1">
        <v>58.706290322580656</v>
      </c>
      <c r="J2950" s="1">
        <v>0</v>
      </c>
      <c r="K2950" s="1">
        <v>61.5</v>
      </c>
      <c r="L2950" s="1">
        <v>56</v>
      </c>
      <c r="M2950" s="1"/>
      <c r="N2950" s="1">
        <v>0</v>
      </c>
    </row>
    <row r="2951" spans="1:14" x14ac:dyDescent="0.35">
      <c r="A2951" s="1" t="s">
        <v>113</v>
      </c>
      <c r="B2951" s="1">
        <v>202410</v>
      </c>
      <c r="C2951" s="1" t="str">
        <f>MID(analisis_productividad__4[[#This Row],[Periodo]],1,4)</f>
        <v>2024</v>
      </c>
      <c r="D2951" s="1" t="str">
        <f>MID(analisis_productividad__4[[#This Row],[Periodo]],5,2)</f>
        <v>10</v>
      </c>
      <c r="E2951" s="1" t="s">
        <v>9</v>
      </c>
      <c r="F2951" s="1" t="s">
        <v>9</v>
      </c>
      <c r="G2951" s="1">
        <v>55547</v>
      </c>
      <c r="H2951" s="1">
        <v>593648</v>
      </c>
      <c r="I2951" s="1">
        <v>10.687372311827961</v>
      </c>
      <c r="J2951" s="1">
        <v>0</v>
      </c>
      <c r="K2951" s="1">
        <v>11.5</v>
      </c>
      <c r="L2951" s="1">
        <v>10</v>
      </c>
      <c r="M2951" s="1"/>
      <c r="N2951" s="1">
        <v>0</v>
      </c>
    </row>
    <row r="2952" spans="1:14" x14ac:dyDescent="0.35">
      <c r="A2952" s="1" t="s">
        <v>115</v>
      </c>
      <c r="B2952" s="1">
        <v>202506</v>
      </c>
      <c r="C2952" s="1" t="str">
        <f>MID(analisis_productividad__4[[#This Row],[Periodo]],1,4)</f>
        <v>2025</v>
      </c>
      <c r="D2952" s="1" t="str">
        <f>MID(analisis_productividad__4[[#This Row],[Periodo]],5,2)</f>
        <v>06</v>
      </c>
      <c r="E2952" s="1" t="s">
        <v>34</v>
      </c>
      <c r="F2952" s="1" t="s">
        <v>35</v>
      </c>
      <c r="G2952" s="1">
        <v>55536</v>
      </c>
      <c r="H2952" s="1">
        <v>2831452</v>
      </c>
      <c r="I2952" s="1">
        <v>50.984305555555572</v>
      </c>
      <c r="J2952" s="1">
        <v>61792.922311830793</v>
      </c>
      <c r="K2952" s="1">
        <v>53.5</v>
      </c>
      <c r="L2952" s="1">
        <v>51</v>
      </c>
      <c r="M2952" s="1">
        <v>45.821615066389157</v>
      </c>
      <c r="N2952" s="1">
        <v>3122899</v>
      </c>
    </row>
    <row r="2953" spans="1:14" x14ac:dyDescent="0.35">
      <c r="A2953" s="1" t="s">
        <v>99</v>
      </c>
      <c r="B2953" s="1">
        <v>202507</v>
      </c>
      <c r="C2953" s="1" t="str">
        <f>MID(analisis_productividad__4[[#This Row],[Periodo]],1,4)</f>
        <v>2025</v>
      </c>
      <c r="D2953" s="1" t="str">
        <f>MID(analisis_productividad__4[[#This Row],[Periodo]],5,2)</f>
        <v>07</v>
      </c>
      <c r="E2953" s="1" t="s">
        <v>11</v>
      </c>
      <c r="F2953" s="1" t="s">
        <v>12</v>
      </c>
      <c r="G2953" s="1">
        <v>55505</v>
      </c>
      <c r="H2953" s="1">
        <v>1362206</v>
      </c>
      <c r="I2953" s="1">
        <v>24.542197580645162</v>
      </c>
      <c r="J2953" s="1">
        <v>63500.178687711879</v>
      </c>
      <c r="K2953" s="1">
        <v>27</v>
      </c>
      <c r="L2953" s="1">
        <v>27</v>
      </c>
      <c r="M2953" s="1">
        <v>21.451996642390629</v>
      </c>
      <c r="N2953" s="1">
        <v>1636044</v>
      </c>
    </row>
    <row r="2954" spans="1:14" x14ac:dyDescent="0.35">
      <c r="A2954" s="1" t="s">
        <v>115</v>
      </c>
      <c r="B2954" s="1">
        <v>202502</v>
      </c>
      <c r="C2954" s="1" t="str">
        <f>MID(analisis_productividad__4[[#This Row],[Periodo]],1,4)</f>
        <v>2025</v>
      </c>
      <c r="D2954" s="1" t="str">
        <f>MID(analisis_productividad__4[[#This Row],[Periodo]],5,2)</f>
        <v>02</v>
      </c>
      <c r="E2954" s="1" t="s">
        <v>34</v>
      </c>
      <c r="F2954" s="1" t="s">
        <v>35</v>
      </c>
      <c r="G2954" s="1">
        <v>55474</v>
      </c>
      <c r="H2954" s="1">
        <v>2759308</v>
      </c>
      <c r="I2954" s="1">
        <v>49.740937500000015</v>
      </c>
      <c r="J2954" s="1">
        <v>56581.515085422114</v>
      </c>
      <c r="K2954" s="1">
        <v>53.5</v>
      </c>
      <c r="L2954" s="1">
        <v>51</v>
      </c>
      <c r="M2954" s="1">
        <v>48.766948460715902</v>
      </c>
      <c r="N2954" s="1">
        <v>2867029</v>
      </c>
    </row>
    <row r="2955" spans="1:14" x14ac:dyDescent="0.35">
      <c r="A2955" s="1" t="s">
        <v>99</v>
      </c>
      <c r="B2955" s="1">
        <v>202405</v>
      </c>
      <c r="C2955" s="1" t="str">
        <f>MID(analisis_productividad__4[[#This Row],[Periodo]],1,4)</f>
        <v>2024</v>
      </c>
      <c r="D2955" s="1" t="str">
        <f>MID(analisis_productividad__4[[#This Row],[Periodo]],5,2)</f>
        <v>05</v>
      </c>
      <c r="E2955" s="1" t="s">
        <v>11</v>
      </c>
      <c r="F2955" s="1" t="s">
        <v>12</v>
      </c>
      <c r="G2955" s="1">
        <v>55416</v>
      </c>
      <c r="H2955" s="1">
        <v>1447339</v>
      </c>
      <c r="I2955" s="1">
        <v>26.117950268817204</v>
      </c>
      <c r="J2955" s="1">
        <v>0</v>
      </c>
      <c r="K2955" s="1">
        <v>27</v>
      </c>
      <c r="L2955" s="1">
        <v>27</v>
      </c>
      <c r="M2955" s="1"/>
      <c r="N2955" s="1">
        <v>0</v>
      </c>
    </row>
    <row r="2956" spans="1:14" x14ac:dyDescent="0.35">
      <c r="A2956" s="1" t="s">
        <v>96</v>
      </c>
      <c r="B2956" s="1">
        <v>202601</v>
      </c>
      <c r="C2956" s="1" t="str">
        <f>MID(analisis_productividad__4[[#This Row],[Periodo]],1,4)</f>
        <v>2026</v>
      </c>
      <c r="D2956" s="1" t="str">
        <f>MID(analisis_productividad__4[[#This Row],[Periodo]],5,2)</f>
        <v>01</v>
      </c>
      <c r="E2956" s="1" t="s">
        <v>16</v>
      </c>
      <c r="F2956" s="1" t="s">
        <v>17</v>
      </c>
      <c r="G2956" s="1">
        <v>55382</v>
      </c>
      <c r="H2956" s="1">
        <v>5190041</v>
      </c>
      <c r="I2956" s="1">
        <v>93.712735215053755</v>
      </c>
      <c r="J2956" s="1">
        <v>63106.890682142861</v>
      </c>
      <c r="K2956" s="1">
        <v>84</v>
      </c>
      <c r="L2956" s="1">
        <v>76.5</v>
      </c>
      <c r="M2956" s="1">
        <v>84</v>
      </c>
      <c r="N2956" s="1">
        <v>5300979</v>
      </c>
    </row>
    <row r="2957" spans="1:14" x14ac:dyDescent="0.35">
      <c r="A2957" s="1" t="s">
        <v>102</v>
      </c>
      <c r="B2957" s="1">
        <v>202510</v>
      </c>
      <c r="C2957" s="1" t="str">
        <f>MID(analisis_productividad__4[[#This Row],[Periodo]],1,4)</f>
        <v>2025</v>
      </c>
      <c r="D2957" s="1" t="str">
        <f>MID(analisis_productividad__4[[#This Row],[Periodo]],5,2)</f>
        <v>10</v>
      </c>
      <c r="E2957" s="1" t="s">
        <v>11</v>
      </c>
      <c r="F2957" s="1" t="s">
        <v>12</v>
      </c>
      <c r="G2957" s="1">
        <v>55337</v>
      </c>
      <c r="H2957" s="1">
        <v>1548136</v>
      </c>
      <c r="I2957" s="1">
        <v>27.9764314516129</v>
      </c>
      <c r="J2957" s="1">
        <v>62802.03825678015</v>
      </c>
      <c r="K2957" s="1">
        <v>34</v>
      </c>
      <c r="L2957" s="1">
        <v>34</v>
      </c>
      <c r="M2957" s="1">
        <v>24.651048484606509</v>
      </c>
      <c r="N2957" s="1">
        <v>1843702</v>
      </c>
    </row>
    <row r="2958" spans="1:14" x14ac:dyDescent="0.35">
      <c r="A2958" s="1" t="s">
        <v>111</v>
      </c>
      <c r="B2958" s="1">
        <v>202409</v>
      </c>
      <c r="C2958" s="1" t="str">
        <f>MID(analisis_productividad__4[[#This Row],[Periodo]],1,4)</f>
        <v>2024</v>
      </c>
      <c r="D2958" s="1" t="str">
        <f>MID(analisis_productividad__4[[#This Row],[Periodo]],5,2)</f>
        <v>09</v>
      </c>
      <c r="E2958" s="1" t="s">
        <v>34</v>
      </c>
      <c r="F2958" s="1" t="s">
        <v>35</v>
      </c>
      <c r="G2958" s="1">
        <v>55292</v>
      </c>
      <c r="H2958" s="1">
        <v>2159285</v>
      </c>
      <c r="I2958" s="1">
        <v>39.052270833333331</v>
      </c>
      <c r="J2958" s="1">
        <v>0</v>
      </c>
      <c r="K2958" s="1">
        <v>45.5</v>
      </c>
      <c r="L2958" s="1">
        <v>42.5</v>
      </c>
      <c r="M2958" s="1"/>
      <c r="N2958" s="1">
        <v>0</v>
      </c>
    </row>
    <row r="2959" spans="1:14" x14ac:dyDescent="0.35">
      <c r="A2959" s="1" t="s">
        <v>118</v>
      </c>
      <c r="B2959" s="1">
        <v>202606</v>
      </c>
      <c r="C2959" s="1" t="str">
        <f>MID(analisis_productividad__4[[#This Row],[Periodo]],1,4)</f>
        <v>2026</v>
      </c>
      <c r="D2959" s="1" t="str">
        <f>MID(analisis_productividad__4[[#This Row],[Periodo]],5,2)</f>
        <v>06</v>
      </c>
      <c r="E2959" s="1" t="s">
        <v>34</v>
      </c>
      <c r="F2959" s="1" t="s">
        <v>35</v>
      </c>
      <c r="G2959" s="1">
        <v>55283</v>
      </c>
      <c r="H2959" s="1">
        <v>1010006</v>
      </c>
      <c r="I2959" s="1">
        <v>18.269611111111111</v>
      </c>
      <c r="J2959" s="1">
        <v>56402.980724945439</v>
      </c>
      <c r="K2959" s="1">
        <v>19</v>
      </c>
      <c r="L2959" s="1">
        <v>21.5</v>
      </c>
      <c r="M2959" s="1">
        <v>17.464859694273773</v>
      </c>
      <c r="N2959" s="1">
        <v>985070</v>
      </c>
    </row>
    <row r="2960" spans="1:14" x14ac:dyDescent="0.35">
      <c r="A2960" s="1" t="s">
        <v>126</v>
      </c>
      <c r="B2960" s="1">
        <v>202408</v>
      </c>
      <c r="C2960" s="1" t="str">
        <f>MID(analisis_productividad__4[[#This Row],[Periodo]],1,4)</f>
        <v>2024</v>
      </c>
      <c r="D2960" s="1" t="str">
        <f>MID(analisis_productividad__4[[#This Row],[Periodo]],5,2)</f>
        <v>08</v>
      </c>
      <c r="E2960" s="1" t="s">
        <v>104</v>
      </c>
      <c r="F2960" s="1" t="s">
        <v>104</v>
      </c>
      <c r="G2960" s="1">
        <v>55271</v>
      </c>
      <c r="H2960" s="1">
        <v>3115724</v>
      </c>
      <c r="I2960" s="1">
        <v>56.371969086021494</v>
      </c>
      <c r="J2960" s="1">
        <v>0</v>
      </c>
      <c r="K2960" s="1">
        <v>64.5</v>
      </c>
      <c r="L2960" s="1">
        <v>61</v>
      </c>
      <c r="M2960" s="1"/>
      <c r="N2960" s="1">
        <v>0</v>
      </c>
    </row>
    <row r="2961" spans="1:14" x14ac:dyDescent="0.35">
      <c r="A2961" s="1" t="s">
        <v>119</v>
      </c>
      <c r="B2961" s="1">
        <v>202606</v>
      </c>
      <c r="C2961" s="1" t="str">
        <f>MID(analisis_productividad__4[[#This Row],[Periodo]],1,4)</f>
        <v>2026</v>
      </c>
      <c r="D2961" s="1" t="str">
        <f>MID(analisis_productividad__4[[#This Row],[Periodo]],5,2)</f>
        <v>06</v>
      </c>
      <c r="E2961" s="1" t="s">
        <v>16</v>
      </c>
      <c r="F2961" s="1" t="s">
        <v>21</v>
      </c>
      <c r="G2961" s="1">
        <v>55258</v>
      </c>
      <c r="H2961" s="1">
        <v>2298744</v>
      </c>
      <c r="I2961" s="1">
        <v>41.599930555555247</v>
      </c>
      <c r="J2961" s="1">
        <v>67502.263150044862</v>
      </c>
      <c r="K2961" s="1">
        <v>52.5</v>
      </c>
      <c r="L2961" s="1">
        <v>52.5</v>
      </c>
      <c r="M2961" s="1">
        <v>46.965208254619732</v>
      </c>
      <c r="N2961" s="1">
        <v>3170258</v>
      </c>
    </row>
    <row r="2962" spans="1:14" x14ac:dyDescent="0.35">
      <c r="A2962" s="1" t="s">
        <v>96</v>
      </c>
      <c r="B2962" s="1">
        <v>202602</v>
      </c>
      <c r="C2962" s="1" t="str">
        <f>MID(analisis_productividad__4[[#This Row],[Periodo]],1,4)</f>
        <v>2026</v>
      </c>
      <c r="D2962" s="1" t="str">
        <f>MID(analisis_productividad__4[[#This Row],[Periodo]],5,2)</f>
        <v>02</v>
      </c>
      <c r="E2962" s="1" t="s">
        <v>16</v>
      </c>
      <c r="F2962" s="1" t="s">
        <v>17</v>
      </c>
      <c r="G2962" s="1">
        <v>55258</v>
      </c>
      <c r="H2962" s="1">
        <v>4870628</v>
      </c>
      <c r="I2962" s="1">
        <v>88.143854166666642</v>
      </c>
      <c r="J2962" s="1">
        <v>59438.87782500001</v>
      </c>
      <c r="K2962" s="1">
        <v>84</v>
      </c>
      <c r="L2962" s="1">
        <v>76.5</v>
      </c>
      <c r="M2962" s="1">
        <v>84</v>
      </c>
      <c r="N2962" s="1">
        <v>4992866</v>
      </c>
    </row>
    <row r="2963" spans="1:14" x14ac:dyDescent="0.35">
      <c r="A2963" s="1" t="s">
        <v>101</v>
      </c>
      <c r="B2963" s="1">
        <v>202505</v>
      </c>
      <c r="C2963" s="1" t="str">
        <f>MID(analisis_productividad__4[[#This Row],[Periodo]],1,4)</f>
        <v>2025</v>
      </c>
      <c r="D2963" s="1" t="str">
        <f>MID(analisis_productividad__4[[#This Row],[Periodo]],5,2)</f>
        <v>05</v>
      </c>
      <c r="E2963" s="1" t="s">
        <v>9</v>
      </c>
      <c r="F2963" s="1" t="s">
        <v>9</v>
      </c>
      <c r="G2963" s="1">
        <v>55241</v>
      </c>
      <c r="H2963" s="1">
        <v>342288</v>
      </c>
      <c r="I2963" s="1">
        <v>6.1962231182795708</v>
      </c>
      <c r="J2963" s="1">
        <v>45616.301672195514</v>
      </c>
      <c r="K2963" s="1">
        <v>8.5</v>
      </c>
      <c r="L2963" s="1">
        <v>6.5</v>
      </c>
      <c r="M2963" s="1">
        <v>7.5036232103979259</v>
      </c>
      <c r="N2963" s="1">
        <v>352859</v>
      </c>
    </row>
    <row r="2964" spans="1:14" x14ac:dyDescent="0.35">
      <c r="A2964" s="1" t="s">
        <v>112</v>
      </c>
      <c r="B2964" s="1">
        <v>202602</v>
      </c>
      <c r="C2964" s="1" t="str">
        <f>MID(analisis_productividad__4[[#This Row],[Periodo]],1,4)</f>
        <v>2026</v>
      </c>
      <c r="D2964" s="1" t="str">
        <f>MID(analisis_productividad__4[[#This Row],[Periodo]],5,2)</f>
        <v>02</v>
      </c>
      <c r="E2964" s="1" t="s">
        <v>34</v>
      </c>
      <c r="F2964" s="1" t="s">
        <v>35</v>
      </c>
      <c r="G2964" s="1">
        <v>55233</v>
      </c>
      <c r="H2964" s="1">
        <v>1400399</v>
      </c>
      <c r="I2964" s="1">
        <v>25.354583333333334</v>
      </c>
      <c r="J2964" s="1">
        <v>56925.586794897972</v>
      </c>
      <c r="K2964" s="1">
        <v>31</v>
      </c>
      <c r="L2964" s="1">
        <v>27</v>
      </c>
      <c r="M2964" s="1">
        <v>27.070532526124346</v>
      </c>
      <c r="N2964" s="1">
        <v>1541006</v>
      </c>
    </row>
    <row r="2965" spans="1:14" x14ac:dyDescent="0.35">
      <c r="A2965" s="1" t="s">
        <v>108</v>
      </c>
      <c r="B2965" s="1">
        <v>202406</v>
      </c>
      <c r="C2965" s="1" t="str">
        <f>MID(analisis_productividad__4[[#This Row],[Periodo]],1,4)</f>
        <v>2024</v>
      </c>
      <c r="D2965" s="1" t="str">
        <f>MID(analisis_productividad__4[[#This Row],[Periodo]],5,2)</f>
        <v>06</v>
      </c>
      <c r="E2965" s="1" t="s">
        <v>11</v>
      </c>
      <c r="F2965" s="1" t="s">
        <v>14</v>
      </c>
      <c r="G2965" s="1">
        <v>55151</v>
      </c>
      <c r="H2965" s="1">
        <v>2544770</v>
      </c>
      <c r="I2965" s="1">
        <v>46.141472222222212</v>
      </c>
      <c r="J2965" s="1">
        <v>0</v>
      </c>
      <c r="K2965" s="1">
        <v>47.5</v>
      </c>
      <c r="L2965" s="1">
        <v>43</v>
      </c>
      <c r="M2965" s="1"/>
      <c r="N2965" s="1">
        <v>0</v>
      </c>
    </row>
    <row r="2966" spans="1:14" x14ac:dyDescent="0.35">
      <c r="A2966" s="1" t="s">
        <v>108</v>
      </c>
      <c r="B2966" s="1">
        <v>202410</v>
      </c>
      <c r="C2966" s="1" t="str">
        <f>MID(analisis_productividad__4[[#This Row],[Periodo]],1,4)</f>
        <v>2024</v>
      </c>
      <c r="D2966" s="1" t="str">
        <f>MID(analisis_productividad__4[[#This Row],[Periodo]],5,2)</f>
        <v>10</v>
      </c>
      <c r="E2966" s="1" t="s">
        <v>11</v>
      </c>
      <c r="F2966" s="1" t="s">
        <v>14</v>
      </c>
      <c r="G2966" s="1">
        <v>55149</v>
      </c>
      <c r="H2966" s="1">
        <v>2375489</v>
      </c>
      <c r="I2966" s="1">
        <v>43.073662634408599</v>
      </c>
      <c r="J2966" s="1">
        <v>0</v>
      </c>
      <c r="K2966" s="1">
        <v>47.5</v>
      </c>
      <c r="L2966" s="1">
        <v>43</v>
      </c>
      <c r="M2966" s="1"/>
      <c r="N2966" s="1">
        <v>0</v>
      </c>
    </row>
    <row r="2967" spans="1:14" x14ac:dyDescent="0.35">
      <c r="A2967" s="1" t="s">
        <v>128</v>
      </c>
      <c r="B2967" s="1">
        <v>202604</v>
      </c>
      <c r="C2967" s="1" t="str">
        <f>MID(analisis_productividad__4[[#This Row],[Periodo]],1,4)</f>
        <v>2026</v>
      </c>
      <c r="D2967" s="1" t="str">
        <f>MID(analisis_productividad__4[[#This Row],[Periodo]],5,2)</f>
        <v>04</v>
      </c>
      <c r="E2967" s="1" t="s">
        <v>104</v>
      </c>
      <c r="F2967" s="1" t="s">
        <v>104</v>
      </c>
      <c r="G2967" s="1">
        <v>55130</v>
      </c>
      <c r="H2967" s="1">
        <v>2733988</v>
      </c>
      <c r="I2967" s="1">
        <v>49.591888888888555</v>
      </c>
      <c r="J2967" s="1">
        <v>53372.187087369792</v>
      </c>
      <c r="K2967" s="1">
        <v>57.5</v>
      </c>
      <c r="L2967" s="1">
        <v>57</v>
      </c>
      <c r="M2967" s="1">
        <v>50.0561866937662</v>
      </c>
      <c r="N2967" s="1">
        <v>2671608</v>
      </c>
    </row>
    <row r="2968" spans="1:14" x14ac:dyDescent="0.35">
      <c r="A2968" s="1" t="s">
        <v>118</v>
      </c>
      <c r="B2968" s="1">
        <v>202509</v>
      </c>
      <c r="C2968" s="1" t="str">
        <f>MID(analisis_productividad__4[[#This Row],[Periodo]],1,4)</f>
        <v>2025</v>
      </c>
      <c r="D2968" s="1" t="str">
        <f>MID(analisis_productividad__4[[#This Row],[Periodo]],5,2)</f>
        <v>09</v>
      </c>
      <c r="E2968" s="1" t="s">
        <v>34</v>
      </c>
      <c r="F2968" s="1" t="s">
        <v>35</v>
      </c>
      <c r="G2968" s="1">
        <v>55080</v>
      </c>
      <c r="H2968" s="1">
        <v>945510</v>
      </c>
      <c r="I2968" s="1">
        <v>17.166236111111107</v>
      </c>
      <c r="J2968" s="1">
        <v>61616.363699577174</v>
      </c>
      <c r="K2968" s="1">
        <v>19</v>
      </c>
      <c r="L2968" s="1">
        <v>21.5</v>
      </c>
      <c r="M2968" s="1">
        <v>15.345104177358136</v>
      </c>
      <c r="N2968" s="1">
        <v>1176892</v>
      </c>
    </row>
    <row r="2969" spans="1:14" x14ac:dyDescent="0.35">
      <c r="A2969" s="1" t="s">
        <v>126</v>
      </c>
      <c r="B2969" s="1">
        <v>202505</v>
      </c>
      <c r="C2969" s="1" t="str">
        <f>MID(analisis_productividad__4[[#This Row],[Periodo]],1,4)</f>
        <v>2025</v>
      </c>
      <c r="D2969" s="1" t="str">
        <f>MID(analisis_productividad__4[[#This Row],[Periodo]],5,2)</f>
        <v>05</v>
      </c>
      <c r="E2969" s="1" t="s">
        <v>104</v>
      </c>
      <c r="F2969" s="1" t="s">
        <v>104</v>
      </c>
      <c r="G2969" s="1">
        <v>55072</v>
      </c>
      <c r="H2969" s="1">
        <v>3181146</v>
      </c>
      <c r="I2969" s="1">
        <v>57.762889784946239</v>
      </c>
      <c r="J2969" s="1">
        <v>53285.707219435528</v>
      </c>
      <c r="K2969" s="1">
        <v>64.5</v>
      </c>
      <c r="L2969" s="1">
        <v>61</v>
      </c>
      <c r="M2969" s="1">
        <v>59.699798989243831</v>
      </c>
      <c r="N2969" s="1">
        <v>3165167</v>
      </c>
    </row>
    <row r="2970" spans="1:14" x14ac:dyDescent="0.35">
      <c r="A2970" s="1" t="s">
        <v>128</v>
      </c>
      <c r="B2970" s="1">
        <v>202412</v>
      </c>
      <c r="C2970" s="1" t="str">
        <f>MID(analisis_productividad__4[[#This Row],[Periodo]],1,4)</f>
        <v>2024</v>
      </c>
      <c r="D2970" s="1" t="str">
        <f>MID(analisis_productividad__4[[#This Row],[Periodo]],5,2)</f>
        <v>12</v>
      </c>
      <c r="E2970" s="1" t="s">
        <v>104</v>
      </c>
      <c r="F2970" s="1" t="s">
        <v>104</v>
      </c>
      <c r="G2970" s="1">
        <v>55028</v>
      </c>
      <c r="H2970" s="1">
        <v>3151150</v>
      </c>
      <c r="I2970" s="1">
        <v>57.264845430107535</v>
      </c>
      <c r="J2970" s="1">
        <v>0</v>
      </c>
      <c r="K2970" s="1">
        <v>57.5</v>
      </c>
      <c r="L2970" s="1">
        <v>57</v>
      </c>
      <c r="M2970" s="1"/>
      <c r="N2970" s="1">
        <v>0</v>
      </c>
    </row>
    <row r="2971" spans="1:14" x14ac:dyDescent="0.35">
      <c r="A2971" s="1" t="s">
        <v>126</v>
      </c>
      <c r="B2971" s="1">
        <v>202410</v>
      </c>
      <c r="C2971" s="1" t="str">
        <f>MID(analisis_productividad__4[[#This Row],[Periodo]],1,4)</f>
        <v>2024</v>
      </c>
      <c r="D2971" s="1" t="str">
        <f>MID(analisis_productividad__4[[#This Row],[Periodo]],5,2)</f>
        <v>10</v>
      </c>
      <c r="E2971" s="1" t="s">
        <v>104</v>
      </c>
      <c r="F2971" s="1" t="s">
        <v>104</v>
      </c>
      <c r="G2971" s="1">
        <v>55027</v>
      </c>
      <c r="H2971" s="1">
        <v>3140591</v>
      </c>
      <c r="I2971" s="1">
        <v>57.073944892473115</v>
      </c>
      <c r="J2971" s="1">
        <v>0</v>
      </c>
      <c r="K2971" s="1">
        <v>64.5</v>
      </c>
      <c r="L2971" s="1">
        <v>61</v>
      </c>
      <c r="M2971" s="1"/>
      <c r="N2971" s="1">
        <v>0</v>
      </c>
    </row>
    <row r="2972" spans="1:14" x14ac:dyDescent="0.35">
      <c r="A2972" s="1" t="s">
        <v>111</v>
      </c>
      <c r="B2972" s="1">
        <v>202402</v>
      </c>
      <c r="C2972" s="1" t="str">
        <f>MID(analisis_productividad__4[[#This Row],[Periodo]],1,4)</f>
        <v>2024</v>
      </c>
      <c r="D2972" s="1" t="str">
        <f>MID(analisis_productividad__4[[#This Row],[Periodo]],5,2)</f>
        <v>02</v>
      </c>
      <c r="E2972" s="1" t="s">
        <v>34</v>
      </c>
      <c r="F2972" s="1" t="s">
        <v>35</v>
      </c>
      <c r="G2972" s="1">
        <v>55017</v>
      </c>
      <c r="H2972" s="1">
        <v>2302839</v>
      </c>
      <c r="I2972" s="1">
        <v>41.856479885057482</v>
      </c>
      <c r="J2972" s="1">
        <v>0</v>
      </c>
      <c r="K2972" s="1">
        <v>45.5</v>
      </c>
      <c r="L2972" s="1">
        <v>42.5</v>
      </c>
      <c r="M2972" s="1"/>
      <c r="N2972" s="1">
        <v>0</v>
      </c>
    </row>
    <row r="2973" spans="1:14" x14ac:dyDescent="0.35">
      <c r="A2973" s="1" t="s">
        <v>125</v>
      </c>
      <c r="B2973" s="1">
        <v>202603</v>
      </c>
      <c r="C2973" s="1" t="str">
        <f>MID(analisis_productividad__4[[#This Row],[Periodo]],1,4)</f>
        <v>2026</v>
      </c>
      <c r="D2973" s="1" t="str">
        <f>MID(analisis_productividad__4[[#This Row],[Periodo]],5,2)</f>
        <v>03</v>
      </c>
      <c r="E2973" s="1" t="s">
        <v>104</v>
      </c>
      <c r="F2973" s="1" t="s">
        <v>104</v>
      </c>
      <c r="G2973" s="1">
        <v>55004</v>
      </c>
      <c r="H2973" s="1">
        <v>2824445</v>
      </c>
      <c r="I2973" s="1">
        <v>51.349422043010733</v>
      </c>
      <c r="J2973" s="1">
        <v>54536.795588454879</v>
      </c>
      <c r="K2973" s="1">
        <v>59</v>
      </c>
      <c r="L2973" s="1">
        <v>50</v>
      </c>
      <c r="M2973" s="1">
        <v>50.48039166574727</v>
      </c>
      <c r="N2973" s="1">
        <v>2753039</v>
      </c>
    </row>
    <row r="2974" spans="1:14" x14ac:dyDescent="0.35">
      <c r="A2974" s="1" t="s">
        <v>126</v>
      </c>
      <c r="B2974" s="1">
        <v>202504</v>
      </c>
      <c r="C2974" s="1" t="str">
        <f>MID(analisis_productividad__4[[#This Row],[Periodo]],1,4)</f>
        <v>2025</v>
      </c>
      <c r="D2974" s="1" t="str">
        <f>MID(analisis_productividad__4[[#This Row],[Periodo]],5,2)</f>
        <v>04</v>
      </c>
      <c r="E2974" s="1" t="s">
        <v>104</v>
      </c>
      <c r="F2974" s="1" t="s">
        <v>104</v>
      </c>
      <c r="G2974" s="1">
        <v>54943</v>
      </c>
      <c r="H2974" s="1">
        <v>3165034</v>
      </c>
      <c r="I2974" s="1">
        <v>57.606256944444439</v>
      </c>
      <c r="J2974" s="1">
        <v>50339.24238998512</v>
      </c>
      <c r="K2974" s="1">
        <v>64.5</v>
      </c>
      <c r="L2974" s="1">
        <v>61</v>
      </c>
      <c r="M2974" s="1">
        <v>62.874095233298064</v>
      </c>
      <c r="N2974" s="1">
        <v>3203237</v>
      </c>
    </row>
    <row r="2975" spans="1:14" x14ac:dyDescent="0.35">
      <c r="A2975" s="1" t="s">
        <v>126</v>
      </c>
      <c r="B2975" s="1">
        <v>202509</v>
      </c>
      <c r="C2975" s="1" t="str">
        <f>MID(analisis_productividad__4[[#This Row],[Periodo]],1,4)</f>
        <v>2025</v>
      </c>
      <c r="D2975" s="1" t="str">
        <f>MID(analisis_productividad__4[[#This Row],[Periodo]],5,2)</f>
        <v>09</v>
      </c>
      <c r="E2975" s="1" t="s">
        <v>104</v>
      </c>
      <c r="F2975" s="1" t="s">
        <v>104</v>
      </c>
      <c r="G2975" s="1">
        <v>54941</v>
      </c>
      <c r="H2975" s="1">
        <v>3015727</v>
      </c>
      <c r="I2975" s="1">
        <v>54.890451388888884</v>
      </c>
      <c r="J2975" s="1">
        <v>53403.904909693978</v>
      </c>
      <c r="K2975" s="1">
        <v>64.5</v>
      </c>
      <c r="L2975" s="1">
        <v>61</v>
      </c>
      <c r="M2975" s="1">
        <v>56.470155789161758</v>
      </c>
      <c r="N2975" s="1">
        <v>3161416</v>
      </c>
    </row>
    <row r="2976" spans="1:14" x14ac:dyDescent="0.35">
      <c r="A2976" s="1" t="s">
        <v>105</v>
      </c>
      <c r="B2976" s="1">
        <v>202404</v>
      </c>
      <c r="C2976" s="1" t="str">
        <f>MID(analisis_productividad__4[[#This Row],[Periodo]],1,4)</f>
        <v>2024</v>
      </c>
      <c r="D2976" s="1" t="str">
        <f>MID(analisis_productividad__4[[#This Row],[Periodo]],5,2)</f>
        <v>04</v>
      </c>
      <c r="E2976" s="1" t="s">
        <v>34</v>
      </c>
      <c r="F2976" s="1" t="s">
        <v>35</v>
      </c>
      <c r="G2976" s="1">
        <v>54861</v>
      </c>
      <c r="H2976" s="1">
        <v>2440753</v>
      </c>
      <c r="I2976" s="1">
        <v>44.489569444444442</v>
      </c>
      <c r="J2976" s="1">
        <v>0</v>
      </c>
      <c r="K2976" s="1">
        <v>33</v>
      </c>
      <c r="L2976" s="1">
        <v>31.5</v>
      </c>
      <c r="M2976" s="1"/>
      <c r="N2976" s="1">
        <v>0</v>
      </c>
    </row>
    <row r="2977" spans="1:14" x14ac:dyDescent="0.35">
      <c r="A2977" s="1" t="s">
        <v>128</v>
      </c>
      <c r="B2977" s="1">
        <v>202603</v>
      </c>
      <c r="C2977" s="1" t="str">
        <f>MID(analisis_productividad__4[[#This Row],[Periodo]],1,4)</f>
        <v>2026</v>
      </c>
      <c r="D2977" s="1" t="str">
        <f>MID(analisis_productividad__4[[#This Row],[Periodo]],5,2)</f>
        <v>03</v>
      </c>
      <c r="E2977" s="1" t="s">
        <v>104</v>
      </c>
      <c r="F2977" s="1" t="s">
        <v>104</v>
      </c>
      <c r="G2977" s="1">
        <v>54817</v>
      </c>
      <c r="H2977" s="1">
        <v>2853791</v>
      </c>
      <c r="I2977" s="1">
        <v>52.059912634408605</v>
      </c>
      <c r="J2977" s="1">
        <v>56039.920217281389</v>
      </c>
      <c r="K2977" s="1">
        <v>57.5</v>
      </c>
      <c r="L2977" s="1">
        <v>57</v>
      </c>
      <c r="M2977" s="1">
        <v>50.0561866937662</v>
      </c>
      <c r="N2977" s="1">
        <v>2805145</v>
      </c>
    </row>
    <row r="2978" spans="1:14" x14ac:dyDescent="0.35">
      <c r="A2978" s="1" t="s">
        <v>121</v>
      </c>
      <c r="B2978" s="1">
        <v>202509</v>
      </c>
      <c r="C2978" s="1" t="str">
        <f>MID(analisis_productividad__4[[#This Row],[Periodo]],1,4)</f>
        <v>2025</v>
      </c>
      <c r="D2978" s="1" t="str">
        <f>MID(analisis_productividad__4[[#This Row],[Periodo]],5,2)</f>
        <v>09</v>
      </c>
      <c r="E2978" s="1" t="s">
        <v>11</v>
      </c>
      <c r="F2978" s="1" t="s">
        <v>14</v>
      </c>
      <c r="G2978" s="1">
        <v>54760</v>
      </c>
      <c r="H2978" s="1">
        <v>1695303</v>
      </c>
      <c r="I2978" s="1">
        <v>30.959055555555565</v>
      </c>
      <c r="J2978" s="1">
        <v>53979.9669529038</v>
      </c>
      <c r="K2978" s="1">
        <v>36</v>
      </c>
      <c r="L2978" s="1">
        <v>35</v>
      </c>
      <c r="M2978" s="1">
        <v>31.406143161945799</v>
      </c>
      <c r="N2978" s="1">
        <v>2029304</v>
      </c>
    </row>
    <row r="2979" spans="1:14" x14ac:dyDescent="0.35">
      <c r="A2979" s="1" t="s">
        <v>115</v>
      </c>
      <c r="B2979" s="1">
        <v>202409</v>
      </c>
      <c r="C2979" s="1" t="str">
        <f>MID(analisis_productividad__4[[#This Row],[Periodo]],1,4)</f>
        <v>2024</v>
      </c>
      <c r="D2979" s="1" t="str">
        <f>MID(analisis_productividad__4[[#This Row],[Periodo]],5,2)</f>
        <v>09</v>
      </c>
      <c r="E2979" s="1" t="s">
        <v>34</v>
      </c>
      <c r="F2979" s="1" t="s">
        <v>35</v>
      </c>
      <c r="G2979" s="1">
        <v>54757</v>
      </c>
      <c r="H2979" s="1">
        <v>2890424</v>
      </c>
      <c r="I2979" s="1">
        <v>52.785930555555538</v>
      </c>
      <c r="J2979" s="1">
        <v>0</v>
      </c>
      <c r="K2979" s="1">
        <v>53.5</v>
      </c>
      <c r="L2979" s="1">
        <v>51</v>
      </c>
      <c r="M2979" s="1"/>
      <c r="N2979" s="1">
        <v>0</v>
      </c>
    </row>
    <row r="2980" spans="1:14" x14ac:dyDescent="0.35">
      <c r="A2980" s="1" t="s">
        <v>121</v>
      </c>
      <c r="B2980" s="1">
        <v>202602</v>
      </c>
      <c r="C2980" s="1" t="str">
        <f>MID(analisis_productividad__4[[#This Row],[Periodo]],1,4)</f>
        <v>2026</v>
      </c>
      <c r="D2980" s="1" t="str">
        <f>MID(analisis_productividad__4[[#This Row],[Periodo]],5,2)</f>
        <v>02</v>
      </c>
      <c r="E2980" s="1" t="s">
        <v>11</v>
      </c>
      <c r="F2980" s="1" t="s">
        <v>14</v>
      </c>
      <c r="G2980" s="1">
        <v>54754</v>
      </c>
      <c r="H2980" s="1">
        <v>1815700</v>
      </c>
      <c r="I2980" s="1">
        <v>33.161145833333336</v>
      </c>
      <c r="J2980" s="1">
        <v>59108.477291901916</v>
      </c>
      <c r="K2980" s="1">
        <v>36</v>
      </c>
      <c r="L2980" s="1">
        <v>35</v>
      </c>
      <c r="M2980" s="1">
        <v>31.443465596679005</v>
      </c>
      <c r="N2980" s="1">
        <v>1858575</v>
      </c>
    </row>
    <row r="2981" spans="1:14" x14ac:dyDescent="0.35">
      <c r="A2981" s="1" t="s">
        <v>116</v>
      </c>
      <c r="B2981" s="1">
        <v>202406</v>
      </c>
      <c r="C2981" s="1" t="str">
        <f>MID(analisis_productividad__4[[#This Row],[Periodo]],1,4)</f>
        <v>2024</v>
      </c>
      <c r="D2981" s="1" t="str">
        <f>MID(analisis_productividad__4[[#This Row],[Periodo]],5,2)</f>
        <v>06</v>
      </c>
      <c r="E2981" s="1" t="s">
        <v>9</v>
      </c>
      <c r="F2981" s="1" t="s">
        <v>9</v>
      </c>
      <c r="G2981" s="1">
        <v>54751</v>
      </c>
      <c r="H2981" s="1">
        <v>640162</v>
      </c>
      <c r="I2981" s="1">
        <v>11.692236111111113</v>
      </c>
      <c r="J2981" s="1">
        <v>0</v>
      </c>
      <c r="K2981" s="1">
        <v>11.5</v>
      </c>
      <c r="L2981" s="1">
        <v>10</v>
      </c>
      <c r="M2981" s="1"/>
      <c r="N2981" s="1">
        <v>0</v>
      </c>
    </row>
    <row r="2982" spans="1:14" x14ac:dyDescent="0.35">
      <c r="A2982" s="1" t="s">
        <v>116</v>
      </c>
      <c r="B2982" s="1">
        <v>202405</v>
      </c>
      <c r="C2982" s="1" t="str">
        <f>MID(analisis_productividad__4[[#This Row],[Periodo]],1,4)</f>
        <v>2024</v>
      </c>
      <c r="D2982" s="1" t="str">
        <f>MID(analisis_productividad__4[[#This Row],[Periodo]],5,2)</f>
        <v>05</v>
      </c>
      <c r="E2982" s="1" t="s">
        <v>9</v>
      </c>
      <c r="F2982" s="1" t="s">
        <v>9</v>
      </c>
      <c r="G2982" s="1">
        <v>54750</v>
      </c>
      <c r="H2982" s="1">
        <v>635133</v>
      </c>
      <c r="I2982" s="1">
        <v>11.600571236559141</v>
      </c>
      <c r="J2982" s="1">
        <v>0</v>
      </c>
      <c r="K2982" s="1">
        <v>11.5</v>
      </c>
      <c r="L2982" s="1">
        <v>10</v>
      </c>
      <c r="M2982" s="1"/>
      <c r="N2982" s="1">
        <v>0</v>
      </c>
    </row>
    <row r="2983" spans="1:14" x14ac:dyDescent="0.35">
      <c r="A2983" s="1" t="s">
        <v>111</v>
      </c>
      <c r="B2983" s="1">
        <v>202406</v>
      </c>
      <c r="C2983" s="1" t="str">
        <f>MID(analisis_productividad__4[[#This Row],[Periodo]],1,4)</f>
        <v>2024</v>
      </c>
      <c r="D2983" s="1" t="str">
        <f>MID(analisis_productividad__4[[#This Row],[Periodo]],5,2)</f>
        <v>06</v>
      </c>
      <c r="E2983" s="1" t="s">
        <v>34</v>
      </c>
      <c r="F2983" s="1" t="s">
        <v>35</v>
      </c>
      <c r="G2983" s="1">
        <v>54747</v>
      </c>
      <c r="H2983" s="1">
        <v>2220043</v>
      </c>
      <c r="I2983" s="1">
        <v>40.551048611111128</v>
      </c>
      <c r="J2983" s="1">
        <v>0</v>
      </c>
      <c r="K2983" s="1">
        <v>45.5</v>
      </c>
      <c r="L2983" s="1">
        <v>42.5</v>
      </c>
      <c r="M2983" s="1"/>
      <c r="N2983" s="1">
        <v>0</v>
      </c>
    </row>
    <row r="2984" spans="1:14" x14ac:dyDescent="0.35">
      <c r="A2984" s="1" t="s">
        <v>118</v>
      </c>
      <c r="B2984" s="1">
        <v>202505</v>
      </c>
      <c r="C2984" s="1" t="str">
        <f>MID(analisis_productividad__4[[#This Row],[Periodo]],1,4)</f>
        <v>2025</v>
      </c>
      <c r="D2984" s="1" t="str">
        <f>MID(analisis_productividad__4[[#This Row],[Periodo]],5,2)</f>
        <v>05</v>
      </c>
      <c r="E2984" s="1" t="s">
        <v>34</v>
      </c>
      <c r="F2984" s="1" t="s">
        <v>35</v>
      </c>
      <c r="G2984" s="1">
        <v>54738</v>
      </c>
      <c r="H2984" s="1">
        <v>1067583</v>
      </c>
      <c r="I2984" s="1">
        <v>19.503326612903223</v>
      </c>
      <c r="J2984" s="1">
        <v>62085.559159461867</v>
      </c>
      <c r="K2984" s="1">
        <v>19</v>
      </c>
      <c r="L2984" s="1">
        <v>21.5</v>
      </c>
      <c r="M2984" s="1">
        <v>17.195345656113009</v>
      </c>
      <c r="N2984" s="1">
        <v>1171700</v>
      </c>
    </row>
    <row r="2985" spans="1:14" x14ac:dyDescent="0.35">
      <c r="A2985" s="1" t="s">
        <v>111</v>
      </c>
      <c r="B2985" s="1">
        <v>202506</v>
      </c>
      <c r="C2985" s="1" t="str">
        <f>MID(analisis_productividad__4[[#This Row],[Periodo]],1,4)</f>
        <v>2025</v>
      </c>
      <c r="D2985" s="1" t="str">
        <f>MID(analisis_productividad__4[[#This Row],[Periodo]],5,2)</f>
        <v>06</v>
      </c>
      <c r="E2985" s="1" t="s">
        <v>34</v>
      </c>
      <c r="F2985" s="1" t="s">
        <v>35</v>
      </c>
      <c r="G2985" s="1">
        <v>54738</v>
      </c>
      <c r="H2985" s="1">
        <v>2169032</v>
      </c>
      <c r="I2985" s="1">
        <v>39.625736111111124</v>
      </c>
      <c r="J2985" s="1">
        <v>57484.22109511825</v>
      </c>
      <c r="K2985" s="1">
        <v>45.5</v>
      </c>
      <c r="L2985" s="1">
        <v>42.5</v>
      </c>
      <c r="M2985" s="1">
        <v>37.732646605943167</v>
      </c>
      <c r="N2985" s="1">
        <v>2307512</v>
      </c>
    </row>
    <row r="2986" spans="1:14" x14ac:dyDescent="0.35">
      <c r="A2986" s="1" t="s">
        <v>116</v>
      </c>
      <c r="B2986" s="1">
        <v>202510</v>
      </c>
      <c r="C2986" s="1" t="str">
        <f>MID(analisis_productividad__4[[#This Row],[Periodo]],1,4)</f>
        <v>2025</v>
      </c>
      <c r="D2986" s="1" t="str">
        <f>MID(analisis_productividad__4[[#This Row],[Periodo]],5,2)</f>
        <v>10</v>
      </c>
      <c r="E2986" s="1" t="s">
        <v>9</v>
      </c>
      <c r="F2986" s="1" t="s">
        <v>9</v>
      </c>
      <c r="G2986" s="1">
        <v>54715</v>
      </c>
      <c r="H2986" s="1">
        <v>568557</v>
      </c>
      <c r="I2986" s="1">
        <v>10.39133064516129</v>
      </c>
      <c r="J2986" s="1">
        <v>56102.540840978269</v>
      </c>
      <c r="K2986" s="1">
        <v>11.5</v>
      </c>
      <c r="L2986" s="1">
        <v>10</v>
      </c>
      <c r="M2986" s="1">
        <v>10.134250275964613</v>
      </c>
      <c r="N2986" s="1">
        <v>695088</v>
      </c>
    </row>
    <row r="2987" spans="1:14" x14ac:dyDescent="0.35">
      <c r="A2987" s="1" t="s">
        <v>101</v>
      </c>
      <c r="B2987" s="1">
        <v>202603</v>
      </c>
      <c r="C2987" s="1" t="str">
        <f>MID(analisis_productividad__4[[#This Row],[Periodo]],1,4)</f>
        <v>2026</v>
      </c>
      <c r="D2987" s="1" t="str">
        <f>MID(analisis_productividad__4[[#This Row],[Periodo]],5,2)</f>
        <v>03</v>
      </c>
      <c r="E2987" s="1" t="s">
        <v>9</v>
      </c>
      <c r="F2987" s="1" t="s">
        <v>9</v>
      </c>
      <c r="G2987" s="1">
        <v>54713</v>
      </c>
      <c r="H2987" s="1">
        <v>375877</v>
      </c>
      <c r="I2987" s="1">
        <v>6.8700201612903236</v>
      </c>
      <c r="J2987" s="1">
        <v>50698.007931001353</v>
      </c>
      <c r="K2987" s="1">
        <v>8.5</v>
      </c>
      <c r="L2987" s="1">
        <v>6.5</v>
      </c>
      <c r="M2987" s="1">
        <v>7.4225653700663532</v>
      </c>
      <c r="N2987" s="1">
        <v>376309</v>
      </c>
    </row>
    <row r="2988" spans="1:14" x14ac:dyDescent="0.35">
      <c r="A2988" s="1" t="s">
        <v>125</v>
      </c>
      <c r="B2988" s="1">
        <v>202403</v>
      </c>
      <c r="C2988" s="1" t="str">
        <f>MID(analisis_productividad__4[[#This Row],[Periodo]],1,4)</f>
        <v>2024</v>
      </c>
      <c r="D2988" s="1" t="str">
        <f>MID(analisis_productividad__4[[#This Row],[Periodo]],5,2)</f>
        <v>03</v>
      </c>
      <c r="E2988" s="1" t="s">
        <v>104</v>
      </c>
      <c r="F2988" s="1" t="s">
        <v>104</v>
      </c>
      <c r="G2988" s="1">
        <v>54675</v>
      </c>
      <c r="H2988" s="1">
        <v>2570339</v>
      </c>
      <c r="I2988" s="1">
        <v>47.011491935483868</v>
      </c>
      <c r="J2988" s="1">
        <v>0</v>
      </c>
      <c r="K2988" s="1">
        <v>59</v>
      </c>
      <c r="L2988" s="1">
        <v>50</v>
      </c>
      <c r="M2988" s="1"/>
      <c r="N2988" s="1">
        <v>0</v>
      </c>
    </row>
    <row r="2989" spans="1:14" x14ac:dyDescent="0.35">
      <c r="A2989" s="1" t="s">
        <v>109</v>
      </c>
      <c r="B2989" s="1">
        <v>202509</v>
      </c>
      <c r="C2989" s="1" t="str">
        <f>MID(analisis_productividad__4[[#This Row],[Periodo]],1,4)</f>
        <v>2025</v>
      </c>
      <c r="D2989" s="1" t="str">
        <f>MID(analisis_productividad__4[[#This Row],[Periodo]],5,2)</f>
        <v>09</v>
      </c>
      <c r="E2989" s="1" t="s">
        <v>9</v>
      </c>
      <c r="F2989" s="1" t="s">
        <v>9</v>
      </c>
      <c r="G2989" s="1">
        <v>54656</v>
      </c>
      <c r="H2989" s="1">
        <v>453369</v>
      </c>
      <c r="I2989" s="1">
        <v>8.2949513888888884</v>
      </c>
      <c r="J2989" s="1">
        <v>71412.670009578025</v>
      </c>
      <c r="K2989" s="1">
        <v>10</v>
      </c>
      <c r="L2989" s="1">
        <v>9</v>
      </c>
      <c r="M2989" s="1">
        <v>6.3485742787546418</v>
      </c>
      <c r="N2989" s="1">
        <v>574601</v>
      </c>
    </row>
    <row r="2990" spans="1:14" x14ac:dyDescent="0.35">
      <c r="A2990" s="1" t="s">
        <v>101</v>
      </c>
      <c r="B2990" s="1">
        <v>202601</v>
      </c>
      <c r="C2990" s="1" t="str">
        <f>MID(analisis_productividad__4[[#This Row],[Periodo]],1,4)</f>
        <v>2026</v>
      </c>
      <c r="D2990" s="1" t="str">
        <f>MID(analisis_productividad__4[[#This Row],[Periodo]],5,2)</f>
        <v>01</v>
      </c>
      <c r="E2990" s="1" t="s">
        <v>9</v>
      </c>
      <c r="F2990" s="1" t="s">
        <v>9</v>
      </c>
      <c r="G2990" s="1">
        <v>54648</v>
      </c>
      <c r="H2990" s="1">
        <v>321626</v>
      </c>
      <c r="I2990" s="1">
        <v>5.8854099462365586</v>
      </c>
      <c r="J2990" s="1">
        <v>46630.070271365752</v>
      </c>
      <c r="K2990" s="1">
        <v>8.5</v>
      </c>
      <c r="L2990" s="1">
        <v>6.5</v>
      </c>
      <c r="M2990" s="1">
        <v>7.4225653700663532</v>
      </c>
      <c r="N2990" s="1">
        <v>346115</v>
      </c>
    </row>
    <row r="2991" spans="1:14" x14ac:dyDescent="0.35">
      <c r="A2991" s="1" t="s">
        <v>118</v>
      </c>
      <c r="B2991" s="1">
        <v>202402</v>
      </c>
      <c r="C2991" s="1" t="str">
        <f>MID(analisis_productividad__4[[#This Row],[Periodo]],1,4)</f>
        <v>2024</v>
      </c>
      <c r="D2991" s="1" t="str">
        <f>MID(analisis_productividad__4[[#This Row],[Periodo]],5,2)</f>
        <v>02</v>
      </c>
      <c r="E2991" s="1" t="s">
        <v>34</v>
      </c>
      <c r="F2991" s="1" t="s">
        <v>35</v>
      </c>
      <c r="G2991" s="1">
        <v>54634</v>
      </c>
      <c r="H2991" s="1">
        <v>1172583</v>
      </c>
      <c r="I2991" s="1">
        <v>21.462392241379312</v>
      </c>
      <c r="J2991" s="1">
        <v>0</v>
      </c>
      <c r="K2991" s="1">
        <v>19</v>
      </c>
      <c r="L2991" s="1">
        <v>21.5</v>
      </c>
      <c r="M2991" s="1"/>
      <c r="N2991" s="1">
        <v>0</v>
      </c>
    </row>
    <row r="2992" spans="1:14" x14ac:dyDescent="0.35">
      <c r="A2992" s="1" t="s">
        <v>123</v>
      </c>
      <c r="B2992" s="1">
        <v>202401</v>
      </c>
      <c r="C2992" s="1" t="str">
        <f>MID(analisis_productividad__4[[#This Row],[Periodo]],1,4)</f>
        <v>2024</v>
      </c>
      <c r="D2992" s="1" t="str">
        <f>MID(analisis_productividad__4[[#This Row],[Periodo]],5,2)</f>
        <v>01</v>
      </c>
      <c r="E2992" s="1" t="s">
        <v>9</v>
      </c>
      <c r="F2992" s="1" t="s">
        <v>9</v>
      </c>
      <c r="G2992" s="1">
        <v>54625</v>
      </c>
      <c r="H2992" s="1">
        <v>486420</v>
      </c>
      <c r="I2992" s="1">
        <v>8.9046774193548401</v>
      </c>
      <c r="J2992" s="1">
        <v>0</v>
      </c>
      <c r="K2992" s="1">
        <v>11</v>
      </c>
      <c r="L2992" s="1">
        <v>10</v>
      </c>
      <c r="M2992" s="1"/>
      <c r="N2992" s="1">
        <v>0</v>
      </c>
    </row>
    <row r="2993" spans="1:14" x14ac:dyDescent="0.35">
      <c r="A2993" s="1" t="s">
        <v>115</v>
      </c>
      <c r="B2993" s="1">
        <v>202404</v>
      </c>
      <c r="C2993" s="1" t="str">
        <f>MID(analisis_productividad__4[[#This Row],[Periodo]],1,4)</f>
        <v>2024</v>
      </c>
      <c r="D2993" s="1" t="str">
        <f>MID(analisis_productividad__4[[#This Row],[Periodo]],5,2)</f>
        <v>04</v>
      </c>
      <c r="E2993" s="1" t="s">
        <v>34</v>
      </c>
      <c r="F2993" s="1" t="s">
        <v>35</v>
      </c>
      <c r="G2993" s="1">
        <v>54620</v>
      </c>
      <c r="H2993" s="1">
        <v>2996906</v>
      </c>
      <c r="I2993" s="1">
        <v>54.867993055555537</v>
      </c>
      <c r="J2993" s="1">
        <v>0</v>
      </c>
      <c r="K2993" s="1">
        <v>53.5</v>
      </c>
      <c r="L2993" s="1">
        <v>51</v>
      </c>
      <c r="M2993" s="1"/>
      <c r="N2993" s="1">
        <v>0</v>
      </c>
    </row>
    <row r="2994" spans="1:14" x14ac:dyDescent="0.35">
      <c r="A2994" s="1" t="s">
        <v>121</v>
      </c>
      <c r="B2994" s="1">
        <v>202410</v>
      </c>
      <c r="C2994" s="1" t="str">
        <f>MID(analisis_productividad__4[[#This Row],[Periodo]],1,4)</f>
        <v>2024</v>
      </c>
      <c r="D2994" s="1" t="str">
        <f>MID(analisis_productividad__4[[#This Row],[Periodo]],5,2)</f>
        <v>10</v>
      </c>
      <c r="E2994" s="1" t="s">
        <v>11</v>
      </c>
      <c r="F2994" s="1" t="s">
        <v>14</v>
      </c>
      <c r="G2994" s="1">
        <v>54603</v>
      </c>
      <c r="H2994" s="1">
        <v>1898947</v>
      </c>
      <c r="I2994" s="1">
        <v>34.777204301075272</v>
      </c>
      <c r="J2994" s="1">
        <v>0</v>
      </c>
      <c r="K2994" s="1">
        <v>36</v>
      </c>
      <c r="L2994" s="1">
        <v>35</v>
      </c>
      <c r="M2994" s="1"/>
      <c r="N2994" s="1">
        <v>0</v>
      </c>
    </row>
    <row r="2995" spans="1:14" x14ac:dyDescent="0.35">
      <c r="A2995" s="1" t="s">
        <v>99</v>
      </c>
      <c r="B2995" s="1">
        <v>202505</v>
      </c>
      <c r="C2995" s="1" t="str">
        <f>MID(analisis_productividad__4[[#This Row],[Periodo]],1,4)</f>
        <v>2025</v>
      </c>
      <c r="D2995" s="1" t="str">
        <f>MID(analisis_productividad__4[[#This Row],[Periodo]],5,2)</f>
        <v>05</v>
      </c>
      <c r="E2995" s="1" t="s">
        <v>11</v>
      </c>
      <c r="F2995" s="1" t="s">
        <v>12</v>
      </c>
      <c r="G2995" s="1">
        <v>54591</v>
      </c>
      <c r="H2995" s="1">
        <v>1403201</v>
      </c>
      <c r="I2995" s="1">
        <v>25.703689516129039</v>
      </c>
      <c r="J2995" s="1">
        <v>58186.27809068199</v>
      </c>
      <c r="K2995" s="1">
        <v>27</v>
      </c>
      <c r="L2995" s="1">
        <v>27</v>
      </c>
      <c r="M2995" s="1">
        <v>24.115662249665533</v>
      </c>
      <c r="N2995" s="1">
        <v>1547223</v>
      </c>
    </row>
    <row r="2996" spans="1:14" x14ac:dyDescent="0.35">
      <c r="A2996" s="1" t="s">
        <v>128</v>
      </c>
      <c r="B2996" s="1">
        <v>202510</v>
      </c>
      <c r="C2996" s="1" t="str">
        <f>MID(analisis_productividad__4[[#This Row],[Periodo]],1,4)</f>
        <v>2025</v>
      </c>
      <c r="D2996" s="1" t="str">
        <f>MID(analisis_productividad__4[[#This Row],[Periodo]],5,2)</f>
        <v>10</v>
      </c>
      <c r="E2996" s="1" t="s">
        <v>104</v>
      </c>
      <c r="F2996" s="1" t="s">
        <v>104</v>
      </c>
      <c r="G2996" s="1">
        <v>54563</v>
      </c>
      <c r="H2996" s="1">
        <v>2662103</v>
      </c>
      <c r="I2996" s="1">
        <v>48.789388440860229</v>
      </c>
      <c r="J2996" s="1">
        <v>51810.929622653406</v>
      </c>
      <c r="K2996" s="1">
        <v>57.5</v>
      </c>
      <c r="L2996" s="1">
        <v>57</v>
      </c>
      <c r="M2996" s="1">
        <v>51.381115710304549</v>
      </c>
      <c r="N2996" s="1">
        <v>2570315</v>
      </c>
    </row>
    <row r="2997" spans="1:14" x14ac:dyDescent="0.35">
      <c r="A2997" s="1" t="s">
        <v>108</v>
      </c>
      <c r="B2997" s="1">
        <v>202404</v>
      </c>
      <c r="C2997" s="1" t="str">
        <f>MID(analisis_productividad__4[[#This Row],[Periodo]],1,4)</f>
        <v>2024</v>
      </c>
      <c r="D2997" s="1" t="str">
        <f>MID(analisis_productividad__4[[#This Row],[Periodo]],5,2)</f>
        <v>04</v>
      </c>
      <c r="E2997" s="1" t="s">
        <v>11</v>
      </c>
      <c r="F2997" s="1" t="s">
        <v>14</v>
      </c>
      <c r="G2997" s="1">
        <v>54562</v>
      </c>
      <c r="H2997" s="1">
        <v>2718814</v>
      </c>
      <c r="I2997" s="1">
        <v>49.829743055555547</v>
      </c>
      <c r="J2997" s="1">
        <v>0</v>
      </c>
      <c r="K2997" s="1">
        <v>47.5</v>
      </c>
      <c r="L2997" s="1">
        <v>43</v>
      </c>
      <c r="M2997" s="1"/>
      <c r="N2997" s="1">
        <v>0</v>
      </c>
    </row>
    <row r="2998" spans="1:14" x14ac:dyDescent="0.35">
      <c r="A2998" s="1" t="s">
        <v>99</v>
      </c>
      <c r="B2998" s="1">
        <v>202409</v>
      </c>
      <c r="C2998" s="1" t="str">
        <f>MID(analisis_productividad__4[[#This Row],[Periodo]],1,4)</f>
        <v>2024</v>
      </c>
      <c r="D2998" s="1" t="str">
        <f>MID(analisis_productividad__4[[#This Row],[Periodo]],5,2)</f>
        <v>09</v>
      </c>
      <c r="E2998" s="1" t="s">
        <v>11</v>
      </c>
      <c r="F2998" s="1" t="s">
        <v>12</v>
      </c>
      <c r="G2998" s="1">
        <v>54553</v>
      </c>
      <c r="H2998" s="1">
        <v>1445590</v>
      </c>
      <c r="I2998" s="1">
        <v>26.498888888888899</v>
      </c>
      <c r="J2998" s="1">
        <v>0</v>
      </c>
      <c r="K2998" s="1">
        <v>27</v>
      </c>
      <c r="L2998" s="1">
        <v>27</v>
      </c>
      <c r="M2998" s="1"/>
      <c r="N2998" s="1">
        <v>0</v>
      </c>
    </row>
    <row r="2999" spans="1:14" x14ac:dyDescent="0.35">
      <c r="A2999" s="1" t="s">
        <v>125</v>
      </c>
      <c r="B2999" s="1">
        <v>202401</v>
      </c>
      <c r="C2999" s="1" t="str">
        <f>MID(analisis_productividad__4[[#This Row],[Periodo]],1,4)</f>
        <v>2024</v>
      </c>
      <c r="D2999" s="1" t="str">
        <f>MID(analisis_productividad__4[[#This Row],[Periodo]],5,2)</f>
        <v>01</v>
      </c>
      <c r="E2999" s="1" t="s">
        <v>104</v>
      </c>
      <c r="F2999" s="1" t="s">
        <v>104</v>
      </c>
      <c r="G2999" s="1">
        <v>54535</v>
      </c>
      <c r="H2999" s="1">
        <v>2430254</v>
      </c>
      <c r="I2999" s="1">
        <v>44.56342069892473</v>
      </c>
      <c r="J2999" s="1">
        <v>0</v>
      </c>
      <c r="K2999" s="1">
        <v>59</v>
      </c>
      <c r="L2999" s="1">
        <v>50</v>
      </c>
      <c r="M2999" s="1"/>
      <c r="N2999" s="1">
        <v>0</v>
      </c>
    </row>
    <row r="3000" spans="1:14" x14ac:dyDescent="0.35">
      <c r="A3000" s="1" t="s">
        <v>118</v>
      </c>
      <c r="B3000" s="1">
        <v>202504</v>
      </c>
      <c r="C3000" s="1" t="str">
        <f>MID(analisis_productividad__4[[#This Row],[Periodo]],1,4)</f>
        <v>2025</v>
      </c>
      <c r="D3000" s="1" t="str">
        <f>MID(analisis_productividad__4[[#This Row],[Periodo]],5,2)</f>
        <v>04</v>
      </c>
      <c r="E3000" s="1" t="s">
        <v>34</v>
      </c>
      <c r="F3000" s="1" t="s">
        <v>35</v>
      </c>
      <c r="G3000" s="1">
        <v>54531</v>
      </c>
      <c r="H3000" s="1">
        <v>1072879</v>
      </c>
      <c r="I3000" s="1">
        <v>19.674715277777775</v>
      </c>
      <c r="J3000" s="1">
        <v>53486.495884827869</v>
      </c>
      <c r="K3000" s="1">
        <v>19</v>
      </c>
      <c r="L3000" s="1">
        <v>21.5</v>
      </c>
      <c r="M3000" s="1">
        <v>20.058872473347723</v>
      </c>
      <c r="N3000" s="1">
        <v>1107928</v>
      </c>
    </row>
    <row r="3001" spans="1:14" x14ac:dyDescent="0.35">
      <c r="A3001" s="1" t="s">
        <v>109</v>
      </c>
      <c r="B3001" s="1">
        <v>202510</v>
      </c>
      <c r="C3001" s="1" t="str">
        <f>MID(analisis_productividad__4[[#This Row],[Periodo]],1,4)</f>
        <v>2025</v>
      </c>
      <c r="D3001" s="1" t="str">
        <f>MID(analisis_productividad__4[[#This Row],[Periodo]],5,2)</f>
        <v>10</v>
      </c>
      <c r="E3001" s="1" t="s">
        <v>9</v>
      </c>
      <c r="F3001" s="1" t="s">
        <v>9</v>
      </c>
      <c r="G3001" s="1">
        <v>54457</v>
      </c>
      <c r="H3001" s="1">
        <v>450664</v>
      </c>
      <c r="I3001" s="1">
        <v>8.2755712365591414</v>
      </c>
      <c r="J3001" s="1">
        <v>61084.352079602824</v>
      </c>
      <c r="K3001" s="1">
        <v>10</v>
      </c>
      <c r="L3001" s="1">
        <v>9</v>
      </c>
      <c r="M3001" s="1">
        <v>7.3777357810509532</v>
      </c>
      <c r="N3001" s="1">
        <v>585311</v>
      </c>
    </row>
    <row r="3002" spans="1:14" x14ac:dyDescent="0.35">
      <c r="A3002" s="1" t="s">
        <v>117</v>
      </c>
      <c r="B3002" s="1">
        <v>202411</v>
      </c>
      <c r="C3002" s="1" t="str">
        <f>MID(analisis_productividad__4[[#This Row],[Periodo]],1,4)</f>
        <v>2024</v>
      </c>
      <c r="D3002" s="1" t="str">
        <f>MID(analisis_productividad__4[[#This Row],[Periodo]],5,2)</f>
        <v>11</v>
      </c>
      <c r="E3002" s="1" t="s">
        <v>104</v>
      </c>
      <c r="F3002" s="1" t="s">
        <v>104</v>
      </c>
      <c r="G3002" s="1">
        <v>54426</v>
      </c>
      <c r="H3002" s="1">
        <v>3198692</v>
      </c>
      <c r="I3002" s="1">
        <v>58.771659722222232</v>
      </c>
      <c r="J3002" s="1">
        <v>0</v>
      </c>
      <c r="K3002" s="1">
        <v>66</v>
      </c>
      <c r="L3002" s="1">
        <v>65.5</v>
      </c>
      <c r="M3002" s="1"/>
      <c r="N3002" s="1">
        <v>0</v>
      </c>
    </row>
    <row r="3003" spans="1:14" x14ac:dyDescent="0.35">
      <c r="A3003" s="1" t="s">
        <v>128</v>
      </c>
      <c r="B3003" s="1">
        <v>202605</v>
      </c>
      <c r="C3003" s="1" t="str">
        <f>MID(analisis_productividad__4[[#This Row],[Periodo]],1,4)</f>
        <v>2026</v>
      </c>
      <c r="D3003" s="1" t="str">
        <f>MID(analisis_productividad__4[[#This Row],[Periodo]],5,2)</f>
        <v>05</v>
      </c>
      <c r="E3003" s="1" t="s">
        <v>104</v>
      </c>
      <c r="F3003" s="1" t="s">
        <v>104</v>
      </c>
      <c r="G3003" s="1">
        <v>54416</v>
      </c>
      <c r="H3003" s="1">
        <v>2772388</v>
      </c>
      <c r="I3003" s="1">
        <v>50.947862903226302</v>
      </c>
      <c r="J3003" s="1">
        <v>54864.194755810524</v>
      </c>
      <c r="K3003" s="1">
        <v>57.5</v>
      </c>
      <c r="L3003" s="1">
        <v>57</v>
      </c>
      <c r="M3003" s="1">
        <v>50.0561866937662</v>
      </c>
      <c r="N3003" s="1">
        <v>2746292</v>
      </c>
    </row>
    <row r="3004" spans="1:14" x14ac:dyDescent="0.35">
      <c r="A3004" s="1" t="s">
        <v>105</v>
      </c>
      <c r="B3004" s="1">
        <v>202501</v>
      </c>
      <c r="C3004" s="1" t="str">
        <f>MID(analisis_productividad__4[[#This Row],[Periodo]],1,4)</f>
        <v>2025</v>
      </c>
      <c r="D3004" s="1" t="str">
        <f>MID(analisis_productividad__4[[#This Row],[Periodo]],5,2)</f>
        <v>01</v>
      </c>
      <c r="E3004" s="1" t="s">
        <v>34</v>
      </c>
      <c r="F3004" s="1" t="s">
        <v>35</v>
      </c>
      <c r="G3004" s="1">
        <v>54377</v>
      </c>
      <c r="H3004" s="1">
        <v>2323976</v>
      </c>
      <c r="I3004" s="1">
        <v>42.738481182795688</v>
      </c>
      <c r="J3004" s="1">
        <v>60267.34859072676</v>
      </c>
      <c r="K3004" s="1">
        <v>33</v>
      </c>
      <c r="L3004" s="1">
        <v>31.5</v>
      </c>
      <c r="M3004" s="1">
        <v>38.561109528511537</v>
      </c>
      <c r="N3004" s="1">
        <v>2556852</v>
      </c>
    </row>
    <row r="3005" spans="1:14" x14ac:dyDescent="0.35">
      <c r="A3005" s="1" t="s">
        <v>117</v>
      </c>
      <c r="B3005" s="1">
        <v>202506</v>
      </c>
      <c r="C3005" s="1" t="str">
        <f>MID(analisis_productividad__4[[#This Row],[Periodo]],1,4)</f>
        <v>2025</v>
      </c>
      <c r="D3005" s="1" t="str">
        <f>MID(analisis_productividad__4[[#This Row],[Periodo]],5,2)</f>
        <v>06</v>
      </c>
      <c r="E3005" s="1" t="s">
        <v>104</v>
      </c>
      <c r="F3005" s="1" t="s">
        <v>104</v>
      </c>
      <c r="G3005" s="1">
        <v>54325</v>
      </c>
      <c r="H3005" s="1">
        <v>3346172</v>
      </c>
      <c r="I3005" s="1">
        <v>61.595722222222236</v>
      </c>
      <c r="J3005" s="1">
        <v>60214.846840032507</v>
      </c>
      <c r="K3005" s="1">
        <v>66</v>
      </c>
      <c r="L3005" s="1">
        <v>65.5</v>
      </c>
      <c r="M3005" s="1">
        <v>55.570547889783413</v>
      </c>
      <c r="N3005" s="1">
        <v>3664909</v>
      </c>
    </row>
    <row r="3006" spans="1:14" x14ac:dyDescent="0.35">
      <c r="A3006" s="1" t="s">
        <v>128</v>
      </c>
      <c r="B3006" s="1">
        <v>202509</v>
      </c>
      <c r="C3006" s="1" t="str">
        <f>MID(analisis_productividad__4[[#This Row],[Periodo]],1,4)</f>
        <v>2025</v>
      </c>
      <c r="D3006" s="1" t="str">
        <f>MID(analisis_productividad__4[[#This Row],[Periodo]],5,2)</f>
        <v>09</v>
      </c>
      <c r="E3006" s="1" t="s">
        <v>104</v>
      </c>
      <c r="F3006" s="1" t="s">
        <v>104</v>
      </c>
      <c r="G3006" s="1">
        <v>54276</v>
      </c>
      <c r="H3006" s="1">
        <v>2492819</v>
      </c>
      <c r="I3006" s="1">
        <v>45.928215277777817</v>
      </c>
      <c r="J3006" s="1">
        <v>52875.23445373532</v>
      </c>
      <c r="K3006" s="1">
        <v>57.5</v>
      </c>
      <c r="L3006" s="1">
        <v>57</v>
      </c>
      <c r="M3006" s="1">
        <v>47.145309250234398</v>
      </c>
      <c r="N3006" s="1">
        <v>2630822</v>
      </c>
    </row>
    <row r="3007" spans="1:14" x14ac:dyDescent="0.35">
      <c r="A3007" s="1" t="s">
        <v>128</v>
      </c>
      <c r="B3007" s="1">
        <v>202401</v>
      </c>
      <c r="C3007" s="1" t="str">
        <f>MID(analisis_productividad__4[[#This Row],[Periodo]],1,4)</f>
        <v>2024</v>
      </c>
      <c r="D3007" s="1" t="str">
        <f>MID(analisis_productividad__4[[#This Row],[Periodo]],5,2)</f>
        <v>01</v>
      </c>
      <c r="E3007" s="1" t="s">
        <v>104</v>
      </c>
      <c r="F3007" s="1" t="s">
        <v>104</v>
      </c>
      <c r="G3007" s="1">
        <v>54253</v>
      </c>
      <c r="H3007" s="1">
        <v>2344371</v>
      </c>
      <c r="I3007" s="1">
        <v>43.212063172043024</v>
      </c>
      <c r="J3007" s="1">
        <v>0</v>
      </c>
      <c r="K3007" s="1">
        <v>57.5</v>
      </c>
      <c r="L3007" s="1">
        <v>57</v>
      </c>
      <c r="M3007" s="1"/>
      <c r="N3007" s="1">
        <v>0</v>
      </c>
    </row>
    <row r="3008" spans="1:14" x14ac:dyDescent="0.35">
      <c r="A3008" s="1" t="s">
        <v>127</v>
      </c>
      <c r="B3008" s="1">
        <v>202402</v>
      </c>
      <c r="C3008" s="1" t="str">
        <f>MID(analisis_productividad__4[[#This Row],[Periodo]],1,4)</f>
        <v>2024</v>
      </c>
      <c r="D3008" s="1" t="str">
        <f>MID(analisis_productividad__4[[#This Row],[Periodo]],5,2)</f>
        <v>02</v>
      </c>
      <c r="E3008" s="1" t="s">
        <v>104</v>
      </c>
      <c r="F3008" s="1" t="s">
        <v>104</v>
      </c>
      <c r="G3008" s="1">
        <v>54238</v>
      </c>
      <c r="H3008" s="1">
        <v>3077062</v>
      </c>
      <c r="I3008" s="1">
        <v>56.732385057471255</v>
      </c>
      <c r="J3008" s="1">
        <v>0</v>
      </c>
      <c r="K3008" s="1">
        <v>61.5</v>
      </c>
      <c r="L3008" s="1">
        <v>56</v>
      </c>
      <c r="M3008" s="1"/>
      <c r="N3008" s="1">
        <v>0</v>
      </c>
    </row>
    <row r="3009" spans="1:14" x14ac:dyDescent="0.35">
      <c r="A3009" s="1" t="s">
        <v>114</v>
      </c>
      <c r="B3009" s="1">
        <v>202411</v>
      </c>
      <c r="C3009" s="1" t="str">
        <f>MID(analisis_productividad__4[[#This Row],[Periodo]],1,4)</f>
        <v>2024</v>
      </c>
      <c r="D3009" s="1" t="str">
        <f>MID(analisis_productividad__4[[#This Row],[Periodo]],5,2)</f>
        <v>11</v>
      </c>
      <c r="E3009" s="1" t="s">
        <v>9</v>
      </c>
      <c r="F3009" s="1" t="s">
        <v>9</v>
      </c>
      <c r="G3009" s="1">
        <v>54237</v>
      </c>
      <c r="H3009" s="1">
        <v>757352</v>
      </c>
      <c r="I3009" s="1">
        <v>13.963881944444443</v>
      </c>
      <c r="J3009" s="1">
        <v>0</v>
      </c>
      <c r="K3009" s="1">
        <v>13.5</v>
      </c>
      <c r="L3009" s="1">
        <v>14.5</v>
      </c>
      <c r="M3009" s="1"/>
      <c r="N3009" s="1">
        <v>0</v>
      </c>
    </row>
    <row r="3010" spans="1:14" x14ac:dyDescent="0.35">
      <c r="A3010" s="1" t="s">
        <v>101</v>
      </c>
      <c r="B3010" s="1">
        <v>202504</v>
      </c>
      <c r="C3010" s="1" t="str">
        <f>MID(analisis_productividad__4[[#This Row],[Periodo]],1,4)</f>
        <v>2025</v>
      </c>
      <c r="D3010" s="1" t="str">
        <f>MID(analisis_productividad__4[[#This Row],[Periodo]],5,2)</f>
        <v>04</v>
      </c>
      <c r="E3010" s="1" t="s">
        <v>9</v>
      </c>
      <c r="F3010" s="1" t="s">
        <v>9</v>
      </c>
      <c r="G3010" s="1">
        <v>54128</v>
      </c>
      <c r="H3010" s="1">
        <v>346279</v>
      </c>
      <c r="I3010" s="1">
        <v>6.3973680555555568</v>
      </c>
      <c r="J3010" s="1">
        <v>64222.911977981268</v>
      </c>
      <c r="K3010" s="1">
        <v>8.5</v>
      </c>
      <c r="L3010" s="1">
        <v>6.5</v>
      </c>
      <c r="M3010" s="1">
        <v>5.391831035607999</v>
      </c>
      <c r="N3010" s="1">
        <v>359515</v>
      </c>
    </row>
    <row r="3011" spans="1:14" x14ac:dyDescent="0.35">
      <c r="A3011" s="1" t="s">
        <v>121</v>
      </c>
      <c r="B3011" s="1">
        <v>202506</v>
      </c>
      <c r="C3011" s="1" t="str">
        <f>MID(analisis_productividad__4[[#This Row],[Periodo]],1,4)</f>
        <v>2025</v>
      </c>
      <c r="D3011" s="1" t="str">
        <f>MID(analisis_productividad__4[[#This Row],[Periodo]],5,2)</f>
        <v>06</v>
      </c>
      <c r="E3011" s="1" t="s">
        <v>11</v>
      </c>
      <c r="F3011" s="1" t="s">
        <v>14</v>
      </c>
      <c r="G3011" s="1">
        <v>54122</v>
      </c>
      <c r="H3011" s="1">
        <v>1763184</v>
      </c>
      <c r="I3011" s="1">
        <v>32.57814583333333</v>
      </c>
      <c r="J3011" s="1">
        <v>66342.482761722946</v>
      </c>
      <c r="K3011" s="1">
        <v>36</v>
      </c>
      <c r="L3011" s="1">
        <v>35</v>
      </c>
      <c r="M3011" s="1">
        <v>26.576990438128263</v>
      </c>
      <c r="N3011" s="1">
        <v>2106136</v>
      </c>
    </row>
    <row r="3012" spans="1:14" x14ac:dyDescent="0.35">
      <c r="A3012" s="1" t="s">
        <v>115</v>
      </c>
      <c r="B3012" s="1">
        <v>202410</v>
      </c>
      <c r="C3012" s="1" t="str">
        <f>MID(analisis_productividad__4[[#This Row],[Periodo]],1,4)</f>
        <v>2024</v>
      </c>
      <c r="D3012" s="1" t="str">
        <f>MID(analisis_productividad__4[[#This Row],[Periodo]],5,2)</f>
        <v>10</v>
      </c>
      <c r="E3012" s="1" t="s">
        <v>34</v>
      </c>
      <c r="F3012" s="1" t="s">
        <v>35</v>
      </c>
      <c r="G3012" s="1">
        <v>54118</v>
      </c>
      <c r="H3012" s="1">
        <v>2957039</v>
      </c>
      <c r="I3012" s="1">
        <v>54.641021505376337</v>
      </c>
      <c r="J3012" s="1">
        <v>0</v>
      </c>
      <c r="K3012" s="1">
        <v>53.5</v>
      </c>
      <c r="L3012" s="1">
        <v>51</v>
      </c>
      <c r="M3012" s="1"/>
      <c r="N3012" s="1">
        <v>0</v>
      </c>
    </row>
    <row r="3013" spans="1:14" x14ac:dyDescent="0.35">
      <c r="A3013" s="1" t="s">
        <v>127</v>
      </c>
      <c r="B3013" s="1">
        <v>202406</v>
      </c>
      <c r="C3013" s="1" t="str">
        <f>MID(analisis_productividad__4[[#This Row],[Periodo]],1,4)</f>
        <v>2024</v>
      </c>
      <c r="D3013" s="1" t="str">
        <f>MID(analisis_productividad__4[[#This Row],[Periodo]],5,2)</f>
        <v>06</v>
      </c>
      <c r="E3013" s="1" t="s">
        <v>104</v>
      </c>
      <c r="F3013" s="1" t="s">
        <v>104</v>
      </c>
      <c r="G3013" s="1">
        <v>54045</v>
      </c>
      <c r="H3013" s="1">
        <v>3246931</v>
      </c>
      <c r="I3013" s="1">
        <v>60.077791666666684</v>
      </c>
      <c r="J3013" s="1">
        <v>0</v>
      </c>
      <c r="K3013" s="1">
        <v>61.5</v>
      </c>
      <c r="L3013" s="1">
        <v>56</v>
      </c>
      <c r="M3013" s="1"/>
      <c r="N3013" s="1">
        <v>0</v>
      </c>
    </row>
    <row r="3014" spans="1:14" x14ac:dyDescent="0.35">
      <c r="A3014" s="1" t="s">
        <v>115</v>
      </c>
      <c r="B3014" s="1">
        <v>202402</v>
      </c>
      <c r="C3014" s="1" t="str">
        <f>MID(analisis_productividad__4[[#This Row],[Periodo]],1,4)</f>
        <v>2024</v>
      </c>
      <c r="D3014" s="1" t="str">
        <f>MID(analisis_productividad__4[[#This Row],[Periodo]],5,2)</f>
        <v>02</v>
      </c>
      <c r="E3014" s="1" t="s">
        <v>34</v>
      </c>
      <c r="F3014" s="1" t="s">
        <v>35</v>
      </c>
      <c r="G3014" s="1">
        <v>53887</v>
      </c>
      <c r="H3014" s="1">
        <v>2932153</v>
      </c>
      <c r="I3014" s="1">
        <v>54.412830459770142</v>
      </c>
      <c r="J3014" s="1">
        <v>0</v>
      </c>
      <c r="K3014" s="1">
        <v>53.5</v>
      </c>
      <c r="L3014" s="1">
        <v>51</v>
      </c>
      <c r="M3014" s="1"/>
      <c r="N3014" s="1">
        <v>0</v>
      </c>
    </row>
    <row r="3015" spans="1:14" x14ac:dyDescent="0.35">
      <c r="A3015" s="1" t="s">
        <v>102</v>
      </c>
      <c r="B3015" s="1">
        <v>202505</v>
      </c>
      <c r="C3015" s="1" t="str">
        <f>MID(analisis_productividad__4[[#This Row],[Periodo]],1,4)</f>
        <v>2025</v>
      </c>
      <c r="D3015" s="1" t="str">
        <f>MID(analisis_productividad__4[[#This Row],[Periodo]],5,2)</f>
        <v>05</v>
      </c>
      <c r="E3015" s="1" t="s">
        <v>11</v>
      </c>
      <c r="F3015" s="1" t="s">
        <v>12</v>
      </c>
      <c r="G3015" s="1">
        <v>53885</v>
      </c>
      <c r="H3015" s="1">
        <v>1738341</v>
      </c>
      <c r="I3015" s="1">
        <v>32.260168010752693</v>
      </c>
      <c r="J3015" s="1">
        <v>54247.377692088216</v>
      </c>
      <c r="K3015" s="1">
        <v>34</v>
      </c>
      <c r="L3015" s="1">
        <v>34</v>
      </c>
      <c r="M3015" s="1">
        <v>32.044700480582506</v>
      </c>
      <c r="N3015" s="1">
        <v>1739433</v>
      </c>
    </row>
    <row r="3016" spans="1:14" x14ac:dyDescent="0.35">
      <c r="A3016" s="1" t="s">
        <v>115</v>
      </c>
      <c r="B3016" s="1">
        <v>202501</v>
      </c>
      <c r="C3016" s="1" t="str">
        <f>MID(analisis_productividad__4[[#This Row],[Periodo]],1,4)</f>
        <v>2025</v>
      </c>
      <c r="D3016" s="1" t="str">
        <f>MID(analisis_productividad__4[[#This Row],[Periodo]],5,2)</f>
        <v>01</v>
      </c>
      <c r="E3016" s="1" t="s">
        <v>34</v>
      </c>
      <c r="F3016" s="1" t="s">
        <v>35</v>
      </c>
      <c r="G3016" s="1">
        <v>53855</v>
      </c>
      <c r="H3016" s="1">
        <v>2882393</v>
      </c>
      <c r="I3016" s="1">
        <v>53.520880376344081</v>
      </c>
      <c r="J3016" s="1">
        <v>61155.528804919173</v>
      </c>
      <c r="K3016" s="1">
        <v>53.5</v>
      </c>
      <c r="L3016" s="1">
        <v>51</v>
      </c>
      <c r="M3016" s="1">
        <v>47.132171633975773</v>
      </c>
      <c r="N3016" s="1">
        <v>3149800</v>
      </c>
    </row>
    <row r="3017" spans="1:14" x14ac:dyDescent="0.35">
      <c r="A3017" s="1" t="s">
        <v>127</v>
      </c>
      <c r="B3017" s="1">
        <v>202405</v>
      </c>
      <c r="C3017" s="1" t="str">
        <f>MID(analisis_productividad__4[[#This Row],[Periodo]],1,4)</f>
        <v>2024</v>
      </c>
      <c r="D3017" s="1" t="str">
        <f>MID(analisis_productividad__4[[#This Row],[Periodo]],5,2)</f>
        <v>05</v>
      </c>
      <c r="E3017" s="1" t="s">
        <v>104</v>
      </c>
      <c r="F3017" s="1" t="s">
        <v>104</v>
      </c>
      <c r="G3017" s="1">
        <v>53815</v>
      </c>
      <c r="H3017" s="1">
        <v>3280617</v>
      </c>
      <c r="I3017" s="1">
        <v>60.961344086021519</v>
      </c>
      <c r="J3017" s="1">
        <v>0</v>
      </c>
      <c r="K3017" s="1">
        <v>61.5</v>
      </c>
      <c r="L3017" s="1">
        <v>56</v>
      </c>
      <c r="M3017" s="1"/>
      <c r="N3017" s="1">
        <v>0</v>
      </c>
    </row>
    <row r="3018" spans="1:14" x14ac:dyDescent="0.35">
      <c r="A3018" s="1" t="s">
        <v>125</v>
      </c>
      <c r="B3018" s="1">
        <v>202406</v>
      </c>
      <c r="C3018" s="1" t="str">
        <f>MID(analisis_productividad__4[[#This Row],[Periodo]],1,4)</f>
        <v>2024</v>
      </c>
      <c r="D3018" s="1" t="str">
        <f>MID(analisis_productividad__4[[#This Row],[Periodo]],5,2)</f>
        <v>06</v>
      </c>
      <c r="E3018" s="1" t="s">
        <v>104</v>
      </c>
      <c r="F3018" s="1" t="s">
        <v>104</v>
      </c>
      <c r="G3018" s="1">
        <v>53781</v>
      </c>
      <c r="H3018" s="1">
        <v>2516142</v>
      </c>
      <c r="I3018" s="1">
        <v>46.78464583333335</v>
      </c>
      <c r="J3018" s="1">
        <v>0</v>
      </c>
      <c r="K3018" s="1">
        <v>59</v>
      </c>
      <c r="L3018" s="1">
        <v>50</v>
      </c>
      <c r="M3018" s="1"/>
      <c r="N3018" s="1">
        <v>0</v>
      </c>
    </row>
    <row r="3019" spans="1:14" x14ac:dyDescent="0.35">
      <c r="A3019" s="1" t="s">
        <v>128</v>
      </c>
      <c r="B3019" s="1">
        <v>202507</v>
      </c>
      <c r="C3019" s="1" t="str">
        <f>MID(analisis_productividad__4[[#This Row],[Periodo]],1,4)</f>
        <v>2025</v>
      </c>
      <c r="D3019" s="1" t="str">
        <f>MID(analisis_productividad__4[[#This Row],[Periodo]],5,2)</f>
        <v>07</v>
      </c>
      <c r="E3019" s="1" t="s">
        <v>104</v>
      </c>
      <c r="F3019" s="1" t="s">
        <v>104</v>
      </c>
      <c r="G3019" s="1">
        <v>53781</v>
      </c>
      <c r="H3019" s="1">
        <v>2573263</v>
      </c>
      <c r="I3019" s="1">
        <v>47.846740591397847</v>
      </c>
      <c r="J3019" s="1">
        <v>53596.349625762043</v>
      </c>
      <c r="K3019" s="1">
        <v>57.5</v>
      </c>
      <c r="L3019" s="1">
        <v>57</v>
      </c>
      <c r="M3019" s="1">
        <v>48.011899466435203</v>
      </c>
      <c r="N3019" s="1">
        <v>2579991</v>
      </c>
    </row>
    <row r="3020" spans="1:14" x14ac:dyDescent="0.35">
      <c r="A3020" s="1" t="s">
        <v>102</v>
      </c>
      <c r="B3020" s="1">
        <v>202404</v>
      </c>
      <c r="C3020" s="1" t="str">
        <f>MID(analisis_productividad__4[[#This Row],[Periodo]],1,4)</f>
        <v>2024</v>
      </c>
      <c r="D3020" s="1" t="str">
        <f>MID(analisis_productividad__4[[#This Row],[Periodo]],5,2)</f>
        <v>04</v>
      </c>
      <c r="E3020" s="1" t="s">
        <v>11</v>
      </c>
      <c r="F3020" s="1" t="s">
        <v>12</v>
      </c>
      <c r="G3020" s="1">
        <v>53774</v>
      </c>
      <c r="H3020" s="1">
        <v>1657576</v>
      </c>
      <c r="I3020" s="1">
        <v>30.82459722222222</v>
      </c>
      <c r="J3020" s="1">
        <v>0</v>
      </c>
      <c r="K3020" s="1">
        <v>34</v>
      </c>
      <c r="L3020" s="1">
        <v>34</v>
      </c>
      <c r="M3020" s="1"/>
      <c r="N3020" s="1">
        <v>0</v>
      </c>
    </row>
    <row r="3021" spans="1:14" x14ac:dyDescent="0.35">
      <c r="A3021" s="1" t="s">
        <v>102</v>
      </c>
      <c r="B3021" s="1">
        <v>202402</v>
      </c>
      <c r="C3021" s="1" t="str">
        <f>MID(analisis_productividad__4[[#This Row],[Periodo]],1,4)</f>
        <v>2024</v>
      </c>
      <c r="D3021" s="1" t="str">
        <f>MID(analisis_productividad__4[[#This Row],[Periodo]],5,2)</f>
        <v>02</v>
      </c>
      <c r="E3021" s="1" t="s">
        <v>11</v>
      </c>
      <c r="F3021" s="1" t="s">
        <v>12</v>
      </c>
      <c r="G3021" s="1">
        <v>53716</v>
      </c>
      <c r="H3021" s="1">
        <v>1790619</v>
      </c>
      <c r="I3021" s="1">
        <v>33.334985632183908</v>
      </c>
      <c r="J3021" s="1">
        <v>0</v>
      </c>
      <c r="K3021" s="1">
        <v>34</v>
      </c>
      <c r="L3021" s="1">
        <v>34</v>
      </c>
      <c r="M3021" s="1"/>
      <c r="N3021" s="1">
        <v>0</v>
      </c>
    </row>
    <row r="3022" spans="1:14" x14ac:dyDescent="0.35">
      <c r="A3022" s="1" t="s">
        <v>111</v>
      </c>
      <c r="B3022" s="1">
        <v>202411</v>
      </c>
      <c r="C3022" s="1" t="str">
        <f>MID(analisis_productividad__4[[#This Row],[Periodo]],1,4)</f>
        <v>2024</v>
      </c>
      <c r="D3022" s="1" t="str">
        <f>MID(analisis_productividad__4[[#This Row],[Periodo]],5,2)</f>
        <v>11</v>
      </c>
      <c r="E3022" s="1" t="s">
        <v>34</v>
      </c>
      <c r="F3022" s="1" t="s">
        <v>35</v>
      </c>
      <c r="G3022" s="1">
        <v>53700</v>
      </c>
      <c r="H3022" s="1">
        <v>2250447</v>
      </c>
      <c r="I3022" s="1">
        <v>41.90763888888889</v>
      </c>
      <c r="J3022" s="1">
        <v>0</v>
      </c>
      <c r="K3022" s="1">
        <v>45.5</v>
      </c>
      <c r="L3022" s="1">
        <v>42.5</v>
      </c>
      <c r="M3022" s="1"/>
      <c r="N3022" s="1">
        <v>0</v>
      </c>
    </row>
    <row r="3023" spans="1:14" x14ac:dyDescent="0.35">
      <c r="A3023" s="1" t="s">
        <v>102</v>
      </c>
      <c r="B3023" s="1">
        <v>202401</v>
      </c>
      <c r="C3023" s="1" t="str">
        <f>MID(analisis_productividad__4[[#This Row],[Periodo]],1,4)</f>
        <v>2024</v>
      </c>
      <c r="D3023" s="1" t="str">
        <f>MID(analisis_productividad__4[[#This Row],[Periodo]],5,2)</f>
        <v>01</v>
      </c>
      <c r="E3023" s="1" t="s">
        <v>11</v>
      </c>
      <c r="F3023" s="1" t="s">
        <v>12</v>
      </c>
      <c r="G3023" s="1">
        <v>53650</v>
      </c>
      <c r="H3023" s="1">
        <v>1779408</v>
      </c>
      <c r="I3023" s="1">
        <v>33.167063172043008</v>
      </c>
      <c r="J3023" s="1">
        <v>0</v>
      </c>
      <c r="K3023" s="1">
        <v>34</v>
      </c>
      <c r="L3023" s="1">
        <v>34</v>
      </c>
      <c r="M3023" s="1"/>
      <c r="N3023" s="1">
        <v>0</v>
      </c>
    </row>
    <row r="3024" spans="1:14" x14ac:dyDescent="0.35">
      <c r="A3024" s="1" t="s">
        <v>126</v>
      </c>
      <c r="B3024" s="1">
        <v>202506</v>
      </c>
      <c r="C3024" s="1" t="str">
        <f>MID(analisis_productividad__4[[#This Row],[Periodo]],1,4)</f>
        <v>2025</v>
      </c>
      <c r="D3024" s="1" t="str">
        <f>MID(analisis_productividad__4[[#This Row],[Periodo]],5,2)</f>
        <v>06</v>
      </c>
      <c r="E3024" s="1" t="s">
        <v>104</v>
      </c>
      <c r="F3024" s="1" t="s">
        <v>104</v>
      </c>
      <c r="G3024" s="1">
        <v>53643</v>
      </c>
      <c r="H3024" s="1">
        <v>3113046</v>
      </c>
      <c r="I3024" s="1">
        <v>58.03243055555555</v>
      </c>
      <c r="J3024" s="1">
        <v>54262.754302781417</v>
      </c>
      <c r="K3024" s="1">
        <v>64.5</v>
      </c>
      <c r="L3024" s="1">
        <v>61</v>
      </c>
      <c r="M3024" s="1">
        <v>57.369853226201428</v>
      </c>
      <c r="N3024" s="1">
        <v>3071716</v>
      </c>
    </row>
    <row r="3025" spans="1:14" x14ac:dyDescent="0.35">
      <c r="A3025" s="1" t="s">
        <v>99</v>
      </c>
      <c r="B3025" s="1">
        <v>202502</v>
      </c>
      <c r="C3025" s="1" t="str">
        <f>MID(analisis_productividad__4[[#This Row],[Periodo]],1,4)</f>
        <v>2025</v>
      </c>
      <c r="D3025" s="1" t="str">
        <f>MID(analisis_productividad__4[[#This Row],[Periodo]],5,2)</f>
        <v>02</v>
      </c>
      <c r="E3025" s="1" t="s">
        <v>11</v>
      </c>
      <c r="F3025" s="1" t="s">
        <v>12</v>
      </c>
      <c r="G3025" s="1">
        <v>53609</v>
      </c>
      <c r="H3025" s="1">
        <v>1411073</v>
      </c>
      <c r="I3025" s="1">
        <v>26.321406249999995</v>
      </c>
      <c r="J3025" s="1">
        <v>56236.871779005509</v>
      </c>
      <c r="K3025" s="1">
        <v>27</v>
      </c>
      <c r="L3025" s="1">
        <v>27</v>
      </c>
      <c r="M3025" s="1">
        <v>25.09160227732982</v>
      </c>
      <c r="N3025" s="1">
        <v>1396558</v>
      </c>
    </row>
    <row r="3026" spans="1:14" x14ac:dyDescent="0.35">
      <c r="A3026" s="1" t="s">
        <v>109</v>
      </c>
      <c r="B3026" s="1">
        <v>202504</v>
      </c>
      <c r="C3026" s="1" t="str">
        <f>MID(analisis_productividad__4[[#This Row],[Periodo]],1,4)</f>
        <v>2025</v>
      </c>
      <c r="D3026" s="1" t="str">
        <f>MID(analisis_productividad__4[[#This Row],[Periodo]],5,2)</f>
        <v>04</v>
      </c>
      <c r="E3026" s="1" t="s">
        <v>9</v>
      </c>
      <c r="F3026" s="1" t="s">
        <v>9</v>
      </c>
      <c r="G3026" s="1">
        <v>53572</v>
      </c>
      <c r="H3026" s="1">
        <v>430969</v>
      </c>
      <c r="I3026" s="1">
        <v>8.0446527777777774</v>
      </c>
      <c r="J3026" s="1">
        <v>59737.554641880131</v>
      </c>
      <c r="K3026" s="1">
        <v>10</v>
      </c>
      <c r="L3026" s="1">
        <v>9</v>
      </c>
      <c r="M3026" s="1">
        <v>7.2143679563652778</v>
      </c>
      <c r="N3026" s="1">
        <v>551154</v>
      </c>
    </row>
    <row r="3027" spans="1:14" x14ac:dyDescent="0.35">
      <c r="A3027" s="1" t="s">
        <v>99</v>
      </c>
      <c r="B3027" s="1">
        <v>202402</v>
      </c>
      <c r="C3027" s="1" t="str">
        <f>MID(analisis_productividad__4[[#This Row],[Periodo]],1,4)</f>
        <v>2024</v>
      </c>
      <c r="D3027" s="1" t="str">
        <f>MID(analisis_productividad__4[[#This Row],[Periodo]],5,2)</f>
        <v>02</v>
      </c>
      <c r="E3027" s="1" t="s">
        <v>11</v>
      </c>
      <c r="F3027" s="1" t="s">
        <v>12</v>
      </c>
      <c r="G3027" s="1">
        <v>53559</v>
      </c>
      <c r="H3027" s="1">
        <v>1425920</v>
      </c>
      <c r="I3027" s="1">
        <v>26.623383620689665</v>
      </c>
      <c r="J3027" s="1">
        <v>0</v>
      </c>
      <c r="K3027" s="1">
        <v>27</v>
      </c>
      <c r="L3027" s="1">
        <v>27</v>
      </c>
      <c r="M3027" s="1"/>
      <c r="N3027" s="1">
        <v>0</v>
      </c>
    </row>
    <row r="3028" spans="1:14" x14ac:dyDescent="0.35">
      <c r="A3028" s="1" t="s">
        <v>119</v>
      </c>
      <c r="B3028" s="1">
        <v>202404</v>
      </c>
      <c r="C3028" s="1" t="str">
        <f>MID(analisis_productividad__4[[#This Row],[Periodo]],1,4)</f>
        <v>2024</v>
      </c>
      <c r="D3028" s="1" t="str">
        <f>MID(analisis_productividad__4[[#This Row],[Periodo]],5,2)</f>
        <v>04</v>
      </c>
      <c r="E3028" s="1" t="s">
        <v>16</v>
      </c>
      <c r="F3028" s="1" t="s">
        <v>21</v>
      </c>
      <c r="G3028" s="1">
        <v>53553</v>
      </c>
      <c r="H3028" s="1">
        <v>3078507</v>
      </c>
      <c r="I3028" s="1">
        <v>57.484729166666675</v>
      </c>
      <c r="J3028" s="1">
        <v>0</v>
      </c>
      <c r="K3028" s="1">
        <v>52.5</v>
      </c>
      <c r="L3028" s="1">
        <v>52.5</v>
      </c>
      <c r="M3028" s="1"/>
      <c r="N3028" s="1">
        <v>0</v>
      </c>
    </row>
    <row r="3029" spans="1:14" x14ac:dyDescent="0.35">
      <c r="A3029" s="1" t="s">
        <v>127</v>
      </c>
      <c r="B3029" s="1">
        <v>202404</v>
      </c>
      <c r="C3029" s="1" t="str">
        <f>MID(analisis_productividad__4[[#This Row],[Periodo]],1,4)</f>
        <v>2024</v>
      </c>
      <c r="D3029" s="1" t="str">
        <f>MID(analisis_productividad__4[[#This Row],[Periodo]],5,2)</f>
        <v>04</v>
      </c>
      <c r="E3029" s="1" t="s">
        <v>104</v>
      </c>
      <c r="F3029" s="1" t="s">
        <v>104</v>
      </c>
      <c r="G3029" s="1">
        <v>53534</v>
      </c>
      <c r="H3029" s="1">
        <v>3131815</v>
      </c>
      <c r="I3029" s="1">
        <v>58.501090277777777</v>
      </c>
      <c r="J3029" s="1">
        <v>0</v>
      </c>
      <c r="K3029" s="1">
        <v>61.5</v>
      </c>
      <c r="L3029" s="1">
        <v>56</v>
      </c>
      <c r="M3029" s="1"/>
      <c r="N3029" s="1">
        <v>0</v>
      </c>
    </row>
    <row r="3030" spans="1:14" x14ac:dyDescent="0.35">
      <c r="A3030" s="1" t="s">
        <v>128</v>
      </c>
      <c r="B3030" s="1">
        <v>202601</v>
      </c>
      <c r="C3030" s="1" t="str">
        <f>MID(analisis_productividad__4[[#This Row],[Periodo]],1,4)</f>
        <v>2026</v>
      </c>
      <c r="D3030" s="1" t="str">
        <f>MID(analisis_productividad__4[[#This Row],[Periodo]],5,2)</f>
        <v>01</v>
      </c>
      <c r="E3030" s="1" t="s">
        <v>104</v>
      </c>
      <c r="F3030" s="1" t="s">
        <v>104</v>
      </c>
      <c r="G3030" s="1">
        <v>53519</v>
      </c>
      <c r="H3030" s="1">
        <v>2681978</v>
      </c>
      <c r="I3030" s="1">
        <v>50.112426075268793</v>
      </c>
      <c r="J3030" s="1">
        <v>51215.621253451733</v>
      </c>
      <c r="K3030" s="1">
        <v>57.5</v>
      </c>
      <c r="L3030" s="1">
        <v>57</v>
      </c>
      <c r="M3030" s="1">
        <v>50.0561866937662</v>
      </c>
      <c r="N3030" s="1">
        <v>2563659</v>
      </c>
    </row>
    <row r="3031" spans="1:14" x14ac:dyDescent="0.35">
      <c r="A3031" s="1" t="s">
        <v>105</v>
      </c>
      <c r="B3031" s="1">
        <v>202409</v>
      </c>
      <c r="C3031" s="1" t="str">
        <f>MID(analisis_productividad__4[[#This Row],[Periodo]],1,4)</f>
        <v>2024</v>
      </c>
      <c r="D3031" s="1" t="str">
        <f>MID(analisis_productividad__4[[#This Row],[Periodo]],5,2)</f>
        <v>09</v>
      </c>
      <c r="E3031" s="1" t="s">
        <v>34</v>
      </c>
      <c r="F3031" s="1" t="s">
        <v>35</v>
      </c>
      <c r="G3031" s="1">
        <v>53519</v>
      </c>
      <c r="H3031" s="1">
        <v>2328091</v>
      </c>
      <c r="I3031" s="1">
        <v>43.500381944444456</v>
      </c>
      <c r="J3031" s="1">
        <v>0</v>
      </c>
      <c r="K3031" s="1">
        <v>33</v>
      </c>
      <c r="L3031" s="1">
        <v>31.5</v>
      </c>
      <c r="M3031" s="1"/>
      <c r="N3031" s="1">
        <v>0</v>
      </c>
    </row>
    <row r="3032" spans="1:14" x14ac:dyDescent="0.35">
      <c r="A3032" s="1" t="s">
        <v>123</v>
      </c>
      <c r="B3032" s="1">
        <v>202409</v>
      </c>
      <c r="C3032" s="1" t="str">
        <f>MID(analisis_productividad__4[[#This Row],[Periodo]],1,4)</f>
        <v>2024</v>
      </c>
      <c r="D3032" s="1" t="str">
        <f>MID(analisis_productividad__4[[#This Row],[Periodo]],5,2)</f>
        <v>09</v>
      </c>
      <c r="E3032" s="1" t="s">
        <v>9</v>
      </c>
      <c r="F3032" s="1" t="s">
        <v>9</v>
      </c>
      <c r="G3032" s="1">
        <v>53489</v>
      </c>
      <c r="H3032" s="1">
        <v>529924</v>
      </c>
      <c r="I3032" s="1">
        <v>9.9070902777777778</v>
      </c>
      <c r="J3032" s="1">
        <v>0</v>
      </c>
      <c r="K3032" s="1">
        <v>11</v>
      </c>
      <c r="L3032" s="1">
        <v>10</v>
      </c>
      <c r="M3032" s="1"/>
      <c r="N3032" s="1">
        <v>0</v>
      </c>
    </row>
    <row r="3033" spans="1:14" x14ac:dyDescent="0.35">
      <c r="A3033" s="1" t="s">
        <v>116</v>
      </c>
      <c r="B3033" s="1">
        <v>202408</v>
      </c>
      <c r="C3033" s="1" t="str">
        <f>MID(analisis_productividad__4[[#This Row],[Periodo]],1,4)</f>
        <v>2024</v>
      </c>
      <c r="D3033" s="1" t="str">
        <f>MID(analisis_productividad__4[[#This Row],[Periodo]],5,2)</f>
        <v>08</v>
      </c>
      <c r="E3033" s="1" t="s">
        <v>9</v>
      </c>
      <c r="F3033" s="1" t="s">
        <v>9</v>
      </c>
      <c r="G3033" s="1">
        <v>53448</v>
      </c>
      <c r="H3033" s="1">
        <v>633471</v>
      </c>
      <c r="I3033" s="1">
        <v>11.852016129032259</v>
      </c>
      <c r="J3033" s="1">
        <v>0</v>
      </c>
      <c r="K3033" s="1">
        <v>11.5</v>
      </c>
      <c r="L3033" s="1">
        <v>10</v>
      </c>
      <c r="M3033" s="1"/>
      <c r="N3033" s="1">
        <v>0</v>
      </c>
    </row>
    <row r="3034" spans="1:14" x14ac:dyDescent="0.35">
      <c r="A3034" s="1" t="s">
        <v>116</v>
      </c>
      <c r="B3034" s="1">
        <v>202410</v>
      </c>
      <c r="C3034" s="1" t="str">
        <f>MID(analisis_productividad__4[[#This Row],[Periodo]],1,4)</f>
        <v>2024</v>
      </c>
      <c r="D3034" s="1" t="str">
        <f>MID(analisis_productividad__4[[#This Row],[Periodo]],5,2)</f>
        <v>10</v>
      </c>
      <c r="E3034" s="1" t="s">
        <v>9</v>
      </c>
      <c r="F3034" s="1" t="s">
        <v>9</v>
      </c>
      <c r="G3034" s="1">
        <v>53431</v>
      </c>
      <c r="H3034" s="1">
        <v>598666</v>
      </c>
      <c r="I3034" s="1">
        <v>11.204469086021508</v>
      </c>
      <c r="J3034" s="1">
        <v>0</v>
      </c>
      <c r="K3034" s="1">
        <v>11.5</v>
      </c>
      <c r="L3034" s="1">
        <v>10</v>
      </c>
      <c r="M3034" s="1"/>
      <c r="N3034" s="1">
        <v>0</v>
      </c>
    </row>
    <row r="3035" spans="1:14" x14ac:dyDescent="0.35">
      <c r="A3035" s="1" t="s">
        <v>127</v>
      </c>
      <c r="B3035" s="1">
        <v>202605</v>
      </c>
      <c r="C3035" s="1" t="str">
        <f>MID(analisis_productividad__4[[#This Row],[Periodo]],1,4)</f>
        <v>2026</v>
      </c>
      <c r="D3035" s="1" t="str">
        <f>MID(analisis_productividad__4[[#This Row],[Periodo]],5,2)</f>
        <v>05</v>
      </c>
      <c r="E3035" s="1" t="s">
        <v>104</v>
      </c>
      <c r="F3035" s="1" t="s">
        <v>104</v>
      </c>
      <c r="G3035" s="1">
        <v>53403</v>
      </c>
      <c r="H3035" s="1">
        <v>2960325</v>
      </c>
      <c r="I3035" s="1">
        <v>55.434072580645747</v>
      </c>
      <c r="J3035" s="1"/>
      <c r="K3035" s="1">
        <v>61.5</v>
      </c>
      <c r="L3035" s="1">
        <v>56</v>
      </c>
      <c r="M3035" s="1"/>
      <c r="N3035" s="1">
        <v>3412716</v>
      </c>
    </row>
    <row r="3036" spans="1:14" x14ac:dyDescent="0.35">
      <c r="A3036" s="1" t="s">
        <v>123</v>
      </c>
      <c r="B3036" s="1">
        <v>202404</v>
      </c>
      <c r="C3036" s="1" t="str">
        <f>MID(analisis_productividad__4[[#This Row],[Periodo]],1,4)</f>
        <v>2024</v>
      </c>
      <c r="D3036" s="1" t="str">
        <f>MID(analisis_productividad__4[[#This Row],[Periodo]],5,2)</f>
        <v>04</v>
      </c>
      <c r="E3036" s="1" t="s">
        <v>9</v>
      </c>
      <c r="F3036" s="1" t="s">
        <v>9</v>
      </c>
      <c r="G3036" s="1">
        <v>53335</v>
      </c>
      <c r="H3036" s="1">
        <v>525366</v>
      </c>
      <c r="I3036" s="1">
        <v>9.8502638888888896</v>
      </c>
      <c r="J3036" s="1">
        <v>0</v>
      </c>
      <c r="K3036" s="1">
        <v>11</v>
      </c>
      <c r="L3036" s="1">
        <v>10</v>
      </c>
      <c r="M3036" s="1"/>
      <c r="N3036" s="1">
        <v>0</v>
      </c>
    </row>
    <row r="3037" spans="1:14" x14ac:dyDescent="0.35">
      <c r="A3037" s="1" t="s">
        <v>112</v>
      </c>
      <c r="B3037" s="1">
        <v>202502</v>
      </c>
      <c r="C3037" s="1" t="str">
        <f>MID(analisis_productividad__4[[#This Row],[Periodo]],1,4)</f>
        <v>2025</v>
      </c>
      <c r="D3037" s="1" t="str">
        <f>MID(analisis_productividad__4[[#This Row],[Periodo]],5,2)</f>
        <v>02</v>
      </c>
      <c r="E3037" s="1" t="s">
        <v>34</v>
      </c>
      <c r="F3037" s="1" t="s">
        <v>35</v>
      </c>
      <c r="G3037" s="1">
        <v>53309</v>
      </c>
      <c r="H3037" s="1">
        <v>1474871</v>
      </c>
      <c r="I3037" s="1">
        <v>27.666249999999998</v>
      </c>
      <c r="J3037" s="1">
        <v>59365.626336662026</v>
      </c>
      <c r="K3037" s="1">
        <v>31</v>
      </c>
      <c r="L3037" s="1">
        <v>27</v>
      </c>
      <c r="M3037" s="1">
        <v>24.843858660498526</v>
      </c>
      <c r="N3037" s="1">
        <v>1345655</v>
      </c>
    </row>
    <row r="3038" spans="1:14" x14ac:dyDescent="0.35">
      <c r="A3038" s="1" t="s">
        <v>101</v>
      </c>
      <c r="B3038" s="1">
        <v>202411</v>
      </c>
      <c r="C3038" s="1" t="str">
        <f>MID(analisis_productividad__4[[#This Row],[Periodo]],1,4)</f>
        <v>2024</v>
      </c>
      <c r="D3038" s="1" t="str">
        <f>MID(analisis_productividad__4[[#This Row],[Periodo]],5,2)</f>
        <v>11</v>
      </c>
      <c r="E3038" s="1" t="s">
        <v>9</v>
      </c>
      <c r="F3038" s="1" t="s">
        <v>9</v>
      </c>
      <c r="G3038" s="1">
        <v>53237</v>
      </c>
      <c r="H3038" s="1">
        <v>359070</v>
      </c>
      <c r="I3038" s="1">
        <v>6.7447430555555572</v>
      </c>
      <c r="J3038" s="1">
        <v>0</v>
      </c>
      <c r="K3038" s="1">
        <v>8.5</v>
      </c>
      <c r="L3038" s="1">
        <v>6.5</v>
      </c>
      <c r="M3038" s="1"/>
      <c r="N3038" s="1">
        <v>0</v>
      </c>
    </row>
    <row r="3039" spans="1:14" x14ac:dyDescent="0.35">
      <c r="A3039" s="1" t="s">
        <v>125</v>
      </c>
      <c r="B3039" s="1">
        <v>202511</v>
      </c>
      <c r="C3039" s="1" t="str">
        <f>MID(analisis_productividad__4[[#This Row],[Periodo]],1,4)</f>
        <v>2025</v>
      </c>
      <c r="D3039" s="1" t="str">
        <f>MID(analisis_productividad__4[[#This Row],[Periodo]],5,2)</f>
        <v>11</v>
      </c>
      <c r="E3039" s="1" t="s">
        <v>104</v>
      </c>
      <c r="F3039" s="1" t="s">
        <v>104</v>
      </c>
      <c r="G3039" s="1">
        <v>53230</v>
      </c>
      <c r="H3039" s="1">
        <v>2621750</v>
      </c>
      <c r="I3039" s="1">
        <v>49.253604166666669</v>
      </c>
      <c r="J3039" s="1">
        <v>50430.615561054263</v>
      </c>
      <c r="K3039" s="1">
        <v>59</v>
      </c>
      <c r="L3039" s="1">
        <v>50</v>
      </c>
      <c r="M3039" s="1">
        <v>51.987275206386393</v>
      </c>
      <c r="N3039" s="1">
        <v>2853496</v>
      </c>
    </row>
    <row r="3040" spans="1:14" x14ac:dyDescent="0.35">
      <c r="A3040" s="1" t="s">
        <v>101</v>
      </c>
      <c r="B3040" s="1">
        <v>202412</v>
      </c>
      <c r="C3040" s="1" t="str">
        <f>MID(analisis_productividad__4[[#This Row],[Periodo]],1,4)</f>
        <v>2024</v>
      </c>
      <c r="D3040" s="1" t="str">
        <f>MID(analisis_productividad__4[[#This Row],[Periodo]],5,2)</f>
        <v>12</v>
      </c>
      <c r="E3040" s="1" t="s">
        <v>9</v>
      </c>
      <c r="F3040" s="1" t="s">
        <v>9</v>
      </c>
      <c r="G3040" s="1">
        <v>53140</v>
      </c>
      <c r="H3040" s="1">
        <v>399382</v>
      </c>
      <c r="I3040" s="1">
        <v>7.5156854838709695</v>
      </c>
      <c r="J3040" s="1">
        <v>0</v>
      </c>
      <c r="K3040" s="1">
        <v>8.5</v>
      </c>
      <c r="L3040" s="1">
        <v>6.5</v>
      </c>
      <c r="M3040" s="1"/>
      <c r="N3040" s="1">
        <v>0</v>
      </c>
    </row>
    <row r="3041" spans="1:14" x14ac:dyDescent="0.35">
      <c r="A3041" s="1" t="s">
        <v>121</v>
      </c>
      <c r="B3041" s="1">
        <v>202402</v>
      </c>
      <c r="C3041" s="1" t="str">
        <f>MID(analisis_productividad__4[[#This Row],[Periodo]],1,4)</f>
        <v>2024</v>
      </c>
      <c r="D3041" s="1" t="str">
        <f>MID(analisis_productividad__4[[#This Row],[Periodo]],5,2)</f>
        <v>02</v>
      </c>
      <c r="E3041" s="1" t="s">
        <v>11</v>
      </c>
      <c r="F3041" s="1" t="s">
        <v>14</v>
      </c>
      <c r="G3041" s="1">
        <v>53122</v>
      </c>
      <c r="H3041" s="1">
        <v>1960581</v>
      </c>
      <c r="I3041" s="1">
        <v>36.907399425287373</v>
      </c>
      <c r="J3041" s="1">
        <v>0</v>
      </c>
      <c r="K3041" s="1">
        <v>36</v>
      </c>
      <c r="L3041" s="1">
        <v>35</v>
      </c>
      <c r="M3041" s="1"/>
      <c r="N3041" s="1">
        <v>0</v>
      </c>
    </row>
    <row r="3042" spans="1:14" x14ac:dyDescent="0.35">
      <c r="A3042" s="1" t="s">
        <v>122</v>
      </c>
      <c r="B3042" s="1">
        <v>202601</v>
      </c>
      <c r="C3042" s="1" t="str">
        <f>MID(analisis_productividad__4[[#This Row],[Periodo]],1,4)</f>
        <v>2026</v>
      </c>
      <c r="D3042" s="1" t="str">
        <f>MID(analisis_productividad__4[[#This Row],[Periodo]],5,2)</f>
        <v>01</v>
      </c>
      <c r="E3042" s="1" t="s">
        <v>104</v>
      </c>
      <c r="F3042" s="1" t="s">
        <v>104</v>
      </c>
      <c r="G3042" s="1">
        <v>53103</v>
      </c>
      <c r="H3042" s="1">
        <v>5276274</v>
      </c>
      <c r="I3042" s="1">
        <v>99.358319892473077</v>
      </c>
      <c r="J3042" s="1">
        <v>51233.575784599387</v>
      </c>
      <c r="K3042" s="1">
        <v>22</v>
      </c>
      <c r="L3042" s="1">
        <v>20</v>
      </c>
      <c r="M3042" s="1">
        <v>96.1</v>
      </c>
      <c r="N3042" s="1">
        <v>4923547</v>
      </c>
    </row>
    <row r="3043" spans="1:14" x14ac:dyDescent="0.35">
      <c r="A3043" s="1" t="s">
        <v>99</v>
      </c>
      <c r="B3043" s="1">
        <v>202406</v>
      </c>
      <c r="C3043" s="1" t="str">
        <f>MID(analisis_productividad__4[[#This Row],[Periodo]],1,4)</f>
        <v>2024</v>
      </c>
      <c r="D3043" s="1" t="str">
        <f>MID(analisis_productividad__4[[#This Row],[Periodo]],5,2)</f>
        <v>06</v>
      </c>
      <c r="E3043" s="1" t="s">
        <v>11</v>
      </c>
      <c r="F3043" s="1" t="s">
        <v>12</v>
      </c>
      <c r="G3043" s="1">
        <v>53053</v>
      </c>
      <c r="H3043" s="1">
        <v>1402574</v>
      </c>
      <c r="I3043" s="1">
        <v>26.437250000000006</v>
      </c>
      <c r="J3043" s="1">
        <v>0</v>
      </c>
      <c r="K3043" s="1">
        <v>27</v>
      </c>
      <c r="L3043" s="1">
        <v>27</v>
      </c>
      <c r="M3043" s="1"/>
      <c r="N3043" s="1">
        <v>0</v>
      </c>
    </row>
    <row r="3044" spans="1:14" x14ac:dyDescent="0.35">
      <c r="A3044" s="1" t="s">
        <v>105</v>
      </c>
      <c r="B3044" s="1">
        <v>202402</v>
      </c>
      <c r="C3044" s="1" t="str">
        <f>MID(analisis_productividad__4[[#This Row],[Periodo]],1,4)</f>
        <v>2024</v>
      </c>
      <c r="D3044" s="1" t="str">
        <f>MID(analisis_productividad__4[[#This Row],[Periodo]],5,2)</f>
        <v>02</v>
      </c>
      <c r="E3044" s="1" t="s">
        <v>34</v>
      </c>
      <c r="F3044" s="1" t="s">
        <v>35</v>
      </c>
      <c r="G3044" s="1">
        <v>53038</v>
      </c>
      <c r="H3044" s="1">
        <v>2344665</v>
      </c>
      <c r="I3044" s="1">
        <v>44.207212643678176</v>
      </c>
      <c r="J3044" s="1">
        <v>0</v>
      </c>
      <c r="K3044" s="1">
        <v>33</v>
      </c>
      <c r="L3044" s="1">
        <v>31.5</v>
      </c>
      <c r="M3044" s="1"/>
      <c r="N3044" s="1">
        <v>0</v>
      </c>
    </row>
    <row r="3045" spans="1:14" x14ac:dyDescent="0.35">
      <c r="A3045" s="1" t="s">
        <v>115</v>
      </c>
      <c r="B3045" s="1">
        <v>202602</v>
      </c>
      <c r="C3045" s="1" t="str">
        <f>MID(analisis_productividad__4[[#This Row],[Periodo]],1,4)</f>
        <v>2026</v>
      </c>
      <c r="D3045" s="1" t="str">
        <f>MID(analisis_productividad__4[[#This Row],[Periodo]],5,2)</f>
        <v>02</v>
      </c>
      <c r="E3045" s="1" t="s">
        <v>34</v>
      </c>
      <c r="F3045" s="1" t="s">
        <v>35</v>
      </c>
      <c r="G3045" s="1">
        <v>52977</v>
      </c>
      <c r="H3045" s="1">
        <v>2741153</v>
      </c>
      <c r="I3045" s="1">
        <v>51.742447916666656</v>
      </c>
      <c r="J3045" s="1">
        <v>63745.587844146408</v>
      </c>
      <c r="K3045" s="1">
        <v>53.5</v>
      </c>
      <c r="L3045" s="1">
        <v>51</v>
      </c>
      <c r="M3045" s="1">
        <v>45.515809558361951</v>
      </c>
      <c r="N3045" s="1">
        <v>2901432</v>
      </c>
    </row>
    <row r="3046" spans="1:14" x14ac:dyDescent="0.35">
      <c r="A3046" s="1" t="s">
        <v>102</v>
      </c>
      <c r="B3046" s="1">
        <v>202502</v>
      </c>
      <c r="C3046" s="1" t="str">
        <f>MID(analisis_productividad__4[[#This Row],[Periodo]],1,4)</f>
        <v>2025</v>
      </c>
      <c r="D3046" s="1" t="str">
        <f>MID(analisis_productividad__4[[#This Row],[Periodo]],5,2)</f>
        <v>02</v>
      </c>
      <c r="E3046" s="1" t="s">
        <v>11</v>
      </c>
      <c r="F3046" s="1" t="s">
        <v>12</v>
      </c>
      <c r="G3046" s="1">
        <v>52929</v>
      </c>
      <c r="H3046" s="1">
        <v>1785735</v>
      </c>
      <c r="I3046" s="1">
        <v>33.738593749999993</v>
      </c>
      <c r="J3046" s="1">
        <v>56401.699261114212</v>
      </c>
      <c r="K3046" s="1">
        <v>34</v>
      </c>
      <c r="L3046" s="1">
        <v>34</v>
      </c>
      <c r="M3046" s="1">
        <v>31.661009036852963</v>
      </c>
      <c r="N3046" s="1">
        <v>1691534</v>
      </c>
    </row>
    <row r="3047" spans="1:14" x14ac:dyDescent="0.35">
      <c r="A3047" s="1" t="s">
        <v>125</v>
      </c>
      <c r="B3047" s="1">
        <v>202509</v>
      </c>
      <c r="C3047" s="1" t="str">
        <f>MID(analisis_productividad__4[[#This Row],[Periodo]],1,4)</f>
        <v>2025</v>
      </c>
      <c r="D3047" s="1" t="str">
        <f>MID(analisis_productividad__4[[#This Row],[Periodo]],5,2)</f>
        <v>09</v>
      </c>
      <c r="E3047" s="1" t="s">
        <v>104</v>
      </c>
      <c r="F3047" s="1" t="s">
        <v>104</v>
      </c>
      <c r="G3047" s="1">
        <v>52904</v>
      </c>
      <c r="H3047" s="1">
        <v>2612982</v>
      </c>
      <c r="I3047" s="1">
        <v>49.390736111111117</v>
      </c>
      <c r="J3047" s="1">
        <v>52429.70740386242</v>
      </c>
      <c r="K3047" s="1">
        <v>59</v>
      </c>
      <c r="L3047" s="1">
        <v>50</v>
      </c>
      <c r="M3047" s="1">
        <v>49.837808551407377</v>
      </c>
      <c r="N3047" s="1">
        <v>2630808</v>
      </c>
    </row>
    <row r="3048" spans="1:14" x14ac:dyDescent="0.35">
      <c r="A3048" s="1" t="s">
        <v>123</v>
      </c>
      <c r="B3048" s="1">
        <v>202605</v>
      </c>
      <c r="C3048" s="1" t="str">
        <f>MID(analisis_productividad__4[[#This Row],[Periodo]],1,4)</f>
        <v>2026</v>
      </c>
      <c r="D3048" s="1" t="str">
        <f>MID(analisis_productividad__4[[#This Row],[Periodo]],5,2)</f>
        <v>05</v>
      </c>
      <c r="E3048" s="1" t="s">
        <v>9</v>
      </c>
      <c r="F3048" s="1" t="s">
        <v>9</v>
      </c>
      <c r="G3048" s="1">
        <v>52881</v>
      </c>
      <c r="H3048" s="1">
        <v>539280</v>
      </c>
      <c r="I3048" s="1">
        <v>10.197936827956996</v>
      </c>
      <c r="J3048" s="1">
        <v>52188.079587348715</v>
      </c>
      <c r="K3048" s="1">
        <v>11</v>
      </c>
      <c r="L3048" s="1">
        <v>10</v>
      </c>
      <c r="M3048" s="1">
        <v>10.023956063077975</v>
      </c>
      <c r="N3048" s="1">
        <v>523131</v>
      </c>
    </row>
    <row r="3049" spans="1:14" x14ac:dyDescent="0.35">
      <c r="A3049" s="1" t="s">
        <v>108</v>
      </c>
      <c r="B3049" s="1">
        <v>202405</v>
      </c>
      <c r="C3049" s="1" t="str">
        <f>MID(analisis_productividad__4[[#This Row],[Periodo]],1,4)</f>
        <v>2024</v>
      </c>
      <c r="D3049" s="1" t="str">
        <f>MID(analisis_productividad__4[[#This Row],[Periodo]],5,2)</f>
        <v>05</v>
      </c>
      <c r="E3049" s="1" t="s">
        <v>11</v>
      </c>
      <c r="F3049" s="1" t="s">
        <v>14</v>
      </c>
      <c r="G3049" s="1">
        <v>52881</v>
      </c>
      <c r="H3049" s="1">
        <v>2649087</v>
      </c>
      <c r="I3049" s="1">
        <v>50.095490591397841</v>
      </c>
      <c r="J3049" s="1">
        <v>0</v>
      </c>
      <c r="K3049" s="1">
        <v>47.5</v>
      </c>
      <c r="L3049" s="1">
        <v>43</v>
      </c>
      <c r="M3049" s="1"/>
      <c r="N3049" s="1">
        <v>0</v>
      </c>
    </row>
    <row r="3050" spans="1:14" x14ac:dyDescent="0.35">
      <c r="A3050" s="1" t="s">
        <v>126</v>
      </c>
      <c r="B3050" s="1">
        <v>202407</v>
      </c>
      <c r="C3050" s="1" t="str">
        <f>MID(analisis_productividad__4[[#This Row],[Periodo]],1,4)</f>
        <v>2024</v>
      </c>
      <c r="D3050" s="1" t="str">
        <f>MID(analisis_productividad__4[[#This Row],[Periodo]],5,2)</f>
        <v>07</v>
      </c>
      <c r="E3050" s="1" t="s">
        <v>104</v>
      </c>
      <c r="F3050" s="1" t="s">
        <v>104</v>
      </c>
      <c r="G3050" s="1">
        <v>52847</v>
      </c>
      <c r="H3050" s="1">
        <v>3087122</v>
      </c>
      <c r="I3050" s="1">
        <v>58.415799731182794</v>
      </c>
      <c r="J3050" s="1">
        <v>0</v>
      </c>
      <c r="K3050" s="1">
        <v>64.5</v>
      </c>
      <c r="L3050" s="1">
        <v>61</v>
      </c>
      <c r="M3050" s="1"/>
      <c r="N3050" s="1">
        <v>0</v>
      </c>
    </row>
    <row r="3051" spans="1:14" x14ac:dyDescent="0.35">
      <c r="A3051" s="1" t="s">
        <v>110</v>
      </c>
      <c r="B3051" s="1">
        <v>202502</v>
      </c>
      <c r="C3051" s="1" t="str">
        <f>MID(analisis_productividad__4[[#This Row],[Periodo]],1,4)</f>
        <v>2025</v>
      </c>
      <c r="D3051" s="1" t="str">
        <f>MID(analisis_productividad__4[[#This Row],[Periodo]],5,2)</f>
        <v>02</v>
      </c>
      <c r="E3051" s="1" t="s">
        <v>34</v>
      </c>
      <c r="F3051" s="1" t="s">
        <v>35</v>
      </c>
      <c r="G3051" s="1">
        <v>52766</v>
      </c>
      <c r="H3051" s="1">
        <v>1998079</v>
      </c>
      <c r="I3051" s="1">
        <v>37.866927083333337</v>
      </c>
      <c r="J3051" s="1">
        <v>61455.796357597523</v>
      </c>
      <c r="K3051" s="1">
        <v>41.5</v>
      </c>
      <c r="L3051" s="1">
        <v>43</v>
      </c>
      <c r="M3051" s="1">
        <v>32.512464216940963</v>
      </c>
      <c r="N3051" s="1">
        <v>2186118</v>
      </c>
    </row>
    <row r="3052" spans="1:14" x14ac:dyDescent="0.35">
      <c r="A3052" s="1" t="s">
        <v>127</v>
      </c>
      <c r="B3052" s="1">
        <v>202409</v>
      </c>
      <c r="C3052" s="1" t="str">
        <f>MID(analisis_productividad__4[[#This Row],[Periodo]],1,4)</f>
        <v>2024</v>
      </c>
      <c r="D3052" s="1" t="str">
        <f>MID(analisis_productividad__4[[#This Row],[Periodo]],5,2)</f>
        <v>09</v>
      </c>
      <c r="E3052" s="1" t="s">
        <v>104</v>
      </c>
      <c r="F3052" s="1" t="s">
        <v>104</v>
      </c>
      <c r="G3052" s="1">
        <v>52747</v>
      </c>
      <c r="H3052" s="1">
        <v>3137886</v>
      </c>
      <c r="I3052" s="1">
        <v>59.4895</v>
      </c>
      <c r="J3052" s="1">
        <v>0</v>
      </c>
      <c r="K3052" s="1">
        <v>61.5</v>
      </c>
      <c r="L3052" s="1">
        <v>56</v>
      </c>
      <c r="M3052" s="1"/>
      <c r="N3052" s="1">
        <v>0</v>
      </c>
    </row>
    <row r="3053" spans="1:14" x14ac:dyDescent="0.35">
      <c r="A3053" s="1" t="s">
        <v>123</v>
      </c>
      <c r="B3053" s="1">
        <v>202501</v>
      </c>
      <c r="C3053" s="1" t="str">
        <f>MID(analisis_productividad__4[[#This Row],[Periodo]],1,4)</f>
        <v>2025</v>
      </c>
      <c r="D3053" s="1" t="str">
        <f>MID(analisis_productividad__4[[#This Row],[Periodo]],5,2)</f>
        <v>01</v>
      </c>
      <c r="E3053" s="1" t="s">
        <v>9</v>
      </c>
      <c r="F3053" s="1" t="s">
        <v>9</v>
      </c>
      <c r="G3053" s="1">
        <v>52727</v>
      </c>
      <c r="H3053" s="1">
        <v>508066</v>
      </c>
      <c r="I3053" s="1">
        <v>9.6358198924731191</v>
      </c>
      <c r="J3053" s="1">
        <v>57356.487713959672</v>
      </c>
      <c r="K3053" s="1">
        <v>11</v>
      </c>
      <c r="L3053" s="1">
        <v>10</v>
      </c>
      <c r="M3053" s="1">
        <v>8.8580315889242431</v>
      </c>
      <c r="N3053" s="1">
        <v>499820</v>
      </c>
    </row>
    <row r="3054" spans="1:14" x14ac:dyDescent="0.35">
      <c r="A3054" s="1" t="s">
        <v>99</v>
      </c>
      <c r="B3054" s="1">
        <v>202401</v>
      </c>
      <c r="C3054" s="1" t="str">
        <f>MID(analisis_productividad__4[[#This Row],[Periodo]],1,4)</f>
        <v>2024</v>
      </c>
      <c r="D3054" s="1" t="str">
        <f>MID(analisis_productividad__4[[#This Row],[Periodo]],5,2)</f>
        <v>01</v>
      </c>
      <c r="E3054" s="1" t="s">
        <v>11</v>
      </c>
      <c r="F3054" s="1" t="s">
        <v>12</v>
      </c>
      <c r="G3054" s="1">
        <v>52682</v>
      </c>
      <c r="H3054" s="1">
        <v>1441504</v>
      </c>
      <c r="I3054" s="1">
        <v>27.362237903225807</v>
      </c>
      <c r="J3054" s="1">
        <v>0</v>
      </c>
      <c r="K3054" s="1">
        <v>27</v>
      </c>
      <c r="L3054" s="1">
        <v>27</v>
      </c>
      <c r="M3054" s="1"/>
      <c r="N3054" s="1">
        <v>0</v>
      </c>
    </row>
    <row r="3055" spans="1:14" x14ac:dyDescent="0.35">
      <c r="A3055" s="1" t="s">
        <v>125</v>
      </c>
      <c r="B3055" s="1">
        <v>202506</v>
      </c>
      <c r="C3055" s="1" t="str">
        <f>MID(analisis_productividad__4[[#This Row],[Periodo]],1,4)</f>
        <v>2025</v>
      </c>
      <c r="D3055" s="1" t="str">
        <f>MID(analisis_productividad__4[[#This Row],[Periodo]],5,2)</f>
        <v>06</v>
      </c>
      <c r="E3055" s="1" t="s">
        <v>104</v>
      </c>
      <c r="F3055" s="1" t="s">
        <v>104</v>
      </c>
      <c r="G3055" s="1">
        <v>52605</v>
      </c>
      <c r="H3055" s="1">
        <v>2630192</v>
      </c>
      <c r="I3055" s="1">
        <v>49.998763888888881</v>
      </c>
      <c r="J3055" s="1">
        <v>56470.440791873014</v>
      </c>
      <c r="K3055" s="1">
        <v>59</v>
      </c>
      <c r="L3055" s="1">
        <v>50</v>
      </c>
      <c r="M3055" s="1">
        <v>46.576442526698443</v>
      </c>
      <c r="N3055" s="1">
        <v>2664799</v>
      </c>
    </row>
    <row r="3056" spans="1:14" x14ac:dyDescent="0.35">
      <c r="A3056" s="1" t="s">
        <v>116</v>
      </c>
      <c r="B3056" s="1">
        <v>202502</v>
      </c>
      <c r="C3056" s="1" t="str">
        <f>MID(analisis_productividad__4[[#This Row],[Periodo]],1,4)</f>
        <v>2025</v>
      </c>
      <c r="D3056" s="1" t="str">
        <f>MID(analisis_productividad__4[[#This Row],[Periodo]],5,2)</f>
        <v>02</v>
      </c>
      <c r="E3056" s="1" t="s">
        <v>9</v>
      </c>
      <c r="F3056" s="1" t="s">
        <v>9</v>
      </c>
      <c r="G3056" s="1">
        <v>52597</v>
      </c>
      <c r="H3056" s="1">
        <v>612858</v>
      </c>
      <c r="I3056" s="1">
        <v>11.65203125</v>
      </c>
      <c r="J3056" s="1">
        <v>61682.201320515516</v>
      </c>
      <c r="K3056" s="1">
        <v>11.5</v>
      </c>
      <c r="L3056" s="1">
        <v>10</v>
      </c>
      <c r="M3056" s="1">
        <v>9.9357274364357568</v>
      </c>
      <c r="N3056" s="1">
        <v>656556</v>
      </c>
    </row>
    <row r="3057" spans="1:14" x14ac:dyDescent="0.35">
      <c r="A3057" s="1" t="s">
        <v>123</v>
      </c>
      <c r="B3057" s="1">
        <v>202510</v>
      </c>
      <c r="C3057" s="1" t="str">
        <f>MID(analisis_productividad__4[[#This Row],[Periodo]],1,4)</f>
        <v>2025</v>
      </c>
      <c r="D3057" s="1" t="str">
        <f>MID(analisis_productividad__4[[#This Row],[Periodo]],5,2)</f>
        <v>10</v>
      </c>
      <c r="E3057" s="1" t="s">
        <v>9</v>
      </c>
      <c r="F3057" s="1" t="s">
        <v>9</v>
      </c>
      <c r="G3057" s="1">
        <v>52574</v>
      </c>
      <c r="H3057" s="1">
        <v>515069</v>
      </c>
      <c r="I3057" s="1">
        <v>9.7971303763440876</v>
      </c>
      <c r="J3057" s="1">
        <v>59891.098225540569</v>
      </c>
      <c r="K3057" s="1">
        <v>11</v>
      </c>
      <c r="L3057" s="1">
        <v>10</v>
      </c>
      <c r="M3057" s="1">
        <v>8.6001007705740911</v>
      </c>
      <c r="N3057" s="1">
        <v>570134</v>
      </c>
    </row>
    <row r="3058" spans="1:14" x14ac:dyDescent="0.35">
      <c r="A3058" s="1" t="s">
        <v>99</v>
      </c>
      <c r="B3058" s="1">
        <v>202410</v>
      </c>
      <c r="C3058" s="1" t="str">
        <f>MID(analisis_productividad__4[[#This Row],[Periodo]],1,4)</f>
        <v>2024</v>
      </c>
      <c r="D3058" s="1" t="str">
        <f>MID(analisis_productividad__4[[#This Row],[Periodo]],5,2)</f>
        <v>10</v>
      </c>
      <c r="E3058" s="1" t="s">
        <v>11</v>
      </c>
      <c r="F3058" s="1" t="s">
        <v>12</v>
      </c>
      <c r="G3058" s="1">
        <v>52566</v>
      </c>
      <c r="H3058" s="1">
        <v>1389080</v>
      </c>
      <c r="I3058" s="1">
        <v>26.425329301075269</v>
      </c>
      <c r="J3058" s="1">
        <v>0</v>
      </c>
      <c r="K3058" s="1">
        <v>27</v>
      </c>
      <c r="L3058" s="1">
        <v>27</v>
      </c>
      <c r="M3058" s="1"/>
      <c r="N3058" s="1">
        <v>0</v>
      </c>
    </row>
    <row r="3059" spans="1:14" x14ac:dyDescent="0.35">
      <c r="A3059" s="1" t="s">
        <v>125</v>
      </c>
      <c r="B3059" s="1">
        <v>202405</v>
      </c>
      <c r="C3059" s="1" t="str">
        <f>MID(analisis_productividad__4[[#This Row],[Periodo]],1,4)</f>
        <v>2024</v>
      </c>
      <c r="D3059" s="1" t="str">
        <f>MID(analisis_productividad__4[[#This Row],[Periodo]],5,2)</f>
        <v>05</v>
      </c>
      <c r="E3059" s="1" t="s">
        <v>104</v>
      </c>
      <c r="F3059" s="1" t="s">
        <v>104</v>
      </c>
      <c r="G3059" s="1">
        <v>52505</v>
      </c>
      <c r="H3059" s="1">
        <v>2592295</v>
      </c>
      <c r="I3059" s="1">
        <v>49.372345430107522</v>
      </c>
      <c r="J3059" s="1">
        <v>0</v>
      </c>
      <c r="K3059" s="1">
        <v>59</v>
      </c>
      <c r="L3059" s="1">
        <v>50</v>
      </c>
      <c r="M3059" s="1"/>
      <c r="N3059" s="1">
        <v>0</v>
      </c>
    </row>
    <row r="3060" spans="1:14" x14ac:dyDescent="0.35">
      <c r="A3060" s="1" t="s">
        <v>124</v>
      </c>
      <c r="B3060" s="1">
        <v>202501</v>
      </c>
      <c r="C3060" s="1" t="str">
        <f>MID(analisis_productividad__4[[#This Row],[Periodo]],1,4)</f>
        <v>2025</v>
      </c>
      <c r="D3060" s="1" t="str">
        <f>MID(analisis_productividad__4[[#This Row],[Periodo]],5,2)</f>
        <v>01</v>
      </c>
      <c r="E3060" s="1" t="s">
        <v>9</v>
      </c>
      <c r="F3060" s="1" t="s">
        <v>9</v>
      </c>
      <c r="G3060" s="1">
        <v>52483</v>
      </c>
      <c r="H3060" s="1">
        <v>548450</v>
      </c>
      <c r="I3060" s="1">
        <v>10.449946236559143</v>
      </c>
      <c r="J3060" s="1">
        <v>74799.0883853165</v>
      </c>
      <c r="K3060" s="1">
        <v>11</v>
      </c>
      <c r="L3060" s="1">
        <v>12</v>
      </c>
      <c r="M3060" s="1">
        <v>7.3323029977951437</v>
      </c>
      <c r="N3060" s="1">
        <v>734740</v>
      </c>
    </row>
    <row r="3061" spans="1:14" x14ac:dyDescent="0.35">
      <c r="A3061" s="1" t="s">
        <v>125</v>
      </c>
      <c r="B3061" s="1">
        <v>202404</v>
      </c>
      <c r="C3061" s="1" t="str">
        <f>MID(analisis_productividad__4[[#This Row],[Periodo]],1,4)</f>
        <v>2024</v>
      </c>
      <c r="D3061" s="1" t="str">
        <f>MID(analisis_productividad__4[[#This Row],[Periodo]],5,2)</f>
        <v>04</v>
      </c>
      <c r="E3061" s="1" t="s">
        <v>104</v>
      </c>
      <c r="F3061" s="1" t="s">
        <v>104</v>
      </c>
      <c r="G3061" s="1">
        <v>52435</v>
      </c>
      <c r="H3061" s="1">
        <v>2473562</v>
      </c>
      <c r="I3061" s="1">
        <v>47.17421527777779</v>
      </c>
      <c r="J3061" s="1">
        <v>0</v>
      </c>
      <c r="K3061" s="1">
        <v>59</v>
      </c>
      <c r="L3061" s="1">
        <v>50</v>
      </c>
      <c r="M3061" s="1"/>
      <c r="N3061" s="1">
        <v>0</v>
      </c>
    </row>
    <row r="3062" spans="1:14" x14ac:dyDescent="0.35">
      <c r="A3062" s="1" t="s">
        <v>126</v>
      </c>
      <c r="B3062" s="1">
        <v>202511</v>
      </c>
      <c r="C3062" s="1" t="str">
        <f>MID(analisis_productividad__4[[#This Row],[Periodo]],1,4)</f>
        <v>2025</v>
      </c>
      <c r="D3062" s="1" t="str">
        <f>MID(analisis_productividad__4[[#This Row],[Periodo]],5,2)</f>
        <v>11</v>
      </c>
      <c r="E3062" s="1" t="s">
        <v>104</v>
      </c>
      <c r="F3062" s="1" t="s">
        <v>104</v>
      </c>
      <c r="G3062" s="1">
        <v>52428</v>
      </c>
      <c r="H3062" s="1">
        <v>3117185</v>
      </c>
      <c r="I3062" s="1">
        <v>59.456104166666677</v>
      </c>
      <c r="J3062" s="1">
        <v>58424.288965121152</v>
      </c>
      <c r="K3062" s="1">
        <v>64.5</v>
      </c>
      <c r="L3062" s="1">
        <v>61</v>
      </c>
      <c r="M3062" s="1">
        <v>53.354272259281331</v>
      </c>
      <c r="N3062" s="1">
        <v>2911116</v>
      </c>
    </row>
    <row r="3063" spans="1:14" x14ac:dyDescent="0.35">
      <c r="A3063" s="1" t="s">
        <v>121</v>
      </c>
      <c r="B3063" s="1">
        <v>202405</v>
      </c>
      <c r="C3063" s="1" t="str">
        <f>MID(analisis_productividad__4[[#This Row],[Periodo]],1,4)</f>
        <v>2024</v>
      </c>
      <c r="D3063" s="1" t="str">
        <f>MID(analisis_productividad__4[[#This Row],[Periodo]],5,2)</f>
        <v>05</v>
      </c>
      <c r="E3063" s="1" t="s">
        <v>11</v>
      </c>
      <c r="F3063" s="1" t="s">
        <v>14</v>
      </c>
      <c r="G3063" s="1">
        <v>52428</v>
      </c>
      <c r="H3063" s="1">
        <v>1946892</v>
      </c>
      <c r="I3063" s="1">
        <v>37.134670698924729</v>
      </c>
      <c r="J3063" s="1">
        <v>0</v>
      </c>
      <c r="K3063" s="1">
        <v>36</v>
      </c>
      <c r="L3063" s="1">
        <v>35</v>
      </c>
      <c r="M3063" s="1"/>
      <c r="N3063" s="1">
        <v>0</v>
      </c>
    </row>
    <row r="3064" spans="1:14" x14ac:dyDescent="0.35">
      <c r="A3064" s="1" t="s">
        <v>99</v>
      </c>
      <c r="B3064" s="1">
        <v>202506</v>
      </c>
      <c r="C3064" s="1" t="str">
        <f>MID(analisis_productividad__4[[#This Row],[Periodo]],1,4)</f>
        <v>2025</v>
      </c>
      <c r="D3064" s="1" t="str">
        <f>MID(analisis_productividad__4[[#This Row],[Periodo]],5,2)</f>
        <v>06</v>
      </c>
      <c r="E3064" s="1" t="s">
        <v>11</v>
      </c>
      <c r="F3064" s="1" t="s">
        <v>12</v>
      </c>
      <c r="G3064" s="1">
        <v>52369</v>
      </c>
      <c r="H3064" s="1">
        <v>1342678</v>
      </c>
      <c r="I3064" s="1">
        <v>25.6388125</v>
      </c>
      <c r="J3064" s="1">
        <v>55705.595022175126</v>
      </c>
      <c r="K3064" s="1">
        <v>27</v>
      </c>
      <c r="L3064" s="1">
        <v>27</v>
      </c>
      <c r="M3064" s="1">
        <v>24.103102739778841</v>
      </c>
      <c r="N3064" s="1">
        <v>1455251</v>
      </c>
    </row>
    <row r="3065" spans="1:14" x14ac:dyDescent="0.35">
      <c r="A3065" s="1" t="s">
        <v>102</v>
      </c>
      <c r="B3065" s="1">
        <v>202501</v>
      </c>
      <c r="C3065" s="1" t="str">
        <f>MID(analisis_productividad__4[[#This Row],[Periodo]],1,4)</f>
        <v>2025</v>
      </c>
      <c r="D3065" s="1" t="str">
        <f>MID(analisis_productividad__4[[#This Row],[Periodo]],5,2)</f>
        <v>01</v>
      </c>
      <c r="E3065" s="1" t="s">
        <v>11</v>
      </c>
      <c r="F3065" s="1" t="s">
        <v>12</v>
      </c>
      <c r="G3065" s="1">
        <v>52324</v>
      </c>
      <c r="H3065" s="1">
        <v>1721569</v>
      </c>
      <c r="I3065" s="1">
        <v>32.902305107526885</v>
      </c>
      <c r="J3065" s="1">
        <v>56332.356932189366</v>
      </c>
      <c r="K3065" s="1">
        <v>34</v>
      </c>
      <c r="L3065" s="1">
        <v>34</v>
      </c>
      <c r="M3065" s="1">
        <v>30.560925083826262</v>
      </c>
      <c r="N3065" s="1">
        <v>1757393</v>
      </c>
    </row>
    <row r="3066" spans="1:14" x14ac:dyDescent="0.35">
      <c r="A3066" s="1" t="s">
        <v>123</v>
      </c>
      <c r="B3066" s="1">
        <v>202504</v>
      </c>
      <c r="C3066" s="1" t="str">
        <f>MID(analisis_productividad__4[[#This Row],[Periodo]],1,4)</f>
        <v>2025</v>
      </c>
      <c r="D3066" s="1" t="str">
        <f>MID(analisis_productividad__4[[#This Row],[Periodo]],5,2)</f>
        <v>04</v>
      </c>
      <c r="E3066" s="1" t="s">
        <v>9</v>
      </c>
      <c r="F3066" s="1" t="s">
        <v>9</v>
      </c>
      <c r="G3066" s="1">
        <v>52319</v>
      </c>
      <c r="H3066" s="1">
        <v>505348</v>
      </c>
      <c r="I3066" s="1">
        <v>9.6589305555555569</v>
      </c>
      <c r="J3066" s="1">
        <v>56001.942457830388</v>
      </c>
      <c r="K3066" s="1">
        <v>11</v>
      </c>
      <c r="L3066" s="1">
        <v>10</v>
      </c>
      <c r="M3066" s="1">
        <v>9.0237628878771226</v>
      </c>
      <c r="N3066" s="1">
        <v>557384</v>
      </c>
    </row>
    <row r="3067" spans="1:14" x14ac:dyDescent="0.35">
      <c r="A3067" s="1" t="s">
        <v>121</v>
      </c>
      <c r="B3067" s="1">
        <v>202502</v>
      </c>
      <c r="C3067" s="1" t="str">
        <f>MID(analisis_productividad__4[[#This Row],[Periodo]],1,4)</f>
        <v>2025</v>
      </c>
      <c r="D3067" s="1" t="str">
        <f>MID(analisis_productividad__4[[#This Row],[Periodo]],5,2)</f>
        <v>02</v>
      </c>
      <c r="E3067" s="1" t="s">
        <v>11</v>
      </c>
      <c r="F3067" s="1" t="s">
        <v>14</v>
      </c>
      <c r="G3067" s="1">
        <v>52294</v>
      </c>
      <c r="H3067" s="1">
        <v>1822181</v>
      </c>
      <c r="I3067" s="1">
        <v>34.844947916666669</v>
      </c>
      <c r="J3067" s="1">
        <v>55777.710460670605</v>
      </c>
      <c r="K3067" s="1">
        <v>36</v>
      </c>
      <c r="L3067" s="1">
        <v>35</v>
      </c>
      <c r="M3067" s="1">
        <v>32.66861663826873</v>
      </c>
      <c r="N3067" s="1">
        <v>1889604</v>
      </c>
    </row>
    <row r="3068" spans="1:14" x14ac:dyDescent="0.35">
      <c r="A3068" s="1" t="s">
        <v>125</v>
      </c>
      <c r="B3068" s="1">
        <v>202510</v>
      </c>
      <c r="C3068" s="1" t="str">
        <f>MID(analisis_productividad__4[[#This Row],[Periodo]],1,4)</f>
        <v>2025</v>
      </c>
      <c r="D3068" s="1" t="str">
        <f>MID(analisis_productividad__4[[#This Row],[Periodo]],5,2)</f>
        <v>10</v>
      </c>
      <c r="E3068" s="1" t="s">
        <v>104</v>
      </c>
      <c r="F3068" s="1" t="s">
        <v>104</v>
      </c>
      <c r="G3068" s="1">
        <v>52289</v>
      </c>
      <c r="H3068" s="1">
        <v>2690444</v>
      </c>
      <c r="I3068" s="1">
        <v>51.453010752688165</v>
      </c>
      <c r="J3068" s="1">
        <v>53969.594142716662</v>
      </c>
      <c r="K3068" s="1">
        <v>59</v>
      </c>
      <c r="L3068" s="1">
        <v>50</v>
      </c>
      <c r="M3068" s="1">
        <v>49.851113441494775</v>
      </c>
      <c r="N3068" s="1">
        <v>2591051</v>
      </c>
    </row>
    <row r="3069" spans="1:14" x14ac:dyDescent="0.35">
      <c r="A3069" s="1" t="s">
        <v>101</v>
      </c>
      <c r="B3069" s="1">
        <v>202501</v>
      </c>
      <c r="C3069" s="1" t="str">
        <f>MID(analisis_productividad__4[[#This Row],[Periodo]],1,4)</f>
        <v>2025</v>
      </c>
      <c r="D3069" s="1" t="str">
        <f>MID(analisis_productividad__4[[#This Row],[Periodo]],5,2)</f>
        <v>01</v>
      </c>
      <c r="E3069" s="1" t="s">
        <v>9</v>
      </c>
      <c r="F3069" s="1" t="s">
        <v>9</v>
      </c>
      <c r="G3069" s="1">
        <v>52250</v>
      </c>
      <c r="H3069" s="1">
        <v>334725</v>
      </c>
      <c r="I3069" s="1">
        <v>6.4062231182795717</v>
      </c>
      <c r="J3069" s="1">
        <v>45144.947732618435</v>
      </c>
      <c r="K3069" s="1">
        <v>8.5</v>
      </c>
      <c r="L3069" s="1">
        <v>6.5</v>
      </c>
      <c r="M3069" s="1">
        <v>7.414459796974179</v>
      </c>
      <c r="N3069" s="1">
        <v>330888</v>
      </c>
    </row>
    <row r="3070" spans="1:14" x14ac:dyDescent="0.35">
      <c r="A3070" s="1" t="s">
        <v>109</v>
      </c>
      <c r="B3070" s="1">
        <v>202505</v>
      </c>
      <c r="C3070" s="1" t="str">
        <f>MID(analisis_productividad__4[[#This Row],[Periodo]],1,4)</f>
        <v>2025</v>
      </c>
      <c r="D3070" s="1" t="str">
        <f>MID(analisis_productividad__4[[#This Row],[Periodo]],5,2)</f>
        <v>05</v>
      </c>
      <c r="E3070" s="1" t="s">
        <v>9</v>
      </c>
      <c r="F3070" s="1" t="s">
        <v>9</v>
      </c>
      <c r="G3070" s="1">
        <v>52242</v>
      </c>
      <c r="H3070" s="1">
        <v>451697</v>
      </c>
      <c r="I3070" s="1">
        <v>8.6461760752688193</v>
      </c>
      <c r="J3070" s="1">
        <v>61383.33250430593</v>
      </c>
      <c r="K3070" s="1">
        <v>10</v>
      </c>
      <c r="L3070" s="1">
        <v>9</v>
      </c>
      <c r="M3070" s="1">
        <v>7.3586223095384105</v>
      </c>
      <c r="N3070" s="1">
        <v>576186</v>
      </c>
    </row>
    <row r="3071" spans="1:14" x14ac:dyDescent="0.35">
      <c r="A3071" s="1" t="s">
        <v>99</v>
      </c>
      <c r="B3071" s="1">
        <v>202501</v>
      </c>
      <c r="C3071" s="1" t="str">
        <f>MID(analisis_productividad__4[[#This Row],[Periodo]],1,4)</f>
        <v>2025</v>
      </c>
      <c r="D3071" s="1" t="str">
        <f>MID(analisis_productividad__4[[#This Row],[Periodo]],5,2)</f>
        <v>01</v>
      </c>
      <c r="E3071" s="1" t="s">
        <v>11</v>
      </c>
      <c r="F3071" s="1" t="s">
        <v>12</v>
      </c>
      <c r="G3071" s="1">
        <v>52238</v>
      </c>
      <c r="H3071" s="1">
        <v>1401792</v>
      </c>
      <c r="I3071" s="1">
        <v>26.83488575268818</v>
      </c>
      <c r="J3071" s="1">
        <v>55316.356061707957</v>
      </c>
      <c r="K3071" s="1">
        <v>27</v>
      </c>
      <c r="L3071" s="1">
        <v>27</v>
      </c>
      <c r="M3071" s="1">
        <v>25.341357236840341</v>
      </c>
      <c r="N3071" s="1">
        <v>1489176</v>
      </c>
    </row>
    <row r="3072" spans="1:14" x14ac:dyDescent="0.35">
      <c r="A3072" s="1" t="s">
        <v>126</v>
      </c>
      <c r="B3072" s="1">
        <v>202403</v>
      </c>
      <c r="C3072" s="1" t="str">
        <f>MID(analisis_productividad__4[[#This Row],[Periodo]],1,4)</f>
        <v>2024</v>
      </c>
      <c r="D3072" s="1" t="str">
        <f>MID(analisis_productividad__4[[#This Row],[Periodo]],5,2)</f>
        <v>03</v>
      </c>
      <c r="E3072" s="1" t="s">
        <v>104</v>
      </c>
      <c r="F3072" s="1" t="s">
        <v>104</v>
      </c>
      <c r="G3072" s="1">
        <v>52083</v>
      </c>
      <c r="H3072" s="1">
        <v>3110147</v>
      </c>
      <c r="I3072" s="1">
        <v>59.714892473118269</v>
      </c>
      <c r="J3072" s="1">
        <v>0</v>
      </c>
      <c r="K3072" s="1">
        <v>64.5</v>
      </c>
      <c r="L3072" s="1">
        <v>61</v>
      </c>
      <c r="M3072" s="1"/>
      <c r="N3072" s="1">
        <v>0</v>
      </c>
    </row>
    <row r="3073" spans="1:14" x14ac:dyDescent="0.35">
      <c r="A3073" s="1" t="s">
        <v>122</v>
      </c>
      <c r="B3073" s="1">
        <v>202402</v>
      </c>
      <c r="C3073" s="1" t="str">
        <f>MID(analisis_productividad__4[[#This Row],[Periodo]],1,4)</f>
        <v>2024</v>
      </c>
      <c r="D3073" s="1" t="str">
        <f>MID(analisis_productividad__4[[#This Row],[Periodo]],5,2)</f>
        <v>02</v>
      </c>
      <c r="E3073" s="1" t="s">
        <v>104</v>
      </c>
      <c r="F3073" s="1" t="s">
        <v>104</v>
      </c>
      <c r="G3073" s="1">
        <v>52000</v>
      </c>
      <c r="H3073" s="1">
        <v>4655588</v>
      </c>
      <c r="I3073" s="1">
        <v>89.530000000000072</v>
      </c>
      <c r="J3073" s="1">
        <v>0</v>
      </c>
      <c r="K3073" s="1">
        <v>22</v>
      </c>
      <c r="L3073" s="1">
        <v>20</v>
      </c>
      <c r="M3073" s="1"/>
      <c r="N3073" s="1">
        <v>0</v>
      </c>
    </row>
    <row r="3074" spans="1:14" x14ac:dyDescent="0.35">
      <c r="A3074" s="1" t="s">
        <v>125</v>
      </c>
      <c r="B3074" s="1">
        <v>202407</v>
      </c>
      <c r="C3074" s="1" t="str">
        <f>MID(analisis_productividad__4[[#This Row],[Periodo]],1,4)</f>
        <v>2024</v>
      </c>
      <c r="D3074" s="1" t="str">
        <f>MID(analisis_productividad__4[[#This Row],[Periodo]],5,2)</f>
        <v>07</v>
      </c>
      <c r="E3074" s="1" t="s">
        <v>104</v>
      </c>
      <c r="F3074" s="1" t="s">
        <v>104</v>
      </c>
      <c r="G3074" s="1">
        <v>51986</v>
      </c>
      <c r="H3074" s="1">
        <v>2520235</v>
      </c>
      <c r="I3074" s="1">
        <v>48.479186827956987</v>
      </c>
      <c r="J3074" s="1">
        <v>0</v>
      </c>
      <c r="K3074" s="1">
        <v>59</v>
      </c>
      <c r="L3074" s="1">
        <v>50</v>
      </c>
      <c r="M3074" s="1"/>
      <c r="N3074" s="1">
        <v>0</v>
      </c>
    </row>
    <row r="3075" spans="1:14" x14ac:dyDescent="0.35">
      <c r="A3075" s="1" t="s">
        <v>125</v>
      </c>
      <c r="B3075" s="1">
        <v>202504</v>
      </c>
      <c r="C3075" s="1" t="str">
        <f>MID(analisis_productividad__4[[#This Row],[Periodo]],1,4)</f>
        <v>2025</v>
      </c>
      <c r="D3075" s="1" t="str">
        <f>MID(analisis_productividad__4[[#This Row],[Periodo]],5,2)</f>
        <v>04</v>
      </c>
      <c r="E3075" s="1" t="s">
        <v>104</v>
      </c>
      <c r="F3075" s="1" t="s">
        <v>104</v>
      </c>
      <c r="G3075" s="1">
        <v>51892</v>
      </c>
      <c r="H3075" s="1">
        <v>2724024</v>
      </c>
      <c r="I3075" s="1">
        <v>52.493874999999996</v>
      </c>
      <c r="J3075" s="1">
        <v>55056.33982900557</v>
      </c>
      <c r="K3075" s="1">
        <v>59</v>
      </c>
      <c r="L3075" s="1">
        <v>50</v>
      </c>
      <c r="M3075" s="1">
        <v>49.477025506241361</v>
      </c>
      <c r="N3075" s="1">
        <v>2640198</v>
      </c>
    </row>
    <row r="3076" spans="1:14" x14ac:dyDescent="0.35">
      <c r="A3076" s="1" t="s">
        <v>105</v>
      </c>
      <c r="B3076" s="1">
        <v>202502</v>
      </c>
      <c r="C3076" s="1" t="str">
        <f>MID(analisis_productividad__4[[#This Row],[Periodo]],1,4)</f>
        <v>2025</v>
      </c>
      <c r="D3076" s="1" t="str">
        <f>MID(analisis_productividad__4[[#This Row],[Periodo]],5,2)</f>
        <v>02</v>
      </c>
      <c r="E3076" s="1" t="s">
        <v>34</v>
      </c>
      <c r="F3076" s="1" t="s">
        <v>35</v>
      </c>
      <c r="G3076" s="1">
        <v>51814</v>
      </c>
      <c r="H3076" s="1">
        <v>2187190</v>
      </c>
      <c r="I3076" s="1">
        <v>42.212187499999999</v>
      </c>
      <c r="J3076" s="1">
        <v>55689.97495597729</v>
      </c>
      <c r="K3076" s="1">
        <v>33</v>
      </c>
      <c r="L3076" s="1">
        <v>31.5</v>
      </c>
      <c r="M3076" s="1">
        <v>39.274389541905258</v>
      </c>
      <c r="N3076" s="1">
        <v>2295554</v>
      </c>
    </row>
    <row r="3077" spans="1:14" x14ac:dyDescent="0.35">
      <c r="A3077" s="1" t="s">
        <v>125</v>
      </c>
      <c r="B3077" s="1">
        <v>202505</v>
      </c>
      <c r="C3077" s="1" t="str">
        <f>MID(analisis_productividad__4[[#This Row],[Periodo]],1,4)</f>
        <v>2025</v>
      </c>
      <c r="D3077" s="1" t="str">
        <f>MID(analisis_productividad__4[[#This Row],[Periodo]],5,2)</f>
        <v>05</v>
      </c>
      <c r="E3077" s="1" t="s">
        <v>104</v>
      </c>
      <c r="F3077" s="1" t="s">
        <v>104</v>
      </c>
      <c r="G3077" s="1">
        <v>51812</v>
      </c>
      <c r="H3077" s="1">
        <v>2785143</v>
      </c>
      <c r="I3077" s="1">
        <v>53.754778225806469</v>
      </c>
      <c r="J3077" s="1">
        <v>55130.252407254789</v>
      </c>
      <c r="K3077" s="1">
        <v>59</v>
      </c>
      <c r="L3077" s="1">
        <v>50</v>
      </c>
      <c r="M3077" s="1">
        <v>50.519327018961611</v>
      </c>
      <c r="N3077" s="1">
        <v>2743378</v>
      </c>
    </row>
    <row r="3078" spans="1:14" x14ac:dyDescent="0.35">
      <c r="A3078" s="1" t="s">
        <v>125</v>
      </c>
      <c r="B3078" s="1">
        <v>202402</v>
      </c>
      <c r="C3078" s="1" t="str">
        <f>MID(analisis_productividad__4[[#This Row],[Periodo]],1,4)</f>
        <v>2024</v>
      </c>
      <c r="D3078" s="1" t="str">
        <f>MID(analisis_productividad__4[[#This Row],[Periodo]],5,2)</f>
        <v>02</v>
      </c>
      <c r="E3078" s="1" t="s">
        <v>104</v>
      </c>
      <c r="F3078" s="1" t="s">
        <v>104</v>
      </c>
      <c r="G3078" s="1">
        <v>51722</v>
      </c>
      <c r="H3078" s="1">
        <v>2385344</v>
      </c>
      <c r="I3078" s="1">
        <v>46.11873563218392</v>
      </c>
      <c r="J3078" s="1">
        <v>0</v>
      </c>
      <c r="K3078" s="1">
        <v>59</v>
      </c>
      <c r="L3078" s="1">
        <v>50</v>
      </c>
      <c r="M3078" s="1"/>
      <c r="N3078" s="1">
        <v>0</v>
      </c>
    </row>
    <row r="3079" spans="1:14" x14ac:dyDescent="0.35">
      <c r="A3079" s="1" t="s">
        <v>125</v>
      </c>
      <c r="B3079" s="1">
        <v>202602</v>
      </c>
      <c r="C3079" s="1" t="str">
        <f>MID(analisis_productividad__4[[#This Row],[Periodo]],1,4)</f>
        <v>2026</v>
      </c>
      <c r="D3079" s="1" t="str">
        <f>MID(analisis_productividad__4[[#This Row],[Periodo]],5,2)</f>
        <v>02</v>
      </c>
      <c r="E3079" s="1" t="s">
        <v>104</v>
      </c>
      <c r="F3079" s="1" t="s">
        <v>104</v>
      </c>
      <c r="G3079" s="1">
        <v>51681</v>
      </c>
      <c r="H3079" s="1">
        <v>2534449</v>
      </c>
      <c r="I3079" s="1">
        <v>49.039791666666666</v>
      </c>
      <c r="J3079" s="1">
        <v>48630.034641068596</v>
      </c>
      <c r="K3079" s="1">
        <v>59</v>
      </c>
      <c r="L3079" s="1">
        <v>50</v>
      </c>
      <c r="M3079" s="1">
        <v>50.48039166574727</v>
      </c>
      <c r="N3079" s="1">
        <v>2454863</v>
      </c>
    </row>
    <row r="3080" spans="1:14" x14ac:dyDescent="0.35">
      <c r="A3080" s="1" t="s">
        <v>126</v>
      </c>
      <c r="B3080" s="1">
        <v>202406</v>
      </c>
      <c r="C3080" s="1" t="str">
        <f>MID(analisis_productividad__4[[#This Row],[Periodo]],1,4)</f>
        <v>2024</v>
      </c>
      <c r="D3080" s="1" t="str">
        <f>MID(analisis_productividad__4[[#This Row],[Periodo]],5,2)</f>
        <v>06</v>
      </c>
      <c r="E3080" s="1" t="s">
        <v>104</v>
      </c>
      <c r="F3080" s="1" t="s">
        <v>104</v>
      </c>
      <c r="G3080" s="1">
        <v>51679</v>
      </c>
      <c r="H3080" s="1">
        <v>2960686</v>
      </c>
      <c r="I3080" s="1">
        <v>57.290138888888897</v>
      </c>
      <c r="J3080" s="1">
        <v>0</v>
      </c>
      <c r="K3080" s="1">
        <v>64.5</v>
      </c>
      <c r="L3080" s="1">
        <v>61</v>
      </c>
      <c r="M3080" s="1"/>
      <c r="N3080" s="1">
        <v>0</v>
      </c>
    </row>
    <row r="3081" spans="1:14" x14ac:dyDescent="0.35">
      <c r="A3081" s="1" t="s">
        <v>126</v>
      </c>
      <c r="B3081" s="1">
        <v>202510</v>
      </c>
      <c r="C3081" s="1" t="str">
        <f>MID(analisis_productividad__4[[#This Row],[Periodo]],1,4)</f>
        <v>2025</v>
      </c>
      <c r="D3081" s="1" t="str">
        <f>MID(analisis_productividad__4[[#This Row],[Periodo]],5,2)</f>
        <v>10</v>
      </c>
      <c r="E3081" s="1" t="s">
        <v>104</v>
      </c>
      <c r="F3081" s="1" t="s">
        <v>104</v>
      </c>
      <c r="G3081" s="1">
        <v>51664</v>
      </c>
      <c r="H3081" s="1">
        <v>3131366</v>
      </c>
      <c r="I3081" s="1">
        <v>60.609932795698924</v>
      </c>
      <c r="J3081" s="1">
        <v>57778.033649377001</v>
      </c>
      <c r="K3081" s="1">
        <v>64.5</v>
      </c>
      <c r="L3081" s="1">
        <v>61</v>
      </c>
      <c r="M3081" s="1">
        <v>54.196476969128639</v>
      </c>
      <c r="N3081" s="1">
        <v>3087451</v>
      </c>
    </row>
    <row r="3082" spans="1:14" x14ac:dyDescent="0.35">
      <c r="A3082" s="1" t="s">
        <v>102</v>
      </c>
      <c r="B3082" s="1">
        <v>202405</v>
      </c>
      <c r="C3082" s="1" t="str">
        <f>MID(analisis_productividad__4[[#This Row],[Periodo]],1,4)</f>
        <v>2024</v>
      </c>
      <c r="D3082" s="1" t="str">
        <f>MID(analisis_productividad__4[[#This Row],[Periodo]],5,2)</f>
        <v>05</v>
      </c>
      <c r="E3082" s="1" t="s">
        <v>11</v>
      </c>
      <c r="F3082" s="1" t="s">
        <v>12</v>
      </c>
      <c r="G3082" s="1">
        <v>51664</v>
      </c>
      <c r="H3082" s="1">
        <v>1686671</v>
      </c>
      <c r="I3082" s="1">
        <v>32.646814516129034</v>
      </c>
      <c r="J3082" s="1">
        <v>0</v>
      </c>
      <c r="K3082" s="1">
        <v>34</v>
      </c>
      <c r="L3082" s="1">
        <v>34</v>
      </c>
      <c r="M3082" s="1"/>
      <c r="N3082" s="1">
        <v>0</v>
      </c>
    </row>
    <row r="3083" spans="1:14" x14ac:dyDescent="0.35">
      <c r="A3083" s="1" t="s">
        <v>99</v>
      </c>
      <c r="B3083" s="1">
        <v>202411</v>
      </c>
      <c r="C3083" s="1" t="str">
        <f>MID(analisis_productividad__4[[#This Row],[Periodo]],1,4)</f>
        <v>2024</v>
      </c>
      <c r="D3083" s="1" t="str">
        <f>MID(analisis_productividad__4[[#This Row],[Periodo]],5,2)</f>
        <v>11</v>
      </c>
      <c r="E3083" s="1" t="s">
        <v>11</v>
      </c>
      <c r="F3083" s="1" t="s">
        <v>12</v>
      </c>
      <c r="G3083" s="1">
        <v>51596</v>
      </c>
      <c r="H3083" s="1">
        <v>1493207</v>
      </c>
      <c r="I3083" s="1">
        <v>28.940576388888896</v>
      </c>
      <c r="J3083" s="1">
        <v>0</v>
      </c>
      <c r="K3083" s="1">
        <v>27</v>
      </c>
      <c r="L3083" s="1">
        <v>27</v>
      </c>
      <c r="M3083" s="1"/>
      <c r="N3083" s="1">
        <v>0</v>
      </c>
    </row>
    <row r="3084" spans="1:14" x14ac:dyDescent="0.35">
      <c r="A3084" s="1" t="s">
        <v>99</v>
      </c>
      <c r="B3084" s="1">
        <v>202404</v>
      </c>
      <c r="C3084" s="1" t="str">
        <f>MID(analisis_productividad__4[[#This Row],[Periodo]],1,4)</f>
        <v>2024</v>
      </c>
      <c r="D3084" s="1" t="str">
        <f>MID(analisis_productividad__4[[#This Row],[Periodo]],5,2)</f>
        <v>04</v>
      </c>
      <c r="E3084" s="1" t="s">
        <v>11</v>
      </c>
      <c r="F3084" s="1" t="s">
        <v>12</v>
      </c>
      <c r="G3084" s="1">
        <v>51501</v>
      </c>
      <c r="H3084" s="1">
        <v>1352943</v>
      </c>
      <c r="I3084" s="1">
        <v>26.270173611111115</v>
      </c>
      <c r="J3084" s="1">
        <v>0</v>
      </c>
      <c r="K3084" s="1">
        <v>27</v>
      </c>
      <c r="L3084" s="1">
        <v>27</v>
      </c>
      <c r="M3084" s="1"/>
      <c r="N3084" s="1">
        <v>0</v>
      </c>
    </row>
    <row r="3085" spans="1:14" x14ac:dyDescent="0.35">
      <c r="A3085" s="1" t="s">
        <v>125</v>
      </c>
      <c r="B3085" s="1">
        <v>202507</v>
      </c>
      <c r="C3085" s="1" t="str">
        <f>MID(analisis_productividad__4[[#This Row],[Periodo]],1,4)</f>
        <v>2025</v>
      </c>
      <c r="D3085" s="1" t="str">
        <f>MID(analisis_productividad__4[[#This Row],[Periodo]],5,2)</f>
        <v>07</v>
      </c>
      <c r="E3085" s="1" t="s">
        <v>104</v>
      </c>
      <c r="F3085" s="1" t="s">
        <v>104</v>
      </c>
      <c r="G3085" s="1">
        <v>51476</v>
      </c>
      <c r="H3085" s="1">
        <v>2602056</v>
      </c>
      <c r="I3085" s="1">
        <v>50.549126344086012</v>
      </c>
      <c r="J3085" s="1">
        <v>54585.21864013531</v>
      </c>
      <c r="K3085" s="1">
        <v>59</v>
      </c>
      <c r="L3085" s="1">
        <v>50</v>
      </c>
      <c r="M3085" s="1">
        <v>47.669610653290754</v>
      </c>
      <c r="N3085" s="1">
        <v>3096765</v>
      </c>
    </row>
    <row r="3086" spans="1:14" x14ac:dyDescent="0.35">
      <c r="A3086" s="1" t="s">
        <v>128</v>
      </c>
      <c r="B3086" s="1">
        <v>202511</v>
      </c>
      <c r="C3086" s="1" t="str">
        <f>MID(analisis_productividad__4[[#This Row],[Periodo]],1,4)</f>
        <v>2025</v>
      </c>
      <c r="D3086" s="1" t="str">
        <f>MID(analisis_productividad__4[[#This Row],[Periodo]],5,2)</f>
        <v>11</v>
      </c>
      <c r="E3086" s="1" t="s">
        <v>104</v>
      </c>
      <c r="F3086" s="1" t="s">
        <v>104</v>
      </c>
      <c r="G3086" s="1">
        <v>51460</v>
      </c>
      <c r="H3086" s="1">
        <v>2609914</v>
      </c>
      <c r="I3086" s="1">
        <v>50.716944444444444</v>
      </c>
      <c r="J3086" s="1">
        <v>49860.834530312073</v>
      </c>
      <c r="K3086" s="1">
        <v>57.5</v>
      </c>
      <c r="L3086" s="1">
        <v>57</v>
      </c>
      <c r="M3086" s="1">
        <v>52.343971066375659</v>
      </c>
      <c r="N3086" s="1">
        <v>2458458</v>
      </c>
    </row>
    <row r="3087" spans="1:14" x14ac:dyDescent="0.35">
      <c r="A3087" s="1" t="s">
        <v>128</v>
      </c>
      <c r="B3087" s="1">
        <v>202506</v>
      </c>
      <c r="C3087" s="1" t="str">
        <f>MID(analisis_productividad__4[[#This Row],[Periodo]],1,4)</f>
        <v>2025</v>
      </c>
      <c r="D3087" s="1" t="str">
        <f>MID(analisis_productividad__4[[#This Row],[Periodo]],5,2)</f>
        <v>06</v>
      </c>
      <c r="E3087" s="1" t="s">
        <v>104</v>
      </c>
      <c r="F3087" s="1" t="s">
        <v>104</v>
      </c>
      <c r="G3087" s="1">
        <v>51448</v>
      </c>
      <c r="H3087" s="1">
        <v>2482002</v>
      </c>
      <c r="I3087" s="1">
        <v>48.242590277777779</v>
      </c>
      <c r="J3087" s="1">
        <v>53028.421315840475</v>
      </c>
      <c r="K3087" s="1">
        <v>57.5</v>
      </c>
      <c r="L3087" s="1">
        <v>57</v>
      </c>
      <c r="M3087" s="1">
        <v>46.805120318725841</v>
      </c>
      <c r="N3087" s="1">
        <v>2615883</v>
      </c>
    </row>
    <row r="3088" spans="1:14" x14ac:dyDescent="0.35">
      <c r="A3088" s="1" t="s">
        <v>121</v>
      </c>
      <c r="B3088" s="1">
        <v>202409</v>
      </c>
      <c r="C3088" s="1" t="str">
        <f>MID(analisis_productividad__4[[#This Row],[Periodo]],1,4)</f>
        <v>2024</v>
      </c>
      <c r="D3088" s="1" t="str">
        <f>MID(analisis_productividad__4[[#This Row],[Periodo]],5,2)</f>
        <v>09</v>
      </c>
      <c r="E3088" s="1" t="s">
        <v>11</v>
      </c>
      <c r="F3088" s="1" t="s">
        <v>14</v>
      </c>
      <c r="G3088" s="1">
        <v>51409</v>
      </c>
      <c r="H3088" s="1">
        <v>1889631</v>
      </c>
      <c r="I3088" s="1">
        <v>36.756465277777771</v>
      </c>
      <c r="J3088" s="1">
        <v>0</v>
      </c>
      <c r="K3088" s="1">
        <v>36</v>
      </c>
      <c r="L3088" s="1">
        <v>35</v>
      </c>
      <c r="M3088" s="1"/>
      <c r="N3088" s="1">
        <v>0</v>
      </c>
    </row>
    <row r="3089" spans="1:14" x14ac:dyDescent="0.35">
      <c r="A3089" s="1" t="s">
        <v>125</v>
      </c>
      <c r="B3089" s="1">
        <v>202410</v>
      </c>
      <c r="C3089" s="1" t="str">
        <f>MID(analisis_productividad__4[[#This Row],[Periodo]],1,4)</f>
        <v>2024</v>
      </c>
      <c r="D3089" s="1" t="str">
        <f>MID(analisis_productividad__4[[#This Row],[Periodo]],5,2)</f>
        <v>10</v>
      </c>
      <c r="E3089" s="1" t="s">
        <v>104</v>
      </c>
      <c r="F3089" s="1" t="s">
        <v>104</v>
      </c>
      <c r="G3089" s="1">
        <v>51400</v>
      </c>
      <c r="H3089" s="1">
        <v>2699500</v>
      </c>
      <c r="I3089" s="1">
        <v>52.519852150537631</v>
      </c>
      <c r="J3089" s="1">
        <v>0</v>
      </c>
      <c r="K3089" s="1">
        <v>59</v>
      </c>
      <c r="L3089" s="1">
        <v>50</v>
      </c>
      <c r="M3089" s="1"/>
      <c r="N3089" s="1">
        <v>0</v>
      </c>
    </row>
    <row r="3090" spans="1:14" x14ac:dyDescent="0.35">
      <c r="A3090" s="1" t="s">
        <v>123</v>
      </c>
      <c r="B3090" s="1">
        <v>202602</v>
      </c>
      <c r="C3090" s="1" t="str">
        <f>MID(analisis_productividad__4[[#This Row],[Periodo]],1,4)</f>
        <v>2026</v>
      </c>
      <c r="D3090" s="1" t="str">
        <f>MID(analisis_productividad__4[[#This Row],[Periodo]],5,2)</f>
        <v>02</v>
      </c>
      <c r="E3090" s="1" t="s">
        <v>9</v>
      </c>
      <c r="F3090" s="1" t="s">
        <v>9</v>
      </c>
      <c r="G3090" s="1">
        <v>51398</v>
      </c>
      <c r="H3090" s="1">
        <v>486083</v>
      </c>
      <c r="I3090" s="1">
        <v>9.4572395833333331</v>
      </c>
      <c r="J3090" s="1">
        <v>50066.15874430495</v>
      </c>
      <c r="K3090" s="1">
        <v>11</v>
      </c>
      <c r="L3090" s="1">
        <v>10</v>
      </c>
      <c r="M3090" s="1">
        <v>10.023956063077975</v>
      </c>
      <c r="N3090" s="1">
        <v>501861</v>
      </c>
    </row>
    <row r="3091" spans="1:14" x14ac:dyDescent="0.35">
      <c r="A3091" s="1" t="s">
        <v>123</v>
      </c>
      <c r="B3091" s="1">
        <v>202606</v>
      </c>
      <c r="C3091" s="1" t="str">
        <f>MID(analisis_productividad__4[[#This Row],[Periodo]],1,4)</f>
        <v>2026</v>
      </c>
      <c r="D3091" s="1" t="str">
        <f>MID(analisis_productividad__4[[#This Row],[Periodo]],5,2)</f>
        <v>06</v>
      </c>
      <c r="E3091" s="1" t="s">
        <v>9</v>
      </c>
      <c r="F3091" s="1" t="s">
        <v>9</v>
      </c>
      <c r="G3091" s="1">
        <v>51190</v>
      </c>
      <c r="H3091" s="1">
        <v>496952</v>
      </c>
      <c r="I3091" s="1">
        <v>9.7079305555555635</v>
      </c>
      <c r="J3091" s="1">
        <v>51008.839871450517</v>
      </c>
      <c r="K3091" s="1">
        <v>11</v>
      </c>
      <c r="L3091" s="1">
        <v>10</v>
      </c>
      <c r="M3091" s="1">
        <v>10.023956063077975</v>
      </c>
      <c r="N3091" s="1">
        <v>511310</v>
      </c>
    </row>
    <row r="3092" spans="1:14" x14ac:dyDescent="0.35">
      <c r="A3092" s="1" t="s">
        <v>128</v>
      </c>
      <c r="B3092" s="1">
        <v>202408</v>
      </c>
      <c r="C3092" s="1" t="str">
        <f>MID(analisis_productividad__4[[#This Row],[Periodo]],1,4)</f>
        <v>2024</v>
      </c>
      <c r="D3092" s="1" t="str">
        <f>MID(analisis_productividad__4[[#This Row],[Periodo]],5,2)</f>
        <v>08</v>
      </c>
      <c r="E3092" s="1" t="s">
        <v>104</v>
      </c>
      <c r="F3092" s="1" t="s">
        <v>104</v>
      </c>
      <c r="G3092" s="1">
        <v>51122</v>
      </c>
      <c r="H3092" s="1">
        <v>2482164</v>
      </c>
      <c r="I3092" s="1">
        <v>48.55365591397851</v>
      </c>
      <c r="J3092" s="1">
        <v>0</v>
      </c>
      <c r="K3092" s="1">
        <v>57.5</v>
      </c>
      <c r="L3092" s="1">
        <v>57</v>
      </c>
      <c r="M3092" s="1"/>
      <c r="N3092" s="1">
        <v>0</v>
      </c>
    </row>
    <row r="3093" spans="1:14" x14ac:dyDescent="0.35">
      <c r="A3093" s="1" t="s">
        <v>121</v>
      </c>
      <c r="B3093" s="1">
        <v>202404</v>
      </c>
      <c r="C3093" s="1" t="str">
        <f>MID(analisis_productividad__4[[#This Row],[Periodo]],1,4)</f>
        <v>2024</v>
      </c>
      <c r="D3093" s="1" t="str">
        <f>MID(analisis_productividad__4[[#This Row],[Periodo]],5,2)</f>
        <v>04</v>
      </c>
      <c r="E3093" s="1" t="s">
        <v>11</v>
      </c>
      <c r="F3093" s="1" t="s">
        <v>14</v>
      </c>
      <c r="G3093" s="1">
        <v>51077</v>
      </c>
      <c r="H3093" s="1">
        <v>1954585</v>
      </c>
      <c r="I3093" s="1">
        <v>38.267347222222227</v>
      </c>
      <c r="J3093" s="1">
        <v>0</v>
      </c>
      <c r="K3093" s="1">
        <v>36</v>
      </c>
      <c r="L3093" s="1">
        <v>35</v>
      </c>
      <c r="M3093" s="1"/>
      <c r="N3093" s="1">
        <v>0</v>
      </c>
    </row>
    <row r="3094" spans="1:14" x14ac:dyDescent="0.35">
      <c r="A3094" s="1" t="s">
        <v>101</v>
      </c>
      <c r="B3094" s="1">
        <v>202503</v>
      </c>
      <c r="C3094" s="1" t="str">
        <f>MID(analisis_productividad__4[[#This Row],[Periodo]],1,4)</f>
        <v>2025</v>
      </c>
      <c r="D3094" s="1" t="str">
        <f>MID(analisis_productividad__4[[#This Row],[Periodo]],5,2)</f>
        <v>03</v>
      </c>
      <c r="E3094" s="1" t="s">
        <v>9</v>
      </c>
      <c r="F3094" s="1" t="s">
        <v>9</v>
      </c>
      <c r="G3094" s="1">
        <v>51045</v>
      </c>
      <c r="H3094" s="1">
        <v>357973</v>
      </c>
      <c r="I3094" s="1">
        <v>7.0129368279569899</v>
      </c>
      <c r="J3094" s="1">
        <v>50850.588520463476</v>
      </c>
      <c r="K3094" s="1">
        <v>8.5</v>
      </c>
      <c r="L3094" s="1">
        <v>6.5</v>
      </c>
      <c r="M3094" s="1">
        <v>7.0396923696555325</v>
      </c>
      <c r="N3094" s="1">
        <v>344829</v>
      </c>
    </row>
    <row r="3095" spans="1:14" x14ac:dyDescent="0.35">
      <c r="A3095" s="1" t="s">
        <v>128</v>
      </c>
      <c r="B3095" s="1">
        <v>202407</v>
      </c>
      <c r="C3095" s="1" t="str">
        <f>MID(analisis_productividad__4[[#This Row],[Periodo]],1,4)</f>
        <v>2024</v>
      </c>
      <c r="D3095" s="1" t="str">
        <f>MID(analisis_productividad__4[[#This Row],[Periodo]],5,2)</f>
        <v>07</v>
      </c>
      <c r="E3095" s="1" t="s">
        <v>104</v>
      </c>
      <c r="F3095" s="1" t="s">
        <v>104</v>
      </c>
      <c r="G3095" s="1">
        <v>51044</v>
      </c>
      <c r="H3095" s="1">
        <v>2428296</v>
      </c>
      <c r="I3095" s="1">
        <v>47.572479838709675</v>
      </c>
      <c r="J3095" s="1">
        <v>0</v>
      </c>
      <c r="K3095" s="1">
        <v>57.5</v>
      </c>
      <c r="L3095" s="1">
        <v>57</v>
      </c>
      <c r="M3095" s="1"/>
      <c r="N3095" s="1">
        <v>0</v>
      </c>
    </row>
    <row r="3096" spans="1:14" x14ac:dyDescent="0.35">
      <c r="A3096" s="1" t="s">
        <v>45</v>
      </c>
      <c r="B3096" s="1">
        <v>202510</v>
      </c>
      <c r="C3096" s="1" t="str">
        <f>MID(analisis_productividad__4[[#This Row],[Periodo]],1,4)</f>
        <v>2025</v>
      </c>
      <c r="D3096" s="1" t="str">
        <f>MID(analisis_productividad__4[[#This Row],[Periodo]],5,2)</f>
        <v>10</v>
      </c>
      <c r="E3096" s="1" t="s">
        <v>34</v>
      </c>
      <c r="F3096" s="1" t="s">
        <v>35</v>
      </c>
      <c r="G3096" s="1">
        <v>51017</v>
      </c>
      <c r="H3096" s="1">
        <v>757672</v>
      </c>
      <c r="I3096" s="1">
        <v>14.851337365591393</v>
      </c>
      <c r="J3096" s="1">
        <v>48929.796208572559</v>
      </c>
      <c r="K3096" s="1">
        <v>22.5</v>
      </c>
      <c r="L3096" s="1">
        <v>21</v>
      </c>
      <c r="M3096" s="1">
        <v>15.484880557652003</v>
      </c>
      <c r="N3096" s="1">
        <v>646148</v>
      </c>
    </row>
    <row r="3097" spans="1:14" x14ac:dyDescent="0.35">
      <c r="A3097" s="1" t="s">
        <v>126</v>
      </c>
      <c r="B3097" s="1">
        <v>202401</v>
      </c>
      <c r="C3097" s="1" t="str">
        <f>MID(analisis_productividad__4[[#This Row],[Periodo]],1,4)</f>
        <v>2024</v>
      </c>
      <c r="D3097" s="1" t="str">
        <f>MID(analisis_productividad__4[[#This Row],[Periodo]],5,2)</f>
        <v>01</v>
      </c>
      <c r="E3097" s="1" t="s">
        <v>104</v>
      </c>
      <c r="F3097" s="1" t="s">
        <v>104</v>
      </c>
      <c r="G3097" s="1">
        <v>50946</v>
      </c>
      <c r="H3097" s="1">
        <v>2884543</v>
      </c>
      <c r="I3097" s="1">
        <v>56.619885752688184</v>
      </c>
      <c r="J3097" s="1">
        <v>0</v>
      </c>
      <c r="K3097" s="1">
        <v>64.5</v>
      </c>
      <c r="L3097" s="1">
        <v>61</v>
      </c>
      <c r="M3097" s="1"/>
      <c r="N3097" s="1">
        <v>0</v>
      </c>
    </row>
    <row r="3098" spans="1:14" x14ac:dyDescent="0.35">
      <c r="A3098" s="1" t="s">
        <v>118</v>
      </c>
      <c r="B3098" s="1">
        <v>202404</v>
      </c>
      <c r="C3098" s="1" t="str">
        <f>MID(analisis_productividad__4[[#This Row],[Periodo]],1,4)</f>
        <v>2024</v>
      </c>
      <c r="D3098" s="1" t="str">
        <f>MID(analisis_productividad__4[[#This Row],[Periodo]],5,2)</f>
        <v>04</v>
      </c>
      <c r="E3098" s="1" t="s">
        <v>34</v>
      </c>
      <c r="F3098" s="1" t="s">
        <v>35</v>
      </c>
      <c r="G3098" s="1">
        <v>50940</v>
      </c>
      <c r="H3098" s="1">
        <v>1034075</v>
      </c>
      <c r="I3098" s="1">
        <v>20.300048611111112</v>
      </c>
      <c r="J3098" s="1">
        <v>0</v>
      </c>
      <c r="K3098" s="1">
        <v>19</v>
      </c>
      <c r="L3098" s="1">
        <v>21.5</v>
      </c>
      <c r="M3098" s="1"/>
      <c r="N3098" s="1">
        <v>0</v>
      </c>
    </row>
    <row r="3099" spans="1:14" x14ac:dyDescent="0.35">
      <c r="A3099" s="1" t="s">
        <v>126</v>
      </c>
      <c r="B3099" s="1">
        <v>202603</v>
      </c>
      <c r="C3099" s="1" t="str">
        <f>MID(analisis_productividad__4[[#This Row],[Periodo]],1,4)</f>
        <v>2026</v>
      </c>
      <c r="D3099" s="1" t="str">
        <f>MID(analisis_productividad__4[[#This Row],[Periodo]],5,2)</f>
        <v>03</v>
      </c>
      <c r="E3099" s="1" t="s">
        <v>104</v>
      </c>
      <c r="F3099" s="1" t="s">
        <v>104</v>
      </c>
      <c r="G3099" s="1">
        <v>50926</v>
      </c>
      <c r="H3099" s="1">
        <v>3225829</v>
      </c>
      <c r="I3099" s="1">
        <v>63.343319892473112</v>
      </c>
      <c r="J3099" s="1">
        <v>60844.93826179429</v>
      </c>
      <c r="K3099" s="1">
        <v>64.5</v>
      </c>
      <c r="L3099" s="1">
        <v>61</v>
      </c>
      <c r="M3099" s="1">
        <v>55.57085132952011</v>
      </c>
      <c r="N3099" s="1">
        <v>3381205</v>
      </c>
    </row>
    <row r="3100" spans="1:14" x14ac:dyDescent="0.35">
      <c r="A3100" s="1" t="s">
        <v>8</v>
      </c>
      <c r="B3100" s="1">
        <v>202510</v>
      </c>
      <c r="C3100" s="1" t="str">
        <f>MID(analisis_productividad__4[[#This Row],[Periodo]],1,4)</f>
        <v>2025</v>
      </c>
      <c r="D3100" s="1" t="str">
        <f>MID(analisis_productividad__4[[#This Row],[Periodo]],5,2)</f>
        <v>10</v>
      </c>
      <c r="E3100" s="1" t="s">
        <v>9</v>
      </c>
      <c r="F3100" s="1" t="s">
        <v>9</v>
      </c>
      <c r="G3100" s="1">
        <v>50913</v>
      </c>
      <c r="H3100" s="1">
        <v>898074</v>
      </c>
      <c r="I3100" s="1">
        <v>17.639529569892471</v>
      </c>
      <c r="J3100" s="1">
        <v>64949.849021566639</v>
      </c>
      <c r="K3100" s="1">
        <v>13.5</v>
      </c>
      <c r="L3100" s="1">
        <v>12.5</v>
      </c>
      <c r="M3100" s="1">
        <v>13.827184258762392</v>
      </c>
      <c r="N3100" s="1">
        <v>981742</v>
      </c>
    </row>
    <row r="3101" spans="1:14" x14ac:dyDescent="0.35">
      <c r="A3101" s="1" t="s">
        <v>114</v>
      </c>
      <c r="B3101" s="1">
        <v>202502</v>
      </c>
      <c r="C3101" s="1" t="str">
        <f>MID(analisis_productividad__4[[#This Row],[Periodo]],1,4)</f>
        <v>2025</v>
      </c>
      <c r="D3101" s="1" t="str">
        <f>MID(analisis_productividad__4[[#This Row],[Periodo]],5,2)</f>
        <v>02</v>
      </c>
      <c r="E3101" s="1" t="s">
        <v>9</v>
      </c>
      <c r="F3101" s="1" t="s">
        <v>9</v>
      </c>
      <c r="G3101" s="1">
        <v>50909</v>
      </c>
      <c r="H3101" s="1">
        <v>638112</v>
      </c>
      <c r="I3101" s="1">
        <v>12.534322916666667</v>
      </c>
      <c r="J3101" s="1">
        <v>63990.907193673724</v>
      </c>
      <c r="K3101" s="1">
        <v>13.5</v>
      </c>
      <c r="L3101" s="1">
        <v>14.5</v>
      </c>
      <c r="M3101" s="1">
        <v>9.9719201990479842</v>
      </c>
      <c r="N3101" s="1">
        <v>863362</v>
      </c>
    </row>
    <row r="3102" spans="1:14" x14ac:dyDescent="0.35">
      <c r="A3102" s="1" t="s">
        <v>101</v>
      </c>
      <c r="B3102" s="1">
        <v>202408</v>
      </c>
      <c r="C3102" s="1" t="str">
        <f>MID(analisis_productividad__4[[#This Row],[Periodo]],1,4)</f>
        <v>2024</v>
      </c>
      <c r="D3102" s="1" t="str">
        <f>MID(analisis_productividad__4[[#This Row],[Periodo]],5,2)</f>
        <v>08</v>
      </c>
      <c r="E3102" s="1" t="s">
        <v>9</v>
      </c>
      <c r="F3102" s="1" t="s">
        <v>9</v>
      </c>
      <c r="G3102" s="1">
        <v>50870</v>
      </c>
      <c r="H3102" s="1">
        <v>363185</v>
      </c>
      <c r="I3102" s="1">
        <v>7.1395295698924741</v>
      </c>
      <c r="J3102" s="1">
        <v>0</v>
      </c>
      <c r="K3102" s="1">
        <v>8.5</v>
      </c>
      <c r="L3102" s="1">
        <v>6.5</v>
      </c>
      <c r="M3102" s="1"/>
      <c r="N3102" s="1">
        <v>0</v>
      </c>
    </row>
    <row r="3103" spans="1:14" x14ac:dyDescent="0.35">
      <c r="A3103" s="1" t="s">
        <v>126</v>
      </c>
      <c r="B3103" s="1">
        <v>202409</v>
      </c>
      <c r="C3103" s="1" t="str">
        <f>MID(analisis_productividad__4[[#This Row],[Periodo]],1,4)</f>
        <v>2024</v>
      </c>
      <c r="D3103" s="1" t="str">
        <f>MID(analisis_productividad__4[[#This Row],[Periodo]],5,2)</f>
        <v>09</v>
      </c>
      <c r="E3103" s="1" t="s">
        <v>104</v>
      </c>
      <c r="F3103" s="1" t="s">
        <v>104</v>
      </c>
      <c r="G3103" s="1">
        <v>50861</v>
      </c>
      <c r="H3103" s="1">
        <v>2992147</v>
      </c>
      <c r="I3103" s="1">
        <v>58.830041666666645</v>
      </c>
      <c r="J3103" s="1">
        <v>0</v>
      </c>
      <c r="K3103" s="1">
        <v>64.5</v>
      </c>
      <c r="L3103" s="1">
        <v>61</v>
      </c>
      <c r="M3103" s="1"/>
      <c r="N3103" s="1">
        <v>0</v>
      </c>
    </row>
    <row r="3104" spans="1:14" x14ac:dyDescent="0.35">
      <c r="A3104" s="1" t="s">
        <v>126</v>
      </c>
      <c r="B3104" s="1">
        <v>202405</v>
      </c>
      <c r="C3104" s="1" t="str">
        <f>MID(analisis_productividad__4[[#This Row],[Periodo]],1,4)</f>
        <v>2024</v>
      </c>
      <c r="D3104" s="1" t="str">
        <f>MID(analisis_productividad__4[[#This Row],[Periodo]],5,2)</f>
        <v>05</v>
      </c>
      <c r="E3104" s="1" t="s">
        <v>104</v>
      </c>
      <c r="F3104" s="1" t="s">
        <v>104</v>
      </c>
      <c r="G3104" s="1">
        <v>50748</v>
      </c>
      <c r="H3104" s="1">
        <v>3046493</v>
      </c>
      <c r="I3104" s="1">
        <v>60.031444892473104</v>
      </c>
      <c r="J3104" s="1">
        <v>0</v>
      </c>
      <c r="K3104" s="1">
        <v>64.5</v>
      </c>
      <c r="L3104" s="1">
        <v>61</v>
      </c>
      <c r="M3104" s="1"/>
      <c r="N3104" s="1">
        <v>0</v>
      </c>
    </row>
    <row r="3105" spans="1:14" x14ac:dyDescent="0.35">
      <c r="A3105" s="1" t="s">
        <v>124</v>
      </c>
      <c r="B3105" s="1">
        <v>202502</v>
      </c>
      <c r="C3105" s="1" t="str">
        <f>MID(analisis_productividad__4[[#This Row],[Periodo]],1,4)</f>
        <v>2025</v>
      </c>
      <c r="D3105" s="1" t="str">
        <f>MID(analisis_productividad__4[[#This Row],[Periodo]],5,2)</f>
        <v>02</v>
      </c>
      <c r="E3105" s="1" t="s">
        <v>9</v>
      </c>
      <c r="F3105" s="1" t="s">
        <v>9</v>
      </c>
      <c r="G3105" s="1">
        <v>50739</v>
      </c>
      <c r="H3105" s="1">
        <v>550399</v>
      </c>
      <c r="I3105" s="1">
        <v>10.847604166666667</v>
      </c>
      <c r="J3105" s="1">
        <v>68326.082308152225</v>
      </c>
      <c r="K3105" s="1">
        <v>11</v>
      </c>
      <c r="L3105" s="1">
        <v>12</v>
      </c>
      <c r="M3105" s="1">
        <v>8.0554731283682841</v>
      </c>
      <c r="N3105" s="1">
        <v>614462</v>
      </c>
    </row>
    <row r="3106" spans="1:14" x14ac:dyDescent="0.35">
      <c r="A3106" s="1" t="s">
        <v>125</v>
      </c>
      <c r="B3106" s="1">
        <v>202503</v>
      </c>
      <c r="C3106" s="1" t="str">
        <f>MID(analisis_productividad__4[[#This Row],[Periodo]],1,4)</f>
        <v>2025</v>
      </c>
      <c r="D3106" s="1" t="str">
        <f>MID(analisis_productividad__4[[#This Row],[Periodo]],5,2)</f>
        <v>03</v>
      </c>
      <c r="E3106" s="1" t="s">
        <v>104</v>
      </c>
      <c r="F3106" s="1" t="s">
        <v>104</v>
      </c>
      <c r="G3106" s="1">
        <v>50692</v>
      </c>
      <c r="H3106" s="1">
        <v>2657199</v>
      </c>
      <c r="I3106" s="1">
        <v>52.41847446236558</v>
      </c>
      <c r="J3106" s="1">
        <v>57408.432808381622</v>
      </c>
      <c r="K3106" s="1">
        <v>59</v>
      </c>
      <c r="L3106" s="1">
        <v>50</v>
      </c>
      <c r="M3106" s="1">
        <v>46.285867424202713</v>
      </c>
      <c r="N3106" s="1">
        <v>2553906</v>
      </c>
    </row>
    <row r="3107" spans="1:14" x14ac:dyDescent="0.35">
      <c r="A3107" s="1" t="s">
        <v>102</v>
      </c>
      <c r="B3107" s="1">
        <v>202508</v>
      </c>
      <c r="C3107" s="1" t="str">
        <f>MID(analisis_productividad__4[[#This Row],[Periodo]],1,4)</f>
        <v>2025</v>
      </c>
      <c r="D3107" s="1" t="str">
        <f>MID(analisis_productividad__4[[#This Row],[Periodo]],5,2)</f>
        <v>08</v>
      </c>
      <c r="E3107" s="1" t="s">
        <v>11</v>
      </c>
      <c r="F3107" s="1" t="s">
        <v>12</v>
      </c>
      <c r="G3107" s="1">
        <v>50640</v>
      </c>
      <c r="H3107" s="1">
        <v>1586805</v>
      </c>
      <c r="I3107" s="1">
        <v>31.334831989247316</v>
      </c>
      <c r="J3107" s="1">
        <v>66864.875351462237</v>
      </c>
      <c r="K3107" s="1">
        <v>34</v>
      </c>
      <c r="L3107" s="1">
        <v>34</v>
      </c>
      <c r="M3107" s="1">
        <v>23.731512272463977</v>
      </c>
      <c r="N3107" s="1">
        <v>1777950</v>
      </c>
    </row>
    <row r="3108" spans="1:14" x14ac:dyDescent="0.35">
      <c r="A3108" s="1" t="s">
        <v>123</v>
      </c>
      <c r="B3108" s="1">
        <v>202604</v>
      </c>
      <c r="C3108" s="1" t="str">
        <f>MID(analisis_productividad__4[[#This Row],[Periodo]],1,4)</f>
        <v>2026</v>
      </c>
      <c r="D3108" s="1" t="str">
        <f>MID(analisis_productividad__4[[#This Row],[Periodo]],5,2)</f>
        <v>04</v>
      </c>
      <c r="E3108" s="1" t="s">
        <v>9</v>
      </c>
      <c r="F3108" s="1" t="s">
        <v>9</v>
      </c>
      <c r="G3108" s="1">
        <v>50603</v>
      </c>
      <c r="H3108" s="1">
        <v>502669</v>
      </c>
      <c r="I3108" s="1">
        <v>9.9336319444444428</v>
      </c>
      <c r="J3108" s="1">
        <v>50615.535424065565</v>
      </c>
      <c r="K3108" s="1">
        <v>11</v>
      </c>
      <c r="L3108" s="1">
        <v>10</v>
      </c>
      <c r="M3108" s="1">
        <v>10.023956063077975</v>
      </c>
      <c r="N3108" s="1">
        <v>507368</v>
      </c>
    </row>
    <row r="3109" spans="1:14" x14ac:dyDescent="0.35">
      <c r="A3109" s="1" t="s">
        <v>128</v>
      </c>
      <c r="B3109" s="1">
        <v>202403</v>
      </c>
      <c r="C3109" s="1" t="str">
        <f>MID(analisis_productividad__4[[#This Row],[Periodo]],1,4)</f>
        <v>2024</v>
      </c>
      <c r="D3109" s="1" t="str">
        <f>MID(analisis_productividad__4[[#This Row],[Periodo]],5,2)</f>
        <v>03</v>
      </c>
      <c r="E3109" s="1" t="s">
        <v>104</v>
      </c>
      <c r="F3109" s="1" t="s">
        <v>104</v>
      </c>
      <c r="G3109" s="1">
        <v>50556</v>
      </c>
      <c r="H3109" s="1">
        <v>2704508</v>
      </c>
      <c r="I3109" s="1">
        <v>53.494818548387101</v>
      </c>
      <c r="J3109" s="1">
        <v>0</v>
      </c>
      <c r="K3109" s="1">
        <v>57.5</v>
      </c>
      <c r="L3109" s="1">
        <v>57</v>
      </c>
      <c r="M3109" s="1"/>
      <c r="N3109" s="1">
        <v>0</v>
      </c>
    </row>
    <row r="3110" spans="1:14" x14ac:dyDescent="0.35">
      <c r="A3110" s="1" t="s">
        <v>128</v>
      </c>
      <c r="B3110" s="1">
        <v>202406</v>
      </c>
      <c r="C3110" s="1" t="str">
        <f>MID(analisis_productividad__4[[#This Row],[Periodo]],1,4)</f>
        <v>2024</v>
      </c>
      <c r="D3110" s="1" t="str">
        <f>MID(analisis_productividad__4[[#This Row],[Periodo]],5,2)</f>
        <v>06</v>
      </c>
      <c r="E3110" s="1" t="s">
        <v>104</v>
      </c>
      <c r="F3110" s="1" t="s">
        <v>104</v>
      </c>
      <c r="G3110" s="1">
        <v>50503</v>
      </c>
      <c r="H3110" s="1">
        <v>2482035</v>
      </c>
      <c r="I3110" s="1">
        <v>49.146027777777789</v>
      </c>
      <c r="J3110" s="1">
        <v>0</v>
      </c>
      <c r="K3110" s="1">
        <v>57.5</v>
      </c>
      <c r="L3110" s="1">
        <v>57</v>
      </c>
      <c r="M3110" s="1"/>
      <c r="N3110" s="1">
        <v>0</v>
      </c>
    </row>
    <row r="3111" spans="1:14" x14ac:dyDescent="0.35">
      <c r="A3111" s="1" t="s">
        <v>128</v>
      </c>
      <c r="B3111" s="1">
        <v>202409</v>
      </c>
      <c r="C3111" s="1" t="str">
        <f>MID(analisis_productividad__4[[#This Row],[Periodo]],1,4)</f>
        <v>2024</v>
      </c>
      <c r="D3111" s="1" t="str">
        <f>MID(analisis_productividad__4[[#This Row],[Periodo]],5,2)</f>
        <v>09</v>
      </c>
      <c r="E3111" s="1" t="s">
        <v>104</v>
      </c>
      <c r="F3111" s="1" t="s">
        <v>104</v>
      </c>
      <c r="G3111" s="1">
        <v>50357</v>
      </c>
      <c r="H3111" s="1">
        <v>2404663</v>
      </c>
      <c r="I3111" s="1">
        <v>47.751958333333334</v>
      </c>
      <c r="J3111" s="1">
        <v>0</v>
      </c>
      <c r="K3111" s="1">
        <v>57.5</v>
      </c>
      <c r="L3111" s="1">
        <v>57</v>
      </c>
      <c r="M3111" s="1"/>
      <c r="N3111" s="1">
        <v>0</v>
      </c>
    </row>
    <row r="3112" spans="1:14" x14ac:dyDescent="0.35">
      <c r="A3112" s="1" t="s">
        <v>122</v>
      </c>
      <c r="B3112" s="1">
        <v>202501</v>
      </c>
      <c r="C3112" s="1" t="str">
        <f>MID(analisis_productividad__4[[#This Row],[Periodo]],1,4)</f>
        <v>2025</v>
      </c>
      <c r="D3112" s="1" t="str">
        <f>MID(analisis_productividad__4[[#This Row],[Periodo]],5,2)</f>
        <v>01</v>
      </c>
      <c r="E3112" s="1" t="s">
        <v>104</v>
      </c>
      <c r="F3112" s="1" t="s">
        <v>104</v>
      </c>
      <c r="G3112" s="1">
        <v>50043</v>
      </c>
      <c r="H3112" s="1">
        <v>4807860</v>
      </c>
      <c r="I3112" s="1">
        <v>96.074999999999989</v>
      </c>
      <c r="J3112" s="1">
        <v>46865.842178484279</v>
      </c>
      <c r="K3112" s="1">
        <v>22</v>
      </c>
      <c r="L3112" s="1">
        <v>20</v>
      </c>
      <c r="M3112" s="1">
        <v>102.58772202769141</v>
      </c>
      <c r="N3112" s="1">
        <v>4227083</v>
      </c>
    </row>
    <row r="3113" spans="1:14" x14ac:dyDescent="0.35">
      <c r="A3113" s="1" t="s">
        <v>122</v>
      </c>
      <c r="B3113" s="1">
        <v>202403</v>
      </c>
      <c r="C3113" s="1" t="str">
        <f>MID(analisis_productividad__4[[#This Row],[Periodo]],1,4)</f>
        <v>2024</v>
      </c>
      <c r="D3113" s="1" t="str">
        <f>MID(analisis_productividad__4[[#This Row],[Periodo]],5,2)</f>
        <v>03</v>
      </c>
      <c r="E3113" s="1" t="s">
        <v>104</v>
      </c>
      <c r="F3113" s="1" t="s">
        <v>104</v>
      </c>
      <c r="G3113" s="1">
        <v>50026</v>
      </c>
      <c r="H3113" s="1">
        <v>3933950</v>
      </c>
      <c r="I3113" s="1">
        <v>78.637708333333393</v>
      </c>
      <c r="J3113" s="1">
        <v>0</v>
      </c>
      <c r="K3113" s="1">
        <v>22</v>
      </c>
      <c r="L3113" s="1">
        <v>20</v>
      </c>
      <c r="M3113" s="1"/>
      <c r="N3113" s="1">
        <v>0</v>
      </c>
    </row>
    <row r="3114" spans="1:14" x14ac:dyDescent="0.35">
      <c r="A3114" s="1" t="s">
        <v>125</v>
      </c>
      <c r="B3114" s="1">
        <v>202409</v>
      </c>
      <c r="C3114" s="1" t="str">
        <f>MID(analisis_productividad__4[[#This Row],[Periodo]],1,4)</f>
        <v>2024</v>
      </c>
      <c r="D3114" s="1" t="str">
        <f>MID(analisis_productividad__4[[#This Row],[Periodo]],5,2)</f>
        <v>09</v>
      </c>
      <c r="E3114" s="1" t="s">
        <v>104</v>
      </c>
      <c r="F3114" s="1" t="s">
        <v>104</v>
      </c>
      <c r="G3114" s="1">
        <v>49933</v>
      </c>
      <c r="H3114" s="1">
        <v>2586678</v>
      </c>
      <c r="I3114" s="1">
        <v>51.802916666666647</v>
      </c>
      <c r="J3114" s="1">
        <v>0</v>
      </c>
      <c r="K3114" s="1">
        <v>59</v>
      </c>
      <c r="L3114" s="1">
        <v>50</v>
      </c>
      <c r="M3114" s="1"/>
      <c r="N3114" s="1">
        <v>0</v>
      </c>
    </row>
    <row r="3115" spans="1:14" x14ac:dyDescent="0.35">
      <c r="A3115" s="1" t="s">
        <v>123</v>
      </c>
      <c r="B3115" s="1">
        <v>202506</v>
      </c>
      <c r="C3115" s="1" t="str">
        <f>MID(analisis_productividad__4[[#This Row],[Periodo]],1,4)</f>
        <v>2025</v>
      </c>
      <c r="D3115" s="1" t="str">
        <f>MID(analisis_productividad__4[[#This Row],[Periodo]],5,2)</f>
        <v>06</v>
      </c>
      <c r="E3115" s="1" t="s">
        <v>9</v>
      </c>
      <c r="F3115" s="1" t="s">
        <v>9</v>
      </c>
      <c r="G3115" s="1">
        <v>49866</v>
      </c>
      <c r="H3115" s="1">
        <v>506384</v>
      </c>
      <c r="I3115" s="1">
        <v>10.154958333333333</v>
      </c>
      <c r="J3115" s="1">
        <v>69954.876140666616</v>
      </c>
      <c r="K3115" s="1">
        <v>11</v>
      </c>
      <c r="L3115" s="1">
        <v>10</v>
      </c>
      <c r="M3115" s="1">
        <v>7.2387297060143796</v>
      </c>
      <c r="N3115" s="1">
        <v>560326</v>
      </c>
    </row>
    <row r="3116" spans="1:14" x14ac:dyDescent="0.35">
      <c r="A3116" s="1" t="s">
        <v>114</v>
      </c>
      <c r="B3116" s="1">
        <v>202511</v>
      </c>
      <c r="C3116" s="1" t="str">
        <f>MID(analisis_productividad__4[[#This Row],[Periodo]],1,4)</f>
        <v>2025</v>
      </c>
      <c r="D3116" s="1" t="str">
        <f>MID(analisis_productividad__4[[#This Row],[Periodo]],5,2)</f>
        <v>11</v>
      </c>
      <c r="E3116" s="1" t="s">
        <v>9</v>
      </c>
      <c r="F3116" s="1" t="s">
        <v>9</v>
      </c>
      <c r="G3116" s="1">
        <v>49805</v>
      </c>
      <c r="H3116" s="1">
        <v>876116</v>
      </c>
      <c r="I3116" s="1">
        <v>17.590951388888886</v>
      </c>
      <c r="J3116" s="1">
        <v>56948.355597948881</v>
      </c>
      <c r="K3116" s="1">
        <v>13.5</v>
      </c>
      <c r="L3116" s="1">
        <v>14.5</v>
      </c>
      <c r="M3116" s="1">
        <v>15.384400494112864</v>
      </c>
      <c r="N3116" s="1">
        <v>933780</v>
      </c>
    </row>
    <row r="3117" spans="1:14" x14ac:dyDescent="0.35">
      <c r="A3117" s="1" t="s">
        <v>129</v>
      </c>
      <c r="B3117" s="1">
        <v>202512</v>
      </c>
      <c r="C3117" s="1" t="str">
        <f>MID(analisis_productividad__4[[#This Row],[Periodo]],1,4)</f>
        <v>2025</v>
      </c>
      <c r="D3117" s="1" t="str">
        <f>MID(analisis_productividad__4[[#This Row],[Periodo]],5,2)</f>
        <v>12</v>
      </c>
      <c r="E3117" s="1" t="s">
        <v>9</v>
      </c>
      <c r="F3117" s="1" t="s">
        <v>9</v>
      </c>
      <c r="G3117" s="1">
        <v>49700</v>
      </c>
      <c r="H3117" s="1">
        <v>376988</v>
      </c>
      <c r="I3117" s="1">
        <v>7.5853091397849379</v>
      </c>
      <c r="J3117" s="1">
        <v>49447.197025072172</v>
      </c>
      <c r="K3117" s="1">
        <v>9</v>
      </c>
      <c r="L3117" s="1">
        <v>9</v>
      </c>
      <c r="M3117" s="1">
        <v>7.624061477313834</v>
      </c>
      <c r="N3117" s="1">
        <v>390708</v>
      </c>
    </row>
    <row r="3118" spans="1:14" x14ac:dyDescent="0.35">
      <c r="A3118" s="1" t="s">
        <v>105</v>
      </c>
      <c r="B3118" s="1">
        <v>202411</v>
      </c>
      <c r="C3118" s="1" t="str">
        <f>MID(analisis_productividad__4[[#This Row],[Periodo]],1,4)</f>
        <v>2024</v>
      </c>
      <c r="D3118" s="1" t="str">
        <f>MID(analisis_productividad__4[[#This Row],[Periodo]],5,2)</f>
        <v>11</v>
      </c>
      <c r="E3118" s="1" t="s">
        <v>34</v>
      </c>
      <c r="F3118" s="1" t="s">
        <v>35</v>
      </c>
      <c r="G3118" s="1">
        <v>49617</v>
      </c>
      <c r="H3118" s="1">
        <v>2306991</v>
      </c>
      <c r="I3118" s="1">
        <v>46.496138888888879</v>
      </c>
      <c r="J3118" s="1">
        <v>0</v>
      </c>
      <c r="K3118" s="1">
        <v>33</v>
      </c>
      <c r="L3118" s="1">
        <v>31.5</v>
      </c>
      <c r="M3118" s="1"/>
      <c r="N3118" s="1">
        <v>0</v>
      </c>
    </row>
    <row r="3119" spans="1:14" x14ac:dyDescent="0.35">
      <c r="A3119" s="1" t="s">
        <v>128</v>
      </c>
      <c r="B3119" s="1">
        <v>202505</v>
      </c>
      <c r="C3119" s="1" t="str">
        <f>MID(analisis_productividad__4[[#This Row],[Periodo]],1,4)</f>
        <v>2025</v>
      </c>
      <c r="D3119" s="1" t="str">
        <f>MID(analisis_productividad__4[[#This Row],[Periodo]],5,2)</f>
        <v>05</v>
      </c>
      <c r="E3119" s="1" t="s">
        <v>104</v>
      </c>
      <c r="F3119" s="1" t="s">
        <v>104</v>
      </c>
      <c r="G3119" s="1">
        <v>49601</v>
      </c>
      <c r="H3119" s="1">
        <v>2640971</v>
      </c>
      <c r="I3119" s="1">
        <v>53.244220430107532</v>
      </c>
      <c r="J3119" s="1">
        <v>50319.094849754481</v>
      </c>
      <c r="K3119" s="1">
        <v>57.5</v>
      </c>
      <c r="L3119" s="1">
        <v>57</v>
      </c>
      <c r="M3119" s="1">
        <v>52.484476477280793</v>
      </c>
      <c r="N3119" s="1">
        <v>2604645</v>
      </c>
    </row>
    <row r="3120" spans="1:14" x14ac:dyDescent="0.35">
      <c r="A3120" s="1" t="s">
        <v>117</v>
      </c>
      <c r="B3120" s="1">
        <v>202402</v>
      </c>
      <c r="C3120" s="1" t="str">
        <f>MID(analisis_productividad__4[[#This Row],[Periodo]],1,4)</f>
        <v>2024</v>
      </c>
      <c r="D3120" s="1" t="str">
        <f>MID(analisis_productividad__4[[#This Row],[Periodo]],5,2)</f>
        <v>02</v>
      </c>
      <c r="E3120" s="1" t="s">
        <v>104</v>
      </c>
      <c r="F3120" s="1" t="s">
        <v>104</v>
      </c>
      <c r="G3120" s="1">
        <v>49582</v>
      </c>
      <c r="H3120" s="1">
        <v>3240097</v>
      </c>
      <c r="I3120" s="1">
        <v>65.348670977011508</v>
      </c>
      <c r="J3120" s="1">
        <v>0</v>
      </c>
      <c r="K3120" s="1">
        <v>66</v>
      </c>
      <c r="L3120" s="1">
        <v>65.5</v>
      </c>
      <c r="M3120" s="1"/>
      <c r="N3120" s="1">
        <v>0</v>
      </c>
    </row>
    <row r="3121" spans="1:14" x14ac:dyDescent="0.35">
      <c r="A3121" s="1" t="s">
        <v>110</v>
      </c>
      <c r="B3121" s="1">
        <v>202602</v>
      </c>
      <c r="C3121" s="1" t="str">
        <f>MID(analisis_productividad__4[[#This Row],[Periodo]],1,4)</f>
        <v>2026</v>
      </c>
      <c r="D3121" s="1" t="str">
        <f>MID(analisis_productividad__4[[#This Row],[Periodo]],5,2)</f>
        <v>02</v>
      </c>
      <c r="E3121" s="1" t="s">
        <v>34</v>
      </c>
      <c r="F3121" s="1" t="s">
        <v>35</v>
      </c>
      <c r="G3121" s="1">
        <v>49538</v>
      </c>
      <c r="H3121" s="1">
        <v>1917534</v>
      </c>
      <c r="I3121" s="1">
        <v>38.708593749999984</v>
      </c>
      <c r="J3121" s="1">
        <v>65509.233362321895</v>
      </c>
      <c r="K3121" s="1">
        <v>41.5</v>
      </c>
      <c r="L3121" s="1">
        <v>43</v>
      </c>
      <c r="M3121" s="1">
        <v>33.730466012000377</v>
      </c>
      <c r="N3121" s="1">
        <v>2209657</v>
      </c>
    </row>
    <row r="3122" spans="1:14" x14ac:dyDescent="0.35">
      <c r="A3122" s="1" t="s">
        <v>101</v>
      </c>
      <c r="B3122" s="1">
        <v>202410</v>
      </c>
      <c r="C3122" s="1" t="str">
        <f>MID(analisis_productividad__4[[#This Row],[Periodo]],1,4)</f>
        <v>2024</v>
      </c>
      <c r="D3122" s="1" t="str">
        <f>MID(analisis_productividad__4[[#This Row],[Periodo]],5,2)</f>
        <v>10</v>
      </c>
      <c r="E3122" s="1" t="s">
        <v>9</v>
      </c>
      <c r="F3122" s="1" t="s">
        <v>9</v>
      </c>
      <c r="G3122" s="1">
        <v>49395</v>
      </c>
      <c r="H3122" s="1">
        <v>370302</v>
      </c>
      <c r="I3122" s="1">
        <v>7.4967271505376356</v>
      </c>
      <c r="J3122" s="1">
        <v>0</v>
      </c>
      <c r="K3122" s="1">
        <v>8.5</v>
      </c>
      <c r="L3122" s="1">
        <v>6.5</v>
      </c>
      <c r="M3122" s="1"/>
      <c r="N3122" s="1">
        <v>0</v>
      </c>
    </row>
    <row r="3123" spans="1:14" x14ac:dyDescent="0.35">
      <c r="A3123" s="1" t="s">
        <v>109</v>
      </c>
      <c r="B3123" s="1">
        <v>202506</v>
      </c>
      <c r="C3123" s="1" t="str">
        <f>MID(analisis_productividad__4[[#This Row],[Periodo]],1,4)</f>
        <v>2025</v>
      </c>
      <c r="D3123" s="1" t="str">
        <f>MID(analisis_productividad__4[[#This Row],[Periodo]],5,2)</f>
        <v>06</v>
      </c>
      <c r="E3123" s="1" t="s">
        <v>9</v>
      </c>
      <c r="F3123" s="1" t="s">
        <v>9</v>
      </c>
      <c r="G3123" s="1">
        <v>49390</v>
      </c>
      <c r="H3123" s="1">
        <v>433722</v>
      </c>
      <c r="I3123" s="1">
        <v>8.7815972222222243</v>
      </c>
      <c r="J3123" s="1">
        <v>59979.989760227647</v>
      </c>
      <c r="K3123" s="1">
        <v>10</v>
      </c>
      <c r="L3123" s="1">
        <v>9</v>
      </c>
      <c r="M3123" s="1">
        <v>7.2311161061184182</v>
      </c>
      <c r="N3123" s="1">
        <v>538378</v>
      </c>
    </row>
    <row r="3124" spans="1:14" x14ac:dyDescent="0.35">
      <c r="A3124" s="1" t="s">
        <v>125</v>
      </c>
      <c r="B3124" s="1">
        <v>202501</v>
      </c>
      <c r="C3124" s="1" t="str">
        <f>MID(analisis_productividad__4[[#This Row],[Periodo]],1,4)</f>
        <v>2025</v>
      </c>
      <c r="D3124" s="1" t="str">
        <f>MID(analisis_productividad__4[[#This Row],[Periodo]],5,2)</f>
        <v>01</v>
      </c>
      <c r="E3124" s="1" t="s">
        <v>104</v>
      </c>
      <c r="F3124" s="1" t="s">
        <v>104</v>
      </c>
      <c r="G3124" s="1">
        <v>49367</v>
      </c>
      <c r="H3124" s="1">
        <v>2647542</v>
      </c>
      <c r="I3124" s="1">
        <v>53.629596774193558</v>
      </c>
      <c r="J3124" s="1">
        <v>57261.45340682011</v>
      </c>
      <c r="K3124" s="1">
        <v>59</v>
      </c>
      <c r="L3124" s="1">
        <v>50</v>
      </c>
      <c r="M3124" s="1">
        <v>46.236027597662492</v>
      </c>
      <c r="N3124" s="1">
        <v>2464383</v>
      </c>
    </row>
    <row r="3125" spans="1:14" x14ac:dyDescent="0.35">
      <c r="A3125" s="1" t="s">
        <v>128</v>
      </c>
      <c r="B3125" s="1">
        <v>202410</v>
      </c>
      <c r="C3125" s="1" t="str">
        <f>MID(analisis_productividad__4[[#This Row],[Periodo]],1,4)</f>
        <v>2024</v>
      </c>
      <c r="D3125" s="1" t="str">
        <f>MID(analisis_productividad__4[[#This Row],[Periodo]],5,2)</f>
        <v>10</v>
      </c>
      <c r="E3125" s="1" t="s">
        <v>104</v>
      </c>
      <c r="F3125" s="1" t="s">
        <v>104</v>
      </c>
      <c r="G3125" s="1">
        <v>49344</v>
      </c>
      <c r="H3125" s="1">
        <v>2394503</v>
      </c>
      <c r="I3125" s="1">
        <v>48.526982526881717</v>
      </c>
      <c r="J3125" s="1">
        <v>0</v>
      </c>
      <c r="K3125" s="1">
        <v>57.5</v>
      </c>
      <c r="L3125" s="1">
        <v>57</v>
      </c>
      <c r="M3125" s="1"/>
      <c r="N3125" s="1">
        <v>0</v>
      </c>
    </row>
    <row r="3126" spans="1:14" x14ac:dyDescent="0.35">
      <c r="A3126" s="1" t="s">
        <v>102</v>
      </c>
      <c r="B3126" s="1">
        <v>202506</v>
      </c>
      <c r="C3126" s="1" t="str">
        <f>MID(analisis_productividad__4[[#This Row],[Periodo]],1,4)</f>
        <v>2025</v>
      </c>
      <c r="D3126" s="1" t="str">
        <f>MID(analisis_productividad__4[[#This Row],[Periodo]],5,2)</f>
        <v>06</v>
      </c>
      <c r="E3126" s="1" t="s">
        <v>11</v>
      </c>
      <c r="F3126" s="1" t="s">
        <v>12</v>
      </c>
      <c r="G3126" s="1">
        <v>49319</v>
      </c>
      <c r="H3126" s="1">
        <v>1554170</v>
      </c>
      <c r="I3126" s="1">
        <v>31.51254166666666</v>
      </c>
      <c r="J3126" s="1">
        <v>62140.637504356928</v>
      </c>
      <c r="K3126" s="1">
        <v>34</v>
      </c>
      <c r="L3126" s="1">
        <v>34</v>
      </c>
      <c r="M3126" s="1">
        <v>25.010518759017089</v>
      </c>
      <c r="N3126" s="1">
        <v>1737210</v>
      </c>
    </row>
    <row r="3127" spans="1:14" x14ac:dyDescent="0.35">
      <c r="A3127" s="1" t="s">
        <v>126</v>
      </c>
      <c r="B3127" s="1">
        <v>202604</v>
      </c>
      <c r="C3127" s="1" t="str">
        <f>MID(analisis_productividad__4[[#This Row],[Periodo]],1,4)</f>
        <v>2026</v>
      </c>
      <c r="D3127" s="1" t="str">
        <f>MID(analisis_productividad__4[[#This Row],[Periodo]],5,2)</f>
        <v>04</v>
      </c>
      <c r="E3127" s="1" t="s">
        <v>104</v>
      </c>
      <c r="F3127" s="1" t="s">
        <v>104</v>
      </c>
      <c r="G3127" s="1">
        <v>49295</v>
      </c>
      <c r="H3127" s="1">
        <v>3209610</v>
      </c>
      <c r="I3127" s="1">
        <v>65.110743055556625</v>
      </c>
      <c r="J3127" s="1">
        <v>59054.118124634799</v>
      </c>
      <c r="K3127" s="1">
        <v>64.5</v>
      </c>
      <c r="L3127" s="1">
        <v>61</v>
      </c>
      <c r="M3127" s="1">
        <v>55.57085132952011</v>
      </c>
      <c r="N3127" s="1">
        <v>3281688</v>
      </c>
    </row>
    <row r="3128" spans="1:14" x14ac:dyDescent="0.35">
      <c r="A3128" s="1" t="s">
        <v>122</v>
      </c>
      <c r="B3128" s="1">
        <v>202502</v>
      </c>
      <c r="C3128" s="1" t="str">
        <f>MID(analisis_productividad__4[[#This Row],[Periodo]],1,4)</f>
        <v>2025</v>
      </c>
      <c r="D3128" s="1" t="str">
        <f>MID(analisis_productividad__4[[#This Row],[Periodo]],5,2)</f>
        <v>02</v>
      </c>
      <c r="E3128" s="1" t="s">
        <v>104</v>
      </c>
      <c r="F3128" s="1" t="s">
        <v>104</v>
      </c>
      <c r="G3128" s="1">
        <v>49267</v>
      </c>
      <c r="H3128" s="1">
        <v>4390530</v>
      </c>
      <c r="I3128" s="1">
        <v>89.116979166666667</v>
      </c>
      <c r="J3128" s="1">
        <v>54600.323221266583</v>
      </c>
      <c r="K3128" s="1">
        <v>22</v>
      </c>
      <c r="L3128" s="1">
        <v>20</v>
      </c>
      <c r="M3128" s="1">
        <v>80.412165550879152</v>
      </c>
      <c r="N3128" s="1">
        <v>4671490</v>
      </c>
    </row>
    <row r="3129" spans="1:14" x14ac:dyDescent="0.35">
      <c r="A3129" s="1" t="s">
        <v>123</v>
      </c>
      <c r="B3129" s="1">
        <v>202505</v>
      </c>
      <c r="C3129" s="1" t="str">
        <f>MID(analisis_productividad__4[[#This Row],[Periodo]],1,4)</f>
        <v>2025</v>
      </c>
      <c r="D3129" s="1" t="str">
        <f>MID(analisis_productividad__4[[#This Row],[Periodo]],5,2)</f>
        <v>05</v>
      </c>
      <c r="E3129" s="1" t="s">
        <v>9</v>
      </c>
      <c r="F3129" s="1" t="s">
        <v>9</v>
      </c>
      <c r="G3129" s="1">
        <v>49199</v>
      </c>
      <c r="H3129" s="1">
        <v>529454</v>
      </c>
      <c r="I3129" s="1">
        <v>10.761512096774196</v>
      </c>
      <c r="J3129" s="1">
        <v>59830.736351828898</v>
      </c>
      <c r="K3129" s="1">
        <v>11</v>
      </c>
      <c r="L3129" s="1">
        <v>10</v>
      </c>
      <c r="M3129" s="1">
        <v>8.8491941146536739</v>
      </c>
      <c r="N3129" s="1">
        <v>562658</v>
      </c>
    </row>
    <row r="3130" spans="1:14" x14ac:dyDescent="0.35">
      <c r="A3130" s="1" t="s">
        <v>109</v>
      </c>
      <c r="B3130" s="1">
        <v>202501</v>
      </c>
      <c r="C3130" s="1" t="str">
        <f>MID(analisis_productividad__4[[#This Row],[Periodo]],1,4)</f>
        <v>2025</v>
      </c>
      <c r="D3130" s="1" t="str">
        <f>MID(analisis_productividad__4[[#This Row],[Periodo]],5,2)</f>
        <v>01</v>
      </c>
      <c r="E3130" s="1" t="s">
        <v>9</v>
      </c>
      <c r="F3130" s="1" t="s">
        <v>9</v>
      </c>
      <c r="G3130" s="1">
        <v>49112</v>
      </c>
      <c r="H3130" s="1">
        <v>430620</v>
      </c>
      <c r="I3130" s="1">
        <v>8.768111559139788</v>
      </c>
      <c r="J3130" s="1">
        <v>63955.308752467783</v>
      </c>
      <c r="K3130" s="1">
        <v>10</v>
      </c>
      <c r="L3130" s="1">
        <v>9</v>
      </c>
      <c r="M3130" s="1">
        <v>6.7331428524044776</v>
      </c>
      <c r="N3130" s="1">
        <v>563061</v>
      </c>
    </row>
    <row r="3131" spans="1:14" x14ac:dyDescent="0.35">
      <c r="A3131" s="1" t="s">
        <v>51</v>
      </c>
      <c r="B3131" s="1">
        <v>202602</v>
      </c>
      <c r="C3131" s="1" t="str">
        <f>MID(analisis_productividad__4[[#This Row],[Periodo]],1,4)</f>
        <v>2026</v>
      </c>
      <c r="D3131" s="1" t="str">
        <f>MID(analisis_productividad__4[[#This Row],[Periodo]],5,2)</f>
        <v>02</v>
      </c>
      <c r="E3131" s="1" t="s">
        <v>11</v>
      </c>
      <c r="F3131" s="1" t="s">
        <v>52</v>
      </c>
      <c r="G3131" s="1">
        <v>49085</v>
      </c>
      <c r="H3131" s="1">
        <v>4191044</v>
      </c>
      <c r="I3131" s="1">
        <v>85.384010416666669</v>
      </c>
      <c r="J3131" s="1">
        <v>93405.144642720858</v>
      </c>
      <c r="K3131" s="1">
        <v>117.5</v>
      </c>
      <c r="L3131" s="1">
        <v>99</v>
      </c>
      <c r="M3131" s="1">
        <v>98.005014700369543</v>
      </c>
      <c r="N3131" s="1">
        <v>9154173</v>
      </c>
    </row>
    <row r="3132" spans="1:14" x14ac:dyDescent="0.35">
      <c r="A3132" s="1" t="s">
        <v>128</v>
      </c>
      <c r="B3132" s="1">
        <v>202602</v>
      </c>
      <c r="C3132" s="1" t="str">
        <f>MID(analisis_productividad__4[[#This Row],[Periodo]],1,4)</f>
        <v>2026</v>
      </c>
      <c r="D3132" s="1" t="str">
        <f>MID(analisis_productividad__4[[#This Row],[Periodo]],5,2)</f>
        <v>02</v>
      </c>
      <c r="E3132" s="1" t="s">
        <v>104</v>
      </c>
      <c r="F3132" s="1" t="s">
        <v>104</v>
      </c>
      <c r="G3132" s="1">
        <v>49026</v>
      </c>
      <c r="H3132" s="1">
        <v>2571073</v>
      </c>
      <c r="I3132" s="1">
        <v>52.442708333333329</v>
      </c>
      <c r="J3132" s="1">
        <v>51684.680707453736</v>
      </c>
      <c r="K3132" s="1">
        <v>57.5</v>
      </c>
      <c r="L3132" s="1">
        <v>57</v>
      </c>
      <c r="M3132" s="1">
        <v>50.0561866937662</v>
      </c>
      <c r="N3132" s="1">
        <v>2587138</v>
      </c>
    </row>
    <row r="3133" spans="1:14" x14ac:dyDescent="0.35">
      <c r="A3133" s="1" t="s">
        <v>123</v>
      </c>
      <c r="B3133" s="1">
        <v>202402</v>
      </c>
      <c r="C3133" s="1" t="str">
        <f>MID(analisis_productividad__4[[#This Row],[Periodo]],1,4)</f>
        <v>2024</v>
      </c>
      <c r="D3133" s="1" t="str">
        <f>MID(analisis_productividad__4[[#This Row],[Periodo]],5,2)</f>
        <v>02</v>
      </c>
      <c r="E3133" s="1" t="s">
        <v>9</v>
      </c>
      <c r="F3133" s="1" t="s">
        <v>9</v>
      </c>
      <c r="G3133" s="1">
        <v>48988</v>
      </c>
      <c r="H3133" s="1">
        <v>491226</v>
      </c>
      <c r="I3133" s="1">
        <v>10.0275</v>
      </c>
      <c r="J3133" s="1">
        <v>0</v>
      </c>
      <c r="K3133" s="1">
        <v>11</v>
      </c>
      <c r="L3133" s="1">
        <v>10</v>
      </c>
      <c r="M3133" s="1"/>
      <c r="N3133" s="1">
        <v>0</v>
      </c>
    </row>
    <row r="3134" spans="1:14" x14ac:dyDescent="0.35">
      <c r="A3134" s="1" t="s">
        <v>102</v>
      </c>
      <c r="B3134" s="1">
        <v>202509</v>
      </c>
      <c r="C3134" s="1" t="str">
        <f>MID(analisis_productividad__4[[#This Row],[Periodo]],1,4)</f>
        <v>2025</v>
      </c>
      <c r="D3134" s="1" t="str">
        <f>MID(analisis_productividad__4[[#This Row],[Periodo]],5,2)</f>
        <v>09</v>
      </c>
      <c r="E3134" s="1" t="s">
        <v>11</v>
      </c>
      <c r="F3134" s="1" t="s">
        <v>12</v>
      </c>
      <c r="G3134" s="1">
        <v>48976</v>
      </c>
      <c r="H3134" s="1">
        <v>1465999</v>
      </c>
      <c r="I3134" s="1">
        <v>29.933166666666665</v>
      </c>
      <c r="J3134" s="1">
        <v>59261.166796523801</v>
      </c>
      <c r="K3134" s="1">
        <v>34</v>
      </c>
      <c r="L3134" s="1">
        <v>34</v>
      </c>
      <c r="M3134" s="1">
        <v>24.737932431090677</v>
      </c>
      <c r="N3134" s="1">
        <v>1824893</v>
      </c>
    </row>
    <row r="3135" spans="1:14" x14ac:dyDescent="0.35">
      <c r="A3135" s="1" t="s">
        <v>111</v>
      </c>
      <c r="B3135" s="1">
        <v>202405</v>
      </c>
      <c r="C3135" s="1" t="str">
        <f>MID(analisis_productividad__4[[#This Row],[Periodo]],1,4)</f>
        <v>2024</v>
      </c>
      <c r="D3135" s="1" t="str">
        <f>MID(analisis_productividad__4[[#This Row],[Periodo]],5,2)</f>
        <v>05</v>
      </c>
      <c r="E3135" s="1" t="s">
        <v>34</v>
      </c>
      <c r="F3135" s="1" t="s">
        <v>35</v>
      </c>
      <c r="G3135" s="1">
        <v>48865</v>
      </c>
      <c r="H3135" s="1">
        <v>2005911</v>
      </c>
      <c r="I3135" s="1">
        <v>41.050201612903216</v>
      </c>
      <c r="J3135" s="1">
        <v>0</v>
      </c>
      <c r="K3135" s="1">
        <v>45.5</v>
      </c>
      <c r="L3135" s="1">
        <v>42.5</v>
      </c>
      <c r="M3135" s="1"/>
      <c r="N3135" s="1">
        <v>0</v>
      </c>
    </row>
    <row r="3136" spans="1:14" x14ac:dyDescent="0.35">
      <c r="A3136" s="1" t="s">
        <v>114</v>
      </c>
      <c r="B3136" s="1">
        <v>202601</v>
      </c>
      <c r="C3136" s="1" t="str">
        <f>MID(analisis_productividad__4[[#This Row],[Periodo]],1,4)</f>
        <v>2026</v>
      </c>
      <c r="D3136" s="1" t="str">
        <f>MID(analisis_productividad__4[[#This Row],[Periodo]],5,2)</f>
        <v>01</v>
      </c>
      <c r="E3136" s="1" t="s">
        <v>9</v>
      </c>
      <c r="F3136" s="1" t="s">
        <v>9</v>
      </c>
      <c r="G3136" s="1">
        <v>48849</v>
      </c>
      <c r="H3136" s="1">
        <v>871338</v>
      </c>
      <c r="I3136" s="1">
        <v>17.837439516129031</v>
      </c>
      <c r="J3136" s="1">
        <v>72636.043724580741</v>
      </c>
      <c r="K3136" s="1">
        <v>13.5</v>
      </c>
      <c r="L3136" s="1">
        <v>14.5</v>
      </c>
      <c r="M3136" s="1">
        <v>13.189776457714554</v>
      </c>
      <c r="N3136" s="1">
        <v>958053</v>
      </c>
    </row>
    <row r="3137" spans="1:14" x14ac:dyDescent="0.35">
      <c r="A3137" s="1" t="s">
        <v>126</v>
      </c>
      <c r="B3137" s="1">
        <v>202402</v>
      </c>
      <c r="C3137" s="1" t="str">
        <f>MID(analisis_productividad__4[[#This Row],[Periodo]],1,4)</f>
        <v>2024</v>
      </c>
      <c r="D3137" s="1" t="str">
        <f>MID(analisis_productividad__4[[#This Row],[Periodo]],5,2)</f>
        <v>02</v>
      </c>
      <c r="E3137" s="1" t="s">
        <v>104</v>
      </c>
      <c r="F3137" s="1" t="s">
        <v>104</v>
      </c>
      <c r="G3137" s="1">
        <v>48783</v>
      </c>
      <c r="H3137" s="1">
        <v>2908726</v>
      </c>
      <c r="I3137" s="1">
        <v>59.625869252873578</v>
      </c>
      <c r="J3137" s="1">
        <v>0</v>
      </c>
      <c r="K3137" s="1">
        <v>64.5</v>
      </c>
      <c r="L3137" s="1">
        <v>61</v>
      </c>
      <c r="M3137" s="1"/>
      <c r="N3137" s="1">
        <v>0</v>
      </c>
    </row>
    <row r="3138" spans="1:14" x14ac:dyDescent="0.35">
      <c r="A3138" s="1" t="s">
        <v>99</v>
      </c>
      <c r="B3138" s="1">
        <v>202504</v>
      </c>
      <c r="C3138" s="1" t="str">
        <f>MID(analisis_productividad__4[[#This Row],[Periodo]],1,4)</f>
        <v>2025</v>
      </c>
      <c r="D3138" s="1" t="str">
        <f>MID(analisis_productividad__4[[#This Row],[Periodo]],5,2)</f>
        <v>04</v>
      </c>
      <c r="E3138" s="1" t="s">
        <v>11</v>
      </c>
      <c r="F3138" s="1" t="s">
        <v>12</v>
      </c>
      <c r="G3138" s="1">
        <v>48687</v>
      </c>
      <c r="H3138" s="1">
        <v>1305270</v>
      </c>
      <c r="I3138" s="1">
        <v>26.809416666666671</v>
      </c>
      <c r="J3138" s="1">
        <v>54076.147878944874</v>
      </c>
      <c r="K3138" s="1">
        <v>27</v>
      </c>
      <c r="L3138" s="1">
        <v>27</v>
      </c>
      <c r="M3138" s="1">
        <v>24.13763759434168</v>
      </c>
      <c r="N3138" s="1">
        <v>1510779</v>
      </c>
    </row>
    <row r="3139" spans="1:14" x14ac:dyDescent="0.35">
      <c r="A3139" s="1" t="s">
        <v>8</v>
      </c>
      <c r="B3139" s="1">
        <v>202509</v>
      </c>
      <c r="C3139" s="1" t="str">
        <f>MID(analisis_productividad__4[[#This Row],[Periodo]],1,4)</f>
        <v>2025</v>
      </c>
      <c r="D3139" s="1" t="str">
        <f>MID(analisis_productividad__4[[#This Row],[Periodo]],5,2)</f>
        <v>09</v>
      </c>
      <c r="E3139" s="1" t="s">
        <v>9</v>
      </c>
      <c r="F3139" s="1" t="s">
        <v>9</v>
      </c>
      <c r="G3139" s="1">
        <v>48535</v>
      </c>
      <c r="H3139" s="1">
        <v>921722</v>
      </c>
      <c r="I3139" s="1">
        <v>18.991048611111108</v>
      </c>
      <c r="J3139" s="1">
        <v>66641.3364940967</v>
      </c>
      <c r="K3139" s="1">
        <v>13.5</v>
      </c>
      <c r="L3139" s="1">
        <v>12.5</v>
      </c>
      <c r="M3139" s="1">
        <v>13.831088607919034</v>
      </c>
      <c r="N3139" s="1">
        <v>963011</v>
      </c>
    </row>
    <row r="3140" spans="1:14" x14ac:dyDescent="0.35">
      <c r="A3140" s="1" t="s">
        <v>101</v>
      </c>
      <c r="B3140" s="1">
        <v>202403</v>
      </c>
      <c r="C3140" s="1" t="str">
        <f>MID(analisis_productividad__4[[#This Row],[Periodo]],1,4)</f>
        <v>2024</v>
      </c>
      <c r="D3140" s="1" t="str">
        <f>MID(analisis_productividad__4[[#This Row],[Periodo]],5,2)</f>
        <v>03</v>
      </c>
      <c r="E3140" s="1" t="s">
        <v>9</v>
      </c>
      <c r="F3140" s="1" t="s">
        <v>9</v>
      </c>
      <c r="G3140" s="1">
        <v>48429</v>
      </c>
      <c r="H3140" s="1">
        <v>346634</v>
      </c>
      <c r="I3140" s="1">
        <v>7.1575470430107542</v>
      </c>
      <c r="J3140" s="1">
        <v>0</v>
      </c>
      <c r="K3140" s="1">
        <v>8.5</v>
      </c>
      <c r="L3140" s="1">
        <v>6.5</v>
      </c>
      <c r="M3140" s="1"/>
      <c r="N3140" s="1">
        <v>0</v>
      </c>
    </row>
    <row r="3141" spans="1:14" x14ac:dyDescent="0.35">
      <c r="A3141" s="1" t="s">
        <v>101</v>
      </c>
      <c r="B3141" s="1">
        <v>202602</v>
      </c>
      <c r="C3141" s="1" t="str">
        <f>MID(analisis_productividad__4[[#This Row],[Periodo]],1,4)</f>
        <v>2026</v>
      </c>
      <c r="D3141" s="1" t="str">
        <f>MID(analisis_productividad__4[[#This Row],[Periodo]],5,2)</f>
        <v>02</v>
      </c>
      <c r="E3141" s="1" t="s">
        <v>9</v>
      </c>
      <c r="F3141" s="1" t="s">
        <v>9</v>
      </c>
      <c r="G3141" s="1">
        <v>48295</v>
      </c>
      <c r="H3141" s="1">
        <v>312656</v>
      </c>
      <c r="I3141" s="1">
        <v>6.4739062500000006</v>
      </c>
      <c r="J3141" s="1">
        <v>42558.287094907202</v>
      </c>
      <c r="K3141" s="1">
        <v>8.5</v>
      </c>
      <c r="L3141" s="1">
        <v>6.5</v>
      </c>
      <c r="M3141" s="1">
        <v>7.4225653700663532</v>
      </c>
      <c r="N3141" s="1">
        <v>315892</v>
      </c>
    </row>
    <row r="3142" spans="1:14" x14ac:dyDescent="0.35">
      <c r="A3142" s="1" t="s">
        <v>125</v>
      </c>
      <c r="B3142" s="1">
        <v>202411</v>
      </c>
      <c r="C3142" s="1" t="str">
        <f>MID(analisis_productividad__4[[#This Row],[Periodo]],1,4)</f>
        <v>2024</v>
      </c>
      <c r="D3142" s="1" t="str">
        <f>MID(analisis_productividad__4[[#This Row],[Periodo]],5,2)</f>
        <v>11</v>
      </c>
      <c r="E3142" s="1" t="s">
        <v>104</v>
      </c>
      <c r="F3142" s="1" t="s">
        <v>104</v>
      </c>
      <c r="G3142" s="1">
        <v>48029</v>
      </c>
      <c r="H3142" s="1">
        <v>2648562</v>
      </c>
      <c r="I3142" s="1">
        <v>55.144881944444442</v>
      </c>
      <c r="J3142" s="1">
        <v>0</v>
      </c>
      <c r="K3142" s="1">
        <v>59</v>
      </c>
      <c r="L3142" s="1">
        <v>50</v>
      </c>
      <c r="M3142" s="1"/>
      <c r="N3142" s="1">
        <v>0</v>
      </c>
    </row>
    <row r="3143" spans="1:14" x14ac:dyDescent="0.35">
      <c r="A3143" s="1" t="s">
        <v>123</v>
      </c>
      <c r="B3143" s="1">
        <v>202502</v>
      </c>
      <c r="C3143" s="1" t="str">
        <f>MID(analisis_productividad__4[[#This Row],[Periodo]],1,4)</f>
        <v>2025</v>
      </c>
      <c r="D3143" s="1" t="str">
        <f>MID(analisis_productividad__4[[#This Row],[Periodo]],5,2)</f>
        <v>02</v>
      </c>
      <c r="E3143" s="1" t="s">
        <v>9</v>
      </c>
      <c r="F3143" s="1" t="s">
        <v>9</v>
      </c>
      <c r="G3143" s="1">
        <v>48026</v>
      </c>
      <c r="H3143" s="1">
        <v>482613</v>
      </c>
      <c r="I3143" s="1">
        <v>10.049010416666665</v>
      </c>
      <c r="J3143" s="1">
        <v>51437.277486911014</v>
      </c>
      <c r="K3143" s="1">
        <v>11</v>
      </c>
      <c r="L3143" s="1">
        <v>10</v>
      </c>
      <c r="M3143" s="1">
        <v>9.3825599561098123</v>
      </c>
      <c r="N3143" s="1">
        <v>476973</v>
      </c>
    </row>
    <row r="3144" spans="1:14" x14ac:dyDescent="0.35">
      <c r="A3144" s="1" t="s">
        <v>126</v>
      </c>
      <c r="B3144" s="1">
        <v>202404</v>
      </c>
      <c r="C3144" s="1" t="str">
        <f>MID(analisis_productividad__4[[#This Row],[Periodo]],1,4)</f>
        <v>2024</v>
      </c>
      <c r="D3144" s="1" t="str">
        <f>MID(analisis_productividad__4[[#This Row],[Periodo]],5,2)</f>
        <v>04</v>
      </c>
      <c r="E3144" s="1" t="s">
        <v>104</v>
      </c>
      <c r="F3144" s="1" t="s">
        <v>104</v>
      </c>
      <c r="G3144" s="1">
        <v>47942</v>
      </c>
      <c r="H3144" s="1">
        <v>3024235</v>
      </c>
      <c r="I3144" s="1">
        <v>63.080937499999976</v>
      </c>
      <c r="J3144" s="1">
        <v>0</v>
      </c>
      <c r="K3144" s="1">
        <v>64.5</v>
      </c>
      <c r="L3144" s="1">
        <v>61</v>
      </c>
      <c r="M3144" s="1"/>
      <c r="N3144" s="1">
        <v>0</v>
      </c>
    </row>
    <row r="3145" spans="1:14" x14ac:dyDescent="0.35">
      <c r="A3145" s="1" t="s">
        <v>128</v>
      </c>
      <c r="B3145" s="1">
        <v>202504</v>
      </c>
      <c r="C3145" s="1" t="str">
        <f>MID(analisis_productividad__4[[#This Row],[Periodo]],1,4)</f>
        <v>2025</v>
      </c>
      <c r="D3145" s="1" t="str">
        <f>MID(analisis_productividad__4[[#This Row],[Periodo]],5,2)</f>
        <v>04</v>
      </c>
      <c r="E3145" s="1" t="s">
        <v>104</v>
      </c>
      <c r="F3145" s="1" t="s">
        <v>104</v>
      </c>
      <c r="G3145" s="1">
        <v>47941</v>
      </c>
      <c r="H3145" s="1">
        <v>2565007</v>
      </c>
      <c r="I3145" s="1">
        <v>53.50299305555555</v>
      </c>
      <c r="J3145" s="1">
        <v>47409.495672419514</v>
      </c>
      <c r="K3145" s="1">
        <v>57.5</v>
      </c>
      <c r="L3145" s="1">
        <v>57</v>
      </c>
      <c r="M3145" s="1">
        <v>54.103238678663985</v>
      </c>
      <c r="N3145" s="1">
        <v>2566701</v>
      </c>
    </row>
    <row r="3146" spans="1:14" x14ac:dyDescent="0.35">
      <c r="A3146" s="1" t="s">
        <v>128</v>
      </c>
      <c r="B3146" s="1">
        <v>202405</v>
      </c>
      <c r="C3146" s="1" t="str">
        <f>MID(analisis_productividad__4[[#This Row],[Periodo]],1,4)</f>
        <v>2024</v>
      </c>
      <c r="D3146" s="1" t="str">
        <f>MID(analisis_productividad__4[[#This Row],[Periodo]],5,2)</f>
        <v>05</v>
      </c>
      <c r="E3146" s="1" t="s">
        <v>104</v>
      </c>
      <c r="F3146" s="1" t="s">
        <v>104</v>
      </c>
      <c r="G3146" s="1">
        <v>47923</v>
      </c>
      <c r="H3146" s="1">
        <v>2470354</v>
      </c>
      <c r="I3146" s="1">
        <v>51.548461021505361</v>
      </c>
      <c r="J3146" s="1">
        <v>0</v>
      </c>
      <c r="K3146" s="1">
        <v>57.5</v>
      </c>
      <c r="L3146" s="1">
        <v>57</v>
      </c>
      <c r="M3146" s="1"/>
      <c r="N3146" s="1">
        <v>0</v>
      </c>
    </row>
    <row r="3147" spans="1:14" x14ac:dyDescent="0.35">
      <c r="A3147" s="1" t="s">
        <v>123</v>
      </c>
      <c r="B3147" s="1">
        <v>202508</v>
      </c>
      <c r="C3147" s="1" t="str">
        <f>MID(analisis_productividad__4[[#This Row],[Periodo]],1,4)</f>
        <v>2025</v>
      </c>
      <c r="D3147" s="1" t="str">
        <f>MID(analisis_productividad__4[[#This Row],[Periodo]],5,2)</f>
        <v>08</v>
      </c>
      <c r="E3147" s="1" t="s">
        <v>9</v>
      </c>
      <c r="F3147" s="1" t="s">
        <v>9</v>
      </c>
      <c r="G3147" s="1">
        <v>47891</v>
      </c>
      <c r="H3147" s="1">
        <v>527407</v>
      </c>
      <c r="I3147" s="1">
        <v>11.012674731182795</v>
      </c>
      <c r="J3147" s="1">
        <v>61725.147096947199</v>
      </c>
      <c r="K3147" s="1">
        <v>11</v>
      </c>
      <c r="L3147" s="1">
        <v>10</v>
      </c>
      <c r="M3147" s="1">
        <v>8.5444413631228837</v>
      </c>
      <c r="N3147" s="1">
        <v>580064</v>
      </c>
    </row>
    <row r="3148" spans="1:14" x14ac:dyDescent="0.35">
      <c r="A3148" s="1" t="s">
        <v>122</v>
      </c>
      <c r="B3148" s="1">
        <v>202602</v>
      </c>
      <c r="C3148" s="1" t="str">
        <f>MID(analisis_productividad__4[[#This Row],[Periodo]],1,4)</f>
        <v>2026</v>
      </c>
      <c r="D3148" s="1" t="str">
        <f>MID(analisis_productividad__4[[#This Row],[Periodo]],5,2)</f>
        <v>02</v>
      </c>
      <c r="E3148" s="1" t="s">
        <v>104</v>
      </c>
      <c r="F3148" s="1" t="s">
        <v>104</v>
      </c>
      <c r="G3148" s="1">
        <v>47691</v>
      </c>
      <c r="H3148" s="1">
        <v>4562919</v>
      </c>
      <c r="I3148" s="1">
        <v>95.677552083333339</v>
      </c>
      <c r="J3148" s="1">
        <v>46169.14721436004</v>
      </c>
      <c r="K3148" s="1">
        <v>22</v>
      </c>
      <c r="L3148" s="1">
        <v>20</v>
      </c>
      <c r="M3148" s="1">
        <v>96.1</v>
      </c>
      <c r="N3148" s="1">
        <v>4436855</v>
      </c>
    </row>
    <row r="3149" spans="1:14" x14ac:dyDescent="0.35">
      <c r="A3149" s="1" t="s">
        <v>128</v>
      </c>
      <c r="B3149" s="1">
        <v>202411</v>
      </c>
      <c r="C3149" s="1" t="str">
        <f>MID(analisis_productividad__4[[#This Row],[Periodo]],1,4)</f>
        <v>2024</v>
      </c>
      <c r="D3149" s="1" t="str">
        <f>MID(analisis_productividad__4[[#This Row],[Periodo]],5,2)</f>
        <v>11</v>
      </c>
      <c r="E3149" s="1" t="s">
        <v>104</v>
      </c>
      <c r="F3149" s="1" t="s">
        <v>104</v>
      </c>
      <c r="G3149" s="1">
        <v>47487</v>
      </c>
      <c r="H3149" s="1">
        <v>2255058</v>
      </c>
      <c r="I3149" s="1">
        <v>47.488388888888906</v>
      </c>
      <c r="J3149" s="1">
        <v>0</v>
      </c>
      <c r="K3149" s="1">
        <v>57.5</v>
      </c>
      <c r="L3149" s="1">
        <v>57</v>
      </c>
      <c r="M3149" s="1"/>
      <c r="N3149" s="1">
        <v>0</v>
      </c>
    </row>
    <row r="3150" spans="1:14" x14ac:dyDescent="0.35">
      <c r="A3150" s="1" t="s">
        <v>123</v>
      </c>
      <c r="B3150" s="1">
        <v>202509</v>
      </c>
      <c r="C3150" s="1" t="str">
        <f>MID(analisis_productividad__4[[#This Row],[Periodo]],1,4)</f>
        <v>2025</v>
      </c>
      <c r="D3150" s="1" t="str">
        <f>MID(analisis_productividad__4[[#This Row],[Periodo]],5,2)</f>
        <v>09</v>
      </c>
      <c r="E3150" s="1" t="s">
        <v>9</v>
      </c>
      <c r="F3150" s="1" t="s">
        <v>9</v>
      </c>
      <c r="G3150" s="1">
        <v>47474</v>
      </c>
      <c r="H3150" s="1">
        <v>495011</v>
      </c>
      <c r="I3150" s="1">
        <v>10.427083333333334</v>
      </c>
      <c r="J3150" s="1">
        <v>56163.829227243965</v>
      </c>
      <c r="K3150" s="1">
        <v>11</v>
      </c>
      <c r="L3150" s="1">
        <v>10</v>
      </c>
      <c r="M3150" s="1">
        <v>8.8136953411267775</v>
      </c>
      <c r="N3150" s="1">
        <v>567335</v>
      </c>
    </row>
    <row r="3151" spans="1:14" x14ac:dyDescent="0.35">
      <c r="A3151" s="1" t="s">
        <v>8</v>
      </c>
      <c r="B3151" s="1">
        <v>202507</v>
      </c>
      <c r="C3151" s="1" t="str">
        <f>MID(analisis_productividad__4[[#This Row],[Periodo]],1,4)</f>
        <v>2025</v>
      </c>
      <c r="D3151" s="1" t="str">
        <f>MID(analisis_productividad__4[[#This Row],[Periodo]],5,2)</f>
        <v>07</v>
      </c>
      <c r="E3151" s="1" t="s">
        <v>9</v>
      </c>
      <c r="F3151" s="1" t="s">
        <v>9</v>
      </c>
      <c r="G3151" s="1">
        <v>47422</v>
      </c>
      <c r="H3151" s="1">
        <v>924674</v>
      </c>
      <c r="I3151" s="1">
        <v>19.498904569892474</v>
      </c>
      <c r="J3151" s="1">
        <v>68566.333629860601</v>
      </c>
      <c r="K3151" s="1">
        <v>13.5</v>
      </c>
      <c r="L3151" s="1">
        <v>12.5</v>
      </c>
      <c r="M3151" s="1">
        <v>13.485833368189676</v>
      </c>
      <c r="N3151" s="1">
        <v>830418</v>
      </c>
    </row>
    <row r="3152" spans="1:14" x14ac:dyDescent="0.35">
      <c r="A3152" s="1" t="s">
        <v>129</v>
      </c>
      <c r="B3152" s="1">
        <v>202412</v>
      </c>
      <c r="C3152" s="1" t="str">
        <f>MID(analisis_productividad__4[[#This Row],[Periodo]],1,4)</f>
        <v>2024</v>
      </c>
      <c r="D3152" s="1" t="str">
        <f>MID(analisis_productividad__4[[#This Row],[Periodo]],5,2)</f>
        <v>12</v>
      </c>
      <c r="E3152" s="1" t="s">
        <v>9</v>
      </c>
      <c r="F3152" s="1" t="s">
        <v>9</v>
      </c>
      <c r="G3152" s="1">
        <v>47093</v>
      </c>
      <c r="H3152" s="1">
        <v>346724</v>
      </c>
      <c r="I3152" s="1">
        <v>7.3626075268817228</v>
      </c>
      <c r="J3152" s="1">
        <v>0</v>
      </c>
      <c r="K3152" s="1">
        <v>9</v>
      </c>
      <c r="L3152" s="1">
        <v>9</v>
      </c>
      <c r="M3152" s="1"/>
      <c r="N3152" s="1">
        <v>0</v>
      </c>
    </row>
    <row r="3153" spans="1:14" x14ac:dyDescent="0.35">
      <c r="A3153" s="1" t="s">
        <v>128</v>
      </c>
      <c r="B3153" s="1">
        <v>202503</v>
      </c>
      <c r="C3153" s="1" t="str">
        <f>MID(analisis_productividad__4[[#This Row],[Periodo]],1,4)</f>
        <v>2025</v>
      </c>
      <c r="D3153" s="1" t="str">
        <f>MID(analisis_productividad__4[[#This Row],[Periodo]],5,2)</f>
        <v>03</v>
      </c>
      <c r="E3153" s="1" t="s">
        <v>104</v>
      </c>
      <c r="F3153" s="1" t="s">
        <v>104</v>
      </c>
      <c r="G3153" s="1">
        <v>47088</v>
      </c>
      <c r="H3153" s="1">
        <v>2762190</v>
      </c>
      <c r="I3153" s="1">
        <v>58.660141129032262</v>
      </c>
      <c r="J3153" s="1">
        <v>53084.268786357439</v>
      </c>
      <c r="K3153" s="1">
        <v>57.5</v>
      </c>
      <c r="L3153" s="1">
        <v>57</v>
      </c>
      <c r="M3153" s="1">
        <v>52.034063257359541</v>
      </c>
      <c r="N3153" s="1">
        <v>2797664</v>
      </c>
    </row>
    <row r="3154" spans="1:14" x14ac:dyDescent="0.35">
      <c r="A3154" s="1" t="s">
        <v>45</v>
      </c>
      <c r="B3154" s="1">
        <v>202410</v>
      </c>
      <c r="C3154" s="1" t="str">
        <f>MID(analisis_productividad__4[[#This Row],[Periodo]],1,4)</f>
        <v>2024</v>
      </c>
      <c r="D3154" s="1" t="str">
        <f>MID(analisis_productividad__4[[#This Row],[Periodo]],5,2)</f>
        <v>10</v>
      </c>
      <c r="E3154" s="1" t="s">
        <v>34</v>
      </c>
      <c r="F3154" s="1" t="s">
        <v>35</v>
      </c>
      <c r="G3154" s="1">
        <v>46600</v>
      </c>
      <c r="H3154" s="1">
        <v>845672</v>
      </c>
      <c r="I3154" s="1">
        <v>18.147547043010761</v>
      </c>
      <c r="J3154" s="1">
        <v>0</v>
      </c>
      <c r="K3154" s="1">
        <v>22.5</v>
      </c>
      <c r="L3154" s="1">
        <v>21</v>
      </c>
      <c r="M3154" s="1"/>
      <c r="N3154" s="1">
        <v>0</v>
      </c>
    </row>
    <row r="3155" spans="1:14" x14ac:dyDescent="0.35">
      <c r="A3155" s="1" t="s">
        <v>8</v>
      </c>
      <c r="B3155" s="1">
        <v>202508</v>
      </c>
      <c r="C3155" s="1" t="str">
        <f>MID(analisis_productividad__4[[#This Row],[Periodo]],1,4)</f>
        <v>2025</v>
      </c>
      <c r="D3155" s="1" t="str">
        <f>MID(analisis_productividad__4[[#This Row],[Periodo]],5,2)</f>
        <v>08</v>
      </c>
      <c r="E3155" s="1" t="s">
        <v>9</v>
      </c>
      <c r="F3155" s="1" t="s">
        <v>9</v>
      </c>
      <c r="G3155" s="1">
        <v>46543</v>
      </c>
      <c r="H3155" s="1">
        <v>952675</v>
      </c>
      <c r="I3155" s="1">
        <v>20.468743279569889</v>
      </c>
      <c r="J3155" s="1">
        <v>69240.58275041201</v>
      </c>
      <c r="K3155" s="1">
        <v>13.5</v>
      </c>
      <c r="L3155" s="1">
        <v>12.5</v>
      </c>
      <c r="M3155" s="1">
        <v>13.75890932972154</v>
      </c>
      <c r="N3155" s="1">
        <v>837714</v>
      </c>
    </row>
    <row r="3156" spans="1:14" x14ac:dyDescent="0.35">
      <c r="A3156" s="1" t="s">
        <v>118</v>
      </c>
      <c r="B3156" s="1">
        <v>202506</v>
      </c>
      <c r="C3156" s="1" t="str">
        <f>MID(analisis_productividad__4[[#This Row],[Periodo]],1,4)</f>
        <v>2025</v>
      </c>
      <c r="D3156" s="1" t="str">
        <f>MID(analisis_productividad__4[[#This Row],[Periodo]],5,2)</f>
        <v>06</v>
      </c>
      <c r="E3156" s="1" t="s">
        <v>34</v>
      </c>
      <c r="F3156" s="1" t="s">
        <v>35</v>
      </c>
      <c r="G3156" s="1">
        <v>46408</v>
      </c>
      <c r="H3156" s="1">
        <v>943608</v>
      </c>
      <c r="I3156" s="1">
        <v>20.332666666666668</v>
      </c>
      <c r="J3156" s="1">
        <v>67333.875277470623</v>
      </c>
      <c r="K3156" s="1">
        <v>19</v>
      </c>
      <c r="L3156" s="1">
        <v>21.5</v>
      </c>
      <c r="M3156" s="1">
        <v>14.013867256437617</v>
      </c>
      <c r="N3156" s="1">
        <v>1178864</v>
      </c>
    </row>
    <row r="3157" spans="1:14" x14ac:dyDescent="0.35">
      <c r="A3157" s="1" t="s">
        <v>129</v>
      </c>
      <c r="B3157" s="1">
        <v>202601</v>
      </c>
      <c r="C3157" s="1" t="str">
        <f>MID(analisis_productividad__4[[#This Row],[Periodo]],1,4)</f>
        <v>2026</v>
      </c>
      <c r="D3157" s="1" t="str">
        <f>MID(analisis_productividad__4[[#This Row],[Periodo]],5,2)</f>
        <v>01</v>
      </c>
      <c r="E3157" s="1" t="s">
        <v>9</v>
      </c>
      <c r="F3157" s="1" t="s">
        <v>9</v>
      </c>
      <c r="G3157" s="1">
        <v>46198</v>
      </c>
      <c r="H3157" s="1">
        <v>281217</v>
      </c>
      <c r="I3157" s="1">
        <v>6.0871774193548385</v>
      </c>
      <c r="J3157" s="1">
        <v>37544.722076886937</v>
      </c>
      <c r="K3157" s="1">
        <v>9</v>
      </c>
      <c r="L3157" s="1">
        <v>9</v>
      </c>
      <c r="M3157" s="1">
        <v>7.859186862423198</v>
      </c>
      <c r="N3157" s="1">
        <v>295071</v>
      </c>
    </row>
    <row r="3158" spans="1:14" x14ac:dyDescent="0.35">
      <c r="A3158" s="1" t="s">
        <v>117</v>
      </c>
      <c r="B3158" s="1">
        <v>202502</v>
      </c>
      <c r="C3158" s="1" t="str">
        <f>MID(analisis_productividad__4[[#This Row],[Periodo]],1,4)</f>
        <v>2025</v>
      </c>
      <c r="D3158" s="1" t="str">
        <f>MID(analisis_productividad__4[[#This Row],[Periodo]],5,2)</f>
        <v>02</v>
      </c>
      <c r="E3158" s="1" t="s">
        <v>104</v>
      </c>
      <c r="F3158" s="1" t="s">
        <v>104</v>
      </c>
      <c r="G3158" s="1">
        <v>45953</v>
      </c>
      <c r="H3158" s="1">
        <v>2760968</v>
      </c>
      <c r="I3158" s="1">
        <v>60.082500000000003</v>
      </c>
      <c r="J3158" s="1">
        <v>52060.758009857585</v>
      </c>
      <c r="K3158" s="1">
        <v>66</v>
      </c>
      <c r="L3158" s="1">
        <v>65.5</v>
      </c>
      <c r="M3158" s="1">
        <v>53.033565117842052</v>
      </c>
      <c r="N3158" s="1">
        <v>3291848</v>
      </c>
    </row>
    <row r="3159" spans="1:14" x14ac:dyDescent="0.35">
      <c r="A3159" s="1" t="s">
        <v>109</v>
      </c>
      <c r="B3159" s="1">
        <v>202502</v>
      </c>
      <c r="C3159" s="1" t="str">
        <f>MID(analisis_productividad__4[[#This Row],[Periodo]],1,4)</f>
        <v>2025</v>
      </c>
      <c r="D3159" s="1" t="str">
        <f>MID(analisis_productividad__4[[#This Row],[Periodo]],5,2)</f>
        <v>02</v>
      </c>
      <c r="E3159" s="1" t="s">
        <v>9</v>
      </c>
      <c r="F3159" s="1" t="s">
        <v>9</v>
      </c>
      <c r="G3159" s="1">
        <v>45806</v>
      </c>
      <c r="H3159" s="1">
        <v>405482</v>
      </c>
      <c r="I3159" s="1">
        <v>8.8522395833333327</v>
      </c>
      <c r="J3159" s="1">
        <v>63489.565208838452</v>
      </c>
      <c r="K3159" s="1">
        <v>10</v>
      </c>
      <c r="L3159" s="1">
        <v>9</v>
      </c>
      <c r="M3159" s="1">
        <v>6.3865898067853273</v>
      </c>
      <c r="N3159" s="1">
        <v>517753</v>
      </c>
    </row>
    <row r="3160" spans="1:14" x14ac:dyDescent="0.35">
      <c r="A3160" s="1" t="s">
        <v>125</v>
      </c>
      <c r="B3160" s="1">
        <v>202502</v>
      </c>
      <c r="C3160" s="1" t="str">
        <f>MID(analisis_productividad__4[[#This Row],[Periodo]],1,4)</f>
        <v>2025</v>
      </c>
      <c r="D3160" s="1" t="str">
        <f>MID(analisis_productividad__4[[#This Row],[Periodo]],5,2)</f>
        <v>02</v>
      </c>
      <c r="E3160" s="1" t="s">
        <v>104</v>
      </c>
      <c r="F3160" s="1" t="s">
        <v>104</v>
      </c>
      <c r="G3160" s="1">
        <v>45780</v>
      </c>
      <c r="H3160" s="1">
        <v>2424543</v>
      </c>
      <c r="I3160" s="1">
        <v>52.960885416666656</v>
      </c>
      <c r="J3160" s="1">
        <v>54307.899092796462</v>
      </c>
      <c r="K3160" s="1">
        <v>59</v>
      </c>
      <c r="L3160" s="1">
        <v>50</v>
      </c>
      <c r="M3160" s="1">
        <v>44.644384712013249</v>
      </c>
      <c r="N3160" s="1">
        <v>2322722</v>
      </c>
    </row>
    <row r="3161" spans="1:14" x14ac:dyDescent="0.35">
      <c r="A3161" s="1" t="s">
        <v>128</v>
      </c>
      <c r="B3161" s="1">
        <v>202502</v>
      </c>
      <c r="C3161" s="1" t="str">
        <f>MID(analisis_productividad__4[[#This Row],[Periodo]],1,4)</f>
        <v>2025</v>
      </c>
      <c r="D3161" s="1" t="str">
        <f>MID(analisis_productividad__4[[#This Row],[Periodo]],5,2)</f>
        <v>02</v>
      </c>
      <c r="E3161" s="1" t="s">
        <v>104</v>
      </c>
      <c r="F3161" s="1" t="s">
        <v>104</v>
      </c>
      <c r="G3161" s="1">
        <v>45778</v>
      </c>
      <c r="H3161" s="1">
        <v>2559403</v>
      </c>
      <c r="I3161" s="1">
        <v>55.90911458333332</v>
      </c>
      <c r="J3161" s="1">
        <v>47314.350306399465</v>
      </c>
      <c r="K3161" s="1">
        <v>57.5</v>
      </c>
      <c r="L3161" s="1">
        <v>57</v>
      </c>
      <c r="M3161" s="1">
        <v>54.093584154189045</v>
      </c>
      <c r="N3161" s="1">
        <v>2344554</v>
      </c>
    </row>
    <row r="3162" spans="1:14" x14ac:dyDescent="0.35">
      <c r="A3162" s="1" t="s">
        <v>45</v>
      </c>
      <c r="B3162" s="1">
        <v>202408</v>
      </c>
      <c r="C3162" s="1" t="str">
        <f>MID(analisis_productividad__4[[#This Row],[Periodo]],1,4)</f>
        <v>2024</v>
      </c>
      <c r="D3162" s="1" t="str">
        <f>MID(analisis_productividad__4[[#This Row],[Periodo]],5,2)</f>
        <v>08</v>
      </c>
      <c r="E3162" s="1" t="s">
        <v>34</v>
      </c>
      <c r="F3162" s="1" t="s">
        <v>35</v>
      </c>
      <c r="G3162" s="1">
        <v>45771</v>
      </c>
      <c r="H3162" s="1">
        <v>753886</v>
      </c>
      <c r="I3162" s="1">
        <v>16.470651881720435</v>
      </c>
      <c r="J3162" s="1">
        <v>0</v>
      </c>
      <c r="K3162" s="1">
        <v>22.5</v>
      </c>
      <c r="L3162" s="1">
        <v>21</v>
      </c>
      <c r="M3162" s="1"/>
      <c r="N3162" s="1">
        <v>0</v>
      </c>
    </row>
    <row r="3163" spans="1:14" x14ac:dyDescent="0.35">
      <c r="A3163" s="1" t="s">
        <v>101</v>
      </c>
      <c r="B3163" s="1">
        <v>202510</v>
      </c>
      <c r="C3163" s="1" t="str">
        <f>MID(analisis_productividad__4[[#This Row],[Periodo]],1,4)</f>
        <v>2025</v>
      </c>
      <c r="D3163" s="1" t="str">
        <f>MID(analisis_productividad__4[[#This Row],[Periodo]],5,2)</f>
        <v>10</v>
      </c>
      <c r="E3163" s="1" t="s">
        <v>9</v>
      </c>
      <c r="F3163" s="1" t="s">
        <v>9</v>
      </c>
      <c r="G3163" s="1">
        <v>45769</v>
      </c>
      <c r="H3163" s="1">
        <v>321191</v>
      </c>
      <c r="I3163" s="1">
        <v>7.0175940860215054</v>
      </c>
      <c r="J3163" s="1">
        <v>51864.968831380706</v>
      </c>
      <c r="K3163" s="1">
        <v>8.5</v>
      </c>
      <c r="L3163" s="1">
        <v>6.5</v>
      </c>
      <c r="M3163" s="1">
        <v>6.1928285553247004</v>
      </c>
      <c r="N3163" s="1">
        <v>355347</v>
      </c>
    </row>
    <row r="3164" spans="1:14" x14ac:dyDescent="0.35">
      <c r="A3164" s="1" t="s">
        <v>45</v>
      </c>
      <c r="B3164" s="1">
        <v>202404</v>
      </c>
      <c r="C3164" s="1" t="str">
        <f>MID(analisis_productividad__4[[#This Row],[Periodo]],1,4)</f>
        <v>2024</v>
      </c>
      <c r="D3164" s="1" t="str">
        <f>MID(analisis_productividad__4[[#This Row],[Periodo]],5,2)</f>
        <v>04</v>
      </c>
      <c r="E3164" s="1" t="s">
        <v>34</v>
      </c>
      <c r="F3164" s="1" t="s">
        <v>35</v>
      </c>
      <c r="G3164" s="1">
        <v>45623</v>
      </c>
      <c r="H3164" s="1">
        <v>961204</v>
      </c>
      <c r="I3164" s="1">
        <v>21.068201388888891</v>
      </c>
      <c r="J3164" s="1">
        <v>0</v>
      </c>
      <c r="K3164" s="1">
        <v>22.5</v>
      </c>
      <c r="L3164" s="1">
        <v>21</v>
      </c>
      <c r="M3164" s="1"/>
      <c r="N3164" s="1">
        <v>0</v>
      </c>
    </row>
    <row r="3165" spans="1:14" x14ac:dyDescent="0.35">
      <c r="A3165" s="1" t="s">
        <v>122</v>
      </c>
      <c r="B3165" s="1">
        <v>202504</v>
      </c>
      <c r="C3165" s="1" t="str">
        <f>MID(analisis_productividad__4[[#This Row],[Periodo]],1,4)</f>
        <v>2025</v>
      </c>
      <c r="D3165" s="1" t="str">
        <f>MID(analisis_productividad__4[[#This Row],[Periodo]],5,2)</f>
        <v>04</v>
      </c>
      <c r="E3165" s="1" t="s">
        <v>104</v>
      </c>
      <c r="F3165" s="1" t="s">
        <v>104</v>
      </c>
      <c r="G3165" s="1">
        <v>45611</v>
      </c>
      <c r="H3165" s="1">
        <v>2351099</v>
      </c>
      <c r="I3165" s="1">
        <v>51.54731944444444</v>
      </c>
      <c r="J3165" s="1">
        <v>40155.143069123842</v>
      </c>
      <c r="K3165" s="1">
        <v>22</v>
      </c>
      <c r="L3165" s="1">
        <v>20</v>
      </c>
      <c r="M3165" s="1">
        <v>58.550392061927688</v>
      </c>
      <c r="N3165" s="1">
        <v>2285727</v>
      </c>
    </row>
    <row r="3166" spans="1:14" x14ac:dyDescent="0.35">
      <c r="A3166" s="1" t="s">
        <v>127</v>
      </c>
      <c r="B3166" s="1">
        <v>202604</v>
      </c>
      <c r="C3166" s="1" t="str">
        <f>MID(analisis_productividad__4[[#This Row],[Periodo]],1,4)</f>
        <v>2026</v>
      </c>
      <c r="D3166" s="1" t="str">
        <f>MID(analisis_productividad__4[[#This Row],[Periodo]],5,2)</f>
        <v>04</v>
      </c>
      <c r="E3166" s="1" t="s">
        <v>104</v>
      </c>
      <c r="F3166" s="1" t="s">
        <v>104</v>
      </c>
      <c r="G3166" s="1">
        <v>45473</v>
      </c>
      <c r="H3166" s="1">
        <v>2948369</v>
      </c>
      <c r="I3166" s="1">
        <v>64.8383749999999</v>
      </c>
      <c r="J3166" s="1"/>
      <c r="K3166" s="1">
        <v>61.5</v>
      </c>
      <c r="L3166" s="1">
        <v>56</v>
      </c>
      <c r="M3166" s="1"/>
      <c r="N3166" s="1">
        <v>3443208</v>
      </c>
    </row>
    <row r="3167" spans="1:14" x14ac:dyDescent="0.35">
      <c r="A3167" s="1" t="s">
        <v>124</v>
      </c>
      <c r="B3167" s="1">
        <v>202511</v>
      </c>
      <c r="C3167" s="1" t="str">
        <f>MID(analisis_productividad__4[[#This Row],[Periodo]],1,4)</f>
        <v>2025</v>
      </c>
      <c r="D3167" s="1" t="str">
        <f>MID(analisis_productividad__4[[#This Row],[Periodo]],5,2)</f>
        <v>11</v>
      </c>
      <c r="E3167" s="1" t="s">
        <v>9</v>
      </c>
      <c r="F3167" s="1" t="s">
        <v>9</v>
      </c>
      <c r="G3167" s="1">
        <v>45456</v>
      </c>
      <c r="H3167" s="1">
        <v>683558</v>
      </c>
      <c r="I3167" s="1">
        <v>15.037749999999997</v>
      </c>
      <c r="J3167" s="1">
        <v>60839.248689092186</v>
      </c>
      <c r="K3167" s="1">
        <v>11</v>
      </c>
      <c r="L3167" s="1">
        <v>12</v>
      </c>
      <c r="M3167" s="1">
        <v>11.235477668259806</v>
      </c>
      <c r="N3167" s="1">
        <v>692706</v>
      </c>
    </row>
    <row r="3168" spans="1:14" x14ac:dyDescent="0.35">
      <c r="A3168" s="1" t="s">
        <v>114</v>
      </c>
      <c r="B3168" s="1">
        <v>202602</v>
      </c>
      <c r="C3168" s="1" t="str">
        <f>MID(analisis_productividad__4[[#This Row],[Periodo]],1,4)</f>
        <v>2026</v>
      </c>
      <c r="D3168" s="1" t="str">
        <f>MID(analisis_productividad__4[[#This Row],[Periodo]],5,2)</f>
        <v>02</v>
      </c>
      <c r="E3168" s="1" t="s">
        <v>9</v>
      </c>
      <c r="F3168" s="1" t="s">
        <v>9</v>
      </c>
      <c r="G3168" s="1">
        <v>45356</v>
      </c>
      <c r="H3168" s="1">
        <v>833861</v>
      </c>
      <c r="I3168" s="1">
        <v>18.384635416666669</v>
      </c>
      <c r="J3168" s="1">
        <v>65440.151390523257</v>
      </c>
      <c r="K3168" s="1">
        <v>13.5</v>
      </c>
      <c r="L3168" s="1">
        <v>14.5</v>
      </c>
      <c r="M3168" s="1">
        <v>13.189776457714554</v>
      </c>
      <c r="N3168" s="1">
        <v>863141</v>
      </c>
    </row>
    <row r="3169" spans="1:14" x14ac:dyDescent="0.35">
      <c r="A3169" s="1" t="s">
        <v>128</v>
      </c>
      <c r="B3169" s="1">
        <v>202404</v>
      </c>
      <c r="C3169" s="1" t="str">
        <f>MID(analisis_productividad__4[[#This Row],[Periodo]],1,4)</f>
        <v>2024</v>
      </c>
      <c r="D3169" s="1" t="str">
        <f>MID(analisis_productividad__4[[#This Row],[Periodo]],5,2)</f>
        <v>04</v>
      </c>
      <c r="E3169" s="1" t="s">
        <v>104</v>
      </c>
      <c r="F3169" s="1" t="s">
        <v>104</v>
      </c>
      <c r="G3169" s="1">
        <v>45152</v>
      </c>
      <c r="H3169" s="1">
        <v>2375655</v>
      </c>
      <c r="I3169" s="1">
        <v>52.614722222222234</v>
      </c>
      <c r="J3169" s="1">
        <v>0</v>
      </c>
      <c r="K3169" s="1">
        <v>57.5</v>
      </c>
      <c r="L3169" s="1">
        <v>57</v>
      </c>
      <c r="M3169" s="1"/>
      <c r="N3169" s="1">
        <v>0</v>
      </c>
    </row>
    <row r="3170" spans="1:14" x14ac:dyDescent="0.35">
      <c r="A3170" s="1" t="s">
        <v>128</v>
      </c>
      <c r="B3170" s="1">
        <v>202402</v>
      </c>
      <c r="C3170" s="1" t="str">
        <f>MID(analisis_productividad__4[[#This Row],[Periodo]],1,4)</f>
        <v>2024</v>
      </c>
      <c r="D3170" s="1" t="str">
        <f>MID(analisis_productividad__4[[#This Row],[Periodo]],5,2)</f>
        <v>02</v>
      </c>
      <c r="E3170" s="1" t="s">
        <v>104</v>
      </c>
      <c r="F3170" s="1" t="s">
        <v>104</v>
      </c>
      <c r="G3170" s="1">
        <v>45061</v>
      </c>
      <c r="H3170" s="1">
        <v>2306323</v>
      </c>
      <c r="I3170" s="1">
        <v>51.181918103448268</v>
      </c>
      <c r="J3170" s="1">
        <v>0</v>
      </c>
      <c r="K3170" s="1">
        <v>57.5</v>
      </c>
      <c r="L3170" s="1">
        <v>57</v>
      </c>
      <c r="M3170" s="1"/>
      <c r="N3170" s="1">
        <v>0</v>
      </c>
    </row>
    <row r="3171" spans="1:14" x14ac:dyDescent="0.35">
      <c r="A3171" s="1" t="s">
        <v>122</v>
      </c>
      <c r="B3171" s="1">
        <v>202401</v>
      </c>
      <c r="C3171" s="1" t="str">
        <f>MID(analisis_productividad__4[[#This Row],[Periodo]],1,4)</f>
        <v>2024</v>
      </c>
      <c r="D3171" s="1" t="str">
        <f>MID(analisis_productividad__4[[#This Row],[Periodo]],5,2)</f>
        <v>01</v>
      </c>
      <c r="E3171" s="1" t="s">
        <v>104</v>
      </c>
      <c r="F3171" s="1" t="s">
        <v>104</v>
      </c>
      <c r="G3171" s="1">
        <v>44634</v>
      </c>
      <c r="H3171" s="1">
        <v>4061494</v>
      </c>
      <c r="I3171" s="1">
        <v>90.995248655914011</v>
      </c>
      <c r="J3171" s="1">
        <v>0</v>
      </c>
      <c r="K3171" s="1">
        <v>22</v>
      </c>
      <c r="L3171" s="1">
        <v>20</v>
      </c>
      <c r="M3171" s="1"/>
      <c r="N3171" s="1">
        <v>0</v>
      </c>
    </row>
    <row r="3172" spans="1:14" x14ac:dyDescent="0.35">
      <c r="A3172" s="1" t="s">
        <v>101</v>
      </c>
      <c r="B3172" s="1">
        <v>202502</v>
      </c>
      <c r="C3172" s="1" t="str">
        <f>MID(analisis_productividad__4[[#This Row],[Periodo]],1,4)</f>
        <v>2025</v>
      </c>
      <c r="D3172" s="1" t="str">
        <f>MID(analisis_productividad__4[[#This Row],[Periodo]],5,2)</f>
        <v>02</v>
      </c>
      <c r="E3172" s="1" t="s">
        <v>9</v>
      </c>
      <c r="F3172" s="1" t="s">
        <v>9</v>
      </c>
      <c r="G3172" s="1">
        <v>44608</v>
      </c>
      <c r="H3172" s="1">
        <v>317773</v>
      </c>
      <c r="I3172" s="1">
        <v>7.1236979166666661</v>
      </c>
      <c r="J3172" s="1">
        <v>43394.994511972043</v>
      </c>
      <c r="K3172" s="1">
        <v>8.5</v>
      </c>
      <c r="L3172" s="1">
        <v>6.5</v>
      </c>
      <c r="M3172" s="1">
        <v>7.3228000965026308</v>
      </c>
      <c r="N3172" s="1">
        <v>299565</v>
      </c>
    </row>
    <row r="3173" spans="1:14" x14ac:dyDescent="0.35">
      <c r="A3173" s="1" t="s">
        <v>45</v>
      </c>
      <c r="B3173" s="1">
        <v>202407</v>
      </c>
      <c r="C3173" s="1" t="str">
        <f>MID(analisis_productividad__4[[#This Row],[Periodo]],1,4)</f>
        <v>2024</v>
      </c>
      <c r="D3173" s="1" t="str">
        <f>MID(analisis_productividad__4[[#This Row],[Periodo]],5,2)</f>
        <v>07</v>
      </c>
      <c r="E3173" s="1" t="s">
        <v>34</v>
      </c>
      <c r="F3173" s="1" t="s">
        <v>35</v>
      </c>
      <c r="G3173" s="1">
        <v>44560</v>
      </c>
      <c r="H3173" s="1">
        <v>764834</v>
      </c>
      <c r="I3173" s="1">
        <v>17.164206989247319</v>
      </c>
      <c r="J3173" s="1">
        <v>0</v>
      </c>
      <c r="K3173" s="1">
        <v>22.5</v>
      </c>
      <c r="L3173" s="1">
        <v>21</v>
      </c>
      <c r="M3173" s="1"/>
      <c r="N3173" s="1">
        <v>0</v>
      </c>
    </row>
    <row r="3174" spans="1:14" x14ac:dyDescent="0.35">
      <c r="A3174" s="1" t="s">
        <v>45</v>
      </c>
      <c r="B3174" s="1">
        <v>202605</v>
      </c>
      <c r="C3174" s="1" t="str">
        <f>MID(analisis_productividad__4[[#This Row],[Periodo]],1,4)</f>
        <v>2026</v>
      </c>
      <c r="D3174" s="1" t="str">
        <f>MID(analisis_productividad__4[[#This Row],[Periodo]],5,2)</f>
        <v>05</v>
      </c>
      <c r="E3174" s="1" t="s">
        <v>34</v>
      </c>
      <c r="F3174" s="1" t="s">
        <v>35</v>
      </c>
      <c r="G3174" s="1">
        <v>44414</v>
      </c>
      <c r="H3174" s="1">
        <v>817446</v>
      </c>
      <c r="I3174" s="1">
        <v>18.405342741935453</v>
      </c>
      <c r="J3174" s="1">
        <v>36815.08808288975</v>
      </c>
      <c r="K3174" s="1">
        <v>22.5</v>
      </c>
      <c r="L3174" s="1">
        <v>21</v>
      </c>
      <c r="M3174" s="1">
        <v>19.647967156057994</v>
      </c>
      <c r="N3174" s="1">
        <v>723342</v>
      </c>
    </row>
    <row r="3175" spans="1:14" x14ac:dyDescent="0.35">
      <c r="A3175" s="1" t="s">
        <v>45</v>
      </c>
      <c r="B3175" s="1">
        <v>202411</v>
      </c>
      <c r="C3175" s="1" t="str">
        <f>MID(analisis_productividad__4[[#This Row],[Periodo]],1,4)</f>
        <v>2024</v>
      </c>
      <c r="D3175" s="1" t="str">
        <f>MID(analisis_productividad__4[[#This Row],[Periodo]],5,2)</f>
        <v>11</v>
      </c>
      <c r="E3175" s="1" t="s">
        <v>34</v>
      </c>
      <c r="F3175" s="1" t="s">
        <v>35</v>
      </c>
      <c r="G3175" s="1">
        <v>44280</v>
      </c>
      <c r="H3175" s="1">
        <v>1043830</v>
      </c>
      <c r="I3175" s="1">
        <v>23.573277777777768</v>
      </c>
      <c r="J3175" s="1">
        <v>0</v>
      </c>
      <c r="K3175" s="1">
        <v>22.5</v>
      </c>
      <c r="L3175" s="1">
        <v>21</v>
      </c>
      <c r="M3175" s="1"/>
      <c r="N3175" s="1">
        <v>0</v>
      </c>
    </row>
    <row r="3176" spans="1:14" x14ac:dyDescent="0.35">
      <c r="A3176" s="1" t="s">
        <v>128</v>
      </c>
      <c r="B3176" s="1">
        <v>202501</v>
      </c>
      <c r="C3176" s="1" t="str">
        <f>MID(analisis_productividad__4[[#This Row],[Periodo]],1,4)</f>
        <v>2025</v>
      </c>
      <c r="D3176" s="1" t="str">
        <f>MID(analisis_productividad__4[[#This Row],[Periodo]],5,2)</f>
        <v>01</v>
      </c>
      <c r="E3176" s="1" t="s">
        <v>104</v>
      </c>
      <c r="F3176" s="1" t="s">
        <v>104</v>
      </c>
      <c r="G3176" s="1">
        <v>44207</v>
      </c>
      <c r="H3176" s="1">
        <v>2511906</v>
      </c>
      <c r="I3176" s="1">
        <v>56.821041666666694</v>
      </c>
      <c r="J3176" s="1">
        <v>56965.321887073856</v>
      </c>
      <c r="K3176" s="1">
        <v>57.5</v>
      </c>
      <c r="L3176" s="1">
        <v>57</v>
      </c>
      <c r="M3176" s="1">
        <v>44.095345673276761</v>
      </c>
      <c r="N3176" s="1">
        <v>2478795</v>
      </c>
    </row>
    <row r="3177" spans="1:14" x14ac:dyDescent="0.35">
      <c r="A3177" s="1" t="s">
        <v>8</v>
      </c>
      <c r="B3177" s="1">
        <v>202505</v>
      </c>
      <c r="C3177" s="1" t="str">
        <f>MID(analisis_productividad__4[[#This Row],[Periodo]],1,4)</f>
        <v>2025</v>
      </c>
      <c r="D3177" s="1" t="str">
        <f>MID(analisis_productividad__4[[#This Row],[Periodo]],5,2)</f>
        <v>05</v>
      </c>
      <c r="E3177" s="1" t="s">
        <v>9</v>
      </c>
      <c r="F3177" s="1" t="s">
        <v>9</v>
      </c>
      <c r="G3177" s="1">
        <v>44103</v>
      </c>
      <c r="H3177" s="1">
        <v>1099360</v>
      </c>
      <c r="I3177" s="1">
        <v>24.927244623655916</v>
      </c>
      <c r="J3177" s="1">
        <v>70968.2857379044</v>
      </c>
      <c r="K3177" s="1">
        <v>13.5</v>
      </c>
      <c r="L3177" s="1">
        <v>12.5</v>
      </c>
      <c r="M3177" s="1">
        <v>15.490861566814321</v>
      </c>
      <c r="N3177" s="1">
        <v>853248</v>
      </c>
    </row>
    <row r="3178" spans="1:14" x14ac:dyDescent="0.35">
      <c r="A3178" s="1" t="s">
        <v>114</v>
      </c>
      <c r="B3178" s="1">
        <v>202507</v>
      </c>
      <c r="C3178" s="1" t="str">
        <f>MID(analisis_productividad__4[[#This Row],[Periodo]],1,4)</f>
        <v>2025</v>
      </c>
      <c r="D3178" s="1" t="str">
        <f>MID(analisis_productividad__4[[#This Row],[Periodo]],5,2)</f>
        <v>07</v>
      </c>
      <c r="E3178" s="1" t="s">
        <v>9</v>
      </c>
      <c r="F3178" s="1" t="s">
        <v>9</v>
      </c>
      <c r="G3178" s="1">
        <v>43978</v>
      </c>
      <c r="H3178" s="1">
        <v>851176</v>
      </c>
      <c r="I3178" s="1">
        <v>19.354623655913983</v>
      </c>
      <c r="J3178" s="1">
        <v>67190.096987823112</v>
      </c>
      <c r="K3178" s="1">
        <v>13.5</v>
      </c>
      <c r="L3178" s="1">
        <v>14.5</v>
      </c>
      <c r="M3178" s="1">
        <v>12.668176087828227</v>
      </c>
      <c r="N3178" s="1">
        <v>900543</v>
      </c>
    </row>
    <row r="3179" spans="1:14" x14ac:dyDescent="0.35">
      <c r="A3179" s="1" t="s">
        <v>124</v>
      </c>
      <c r="B3179" s="1">
        <v>202602</v>
      </c>
      <c r="C3179" s="1" t="str">
        <f>MID(analisis_productividad__4[[#This Row],[Periodo]],1,4)</f>
        <v>2026</v>
      </c>
      <c r="D3179" s="1" t="str">
        <f>MID(analisis_productividad__4[[#This Row],[Periodo]],5,2)</f>
        <v>02</v>
      </c>
      <c r="E3179" s="1" t="s">
        <v>9</v>
      </c>
      <c r="F3179" s="1" t="s">
        <v>9</v>
      </c>
      <c r="G3179" s="1">
        <v>43798</v>
      </c>
      <c r="H3179" s="1">
        <v>641092</v>
      </c>
      <c r="I3179" s="1">
        <v>14.637499999999999</v>
      </c>
      <c r="J3179" s="1">
        <v>61057.269027522707</v>
      </c>
      <c r="K3179" s="1">
        <v>11</v>
      </c>
      <c r="L3179" s="1">
        <v>12</v>
      </c>
      <c r="M3179" s="1">
        <v>10.653753026634384</v>
      </c>
      <c r="N3179" s="1">
        <v>650489</v>
      </c>
    </row>
    <row r="3180" spans="1:14" x14ac:dyDescent="0.35">
      <c r="A3180" s="1" t="s">
        <v>124</v>
      </c>
      <c r="B3180" s="1">
        <v>202601</v>
      </c>
      <c r="C3180" s="1" t="str">
        <f>MID(analisis_productividad__4[[#This Row],[Periodo]],1,4)</f>
        <v>2026</v>
      </c>
      <c r="D3180" s="1" t="str">
        <f>MID(analisis_productividad__4[[#This Row],[Periodo]],5,2)</f>
        <v>01</v>
      </c>
      <c r="E3180" s="1" t="s">
        <v>9</v>
      </c>
      <c r="F3180" s="1" t="s">
        <v>9</v>
      </c>
      <c r="G3180" s="1">
        <v>43713</v>
      </c>
      <c r="H3180" s="1">
        <v>663685</v>
      </c>
      <c r="I3180" s="1">
        <v>15.182802419354841</v>
      </c>
      <c r="J3180" s="1">
        <v>73720.966201909076</v>
      </c>
      <c r="K3180" s="1">
        <v>11</v>
      </c>
      <c r="L3180" s="1">
        <v>12</v>
      </c>
      <c r="M3180" s="1">
        <v>10.653753026634384</v>
      </c>
      <c r="N3180" s="1">
        <v>785405</v>
      </c>
    </row>
    <row r="3181" spans="1:14" x14ac:dyDescent="0.35">
      <c r="A3181" s="1" t="s">
        <v>101</v>
      </c>
      <c r="B3181" s="1">
        <v>202405</v>
      </c>
      <c r="C3181" s="1" t="str">
        <f>MID(analisis_productividad__4[[#This Row],[Periodo]],1,4)</f>
        <v>2024</v>
      </c>
      <c r="D3181" s="1" t="str">
        <f>MID(analisis_productividad__4[[#This Row],[Periodo]],5,2)</f>
        <v>05</v>
      </c>
      <c r="E3181" s="1" t="s">
        <v>9</v>
      </c>
      <c r="F3181" s="1" t="s">
        <v>9</v>
      </c>
      <c r="G3181" s="1">
        <v>43444</v>
      </c>
      <c r="H3181" s="1">
        <v>332069</v>
      </c>
      <c r="I3181" s="1">
        <v>7.6435954301075277</v>
      </c>
      <c r="J3181" s="1">
        <v>0</v>
      </c>
      <c r="K3181" s="1">
        <v>8.5</v>
      </c>
      <c r="L3181" s="1">
        <v>6.5</v>
      </c>
      <c r="M3181" s="1"/>
      <c r="N3181" s="1">
        <v>0</v>
      </c>
    </row>
    <row r="3182" spans="1:14" x14ac:dyDescent="0.35">
      <c r="A3182" s="1" t="s">
        <v>101</v>
      </c>
      <c r="B3182" s="1">
        <v>202401</v>
      </c>
      <c r="C3182" s="1" t="str">
        <f>MID(analisis_productividad__4[[#This Row],[Periodo]],1,4)</f>
        <v>2024</v>
      </c>
      <c r="D3182" s="1" t="str">
        <f>MID(analisis_productividad__4[[#This Row],[Periodo]],5,2)</f>
        <v>01</v>
      </c>
      <c r="E3182" s="1" t="s">
        <v>9</v>
      </c>
      <c r="F3182" s="1" t="s">
        <v>9</v>
      </c>
      <c r="G3182" s="1">
        <v>42995</v>
      </c>
      <c r="H3182" s="1">
        <v>319890</v>
      </c>
      <c r="I3182" s="1">
        <v>7.4401344086021508</v>
      </c>
      <c r="J3182" s="1">
        <v>0</v>
      </c>
      <c r="K3182" s="1">
        <v>8.5</v>
      </c>
      <c r="L3182" s="1">
        <v>6.5</v>
      </c>
      <c r="M3182" s="1"/>
      <c r="N3182" s="1">
        <v>0</v>
      </c>
    </row>
    <row r="3183" spans="1:14" x14ac:dyDescent="0.35">
      <c r="A3183" s="1" t="s">
        <v>129</v>
      </c>
      <c r="B3183" s="1">
        <v>202605</v>
      </c>
      <c r="C3183" s="1" t="str">
        <f>MID(analisis_productividad__4[[#This Row],[Periodo]],1,4)</f>
        <v>2026</v>
      </c>
      <c r="D3183" s="1" t="str">
        <f>MID(analisis_productividad__4[[#This Row],[Periodo]],5,2)</f>
        <v>05</v>
      </c>
      <c r="E3183" s="1" t="s">
        <v>9</v>
      </c>
      <c r="F3183" s="1" t="s">
        <v>9</v>
      </c>
      <c r="G3183" s="1">
        <v>42337</v>
      </c>
      <c r="H3183" s="1">
        <v>289312</v>
      </c>
      <c r="I3183" s="1">
        <v>6.833608870967752</v>
      </c>
      <c r="J3183" s="1">
        <v>34889.186349674928</v>
      </c>
      <c r="K3183" s="1">
        <v>9</v>
      </c>
      <c r="L3183" s="1">
        <v>9</v>
      </c>
      <c r="M3183" s="1">
        <v>7.859186862423198</v>
      </c>
      <c r="N3183" s="1">
        <v>274201</v>
      </c>
    </row>
    <row r="3184" spans="1:14" x14ac:dyDescent="0.35">
      <c r="A3184" s="1" t="s">
        <v>8</v>
      </c>
      <c r="B3184" s="1">
        <v>202506</v>
      </c>
      <c r="C3184" s="1" t="str">
        <f>MID(analisis_productividad__4[[#This Row],[Periodo]],1,4)</f>
        <v>2025</v>
      </c>
      <c r="D3184" s="1" t="str">
        <f>MID(analisis_productividad__4[[#This Row],[Periodo]],5,2)</f>
        <v>06</v>
      </c>
      <c r="E3184" s="1" t="s">
        <v>9</v>
      </c>
      <c r="F3184" s="1" t="s">
        <v>9</v>
      </c>
      <c r="G3184" s="1">
        <v>41985</v>
      </c>
      <c r="H3184" s="1">
        <v>965427</v>
      </c>
      <c r="I3184" s="1">
        <v>22.994368055555551</v>
      </c>
      <c r="J3184" s="1">
        <v>68171.324947721936</v>
      </c>
      <c r="K3184" s="1">
        <v>13.5</v>
      </c>
      <c r="L3184" s="1">
        <v>12.5</v>
      </c>
      <c r="M3184" s="1">
        <v>14.161779762097193</v>
      </c>
      <c r="N3184" s="1">
        <v>817009</v>
      </c>
    </row>
    <row r="3185" spans="1:14" x14ac:dyDescent="0.35">
      <c r="A3185" s="1" t="s">
        <v>45</v>
      </c>
      <c r="B3185" s="1">
        <v>202511</v>
      </c>
      <c r="C3185" s="1" t="str">
        <f>MID(analisis_productividad__4[[#This Row],[Periodo]],1,4)</f>
        <v>2025</v>
      </c>
      <c r="D3185" s="1" t="str">
        <f>MID(analisis_productividad__4[[#This Row],[Periodo]],5,2)</f>
        <v>11</v>
      </c>
      <c r="E3185" s="1" t="s">
        <v>34</v>
      </c>
      <c r="F3185" s="1" t="s">
        <v>35</v>
      </c>
      <c r="G3185" s="1">
        <v>41632</v>
      </c>
      <c r="H3185" s="1">
        <v>885652</v>
      </c>
      <c r="I3185" s="1">
        <v>21.273145833333338</v>
      </c>
      <c r="J3185" s="1">
        <v>46494.234736130151</v>
      </c>
      <c r="K3185" s="1">
        <v>22.5</v>
      </c>
      <c r="L3185" s="1">
        <v>21</v>
      </c>
      <c r="M3185" s="1">
        <v>19.048646461789584</v>
      </c>
      <c r="N3185" s="1">
        <v>677970</v>
      </c>
    </row>
    <row r="3186" spans="1:14" x14ac:dyDescent="0.35">
      <c r="A3186" s="1" t="s">
        <v>45</v>
      </c>
      <c r="B3186" s="1">
        <v>202508</v>
      </c>
      <c r="C3186" s="1" t="str">
        <f>MID(analisis_productividad__4[[#This Row],[Periodo]],1,4)</f>
        <v>2025</v>
      </c>
      <c r="D3186" s="1" t="str">
        <f>MID(analisis_productividad__4[[#This Row],[Periodo]],5,2)</f>
        <v>08</v>
      </c>
      <c r="E3186" s="1" t="s">
        <v>34</v>
      </c>
      <c r="F3186" s="1" t="s">
        <v>35</v>
      </c>
      <c r="G3186" s="1">
        <v>41598</v>
      </c>
      <c r="H3186" s="1">
        <v>598409</v>
      </c>
      <c r="I3186" s="1">
        <v>14.385470430107528</v>
      </c>
      <c r="J3186" s="1">
        <v>48060.041046615566</v>
      </c>
      <c r="K3186" s="1">
        <v>22.5</v>
      </c>
      <c r="L3186" s="1">
        <v>21</v>
      </c>
      <c r="M3186" s="1">
        <v>12.451279003685753</v>
      </c>
      <c r="N3186" s="1">
        <v>685848</v>
      </c>
    </row>
    <row r="3187" spans="1:14" x14ac:dyDescent="0.35">
      <c r="A3187" s="1" t="s">
        <v>101</v>
      </c>
      <c r="B3187" s="1">
        <v>202407</v>
      </c>
      <c r="C3187" s="1" t="str">
        <f>MID(analisis_productividad__4[[#This Row],[Periodo]],1,4)</f>
        <v>2024</v>
      </c>
      <c r="D3187" s="1" t="str">
        <f>MID(analisis_productividad__4[[#This Row],[Periodo]],5,2)</f>
        <v>07</v>
      </c>
      <c r="E3187" s="1" t="s">
        <v>9</v>
      </c>
      <c r="F3187" s="1" t="s">
        <v>9</v>
      </c>
      <c r="G3187" s="1">
        <v>41377</v>
      </c>
      <c r="H3187" s="1">
        <v>345582</v>
      </c>
      <c r="I3187" s="1">
        <v>8.3520631720430121</v>
      </c>
      <c r="J3187" s="1">
        <v>0</v>
      </c>
      <c r="K3187" s="1">
        <v>8.5</v>
      </c>
      <c r="L3187" s="1">
        <v>6.5</v>
      </c>
      <c r="M3187" s="1"/>
      <c r="N3187" s="1">
        <v>0</v>
      </c>
    </row>
    <row r="3188" spans="1:14" x14ac:dyDescent="0.35">
      <c r="A3188" s="1" t="s">
        <v>101</v>
      </c>
      <c r="B3188" s="1">
        <v>202402</v>
      </c>
      <c r="C3188" s="1" t="str">
        <f>MID(analisis_productividad__4[[#This Row],[Periodo]],1,4)</f>
        <v>2024</v>
      </c>
      <c r="D3188" s="1" t="str">
        <f>MID(analisis_productividad__4[[#This Row],[Periodo]],5,2)</f>
        <v>02</v>
      </c>
      <c r="E3188" s="1" t="s">
        <v>9</v>
      </c>
      <c r="F3188" s="1" t="s">
        <v>9</v>
      </c>
      <c r="G3188" s="1">
        <v>41329</v>
      </c>
      <c r="H3188" s="1">
        <v>306745</v>
      </c>
      <c r="I3188" s="1">
        <v>7.4221120689655153</v>
      </c>
      <c r="J3188" s="1">
        <v>0</v>
      </c>
      <c r="K3188" s="1">
        <v>8.5</v>
      </c>
      <c r="L3188" s="1">
        <v>6.5</v>
      </c>
      <c r="M3188" s="1"/>
      <c r="N3188" s="1">
        <v>0</v>
      </c>
    </row>
    <row r="3189" spans="1:14" x14ac:dyDescent="0.35">
      <c r="A3189" s="1" t="s">
        <v>45</v>
      </c>
      <c r="B3189" s="1">
        <v>202507</v>
      </c>
      <c r="C3189" s="1" t="str">
        <f>MID(analisis_productividad__4[[#This Row],[Periodo]],1,4)</f>
        <v>2025</v>
      </c>
      <c r="D3189" s="1" t="str">
        <f>MID(analisis_productividad__4[[#This Row],[Periodo]],5,2)</f>
        <v>07</v>
      </c>
      <c r="E3189" s="1" t="s">
        <v>34</v>
      </c>
      <c r="F3189" s="1" t="s">
        <v>35</v>
      </c>
      <c r="G3189" s="1">
        <v>41179</v>
      </c>
      <c r="H3189" s="1">
        <v>703969</v>
      </c>
      <c r="I3189" s="1">
        <v>17.095288978494626</v>
      </c>
      <c r="J3189" s="1">
        <v>46787.832173260002</v>
      </c>
      <c r="K3189" s="1">
        <v>22.5</v>
      </c>
      <c r="L3189" s="1">
        <v>21</v>
      </c>
      <c r="M3189" s="1">
        <v>15.045990106853671</v>
      </c>
      <c r="N3189" s="1">
        <v>694618</v>
      </c>
    </row>
    <row r="3190" spans="1:14" x14ac:dyDescent="0.35">
      <c r="A3190" s="1" t="s">
        <v>114</v>
      </c>
      <c r="B3190" s="1">
        <v>202510</v>
      </c>
      <c r="C3190" s="1" t="str">
        <f>MID(analisis_productividad__4[[#This Row],[Periodo]],1,4)</f>
        <v>2025</v>
      </c>
      <c r="D3190" s="1" t="str">
        <f>MID(analisis_productividad__4[[#This Row],[Periodo]],5,2)</f>
        <v>10</v>
      </c>
      <c r="E3190" s="1" t="s">
        <v>9</v>
      </c>
      <c r="F3190" s="1" t="s">
        <v>9</v>
      </c>
      <c r="G3190" s="1">
        <v>41178</v>
      </c>
      <c r="H3190" s="1">
        <v>808510</v>
      </c>
      <c r="I3190" s="1">
        <v>19.634341397849457</v>
      </c>
      <c r="J3190" s="1">
        <v>60518.752525175922</v>
      </c>
      <c r="K3190" s="1">
        <v>13.5</v>
      </c>
      <c r="L3190" s="1">
        <v>14.5</v>
      </c>
      <c r="M3190" s="1">
        <v>13.359656243139815</v>
      </c>
      <c r="N3190" s="1">
        <v>1015926</v>
      </c>
    </row>
    <row r="3191" spans="1:14" x14ac:dyDescent="0.35">
      <c r="A3191" s="1" t="s">
        <v>114</v>
      </c>
      <c r="B3191" s="1">
        <v>202509</v>
      </c>
      <c r="C3191" s="1" t="str">
        <f>MID(analisis_productividad__4[[#This Row],[Periodo]],1,4)</f>
        <v>2025</v>
      </c>
      <c r="D3191" s="1" t="str">
        <f>MID(analisis_productividad__4[[#This Row],[Periodo]],5,2)</f>
        <v>09</v>
      </c>
      <c r="E3191" s="1" t="s">
        <v>9</v>
      </c>
      <c r="F3191" s="1" t="s">
        <v>9</v>
      </c>
      <c r="G3191" s="1">
        <v>40963</v>
      </c>
      <c r="H3191" s="1">
        <v>825004</v>
      </c>
      <c r="I3191" s="1">
        <v>20.140263888888889</v>
      </c>
      <c r="J3191" s="1">
        <v>64615.778321986225</v>
      </c>
      <c r="K3191" s="1">
        <v>13.5</v>
      </c>
      <c r="L3191" s="1">
        <v>14.5</v>
      </c>
      <c r="M3191" s="1">
        <v>12.767841252161833</v>
      </c>
      <c r="N3191" s="1">
        <v>1059306</v>
      </c>
    </row>
    <row r="3192" spans="1:14" x14ac:dyDescent="0.35">
      <c r="A3192" s="1" t="s">
        <v>122</v>
      </c>
      <c r="B3192" s="1">
        <v>202512</v>
      </c>
      <c r="C3192" s="1" t="str">
        <f>MID(analisis_productividad__4[[#This Row],[Periodo]],1,4)</f>
        <v>2025</v>
      </c>
      <c r="D3192" s="1" t="str">
        <f>MID(analisis_productividad__4[[#This Row],[Periodo]],5,2)</f>
        <v>12</v>
      </c>
      <c r="E3192" s="1" t="s">
        <v>104</v>
      </c>
      <c r="F3192" s="1" t="s">
        <v>104</v>
      </c>
      <c r="G3192" s="1">
        <v>40683</v>
      </c>
      <c r="H3192" s="1">
        <v>3933314</v>
      </c>
      <c r="I3192" s="1">
        <v>96.68147849462359</v>
      </c>
      <c r="J3192" s="1">
        <v>38652.85501954444</v>
      </c>
      <c r="K3192" s="1">
        <v>22</v>
      </c>
      <c r="L3192" s="1">
        <v>20</v>
      </c>
      <c r="M3192" s="1">
        <v>101.75998869970041</v>
      </c>
      <c r="N3192" s="1">
        <v>3635486</v>
      </c>
    </row>
    <row r="3193" spans="1:14" x14ac:dyDescent="0.35">
      <c r="A3193" s="1" t="s">
        <v>124</v>
      </c>
      <c r="B3193" s="1">
        <v>202509</v>
      </c>
      <c r="C3193" s="1" t="str">
        <f>MID(analisis_productividad__4[[#This Row],[Periodo]],1,4)</f>
        <v>2025</v>
      </c>
      <c r="D3193" s="1" t="str">
        <f>MID(analisis_productividad__4[[#This Row],[Periodo]],5,2)</f>
        <v>09</v>
      </c>
      <c r="E3193" s="1" t="s">
        <v>9</v>
      </c>
      <c r="F3193" s="1" t="s">
        <v>9</v>
      </c>
      <c r="G3193" s="1">
        <v>40641</v>
      </c>
      <c r="H3193" s="1">
        <v>650869</v>
      </c>
      <c r="I3193" s="1">
        <v>16.014930555555555</v>
      </c>
      <c r="J3193" s="1">
        <v>62484.985629531977</v>
      </c>
      <c r="K3193" s="1">
        <v>11</v>
      </c>
      <c r="L3193" s="1">
        <v>12</v>
      </c>
      <c r="M3193" s="1">
        <v>10.416399610923222</v>
      </c>
      <c r="N3193" s="1">
        <v>716014</v>
      </c>
    </row>
    <row r="3194" spans="1:14" x14ac:dyDescent="0.35">
      <c r="A3194" s="1" t="s">
        <v>45</v>
      </c>
      <c r="B3194" s="1">
        <v>202405</v>
      </c>
      <c r="C3194" s="1" t="str">
        <f>MID(analisis_productividad__4[[#This Row],[Periodo]],1,4)</f>
        <v>2024</v>
      </c>
      <c r="D3194" s="1" t="str">
        <f>MID(analisis_productividad__4[[#This Row],[Periodo]],5,2)</f>
        <v>05</v>
      </c>
      <c r="E3194" s="1" t="s">
        <v>34</v>
      </c>
      <c r="F3194" s="1" t="s">
        <v>35</v>
      </c>
      <c r="G3194" s="1">
        <v>40507</v>
      </c>
      <c r="H3194" s="1">
        <v>725446</v>
      </c>
      <c r="I3194" s="1">
        <v>17.909038978494625</v>
      </c>
      <c r="J3194" s="1">
        <v>0</v>
      </c>
      <c r="K3194" s="1">
        <v>22.5</v>
      </c>
      <c r="L3194" s="1">
        <v>21</v>
      </c>
      <c r="M3194" s="1"/>
      <c r="N3194" s="1">
        <v>0</v>
      </c>
    </row>
    <row r="3195" spans="1:14" x14ac:dyDescent="0.35">
      <c r="A3195" s="1" t="s">
        <v>129</v>
      </c>
      <c r="B3195" s="1">
        <v>202511</v>
      </c>
      <c r="C3195" s="1" t="str">
        <f>MID(analisis_productividad__4[[#This Row],[Periodo]],1,4)</f>
        <v>2025</v>
      </c>
      <c r="D3195" s="1" t="str">
        <f>MID(analisis_productividad__4[[#This Row],[Periodo]],5,2)</f>
        <v>11</v>
      </c>
      <c r="E3195" s="1" t="s">
        <v>9</v>
      </c>
      <c r="F3195" s="1" t="s">
        <v>9</v>
      </c>
      <c r="G3195" s="1">
        <v>40370</v>
      </c>
      <c r="H3195" s="1">
        <v>287909</v>
      </c>
      <c r="I3195" s="1">
        <v>7.1317847222222213</v>
      </c>
      <c r="J3195" s="1">
        <v>35047.837816936415</v>
      </c>
      <c r="K3195" s="1">
        <v>9</v>
      </c>
      <c r="L3195" s="1">
        <v>9</v>
      </c>
      <c r="M3195" s="1">
        <v>8.2147429893912509</v>
      </c>
      <c r="N3195" s="1">
        <v>313237</v>
      </c>
    </row>
    <row r="3196" spans="1:14" x14ac:dyDescent="0.35">
      <c r="A3196" s="1" t="s">
        <v>45</v>
      </c>
      <c r="B3196" s="1">
        <v>202509</v>
      </c>
      <c r="C3196" s="1" t="str">
        <f>MID(analisis_productividad__4[[#This Row],[Periodo]],1,4)</f>
        <v>2025</v>
      </c>
      <c r="D3196" s="1" t="str">
        <f>MID(analisis_productividad__4[[#This Row],[Periodo]],5,2)</f>
        <v>09</v>
      </c>
      <c r="E3196" s="1" t="s">
        <v>34</v>
      </c>
      <c r="F3196" s="1" t="s">
        <v>35</v>
      </c>
      <c r="G3196" s="1">
        <v>39996</v>
      </c>
      <c r="H3196" s="1">
        <v>528307</v>
      </c>
      <c r="I3196" s="1">
        <v>13.209097222222219</v>
      </c>
      <c r="J3196" s="1">
        <v>33843.672314217547</v>
      </c>
      <c r="K3196" s="1">
        <v>22.5</v>
      </c>
      <c r="L3196" s="1">
        <v>21</v>
      </c>
      <c r="M3196" s="1">
        <v>15.610219100781832</v>
      </c>
      <c r="N3196" s="1">
        <v>582289</v>
      </c>
    </row>
    <row r="3197" spans="1:14" x14ac:dyDescent="0.35">
      <c r="A3197" s="1" t="s">
        <v>129</v>
      </c>
      <c r="B3197" s="1">
        <v>202604</v>
      </c>
      <c r="C3197" s="1" t="str">
        <f>MID(analisis_productividad__4[[#This Row],[Periodo]],1,4)</f>
        <v>2026</v>
      </c>
      <c r="D3197" s="1" t="str">
        <f>MID(analisis_productividad__4[[#This Row],[Periodo]],5,2)</f>
        <v>04</v>
      </c>
      <c r="E3197" s="1" t="s">
        <v>9</v>
      </c>
      <c r="F3197" s="1" t="s">
        <v>9</v>
      </c>
      <c r="G3197" s="1">
        <v>39798</v>
      </c>
      <c r="H3197" s="1">
        <v>292776</v>
      </c>
      <c r="I3197" s="1">
        <v>7.3565138888888866</v>
      </c>
      <c r="J3197" s="1">
        <v>33837.896738595184</v>
      </c>
      <c r="K3197" s="1">
        <v>9</v>
      </c>
      <c r="L3197" s="1">
        <v>9</v>
      </c>
      <c r="M3197" s="1">
        <v>7.859186862423198</v>
      </c>
      <c r="N3197" s="1">
        <v>265938</v>
      </c>
    </row>
    <row r="3198" spans="1:14" x14ac:dyDescent="0.35">
      <c r="A3198" s="1" t="s">
        <v>129</v>
      </c>
      <c r="B3198" s="1">
        <v>202509</v>
      </c>
      <c r="C3198" s="1" t="str">
        <f>MID(analisis_productividad__4[[#This Row],[Periodo]],1,4)</f>
        <v>2025</v>
      </c>
      <c r="D3198" s="1" t="str">
        <f>MID(analisis_productividad__4[[#This Row],[Periodo]],5,2)</f>
        <v>09</v>
      </c>
      <c r="E3198" s="1" t="s">
        <v>9</v>
      </c>
      <c r="F3198" s="1" t="s">
        <v>9</v>
      </c>
      <c r="G3198" s="1">
        <v>39661</v>
      </c>
      <c r="H3198" s="1">
        <v>268516</v>
      </c>
      <c r="I3198" s="1">
        <v>6.7703124999999993</v>
      </c>
      <c r="J3198" s="1">
        <v>35255.761681337455</v>
      </c>
      <c r="K3198" s="1">
        <v>9</v>
      </c>
      <c r="L3198" s="1">
        <v>9</v>
      </c>
      <c r="M3198" s="1">
        <v>7.6162266022503253</v>
      </c>
      <c r="N3198" s="1">
        <v>303310</v>
      </c>
    </row>
    <row r="3199" spans="1:14" x14ac:dyDescent="0.35">
      <c r="A3199" s="1" t="s">
        <v>124</v>
      </c>
      <c r="B3199" s="1">
        <v>202506</v>
      </c>
      <c r="C3199" s="1" t="str">
        <f>MID(analisis_productividad__4[[#This Row],[Periodo]],1,4)</f>
        <v>2025</v>
      </c>
      <c r="D3199" s="1" t="str">
        <f>MID(analisis_productividad__4[[#This Row],[Periodo]],5,2)</f>
        <v>06</v>
      </c>
      <c r="E3199" s="1" t="s">
        <v>9</v>
      </c>
      <c r="F3199" s="1" t="s">
        <v>9</v>
      </c>
      <c r="G3199" s="1">
        <v>39633</v>
      </c>
      <c r="H3199" s="1">
        <v>679674</v>
      </c>
      <c r="I3199" s="1">
        <v>17.149270833333336</v>
      </c>
      <c r="J3199" s="1">
        <v>67682.544751052337</v>
      </c>
      <c r="K3199" s="1">
        <v>11</v>
      </c>
      <c r="L3199" s="1">
        <v>12</v>
      </c>
      <c r="M3199" s="1">
        <v>10.042093607738238</v>
      </c>
      <c r="N3199" s="1">
        <v>604946</v>
      </c>
    </row>
    <row r="3200" spans="1:14" x14ac:dyDescent="0.35">
      <c r="A3200" s="1" t="s">
        <v>114</v>
      </c>
      <c r="B3200" s="1">
        <v>202508</v>
      </c>
      <c r="C3200" s="1" t="str">
        <f>MID(analisis_productividad__4[[#This Row],[Periodo]],1,4)</f>
        <v>2025</v>
      </c>
      <c r="D3200" s="1" t="str">
        <f>MID(analisis_productividad__4[[#This Row],[Periodo]],5,2)</f>
        <v>08</v>
      </c>
      <c r="E3200" s="1" t="s">
        <v>9</v>
      </c>
      <c r="F3200" s="1" t="s">
        <v>9</v>
      </c>
      <c r="G3200" s="1">
        <v>39198</v>
      </c>
      <c r="H3200" s="1">
        <v>820811</v>
      </c>
      <c r="I3200" s="1">
        <v>20.939879032258062</v>
      </c>
      <c r="J3200" s="1">
        <v>65266.95842396107</v>
      </c>
      <c r="K3200" s="1">
        <v>13.5</v>
      </c>
      <c r="L3200" s="1">
        <v>14.5</v>
      </c>
      <c r="M3200" s="1">
        <v>12.576206549540398</v>
      </c>
      <c r="N3200" s="1">
        <v>797909</v>
      </c>
    </row>
    <row r="3201" spans="1:14" x14ac:dyDescent="0.35">
      <c r="A3201" s="1" t="s">
        <v>124</v>
      </c>
      <c r="B3201" s="1">
        <v>202503</v>
      </c>
      <c r="C3201" s="1" t="str">
        <f>MID(analisis_productividad__4[[#This Row],[Periodo]],1,4)</f>
        <v>2025</v>
      </c>
      <c r="D3201" s="1" t="str">
        <f>MID(analisis_productividad__4[[#This Row],[Periodo]],5,2)</f>
        <v>03</v>
      </c>
      <c r="E3201" s="1" t="s">
        <v>9</v>
      </c>
      <c r="F3201" s="1" t="s">
        <v>9</v>
      </c>
      <c r="G3201" s="1">
        <v>39166</v>
      </c>
      <c r="H3201" s="1">
        <v>770043</v>
      </c>
      <c r="I3201" s="1">
        <v>19.660826612903225</v>
      </c>
      <c r="J3201" s="1">
        <v>68386.784874178149</v>
      </c>
      <c r="K3201" s="1">
        <v>11</v>
      </c>
      <c r="L3201" s="1">
        <v>12</v>
      </c>
      <c r="M3201" s="1">
        <v>11.260117307996989</v>
      </c>
      <c r="N3201" s="1">
        <v>661780</v>
      </c>
    </row>
    <row r="3202" spans="1:14" x14ac:dyDescent="0.35">
      <c r="A3202" s="1" t="s">
        <v>101</v>
      </c>
      <c r="B3202" s="1">
        <v>202406</v>
      </c>
      <c r="C3202" s="1" t="str">
        <f>MID(analisis_productividad__4[[#This Row],[Periodo]],1,4)</f>
        <v>2024</v>
      </c>
      <c r="D3202" s="1" t="str">
        <f>MID(analisis_productividad__4[[#This Row],[Periodo]],5,2)</f>
        <v>06</v>
      </c>
      <c r="E3202" s="1" t="s">
        <v>9</v>
      </c>
      <c r="F3202" s="1" t="s">
        <v>9</v>
      </c>
      <c r="G3202" s="1">
        <v>38920</v>
      </c>
      <c r="H3202" s="1">
        <v>335724</v>
      </c>
      <c r="I3202" s="1">
        <v>8.6259444444444462</v>
      </c>
      <c r="J3202" s="1">
        <v>0</v>
      </c>
      <c r="K3202" s="1">
        <v>8.5</v>
      </c>
      <c r="L3202" s="1">
        <v>6.5</v>
      </c>
      <c r="M3202" s="1"/>
      <c r="N3202" s="1">
        <v>0</v>
      </c>
    </row>
    <row r="3203" spans="1:14" x14ac:dyDescent="0.35">
      <c r="A3203" s="1" t="s">
        <v>129</v>
      </c>
      <c r="B3203" s="1">
        <v>202603</v>
      </c>
      <c r="C3203" s="1" t="str">
        <f>MID(analisis_productividad__4[[#This Row],[Periodo]],1,4)</f>
        <v>2026</v>
      </c>
      <c r="D3203" s="1" t="str">
        <f>MID(analisis_productividad__4[[#This Row],[Periodo]],5,2)</f>
        <v>03</v>
      </c>
      <c r="E3203" s="1" t="s">
        <v>9</v>
      </c>
      <c r="F3203" s="1" t="s">
        <v>9</v>
      </c>
      <c r="G3203" s="1">
        <v>38864</v>
      </c>
      <c r="H3203" s="1">
        <v>311549</v>
      </c>
      <c r="I3203" s="1">
        <v>8.0164583333333344</v>
      </c>
      <c r="J3203" s="1">
        <v>37009.736820320119</v>
      </c>
      <c r="K3203" s="1">
        <v>9</v>
      </c>
      <c r="L3203" s="1">
        <v>9</v>
      </c>
      <c r="M3203" s="1">
        <v>7.859186862423198</v>
      </c>
      <c r="N3203" s="1">
        <v>290866</v>
      </c>
    </row>
    <row r="3204" spans="1:14" x14ac:dyDescent="0.35">
      <c r="A3204" s="1" t="s">
        <v>129</v>
      </c>
      <c r="B3204" s="1">
        <v>202602</v>
      </c>
      <c r="C3204" s="1" t="str">
        <f>MID(analisis_productividad__4[[#This Row],[Periodo]],1,4)</f>
        <v>2026</v>
      </c>
      <c r="D3204" s="1" t="str">
        <f>MID(analisis_productividad__4[[#This Row],[Periodo]],5,2)</f>
        <v>02</v>
      </c>
      <c r="E3204" s="1" t="s">
        <v>9</v>
      </c>
      <c r="F3204" s="1" t="s">
        <v>9</v>
      </c>
      <c r="G3204" s="1">
        <v>38726</v>
      </c>
      <c r="H3204" s="1">
        <v>277172</v>
      </c>
      <c r="I3204" s="1">
        <v>7.1571875000000009</v>
      </c>
      <c r="J3204" s="1">
        <v>34306.549827582101</v>
      </c>
      <c r="K3204" s="1">
        <v>9</v>
      </c>
      <c r="L3204" s="1">
        <v>9</v>
      </c>
      <c r="M3204" s="1">
        <v>7.859186862423198</v>
      </c>
      <c r="N3204" s="1">
        <v>269622</v>
      </c>
    </row>
    <row r="3205" spans="1:14" x14ac:dyDescent="0.35">
      <c r="A3205" s="1" t="s">
        <v>129</v>
      </c>
      <c r="B3205" s="1">
        <v>202507</v>
      </c>
      <c r="C3205" s="1" t="str">
        <f>MID(analisis_productividad__4[[#This Row],[Periodo]],1,4)</f>
        <v>2025</v>
      </c>
      <c r="D3205" s="1" t="str">
        <f>MID(analisis_productividad__4[[#This Row],[Periodo]],5,2)</f>
        <v>07</v>
      </c>
      <c r="E3205" s="1" t="s">
        <v>9</v>
      </c>
      <c r="F3205" s="1" t="s">
        <v>9</v>
      </c>
      <c r="G3205" s="1">
        <v>38578</v>
      </c>
      <c r="H3205" s="1">
        <v>294790</v>
      </c>
      <c r="I3205" s="1">
        <v>7.6414784946236551</v>
      </c>
      <c r="J3205" s="1">
        <v>37929.609203395026</v>
      </c>
      <c r="K3205" s="1">
        <v>9</v>
      </c>
      <c r="L3205" s="1">
        <v>9</v>
      </c>
      <c r="M3205" s="1">
        <v>7.7720204924656535</v>
      </c>
      <c r="N3205" s="1">
        <v>314067</v>
      </c>
    </row>
    <row r="3206" spans="1:14" x14ac:dyDescent="0.35">
      <c r="A3206" s="1" t="s">
        <v>122</v>
      </c>
      <c r="B3206" s="1">
        <v>202404</v>
      </c>
      <c r="C3206" s="1" t="str">
        <f>MID(analisis_productividad__4[[#This Row],[Periodo]],1,4)</f>
        <v>2024</v>
      </c>
      <c r="D3206" s="1" t="str">
        <f>MID(analisis_productividad__4[[#This Row],[Periodo]],5,2)</f>
        <v>04</v>
      </c>
      <c r="E3206" s="1" t="s">
        <v>104</v>
      </c>
      <c r="F3206" s="1" t="s">
        <v>104</v>
      </c>
      <c r="G3206" s="1">
        <v>38243</v>
      </c>
      <c r="H3206" s="1">
        <v>839397</v>
      </c>
      <c r="I3206" s="1">
        <v>21.949034722222219</v>
      </c>
      <c r="J3206" s="1">
        <v>0</v>
      </c>
      <c r="K3206" s="1">
        <v>22</v>
      </c>
      <c r="L3206" s="1">
        <v>20</v>
      </c>
      <c r="M3206" s="1"/>
      <c r="N3206" s="1">
        <v>0</v>
      </c>
    </row>
    <row r="3207" spans="1:14" x14ac:dyDescent="0.35">
      <c r="A3207" s="1" t="s">
        <v>124</v>
      </c>
      <c r="B3207" s="1">
        <v>202508</v>
      </c>
      <c r="C3207" s="1" t="str">
        <f>MID(analisis_productividad__4[[#This Row],[Periodo]],1,4)</f>
        <v>2025</v>
      </c>
      <c r="D3207" s="1" t="str">
        <f>MID(analisis_productividad__4[[#This Row],[Periodo]],5,2)</f>
        <v>08</v>
      </c>
      <c r="E3207" s="1" t="s">
        <v>9</v>
      </c>
      <c r="F3207" s="1" t="s">
        <v>9</v>
      </c>
      <c r="G3207" s="1">
        <v>38041</v>
      </c>
      <c r="H3207" s="1">
        <v>642319</v>
      </c>
      <c r="I3207" s="1">
        <v>16.885053763440858</v>
      </c>
      <c r="J3207" s="1">
        <v>65965.254121996273</v>
      </c>
      <c r="K3207" s="1">
        <v>11</v>
      </c>
      <c r="L3207" s="1">
        <v>12</v>
      </c>
      <c r="M3207" s="1">
        <v>9.7372255826089109</v>
      </c>
      <c r="N3207" s="1">
        <v>626139</v>
      </c>
    </row>
    <row r="3208" spans="1:14" x14ac:dyDescent="0.35">
      <c r="A3208" s="1" t="s">
        <v>129</v>
      </c>
      <c r="B3208" s="1">
        <v>202508</v>
      </c>
      <c r="C3208" s="1" t="str">
        <f>MID(analisis_productividad__4[[#This Row],[Periodo]],1,4)</f>
        <v>2025</v>
      </c>
      <c r="D3208" s="1" t="str">
        <f>MID(analisis_productividad__4[[#This Row],[Periodo]],5,2)</f>
        <v>08</v>
      </c>
      <c r="E3208" s="1" t="s">
        <v>9</v>
      </c>
      <c r="F3208" s="1" t="s">
        <v>9</v>
      </c>
      <c r="G3208" s="1">
        <v>38011</v>
      </c>
      <c r="H3208" s="1">
        <v>277060</v>
      </c>
      <c r="I3208" s="1">
        <v>7.28889112903226</v>
      </c>
      <c r="J3208" s="1">
        <v>36712.959695945749</v>
      </c>
      <c r="K3208" s="1">
        <v>9</v>
      </c>
      <c r="L3208" s="1">
        <v>9</v>
      </c>
      <c r="M3208" s="1">
        <v>7.5466525252824015</v>
      </c>
      <c r="N3208" s="1">
        <v>306223</v>
      </c>
    </row>
    <row r="3209" spans="1:14" x14ac:dyDescent="0.35">
      <c r="A3209" s="1" t="s">
        <v>129</v>
      </c>
      <c r="B3209" s="1">
        <v>202510</v>
      </c>
      <c r="C3209" s="1" t="str">
        <f>MID(analisis_productividad__4[[#This Row],[Periodo]],1,4)</f>
        <v>2025</v>
      </c>
      <c r="D3209" s="1" t="str">
        <f>MID(analisis_productividad__4[[#This Row],[Periodo]],5,2)</f>
        <v>10</v>
      </c>
      <c r="E3209" s="1" t="s">
        <v>9</v>
      </c>
      <c r="F3209" s="1" t="s">
        <v>9</v>
      </c>
      <c r="G3209" s="1">
        <v>37930</v>
      </c>
      <c r="H3209" s="1">
        <v>278959</v>
      </c>
      <c r="I3209" s="1">
        <v>7.3546102150537633</v>
      </c>
      <c r="J3209" s="1">
        <v>33075.421205611012</v>
      </c>
      <c r="K3209" s="1">
        <v>9</v>
      </c>
      <c r="L3209" s="1">
        <v>9</v>
      </c>
      <c r="M3209" s="1">
        <v>8.4340153452883815</v>
      </c>
      <c r="N3209" s="1">
        <v>319154</v>
      </c>
    </row>
    <row r="3210" spans="1:14" x14ac:dyDescent="0.35">
      <c r="A3210" s="1" t="s">
        <v>124</v>
      </c>
      <c r="B3210" s="1">
        <v>202507</v>
      </c>
      <c r="C3210" s="1" t="str">
        <f>MID(analisis_productividad__4[[#This Row],[Periodo]],1,4)</f>
        <v>2025</v>
      </c>
      <c r="D3210" s="1" t="str">
        <f>MID(analisis_productividad__4[[#This Row],[Periodo]],5,2)</f>
        <v>07</v>
      </c>
      <c r="E3210" s="1" t="s">
        <v>9</v>
      </c>
      <c r="F3210" s="1" t="s">
        <v>9</v>
      </c>
      <c r="G3210" s="1">
        <v>37692</v>
      </c>
      <c r="H3210" s="1">
        <v>676740</v>
      </c>
      <c r="I3210" s="1">
        <v>17.954482526881723</v>
      </c>
      <c r="J3210" s="1">
        <v>61458.140211898935</v>
      </c>
      <c r="K3210" s="1">
        <v>11</v>
      </c>
      <c r="L3210" s="1">
        <v>12</v>
      </c>
      <c r="M3210" s="1">
        <v>11.011395686018107</v>
      </c>
      <c r="N3210" s="1">
        <v>629477</v>
      </c>
    </row>
    <row r="3211" spans="1:14" x14ac:dyDescent="0.35">
      <c r="A3211" s="1" t="s">
        <v>129</v>
      </c>
      <c r="B3211" s="1">
        <v>202401</v>
      </c>
      <c r="C3211" s="1" t="str">
        <f>MID(analisis_productividad__4[[#This Row],[Periodo]],1,4)</f>
        <v>2024</v>
      </c>
      <c r="D3211" s="1" t="str">
        <f>MID(analisis_productividad__4[[#This Row],[Periodo]],5,2)</f>
        <v>01</v>
      </c>
      <c r="E3211" s="1" t="s">
        <v>9</v>
      </c>
      <c r="F3211" s="1" t="s">
        <v>9</v>
      </c>
      <c r="G3211" s="1">
        <v>37558</v>
      </c>
      <c r="H3211" s="1">
        <v>272772</v>
      </c>
      <c r="I3211" s="1">
        <v>7.2625940860215064</v>
      </c>
      <c r="J3211" s="1">
        <v>0</v>
      </c>
      <c r="K3211" s="1">
        <v>9</v>
      </c>
      <c r="L3211" s="1">
        <v>9</v>
      </c>
      <c r="M3211" s="1"/>
      <c r="N3211" s="1">
        <v>0</v>
      </c>
    </row>
    <row r="3212" spans="1:14" x14ac:dyDescent="0.35">
      <c r="A3212" s="1" t="s">
        <v>130</v>
      </c>
      <c r="B3212" s="1">
        <v>202512</v>
      </c>
      <c r="C3212" s="1" t="str">
        <f>MID(analisis_productividad__4[[#This Row],[Periodo]],1,4)</f>
        <v>2025</v>
      </c>
      <c r="D3212" s="1" t="str">
        <f>MID(analisis_productividad__4[[#This Row],[Periodo]],5,2)</f>
        <v>12</v>
      </c>
      <c r="E3212" s="1" t="s">
        <v>9</v>
      </c>
      <c r="F3212" s="1" t="s">
        <v>9</v>
      </c>
      <c r="G3212" s="1">
        <v>37511</v>
      </c>
      <c r="H3212" s="1">
        <v>243011</v>
      </c>
      <c r="I3212" s="1">
        <v>6.4783870967741848</v>
      </c>
      <c r="J3212" s="1">
        <v>35203.869914417366</v>
      </c>
      <c r="K3212" s="1">
        <v>7</v>
      </c>
      <c r="L3212" s="1">
        <v>6.5</v>
      </c>
      <c r="M3212" s="1">
        <v>6.9029578449975331</v>
      </c>
      <c r="N3212" s="1">
        <v>268460</v>
      </c>
    </row>
    <row r="3213" spans="1:14" x14ac:dyDescent="0.35">
      <c r="A3213" s="1" t="s">
        <v>129</v>
      </c>
      <c r="B3213" s="1">
        <v>202403</v>
      </c>
      <c r="C3213" s="1" t="str">
        <f>MID(analisis_productividad__4[[#This Row],[Periodo]],1,4)</f>
        <v>2024</v>
      </c>
      <c r="D3213" s="1" t="str">
        <f>MID(analisis_productividad__4[[#This Row],[Periodo]],5,2)</f>
        <v>03</v>
      </c>
      <c r="E3213" s="1" t="s">
        <v>9</v>
      </c>
      <c r="F3213" s="1" t="s">
        <v>9</v>
      </c>
      <c r="G3213" s="1">
        <v>37386</v>
      </c>
      <c r="H3213" s="1">
        <v>296270</v>
      </c>
      <c r="I3213" s="1">
        <v>7.9246303763440871</v>
      </c>
      <c r="J3213" s="1">
        <v>0</v>
      </c>
      <c r="K3213" s="1">
        <v>9</v>
      </c>
      <c r="L3213" s="1">
        <v>9</v>
      </c>
      <c r="M3213" s="1"/>
      <c r="N3213" s="1">
        <v>0</v>
      </c>
    </row>
    <row r="3214" spans="1:14" x14ac:dyDescent="0.35">
      <c r="A3214" s="1" t="s">
        <v>124</v>
      </c>
      <c r="B3214" s="1">
        <v>202510</v>
      </c>
      <c r="C3214" s="1" t="str">
        <f>MID(analisis_productividad__4[[#This Row],[Periodo]],1,4)</f>
        <v>2025</v>
      </c>
      <c r="D3214" s="1" t="str">
        <f>MID(analisis_productividad__4[[#This Row],[Periodo]],5,2)</f>
        <v>10</v>
      </c>
      <c r="E3214" s="1" t="s">
        <v>9</v>
      </c>
      <c r="F3214" s="1" t="s">
        <v>9</v>
      </c>
      <c r="G3214" s="1">
        <v>37292</v>
      </c>
      <c r="H3214" s="1">
        <v>641585</v>
      </c>
      <c r="I3214" s="1">
        <v>17.20438172043011</v>
      </c>
      <c r="J3214" s="1">
        <v>65784.786933958821</v>
      </c>
      <c r="K3214" s="1">
        <v>11</v>
      </c>
      <c r="L3214" s="1">
        <v>12</v>
      </c>
      <c r="M3214" s="1">
        <v>9.7527937674113918</v>
      </c>
      <c r="N3214" s="1">
        <v>719118</v>
      </c>
    </row>
    <row r="3215" spans="1:14" x14ac:dyDescent="0.35">
      <c r="A3215" s="1" t="s">
        <v>114</v>
      </c>
      <c r="B3215" s="1">
        <v>202506</v>
      </c>
      <c r="C3215" s="1" t="str">
        <f>MID(analisis_productividad__4[[#This Row],[Periodo]],1,4)</f>
        <v>2025</v>
      </c>
      <c r="D3215" s="1" t="str">
        <f>MID(analisis_productividad__4[[#This Row],[Periodo]],5,2)</f>
        <v>06</v>
      </c>
      <c r="E3215" s="1" t="s">
        <v>9</v>
      </c>
      <c r="F3215" s="1" t="s">
        <v>9</v>
      </c>
      <c r="G3215" s="1">
        <v>37078</v>
      </c>
      <c r="H3215" s="1">
        <v>815028</v>
      </c>
      <c r="I3215" s="1">
        <v>21.98150694444444</v>
      </c>
      <c r="J3215" s="1">
        <v>65542.988269888243</v>
      </c>
      <c r="K3215" s="1">
        <v>13.5</v>
      </c>
      <c r="L3215" s="1">
        <v>14.5</v>
      </c>
      <c r="M3215" s="1">
        <v>12.435012676625854</v>
      </c>
      <c r="N3215" s="1">
        <v>875990</v>
      </c>
    </row>
    <row r="3216" spans="1:14" x14ac:dyDescent="0.35">
      <c r="A3216" s="1" t="s">
        <v>122</v>
      </c>
      <c r="B3216" s="1">
        <v>202412</v>
      </c>
      <c r="C3216" s="1" t="str">
        <f>MID(analisis_productividad__4[[#This Row],[Periodo]],1,4)</f>
        <v>2024</v>
      </c>
      <c r="D3216" s="1" t="str">
        <f>MID(analisis_productividad__4[[#This Row],[Periodo]],5,2)</f>
        <v>12</v>
      </c>
      <c r="E3216" s="1" t="s">
        <v>104</v>
      </c>
      <c r="F3216" s="1" t="s">
        <v>104</v>
      </c>
      <c r="G3216" s="1">
        <v>36812</v>
      </c>
      <c r="H3216" s="1">
        <v>3640387</v>
      </c>
      <c r="I3216" s="1">
        <v>98.890665322580617</v>
      </c>
      <c r="J3216" s="1">
        <v>0</v>
      </c>
      <c r="K3216" s="1">
        <v>22</v>
      </c>
      <c r="L3216" s="1">
        <v>20</v>
      </c>
      <c r="M3216" s="1"/>
      <c r="N3216" s="1">
        <v>0</v>
      </c>
    </row>
    <row r="3217" spans="1:14" x14ac:dyDescent="0.35">
      <c r="A3217" s="1" t="s">
        <v>129</v>
      </c>
      <c r="B3217" s="1">
        <v>202501</v>
      </c>
      <c r="C3217" s="1" t="str">
        <f>MID(analisis_productividad__4[[#This Row],[Periodo]],1,4)</f>
        <v>2025</v>
      </c>
      <c r="D3217" s="1" t="str">
        <f>MID(analisis_productividad__4[[#This Row],[Periodo]],5,2)</f>
        <v>01</v>
      </c>
      <c r="E3217" s="1" t="s">
        <v>9</v>
      </c>
      <c r="F3217" s="1" t="s">
        <v>9</v>
      </c>
      <c r="G3217" s="1">
        <v>36709</v>
      </c>
      <c r="H3217" s="1">
        <v>249564</v>
      </c>
      <c r="I3217" s="1">
        <v>6.7983736559139807</v>
      </c>
      <c r="J3217" s="1">
        <v>39436.339702815087</v>
      </c>
      <c r="K3217" s="1">
        <v>9</v>
      </c>
      <c r="L3217" s="1">
        <v>9</v>
      </c>
      <c r="M3217" s="1">
        <v>6.3282723975061357</v>
      </c>
      <c r="N3217" s="1">
        <v>280986</v>
      </c>
    </row>
    <row r="3218" spans="1:14" x14ac:dyDescent="0.35">
      <c r="A3218" s="1" t="s">
        <v>45</v>
      </c>
      <c r="B3218" s="1">
        <v>202406</v>
      </c>
      <c r="C3218" s="1" t="str">
        <f>MID(analisis_productividad__4[[#This Row],[Periodo]],1,4)</f>
        <v>2024</v>
      </c>
      <c r="D3218" s="1" t="str">
        <f>MID(analisis_productividad__4[[#This Row],[Periodo]],5,2)</f>
        <v>06</v>
      </c>
      <c r="E3218" s="1" t="s">
        <v>34</v>
      </c>
      <c r="F3218" s="1" t="s">
        <v>35</v>
      </c>
      <c r="G3218" s="1">
        <v>36688</v>
      </c>
      <c r="H3218" s="1">
        <v>652417</v>
      </c>
      <c r="I3218" s="1">
        <v>17.782722222222233</v>
      </c>
      <c r="J3218" s="1">
        <v>0</v>
      </c>
      <c r="K3218" s="1">
        <v>22.5</v>
      </c>
      <c r="L3218" s="1">
        <v>21</v>
      </c>
      <c r="M3218" s="1"/>
      <c r="N3218" s="1">
        <v>0</v>
      </c>
    </row>
    <row r="3219" spans="1:14" x14ac:dyDescent="0.35">
      <c r="A3219" s="1" t="s">
        <v>129</v>
      </c>
      <c r="B3219" s="1">
        <v>202407</v>
      </c>
      <c r="C3219" s="1" t="str">
        <f>MID(analisis_productividad__4[[#This Row],[Periodo]],1,4)</f>
        <v>2024</v>
      </c>
      <c r="D3219" s="1" t="str">
        <f>MID(analisis_productividad__4[[#This Row],[Periodo]],5,2)</f>
        <v>07</v>
      </c>
      <c r="E3219" s="1" t="s">
        <v>9</v>
      </c>
      <c r="F3219" s="1" t="s">
        <v>9</v>
      </c>
      <c r="G3219" s="1">
        <v>36123</v>
      </c>
      <c r="H3219" s="1">
        <v>299124</v>
      </c>
      <c r="I3219" s="1">
        <v>8.280604838709678</v>
      </c>
      <c r="J3219" s="1">
        <v>0</v>
      </c>
      <c r="K3219" s="1">
        <v>9</v>
      </c>
      <c r="L3219" s="1">
        <v>9</v>
      </c>
      <c r="M3219" s="1"/>
      <c r="N3219" s="1">
        <v>0</v>
      </c>
    </row>
    <row r="3220" spans="1:14" x14ac:dyDescent="0.35">
      <c r="A3220" s="1" t="s">
        <v>124</v>
      </c>
      <c r="B3220" s="1">
        <v>202505</v>
      </c>
      <c r="C3220" s="1" t="str">
        <f>MID(analisis_productividad__4[[#This Row],[Periodo]],1,4)</f>
        <v>2025</v>
      </c>
      <c r="D3220" s="1" t="str">
        <f>MID(analisis_productividad__4[[#This Row],[Periodo]],5,2)</f>
        <v>05</v>
      </c>
      <c r="E3220" s="1" t="s">
        <v>9</v>
      </c>
      <c r="F3220" s="1" t="s">
        <v>9</v>
      </c>
      <c r="G3220" s="1">
        <v>35993</v>
      </c>
      <c r="H3220" s="1">
        <v>728782</v>
      </c>
      <c r="I3220" s="1">
        <v>20.247735215053766</v>
      </c>
      <c r="J3220" s="1">
        <v>67186.560470096301</v>
      </c>
      <c r="K3220" s="1">
        <v>11</v>
      </c>
      <c r="L3220" s="1">
        <v>12</v>
      </c>
      <c r="M3220" s="1">
        <v>10.847133934239263</v>
      </c>
      <c r="N3220" s="1">
        <v>614259</v>
      </c>
    </row>
    <row r="3221" spans="1:14" x14ac:dyDescent="0.35">
      <c r="A3221" s="1" t="s">
        <v>129</v>
      </c>
      <c r="B3221" s="1">
        <v>202504</v>
      </c>
      <c r="C3221" s="1" t="str">
        <f>MID(analisis_productividad__4[[#This Row],[Periodo]],1,4)</f>
        <v>2025</v>
      </c>
      <c r="D3221" s="1" t="str">
        <f>MID(analisis_productividad__4[[#This Row],[Periodo]],5,2)</f>
        <v>04</v>
      </c>
      <c r="E3221" s="1" t="s">
        <v>9</v>
      </c>
      <c r="F3221" s="1" t="s">
        <v>9</v>
      </c>
      <c r="G3221" s="1">
        <v>35962</v>
      </c>
      <c r="H3221" s="1">
        <v>267989</v>
      </c>
      <c r="I3221" s="1">
        <v>7.4520833333333343</v>
      </c>
      <c r="J3221" s="1">
        <v>32939.056605696242</v>
      </c>
      <c r="K3221" s="1">
        <v>9</v>
      </c>
      <c r="L3221" s="1">
        <v>9</v>
      </c>
      <c r="M3221" s="1">
        <v>8.1358933016210315</v>
      </c>
      <c r="N3221" s="1">
        <v>287140</v>
      </c>
    </row>
    <row r="3222" spans="1:14" x14ac:dyDescent="0.35">
      <c r="A3222" s="1" t="s">
        <v>129</v>
      </c>
      <c r="B3222" s="1">
        <v>202606</v>
      </c>
      <c r="C3222" s="1" t="str">
        <f>MID(analisis_productividad__4[[#This Row],[Periodo]],1,4)</f>
        <v>2026</v>
      </c>
      <c r="D3222" s="1" t="str">
        <f>MID(analisis_productividad__4[[#This Row],[Periodo]],5,2)</f>
        <v>06</v>
      </c>
      <c r="E3222" s="1" t="s">
        <v>9</v>
      </c>
      <c r="F3222" s="1" t="s">
        <v>9</v>
      </c>
      <c r="G3222" s="1">
        <v>35678</v>
      </c>
      <c r="H3222" s="1">
        <v>260068</v>
      </c>
      <c r="I3222" s="1">
        <v>7.289381944444453</v>
      </c>
      <c r="J3222" s="1">
        <v>32432.333937586267</v>
      </c>
      <c r="K3222" s="1">
        <v>9</v>
      </c>
      <c r="L3222" s="1">
        <v>9</v>
      </c>
      <c r="M3222" s="1">
        <v>7.859186862423198</v>
      </c>
      <c r="N3222" s="1">
        <v>254892</v>
      </c>
    </row>
    <row r="3223" spans="1:14" x14ac:dyDescent="0.35">
      <c r="A3223" s="1" t="s">
        <v>124</v>
      </c>
      <c r="B3223" s="1">
        <v>202504</v>
      </c>
      <c r="C3223" s="1" t="str">
        <f>MID(analisis_productividad__4[[#This Row],[Periodo]],1,4)</f>
        <v>2025</v>
      </c>
      <c r="D3223" s="1" t="str">
        <f>MID(analisis_productividad__4[[#This Row],[Periodo]],5,2)</f>
        <v>04</v>
      </c>
      <c r="E3223" s="1" t="s">
        <v>9</v>
      </c>
      <c r="F3223" s="1" t="s">
        <v>9</v>
      </c>
      <c r="G3223" s="1">
        <v>35625</v>
      </c>
      <c r="H3223" s="1">
        <v>729144</v>
      </c>
      <c r="I3223" s="1">
        <v>20.467076388888888</v>
      </c>
      <c r="J3223" s="1">
        <v>64560.471198681778</v>
      </c>
      <c r="K3223" s="1">
        <v>11</v>
      </c>
      <c r="L3223" s="1">
        <v>12</v>
      </c>
      <c r="M3223" s="1">
        <v>11.293966671279312</v>
      </c>
      <c r="N3223" s="1">
        <v>620149</v>
      </c>
    </row>
    <row r="3224" spans="1:14" x14ac:dyDescent="0.35">
      <c r="A3224" s="1" t="s">
        <v>122</v>
      </c>
      <c r="B3224" s="1">
        <v>202510</v>
      </c>
      <c r="C3224" s="1" t="str">
        <f>MID(analisis_productividad__4[[#This Row],[Periodo]],1,4)</f>
        <v>2025</v>
      </c>
      <c r="D3224" s="1" t="str">
        <f>MID(analisis_productividad__4[[#This Row],[Periodo]],5,2)</f>
        <v>10</v>
      </c>
      <c r="E3224" s="1" t="s">
        <v>104</v>
      </c>
      <c r="F3224" s="1" t="s">
        <v>104</v>
      </c>
      <c r="G3224" s="1">
        <v>35612</v>
      </c>
      <c r="H3224" s="1">
        <v>635882</v>
      </c>
      <c r="I3224" s="1">
        <v>17.855927419354842</v>
      </c>
      <c r="J3224" s="1">
        <v>35933.954139991096</v>
      </c>
      <c r="K3224" s="1">
        <v>22</v>
      </c>
      <c r="L3224" s="1">
        <v>20</v>
      </c>
      <c r="M3224" s="1">
        <v>17.695846038060246</v>
      </c>
      <c r="N3224" s="1">
        <v>814711</v>
      </c>
    </row>
    <row r="3225" spans="1:14" x14ac:dyDescent="0.35">
      <c r="A3225" s="1" t="s">
        <v>45</v>
      </c>
      <c r="B3225" s="1">
        <v>202505</v>
      </c>
      <c r="C3225" s="1" t="str">
        <f>MID(analisis_productividad__4[[#This Row],[Periodo]],1,4)</f>
        <v>2025</v>
      </c>
      <c r="D3225" s="1" t="str">
        <f>MID(analisis_productividad__4[[#This Row],[Periodo]],5,2)</f>
        <v>05</v>
      </c>
      <c r="E3225" s="1" t="s">
        <v>34</v>
      </c>
      <c r="F3225" s="1" t="s">
        <v>35</v>
      </c>
      <c r="G3225" s="1">
        <v>35604</v>
      </c>
      <c r="H3225" s="1">
        <v>695614</v>
      </c>
      <c r="I3225" s="1">
        <v>19.537385752688177</v>
      </c>
      <c r="J3225" s="1">
        <v>42532.630724333125</v>
      </c>
      <c r="K3225" s="1">
        <v>22.5</v>
      </c>
      <c r="L3225" s="1">
        <v>21</v>
      </c>
      <c r="M3225" s="1">
        <v>16.354833645454146</v>
      </c>
      <c r="N3225" s="1">
        <v>659692</v>
      </c>
    </row>
    <row r="3226" spans="1:14" x14ac:dyDescent="0.35">
      <c r="A3226" s="1" t="s">
        <v>122</v>
      </c>
      <c r="B3226" s="1">
        <v>202503</v>
      </c>
      <c r="C3226" s="1" t="str">
        <f>MID(analisis_productividad__4[[#This Row],[Periodo]],1,4)</f>
        <v>2025</v>
      </c>
      <c r="D3226" s="1" t="str">
        <f>MID(analisis_productividad__4[[#This Row],[Periodo]],5,2)</f>
        <v>03</v>
      </c>
      <c r="E3226" s="1" t="s">
        <v>104</v>
      </c>
      <c r="F3226" s="1" t="s">
        <v>104</v>
      </c>
      <c r="G3226" s="1">
        <v>35477</v>
      </c>
      <c r="H3226" s="1">
        <v>2802145</v>
      </c>
      <c r="I3226" s="1">
        <v>78.984368279569907</v>
      </c>
      <c r="J3226" s="1">
        <v>52527.565083545036</v>
      </c>
      <c r="K3226" s="1">
        <v>22</v>
      </c>
      <c r="L3226" s="1">
        <v>20</v>
      </c>
      <c r="M3226" s="1">
        <v>53.346177108023028</v>
      </c>
      <c r="N3226" s="1">
        <v>2675277</v>
      </c>
    </row>
    <row r="3227" spans="1:14" x14ac:dyDescent="0.35">
      <c r="A3227" s="1" t="s">
        <v>122</v>
      </c>
      <c r="B3227" s="1">
        <v>202605</v>
      </c>
      <c r="C3227" s="1" t="str">
        <f>MID(analisis_productividad__4[[#This Row],[Periodo]],1,4)</f>
        <v>2026</v>
      </c>
      <c r="D3227" s="1" t="str">
        <f>MID(analisis_productividad__4[[#This Row],[Periodo]],5,2)</f>
        <v>05</v>
      </c>
      <c r="E3227" s="1" t="s">
        <v>104</v>
      </c>
      <c r="F3227" s="1" t="s">
        <v>104</v>
      </c>
      <c r="G3227" s="1">
        <v>34968</v>
      </c>
      <c r="H3227" s="1">
        <v>768135</v>
      </c>
      <c r="I3227" s="1">
        <v>21.966969086021496</v>
      </c>
      <c r="J3227" s="1">
        <v>6648.4577346514016</v>
      </c>
      <c r="K3227" s="1">
        <v>22</v>
      </c>
      <c r="L3227" s="1">
        <v>20</v>
      </c>
      <c r="M3227" s="1">
        <v>96.1</v>
      </c>
      <c r="N3227" s="1">
        <v>638917</v>
      </c>
    </row>
    <row r="3228" spans="1:14" x14ac:dyDescent="0.35">
      <c r="A3228" s="1" t="s">
        <v>129</v>
      </c>
      <c r="B3228" s="1">
        <v>202408</v>
      </c>
      <c r="C3228" s="1" t="str">
        <f>MID(analisis_productividad__4[[#This Row],[Periodo]],1,4)</f>
        <v>2024</v>
      </c>
      <c r="D3228" s="1" t="str">
        <f>MID(analisis_productividad__4[[#This Row],[Periodo]],5,2)</f>
        <v>08</v>
      </c>
      <c r="E3228" s="1" t="s">
        <v>9</v>
      </c>
      <c r="F3228" s="1" t="s">
        <v>9</v>
      </c>
      <c r="G3228" s="1">
        <v>34965</v>
      </c>
      <c r="H3228" s="1">
        <v>292557</v>
      </c>
      <c r="I3228" s="1">
        <v>8.3672110215053781</v>
      </c>
      <c r="J3228" s="1">
        <v>0</v>
      </c>
      <c r="K3228" s="1">
        <v>9</v>
      </c>
      <c r="L3228" s="1">
        <v>9</v>
      </c>
      <c r="M3228" s="1"/>
      <c r="N3228" s="1">
        <v>0</v>
      </c>
    </row>
    <row r="3229" spans="1:14" x14ac:dyDescent="0.35">
      <c r="A3229" s="1" t="s">
        <v>129</v>
      </c>
      <c r="B3229" s="1">
        <v>202505</v>
      </c>
      <c r="C3229" s="1" t="str">
        <f>MID(analisis_productividad__4[[#This Row],[Periodo]],1,4)</f>
        <v>2025</v>
      </c>
      <c r="D3229" s="1" t="str">
        <f>MID(analisis_productividad__4[[#This Row],[Periodo]],5,2)</f>
        <v>05</v>
      </c>
      <c r="E3229" s="1" t="s">
        <v>9</v>
      </c>
      <c r="F3229" s="1" t="s">
        <v>9</v>
      </c>
      <c r="G3229" s="1">
        <v>34728</v>
      </c>
      <c r="H3229" s="1">
        <v>282492</v>
      </c>
      <c r="I3229" s="1">
        <v>8.134348118279572</v>
      </c>
      <c r="J3229" s="1">
        <v>33100.682157747877</v>
      </c>
      <c r="K3229" s="1">
        <v>9</v>
      </c>
      <c r="L3229" s="1">
        <v>9</v>
      </c>
      <c r="M3229" s="1">
        <v>8.5343144486790337</v>
      </c>
      <c r="N3229" s="1">
        <v>291480</v>
      </c>
    </row>
    <row r="3230" spans="1:14" x14ac:dyDescent="0.35">
      <c r="A3230" s="1" t="s">
        <v>122</v>
      </c>
      <c r="B3230" s="1">
        <v>202407</v>
      </c>
      <c r="C3230" s="1" t="str">
        <f>MID(analisis_productividad__4[[#This Row],[Periodo]],1,4)</f>
        <v>2024</v>
      </c>
      <c r="D3230" s="1" t="str">
        <f>MID(analisis_productividad__4[[#This Row],[Periodo]],5,2)</f>
        <v>07</v>
      </c>
      <c r="E3230" s="1" t="s">
        <v>104</v>
      </c>
      <c r="F3230" s="1" t="s">
        <v>104</v>
      </c>
      <c r="G3230" s="1">
        <v>34679</v>
      </c>
      <c r="H3230" s="1">
        <v>703295</v>
      </c>
      <c r="I3230" s="1">
        <v>20.280006720430112</v>
      </c>
      <c r="J3230" s="1">
        <v>0</v>
      </c>
      <c r="K3230" s="1">
        <v>22</v>
      </c>
      <c r="L3230" s="1">
        <v>20</v>
      </c>
      <c r="M3230" s="1"/>
      <c r="N3230" s="1">
        <v>0</v>
      </c>
    </row>
    <row r="3231" spans="1:14" x14ac:dyDescent="0.35">
      <c r="A3231" s="1" t="s">
        <v>129</v>
      </c>
      <c r="B3231" s="1">
        <v>202503</v>
      </c>
      <c r="C3231" s="1" t="str">
        <f>MID(analisis_productividad__4[[#This Row],[Periodo]],1,4)</f>
        <v>2025</v>
      </c>
      <c r="D3231" s="1" t="str">
        <f>MID(analisis_productividad__4[[#This Row],[Periodo]],5,2)</f>
        <v>03</v>
      </c>
      <c r="E3231" s="1" t="s">
        <v>9</v>
      </c>
      <c r="F3231" s="1" t="s">
        <v>9</v>
      </c>
      <c r="G3231" s="1">
        <v>34374</v>
      </c>
      <c r="H3231" s="1">
        <v>275302</v>
      </c>
      <c r="I3231" s="1">
        <v>8.0089784946236584</v>
      </c>
      <c r="J3231" s="1">
        <v>39255.330308984587</v>
      </c>
      <c r="K3231" s="1">
        <v>9</v>
      </c>
      <c r="L3231" s="1">
        <v>9</v>
      </c>
      <c r="M3231" s="1">
        <v>7.0131176539097932</v>
      </c>
      <c r="N3231" s="1">
        <v>295107</v>
      </c>
    </row>
    <row r="3232" spans="1:14" x14ac:dyDescent="0.35">
      <c r="A3232" s="1" t="s">
        <v>122</v>
      </c>
      <c r="B3232" s="1">
        <v>202410</v>
      </c>
      <c r="C3232" s="1" t="str">
        <f>MID(analisis_productividad__4[[#This Row],[Periodo]],1,4)</f>
        <v>2024</v>
      </c>
      <c r="D3232" s="1" t="str">
        <f>MID(analisis_productividad__4[[#This Row],[Periodo]],5,2)</f>
        <v>10</v>
      </c>
      <c r="E3232" s="1" t="s">
        <v>104</v>
      </c>
      <c r="F3232" s="1" t="s">
        <v>104</v>
      </c>
      <c r="G3232" s="1">
        <v>34223</v>
      </c>
      <c r="H3232" s="1">
        <v>631943</v>
      </c>
      <c r="I3232" s="1">
        <v>18.465557795698924</v>
      </c>
      <c r="J3232" s="1">
        <v>0</v>
      </c>
      <c r="K3232" s="1">
        <v>22</v>
      </c>
      <c r="L3232" s="1">
        <v>20</v>
      </c>
      <c r="M3232" s="1"/>
      <c r="N3232" s="1">
        <v>0</v>
      </c>
    </row>
    <row r="3233" spans="1:14" x14ac:dyDescent="0.35">
      <c r="A3233" s="1" t="s">
        <v>129</v>
      </c>
      <c r="B3233" s="1">
        <v>202409</v>
      </c>
      <c r="C3233" s="1" t="str">
        <f>MID(analisis_productividad__4[[#This Row],[Periodo]],1,4)</f>
        <v>2024</v>
      </c>
      <c r="D3233" s="1" t="str">
        <f>MID(analisis_productividad__4[[#This Row],[Periodo]],5,2)</f>
        <v>09</v>
      </c>
      <c r="E3233" s="1" t="s">
        <v>9</v>
      </c>
      <c r="F3233" s="1" t="s">
        <v>9</v>
      </c>
      <c r="G3233" s="1">
        <v>33577</v>
      </c>
      <c r="H3233" s="1">
        <v>277954</v>
      </c>
      <c r="I3233" s="1">
        <v>8.2781319444444446</v>
      </c>
      <c r="J3233" s="1">
        <v>0</v>
      </c>
      <c r="K3233" s="1">
        <v>9</v>
      </c>
      <c r="L3233" s="1">
        <v>9</v>
      </c>
      <c r="M3233" s="1"/>
      <c r="N3233" s="1">
        <v>0</v>
      </c>
    </row>
    <row r="3234" spans="1:14" x14ac:dyDescent="0.35">
      <c r="A3234" s="1" t="s">
        <v>130</v>
      </c>
      <c r="B3234" s="1">
        <v>202412</v>
      </c>
      <c r="C3234" s="1" t="str">
        <f>MID(analisis_productividad__4[[#This Row],[Periodo]],1,4)</f>
        <v>2024</v>
      </c>
      <c r="D3234" s="1" t="str">
        <f>MID(analisis_productividad__4[[#This Row],[Periodo]],5,2)</f>
        <v>12</v>
      </c>
      <c r="E3234" s="1" t="s">
        <v>9</v>
      </c>
      <c r="F3234" s="1" t="s">
        <v>9</v>
      </c>
      <c r="G3234" s="1">
        <v>33527</v>
      </c>
      <c r="H3234" s="1">
        <v>222811</v>
      </c>
      <c r="I3234" s="1">
        <v>6.6456250000000017</v>
      </c>
      <c r="J3234" s="1">
        <v>0</v>
      </c>
      <c r="K3234" s="1">
        <v>7</v>
      </c>
      <c r="L3234" s="1">
        <v>6.5</v>
      </c>
      <c r="M3234" s="1"/>
      <c r="N3234" s="1">
        <v>0</v>
      </c>
    </row>
    <row r="3235" spans="1:14" x14ac:dyDescent="0.35">
      <c r="A3235" s="1" t="s">
        <v>129</v>
      </c>
      <c r="B3235" s="1">
        <v>202411</v>
      </c>
      <c r="C3235" s="1" t="str">
        <f>MID(analisis_productividad__4[[#This Row],[Periodo]],1,4)</f>
        <v>2024</v>
      </c>
      <c r="D3235" s="1" t="str">
        <f>MID(analisis_productividad__4[[#This Row],[Periodo]],5,2)</f>
        <v>11</v>
      </c>
      <c r="E3235" s="1" t="s">
        <v>9</v>
      </c>
      <c r="F3235" s="1" t="s">
        <v>9</v>
      </c>
      <c r="G3235" s="1">
        <v>33379</v>
      </c>
      <c r="H3235" s="1">
        <v>264363</v>
      </c>
      <c r="I3235" s="1">
        <v>7.9200625000000002</v>
      </c>
      <c r="J3235" s="1">
        <v>0</v>
      </c>
      <c r="K3235" s="1">
        <v>9</v>
      </c>
      <c r="L3235" s="1">
        <v>9</v>
      </c>
      <c r="M3235" s="1"/>
      <c r="N3235" s="1">
        <v>0</v>
      </c>
    </row>
    <row r="3236" spans="1:14" x14ac:dyDescent="0.35">
      <c r="A3236" s="1" t="s">
        <v>129</v>
      </c>
      <c r="B3236" s="1">
        <v>202506</v>
      </c>
      <c r="C3236" s="1" t="str">
        <f>MID(analisis_productividad__4[[#This Row],[Periodo]],1,4)</f>
        <v>2025</v>
      </c>
      <c r="D3236" s="1" t="str">
        <f>MID(analisis_productividad__4[[#This Row],[Periodo]],5,2)</f>
        <v>06</v>
      </c>
      <c r="E3236" s="1" t="s">
        <v>9</v>
      </c>
      <c r="F3236" s="1" t="s">
        <v>9</v>
      </c>
      <c r="G3236" s="1">
        <v>33333</v>
      </c>
      <c r="H3236" s="1">
        <v>266533</v>
      </c>
      <c r="I3236" s="1">
        <v>7.9959444444444454</v>
      </c>
      <c r="J3236" s="1">
        <v>33053.781368228432</v>
      </c>
      <c r="K3236" s="1">
        <v>9</v>
      </c>
      <c r="L3236" s="1">
        <v>9</v>
      </c>
      <c r="M3236" s="1">
        <v>8.0636057046167018</v>
      </c>
      <c r="N3236" s="1">
        <v>271816</v>
      </c>
    </row>
    <row r="3237" spans="1:14" x14ac:dyDescent="0.35">
      <c r="A3237" s="1" t="s">
        <v>122</v>
      </c>
      <c r="B3237" s="1">
        <v>202507</v>
      </c>
      <c r="C3237" s="1" t="str">
        <f>MID(analisis_productividad__4[[#This Row],[Periodo]],1,4)</f>
        <v>2025</v>
      </c>
      <c r="D3237" s="1" t="str">
        <f>MID(analisis_productividad__4[[#This Row],[Periodo]],5,2)</f>
        <v>07</v>
      </c>
      <c r="E3237" s="1" t="s">
        <v>104</v>
      </c>
      <c r="F3237" s="1" t="s">
        <v>104</v>
      </c>
      <c r="G3237" s="1">
        <v>33302</v>
      </c>
      <c r="H3237" s="1">
        <v>690848</v>
      </c>
      <c r="I3237" s="1">
        <v>20.745215053763442</v>
      </c>
      <c r="J3237" s="1">
        <v>36413.16470847492</v>
      </c>
      <c r="K3237" s="1">
        <v>22</v>
      </c>
      <c r="L3237" s="1">
        <v>20</v>
      </c>
      <c r="M3237" s="1">
        <v>18.972490458628265</v>
      </c>
      <c r="N3237" s="1">
        <v>747190</v>
      </c>
    </row>
    <row r="3238" spans="1:14" x14ac:dyDescent="0.35">
      <c r="A3238" s="1" t="s">
        <v>114</v>
      </c>
      <c r="B3238" s="1">
        <v>202505</v>
      </c>
      <c r="C3238" s="1" t="str">
        <f>MID(analisis_productividad__4[[#This Row],[Periodo]],1,4)</f>
        <v>2025</v>
      </c>
      <c r="D3238" s="1" t="str">
        <f>MID(analisis_productividad__4[[#This Row],[Periodo]],5,2)</f>
        <v>05</v>
      </c>
      <c r="E3238" s="1" t="s">
        <v>9</v>
      </c>
      <c r="F3238" s="1" t="s">
        <v>9</v>
      </c>
      <c r="G3238" s="1">
        <v>32884</v>
      </c>
      <c r="H3238" s="1">
        <v>824494</v>
      </c>
      <c r="I3238" s="1">
        <v>25.072842741935485</v>
      </c>
      <c r="J3238" s="1">
        <v>64581.675273977351</v>
      </c>
      <c r="K3238" s="1">
        <v>13.5</v>
      </c>
      <c r="L3238" s="1">
        <v>14.5</v>
      </c>
      <c r="M3238" s="1">
        <v>12.766682135485308</v>
      </c>
      <c r="N3238" s="1">
        <v>947438</v>
      </c>
    </row>
    <row r="3239" spans="1:14" x14ac:dyDescent="0.35">
      <c r="A3239" s="1" t="s">
        <v>114</v>
      </c>
      <c r="B3239" s="1">
        <v>202503</v>
      </c>
      <c r="C3239" s="1" t="str">
        <f>MID(analisis_productividad__4[[#This Row],[Periodo]],1,4)</f>
        <v>2025</v>
      </c>
      <c r="D3239" s="1" t="str">
        <f>MID(analisis_productividad__4[[#This Row],[Periodo]],5,2)</f>
        <v>03</v>
      </c>
      <c r="E3239" s="1" t="s">
        <v>9</v>
      </c>
      <c r="F3239" s="1" t="s">
        <v>9</v>
      </c>
      <c r="G3239" s="1">
        <v>32585</v>
      </c>
      <c r="H3239" s="1">
        <v>799458</v>
      </c>
      <c r="I3239" s="1">
        <v>24.534482526881721</v>
      </c>
      <c r="J3239" s="1">
        <v>71815.736946010657</v>
      </c>
      <c r="K3239" s="1">
        <v>13.5</v>
      </c>
      <c r="L3239" s="1">
        <v>14.5</v>
      </c>
      <c r="M3239" s="1">
        <v>11.13207653360173</v>
      </c>
      <c r="N3239" s="1">
        <v>1019891</v>
      </c>
    </row>
    <row r="3240" spans="1:14" x14ac:dyDescent="0.35">
      <c r="A3240" s="1" t="s">
        <v>45</v>
      </c>
      <c r="B3240" s="1">
        <v>202409</v>
      </c>
      <c r="C3240" s="1" t="str">
        <f>MID(analisis_productividad__4[[#This Row],[Periodo]],1,4)</f>
        <v>2024</v>
      </c>
      <c r="D3240" s="1" t="str">
        <f>MID(analisis_productividad__4[[#This Row],[Periodo]],5,2)</f>
        <v>09</v>
      </c>
      <c r="E3240" s="1" t="s">
        <v>34</v>
      </c>
      <c r="F3240" s="1" t="s">
        <v>35</v>
      </c>
      <c r="G3240" s="1">
        <v>32232</v>
      </c>
      <c r="H3240" s="1">
        <v>612857</v>
      </c>
      <c r="I3240" s="1">
        <v>19.013895833333343</v>
      </c>
      <c r="J3240" s="1">
        <v>0</v>
      </c>
      <c r="K3240" s="1">
        <v>22.5</v>
      </c>
      <c r="L3240" s="1">
        <v>21</v>
      </c>
      <c r="M3240" s="1"/>
      <c r="N3240" s="1">
        <v>0</v>
      </c>
    </row>
    <row r="3241" spans="1:14" x14ac:dyDescent="0.35">
      <c r="A3241" s="1" t="s">
        <v>45</v>
      </c>
      <c r="B3241" s="1">
        <v>202606</v>
      </c>
      <c r="C3241" s="1" t="str">
        <f>MID(analisis_productividad__4[[#This Row],[Periodo]],1,4)</f>
        <v>2026</v>
      </c>
      <c r="D3241" s="1" t="str">
        <f>MID(analisis_productividad__4[[#This Row],[Periodo]],5,2)</f>
        <v>06</v>
      </c>
      <c r="E3241" s="1" t="s">
        <v>34</v>
      </c>
      <c r="F3241" s="1" t="s">
        <v>35</v>
      </c>
      <c r="G3241" s="1">
        <v>32109</v>
      </c>
      <c r="H3241" s="1">
        <v>562501</v>
      </c>
      <c r="I3241" s="1">
        <v>17.518229166666668</v>
      </c>
      <c r="J3241" s="1">
        <v>26192.663251746377</v>
      </c>
      <c r="K3241" s="1">
        <v>22.5</v>
      </c>
      <c r="L3241" s="1">
        <v>21</v>
      </c>
      <c r="M3241" s="1">
        <v>19.647967156057994</v>
      </c>
      <c r="N3241" s="1">
        <v>514633</v>
      </c>
    </row>
    <row r="3242" spans="1:14" x14ac:dyDescent="0.35">
      <c r="A3242" s="1" t="s">
        <v>129</v>
      </c>
      <c r="B3242" s="1">
        <v>202405</v>
      </c>
      <c r="C3242" s="1" t="str">
        <f>MID(analisis_productividad__4[[#This Row],[Periodo]],1,4)</f>
        <v>2024</v>
      </c>
      <c r="D3242" s="1" t="str">
        <f>MID(analisis_productividad__4[[#This Row],[Periodo]],5,2)</f>
        <v>05</v>
      </c>
      <c r="E3242" s="1" t="s">
        <v>9</v>
      </c>
      <c r="F3242" s="1" t="s">
        <v>9</v>
      </c>
      <c r="G3242" s="1">
        <v>31524</v>
      </c>
      <c r="H3242" s="1">
        <v>275302</v>
      </c>
      <c r="I3242" s="1">
        <v>8.7329704301075264</v>
      </c>
      <c r="J3242" s="1">
        <v>0</v>
      </c>
      <c r="K3242" s="1">
        <v>9</v>
      </c>
      <c r="L3242" s="1">
        <v>9</v>
      </c>
      <c r="M3242" s="1"/>
      <c r="N3242" s="1">
        <v>0</v>
      </c>
    </row>
    <row r="3243" spans="1:14" x14ac:dyDescent="0.35">
      <c r="A3243" s="1" t="s">
        <v>129</v>
      </c>
      <c r="B3243" s="1">
        <v>202410</v>
      </c>
      <c r="C3243" s="1" t="str">
        <f>MID(analisis_productividad__4[[#This Row],[Periodo]],1,4)</f>
        <v>2024</v>
      </c>
      <c r="D3243" s="1" t="str">
        <f>MID(analisis_productividad__4[[#This Row],[Periodo]],5,2)</f>
        <v>10</v>
      </c>
      <c r="E3243" s="1" t="s">
        <v>9</v>
      </c>
      <c r="F3243" s="1" t="s">
        <v>9</v>
      </c>
      <c r="G3243" s="1">
        <v>31500</v>
      </c>
      <c r="H3243" s="1">
        <v>281426</v>
      </c>
      <c r="I3243" s="1">
        <v>8.9340322580645193</v>
      </c>
      <c r="J3243" s="1">
        <v>0</v>
      </c>
      <c r="K3243" s="1">
        <v>9</v>
      </c>
      <c r="L3243" s="1">
        <v>9</v>
      </c>
      <c r="M3243" s="1"/>
      <c r="N3243" s="1">
        <v>0</v>
      </c>
    </row>
    <row r="3244" spans="1:14" x14ac:dyDescent="0.35">
      <c r="A3244" s="1" t="s">
        <v>129</v>
      </c>
      <c r="B3244" s="1">
        <v>202406</v>
      </c>
      <c r="C3244" s="1" t="str">
        <f>MID(analisis_productividad__4[[#This Row],[Periodo]],1,4)</f>
        <v>2024</v>
      </c>
      <c r="D3244" s="1" t="str">
        <f>MID(analisis_productividad__4[[#This Row],[Periodo]],5,2)</f>
        <v>06</v>
      </c>
      <c r="E3244" s="1" t="s">
        <v>9</v>
      </c>
      <c r="F3244" s="1" t="s">
        <v>9</v>
      </c>
      <c r="G3244" s="1">
        <v>31480</v>
      </c>
      <c r="H3244" s="1">
        <v>260080</v>
      </c>
      <c r="I3244" s="1">
        <v>8.2617986111111126</v>
      </c>
      <c r="J3244" s="1">
        <v>0</v>
      </c>
      <c r="K3244" s="1">
        <v>9</v>
      </c>
      <c r="L3244" s="1">
        <v>9</v>
      </c>
      <c r="M3244" s="1"/>
      <c r="N3244" s="1">
        <v>0</v>
      </c>
    </row>
    <row r="3245" spans="1:14" x14ac:dyDescent="0.35">
      <c r="A3245" s="1" t="s">
        <v>129</v>
      </c>
      <c r="B3245" s="1">
        <v>202404</v>
      </c>
      <c r="C3245" s="1" t="str">
        <f>MID(analisis_productividad__4[[#This Row],[Periodo]],1,4)</f>
        <v>2024</v>
      </c>
      <c r="D3245" s="1" t="str">
        <f>MID(analisis_productividad__4[[#This Row],[Periodo]],5,2)</f>
        <v>04</v>
      </c>
      <c r="E3245" s="1" t="s">
        <v>9</v>
      </c>
      <c r="F3245" s="1" t="s">
        <v>9</v>
      </c>
      <c r="G3245" s="1">
        <v>31371</v>
      </c>
      <c r="H3245" s="1">
        <v>269373</v>
      </c>
      <c r="I3245" s="1">
        <v>8.5868125000000006</v>
      </c>
      <c r="J3245" s="1">
        <v>0</v>
      </c>
      <c r="K3245" s="1">
        <v>9</v>
      </c>
      <c r="L3245" s="1">
        <v>9</v>
      </c>
      <c r="M3245" s="1"/>
      <c r="N3245" s="1">
        <v>0</v>
      </c>
    </row>
    <row r="3246" spans="1:14" x14ac:dyDescent="0.35">
      <c r="A3246" s="1" t="s">
        <v>114</v>
      </c>
      <c r="B3246" s="1">
        <v>202504</v>
      </c>
      <c r="C3246" s="1" t="str">
        <f>MID(analisis_productividad__4[[#This Row],[Periodo]],1,4)</f>
        <v>2025</v>
      </c>
      <c r="D3246" s="1" t="str">
        <f>MID(analisis_productividad__4[[#This Row],[Periodo]],5,2)</f>
        <v>04</v>
      </c>
      <c r="E3246" s="1" t="s">
        <v>9</v>
      </c>
      <c r="F3246" s="1" t="s">
        <v>9</v>
      </c>
      <c r="G3246" s="1">
        <v>31366</v>
      </c>
      <c r="H3246" s="1">
        <v>804636</v>
      </c>
      <c r="I3246" s="1">
        <v>25.653395833333342</v>
      </c>
      <c r="J3246" s="1">
        <v>66808.852648065178</v>
      </c>
      <c r="K3246" s="1">
        <v>13.5</v>
      </c>
      <c r="L3246" s="1">
        <v>14.5</v>
      </c>
      <c r="M3246" s="1">
        <v>12.043854341260007</v>
      </c>
      <c r="N3246" s="1">
        <v>968583</v>
      </c>
    </row>
    <row r="3247" spans="1:14" x14ac:dyDescent="0.35">
      <c r="A3247" s="1" t="s">
        <v>129</v>
      </c>
      <c r="B3247" s="1">
        <v>202402</v>
      </c>
      <c r="C3247" s="1" t="str">
        <f>MID(analisis_productividad__4[[#This Row],[Periodo]],1,4)</f>
        <v>2024</v>
      </c>
      <c r="D3247" s="1" t="str">
        <f>MID(analisis_productividad__4[[#This Row],[Periodo]],5,2)</f>
        <v>02</v>
      </c>
      <c r="E3247" s="1" t="s">
        <v>9</v>
      </c>
      <c r="F3247" s="1" t="s">
        <v>9</v>
      </c>
      <c r="G3247" s="1">
        <v>31312</v>
      </c>
      <c r="H3247" s="1">
        <v>264406</v>
      </c>
      <c r="I3247" s="1">
        <v>8.4442528735632205</v>
      </c>
      <c r="J3247" s="1">
        <v>0</v>
      </c>
      <c r="K3247" s="1">
        <v>9</v>
      </c>
      <c r="L3247" s="1">
        <v>9</v>
      </c>
      <c r="M3247" s="1"/>
      <c r="N3247" s="1">
        <v>0</v>
      </c>
    </row>
    <row r="3248" spans="1:14" x14ac:dyDescent="0.35">
      <c r="A3248" s="1" t="s">
        <v>122</v>
      </c>
      <c r="B3248" s="1">
        <v>202603</v>
      </c>
      <c r="C3248" s="1" t="str">
        <f>MID(analisis_productividad__4[[#This Row],[Periodo]],1,4)</f>
        <v>2026</v>
      </c>
      <c r="D3248" s="1" t="str">
        <f>MID(analisis_productividad__4[[#This Row],[Periodo]],5,2)</f>
        <v>03</v>
      </c>
      <c r="E3248" s="1" t="s">
        <v>104</v>
      </c>
      <c r="F3248" s="1" t="s">
        <v>104</v>
      </c>
      <c r="G3248" s="1">
        <v>30476</v>
      </c>
      <c r="H3248" s="1">
        <v>2760774</v>
      </c>
      <c r="I3248" s="1">
        <v>90.588279569892464</v>
      </c>
      <c r="J3248" s="1">
        <v>29810.388814776277</v>
      </c>
      <c r="K3248" s="1">
        <v>22</v>
      </c>
      <c r="L3248" s="1">
        <v>20</v>
      </c>
      <c r="M3248" s="1">
        <v>96.1</v>
      </c>
      <c r="N3248" s="1">
        <v>2864778</v>
      </c>
    </row>
    <row r="3249" spans="1:14" x14ac:dyDescent="0.35">
      <c r="A3249" s="1" t="s">
        <v>130</v>
      </c>
      <c r="B3249" s="1">
        <v>202408</v>
      </c>
      <c r="C3249" s="1" t="str">
        <f>MID(analisis_productividad__4[[#This Row],[Periodo]],1,4)</f>
        <v>2024</v>
      </c>
      <c r="D3249" s="1" t="str">
        <f>MID(analisis_productividad__4[[#This Row],[Periodo]],5,2)</f>
        <v>08</v>
      </c>
      <c r="E3249" s="1" t="s">
        <v>9</v>
      </c>
      <c r="F3249" s="1" t="s">
        <v>9</v>
      </c>
      <c r="G3249" s="1">
        <v>30103</v>
      </c>
      <c r="H3249" s="1">
        <v>156628</v>
      </c>
      <c r="I3249" s="1">
        <v>5.2031451612903226</v>
      </c>
      <c r="J3249" s="1">
        <v>0</v>
      </c>
      <c r="K3249" s="1">
        <v>7</v>
      </c>
      <c r="L3249" s="1">
        <v>6.5</v>
      </c>
      <c r="M3249" s="1"/>
      <c r="N3249" s="1">
        <v>0</v>
      </c>
    </row>
    <row r="3250" spans="1:14" x14ac:dyDescent="0.35">
      <c r="A3250" s="1" t="s">
        <v>130</v>
      </c>
      <c r="B3250" s="1">
        <v>202407</v>
      </c>
      <c r="C3250" s="1" t="str">
        <f>MID(analisis_productividad__4[[#This Row],[Periodo]],1,4)</f>
        <v>2024</v>
      </c>
      <c r="D3250" s="1" t="str">
        <f>MID(analisis_productividad__4[[#This Row],[Periodo]],5,2)</f>
        <v>07</v>
      </c>
      <c r="E3250" s="1" t="s">
        <v>9</v>
      </c>
      <c r="F3250" s="1" t="s">
        <v>9</v>
      </c>
      <c r="G3250" s="1">
        <v>29420</v>
      </c>
      <c r="H3250" s="1">
        <v>166336</v>
      </c>
      <c r="I3250" s="1">
        <v>5.6539112903225819</v>
      </c>
      <c r="J3250" s="1">
        <v>0</v>
      </c>
      <c r="K3250" s="1">
        <v>7</v>
      </c>
      <c r="L3250" s="1">
        <v>6.5</v>
      </c>
      <c r="M3250" s="1"/>
      <c r="N3250" s="1">
        <v>0</v>
      </c>
    </row>
    <row r="3251" spans="1:14" x14ac:dyDescent="0.35">
      <c r="A3251" s="1" t="s">
        <v>122</v>
      </c>
      <c r="B3251" s="1">
        <v>202505</v>
      </c>
      <c r="C3251" s="1" t="str">
        <f>MID(analisis_productividad__4[[#This Row],[Periodo]],1,4)</f>
        <v>2025</v>
      </c>
      <c r="D3251" s="1" t="str">
        <f>MID(analisis_productividad__4[[#This Row],[Periodo]],5,2)</f>
        <v>05</v>
      </c>
      <c r="E3251" s="1" t="s">
        <v>104</v>
      </c>
      <c r="F3251" s="1" t="s">
        <v>104</v>
      </c>
      <c r="G3251" s="1">
        <v>29391</v>
      </c>
      <c r="H3251" s="1">
        <v>615986</v>
      </c>
      <c r="I3251" s="1">
        <v>20.958555107526884</v>
      </c>
      <c r="J3251" s="1">
        <v>29992.246632154558</v>
      </c>
      <c r="K3251" s="1">
        <v>22</v>
      </c>
      <c r="L3251" s="1">
        <v>20</v>
      </c>
      <c r="M3251" s="1">
        <v>20.538169999562626</v>
      </c>
      <c r="N3251" s="1">
        <v>574346</v>
      </c>
    </row>
    <row r="3252" spans="1:14" x14ac:dyDescent="0.35">
      <c r="A3252" s="1" t="s">
        <v>45</v>
      </c>
      <c r="B3252" s="1">
        <v>202506</v>
      </c>
      <c r="C3252" s="1" t="str">
        <f>MID(analisis_productividad__4[[#This Row],[Periodo]],1,4)</f>
        <v>2025</v>
      </c>
      <c r="D3252" s="1" t="str">
        <f>MID(analisis_productividad__4[[#This Row],[Periodo]],5,2)</f>
        <v>06</v>
      </c>
      <c r="E3252" s="1" t="s">
        <v>34</v>
      </c>
      <c r="F3252" s="1" t="s">
        <v>35</v>
      </c>
      <c r="G3252" s="1">
        <v>29267</v>
      </c>
      <c r="H3252" s="1">
        <v>494849</v>
      </c>
      <c r="I3252" s="1">
        <v>16.908111111111111</v>
      </c>
      <c r="J3252" s="1">
        <v>38522.678526909687</v>
      </c>
      <c r="K3252" s="1">
        <v>22.5</v>
      </c>
      <c r="L3252" s="1">
        <v>21</v>
      </c>
      <c r="M3252" s="1">
        <v>12.845666472914836</v>
      </c>
      <c r="N3252" s="1">
        <v>593289</v>
      </c>
    </row>
    <row r="3253" spans="1:14" x14ac:dyDescent="0.35">
      <c r="A3253" s="1" t="s">
        <v>122</v>
      </c>
      <c r="B3253" s="1">
        <v>202408</v>
      </c>
      <c r="C3253" s="1" t="str">
        <f>MID(analisis_productividad__4[[#This Row],[Periodo]],1,4)</f>
        <v>2024</v>
      </c>
      <c r="D3253" s="1" t="str">
        <f>MID(analisis_productividad__4[[#This Row],[Periodo]],5,2)</f>
        <v>08</v>
      </c>
      <c r="E3253" s="1" t="s">
        <v>104</v>
      </c>
      <c r="F3253" s="1" t="s">
        <v>104</v>
      </c>
      <c r="G3253" s="1">
        <v>29201</v>
      </c>
      <c r="H3253" s="1">
        <v>581869</v>
      </c>
      <c r="I3253" s="1">
        <v>19.926243279569889</v>
      </c>
      <c r="J3253" s="1">
        <v>0</v>
      </c>
      <c r="K3253" s="1">
        <v>22</v>
      </c>
      <c r="L3253" s="1">
        <v>20</v>
      </c>
      <c r="M3253" s="1"/>
      <c r="N3253" s="1">
        <v>0</v>
      </c>
    </row>
    <row r="3254" spans="1:14" x14ac:dyDescent="0.35">
      <c r="A3254" s="1" t="s">
        <v>129</v>
      </c>
      <c r="B3254" s="1">
        <v>202502</v>
      </c>
      <c r="C3254" s="1" t="str">
        <f>MID(analisis_productividad__4[[#This Row],[Periodo]],1,4)</f>
        <v>2025</v>
      </c>
      <c r="D3254" s="1" t="str">
        <f>MID(analisis_productividad__4[[#This Row],[Periodo]],5,2)</f>
        <v>02</v>
      </c>
      <c r="E3254" s="1" t="s">
        <v>9</v>
      </c>
      <c r="F3254" s="1" t="s">
        <v>9</v>
      </c>
      <c r="G3254" s="1">
        <v>28980</v>
      </c>
      <c r="H3254" s="1">
        <v>235334</v>
      </c>
      <c r="I3254" s="1">
        <v>8.1205208333333321</v>
      </c>
      <c r="J3254" s="1">
        <v>32877.535840876604</v>
      </c>
      <c r="K3254" s="1">
        <v>9</v>
      </c>
      <c r="L3254" s="1">
        <v>9</v>
      </c>
      <c r="M3254" s="1">
        <v>7.1578950180143854</v>
      </c>
      <c r="N3254" s="1">
        <v>257058</v>
      </c>
    </row>
    <row r="3255" spans="1:14" x14ac:dyDescent="0.35">
      <c r="A3255" s="1" t="s">
        <v>122</v>
      </c>
      <c r="B3255" s="1">
        <v>202405</v>
      </c>
      <c r="C3255" s="1" t="str">
        <f>MID(analisis_productividad__4[[#This Row],[Periodo]],1,4)</f>
        <v>2024</v>
      </c>
      <c r="D3255" s="1" t="str">
        <f>MID(analisis_productividad__4[[#This Row],[Periodo]],5,2)</f>
        <v>05</v>
      </c>
      <c r="E3255" s="1" t="s">
        <v>104</v>
      </c>
      <c r="F3255" s="1" t="s">
        <v>104</v>
      </c>
      <c r="G3255" s="1">
        <v>28564</v>
      </c>
      <c r="H3255" s="1">
        <v>553400</v>
      </c>
      <c r="I3255" s="1">
        <v>19.374005376344083</v>
      </c>
      <c r="J3255" s="1">
        <v>0</v>
      </c>
      <c r="K3255" s="1">
        <v>22</v>
      </c>
      <c r="L3255" s="1">
        <v>20</v>
      </c>
      <c r="M3255" s="1"/>
      <c r="N3255" s="1">
        <v>0</v>
      </c>
    </row>
    <row r="3256" spans="1:14" x14ac:dyDescent="0.35">
      <c r="A3256" s="1" t="s">
        <v>122</v>
      </c>
      <c r="B3256" s="1">
        <v>202508</v>
      </c>
      <c r="C3256" s="1" t="str">
        <f>MID(analisis_productividad__4[[#This Row],[Periodo]],1,4)</f>
        <v>2025</v>
      </c>
      <c r="D3256" s="1" t="str">
        <f>MID(analisis_productividad__4[[#This Row],[Periodo]],5,2)</f>
        <v>08</v>
      </c>
      <c r="E3256" s="1" t="s">
        <v>104</v>
      </c>
      <c r="F3256" s="1" t="s">
        <v>104</v>
      </c>
      <c r="G3256" s="1">
        <v>28531</v>
      </c>
      <c r="H3256" s="1">
        <v>472424</v>
      </c>
      <c r="I3256" s="1">
        <v>16.558010752688169</v>
      </c>
      <c r="J3256" s="1">
        <v>30661.214932892653</v>
      </c>
      <c r="K3256" s="1">
        <v>22</v>
      </c>
      <c r="L3256" s="1">
        <v>20</v>
      </c>
      <c r="M3256" s="1">
        <v>15.407861398642575</v>
      </c>
      <c r="N3256" s="1">
        <v>603680</v>
      </c>
    </row>
    <row r="3257" spans="1:14" x14ac:dyDescent="0.35">
      <c r="A3257" s="1" t="s">
        <v>130</v>
      </c>
      <c r="B3257" s="1">
        <v>202402</v>
      </c>
      <c r="C3257" s="1" t="str">
        <f>MID(analisis_productividad__4[[#This Row],[Periodo]],1,4)</f>
        <v>2024</v>
      </c>
      <c r="D3257" s="1" t="str">
        <f>MID(analisis_productividad__4[[#This Row],[Periodo]],5,2)</f>
        <v>02</v>
      </c>
      <c r="E3257" s="1" t="s">
        <v>9</v>
      </c>
      <c r="F3257" s="1" t="s">
        <v>9</v>
      </c>
      <c r="G3257" s="1">
        <v>28344</v>
      </c>
      <c r="H3257" s="1">
        <v>132840</v>
      </c>
      <c r="I3257" s="1">
        <v>4.6867816091954033</v>
      </c>
      <c r="J3257" s="1">
        <v>0</v>
      </c>
      <c r="K3257" s="1">
        <v>7</v>
      </c>
      <c r="L3257" s="1">
        <v>6.5</v>
      </c>
      <c r="M3257" s="1"/>
      <c r="N3257" s="1">
        <v>0</v>
      </c>
    </row>
    <row r="3258" spans="1:14" x14ac:dyDescent="0.35">
      <c r="A3258" s="1" t="s">
        <v>130</v>
      </c>
      <c r="B3258" s="1">
        <v>202401</v>
      </c>
      <c r="C3258" s="1" t="str">
        <f>MID(analisis_productividad__4[[#This Row],[Periodo]],1,4)</f>
        <v>2024</v>
      </c>
      <c r="D3258" s="1" t="str">
        <f>MID(analisis_productividad__4[[#This Row],[Periodo]],5,2)</f>
        <v>01</v>
      </c>
      <c r="E3258" s="1" t="s">
        <v>9</v>
      </c>
      <c r="F3258" s="1" t="s">
        <v>9</v>
      </c>
      <c r="G3258" s="1">
        <v>27989</v>
      </c>
      <c r="H3258" s="1">
        <v>151226</v>
      </c>
      <c r="I3258" s="1">
        <v>5.4030779569892466</v>
      </c>
      <c r="J3258" s="1">
        <v>0</v>
      </c>
      <c r="K3258" s="1">
        <v>7</v>
      </c>
      <c r="L3258" s="1">
        <v>6.5</v>
      </c>
      <c r="M3258" s="1"/>
      <c r="N3258" s="1">
        <v>0</v>
      </c>
    </row>
    <row r="3259" spans="1:14" x14ac:dyDescent="0.35">
      <c r="A3259" s="1" t="s">
        <v>126</v>
      </c>
      <c r="B3259" s="1">
        <v>202602</v>
      </c>
      <c r="C3259" s="1" t="str">
        <f>MID(analisis_productividad__4[[#This Row],[Periodo]],1,4)</f>
        <v>2026</v>
      </c>
      <c r="D3259" s="1" t="str">
        <f>MID(analisis_productividad__4[[#This Row],[Periodo]],5,2)</f>
        <v>02</v>
      </c>
      <c r="E3259" s="1" t="s">
        <v>104</v>
      </c>
      <c r="F3259" s="1" t="s">
        <v>104</v>
      </c>
      <c r="G3259" s="1">
        <v>27306</v>
      </c>
      <c r="H3259" s="1">
        <v>1387612</v>
      </c>
      <c r="I3259" s="1">
        <v>50.817395833333336</v>
      </c>
      <c r="J3259" s="1">
        <v>55556.282297945872</v>
      </c>
      <c r="K3259" s="1">
        <v>64.5</v>
      </c>
      <c r="L3259" s="1">
        <v>61</v>
      </c>
      <c r="M3259" s="1">
        <v>55.57085132952011</v>
      </c>
      <c r="N3259" s="1">
        <v>3087310</v>
      </c>
    </row>
    <row r="3260" spans="1:14" x14ac:dyDescent="0.35">
      <c r="A3260" s="1" t="s">
        <v>130</v>
      </c>
      <c r="B3260" s="1">
        <v>202603</v>
      </c>
      <c r="C3260" s="1" t="str">
        <f>MID(analisis_productividad__4[[#This Row],[Periodo]],1,4)</f>
        <v>2026</v>
      </c>
      <c r="D3260" s="1" t="str">
        <f>MID(analisis_productividad__4[[#This Row],[Periodo]],5,2)</f>
        <v>03</v>
      </c>
      <c r="E3260" s="1" t="s">
        <v>9</v>
      </c>
      <c r="F3260" s="1" t="s">
        <v>9</v>
      </c>
      <c r="G3260" s="1">
        <v>26983</v>
      </c>
      <c r="H3260" s="1">
        <v>154463</v>
      </c>
      <c r="I3260" s="1">
        <v>5.7243817204301077</v>
      </c>
      <c r="J3260" s="1">
        <v>22703.842946305413</v>
      </c>
      <c r="K3260" s="1">
        <v>7</v>
      </c>
      <c r="L3260" s="1">
        <v>6.5</v>
      </c>
      <c r="M3260" s="1">
        <v>6.4427386872759902</v>
      </c>
      <c r="N3260" s="1">
        <v>146275</v>
      </c>
    </row>
    <row r="3261" spans="1:14" x14ac:dyDescent="0.35">
      <c r="A3261" s="1" t="s">
        <v>122</v>
      </c>
      <c r="B3261" s="1">
        <v>202406</v>
      </c>
      <c r="C3261" s="1" t="str">
        <f>MID(analisis_productividad__4[[#This Row],[Periodo]],1,4)</f>
        <v>2024</v>
      </c>
      <c r="D3261" s="1" t="str">
        <f>MID(analisis_productividad__4[[#This Row],[Periodo]],5,2)</f>
        <v>06</v>
      </c>
      <c r="E3261" s="1" t="s">
        <v>104</v>
      </c>
      <c r="F3261" s="1" t="s">
        <v>104</v>
      </c>
      <c r="G3261" s="1">
        <v>26299</v>
      </c>
      <c r="H3261" s="1">
        <v>504101</v>
      </c>
      <c r="I3261" s="1">
        <v>19.167993055555556</v>
      </c>
      <c r="J3261" s="1">
        <v>0</v>
      </c>
      <c r="K3261" s="1">
        <v>22</v>
      </c>
      <c r="L3261" s="1">
        <v>20</v>
      </c>
      <c r="M3261" s="1"/>
      <c r="N3261" s="1">
        <v>0</v>
      </c>
    </row>
    <row r="3262" spans="1:14" x14ac:dyDescent="0.35">
      <c r="A3262" s="1" t="s">
        <v>130</v>
      </c>
      <c r="B3262" s="1">
        <v>202507</v>
      </c>
      <c r="C3262" s="1" t="str">
        <f>MID(analisis_productividad__4[[#This Row],[Periodo]],1,4)</f>
        <v>2025</v>
      </c>
      <c r="D3262" s="1" t="str">
        <f>MID(analisis_productividad__4[[#This Row],[Periodo]],5,2)</f>
        <v>07</v>
      </c>
      <c r="E3262" s="1" t="s">
        <v>9</v>
      </c>
      <c r="F3262" s="1" t="s">
        <v>9</v>
      </c>
      <c r="G3262" s="1">
        <v>26212</v>
      </c>
      <c r="H3262" s="1">
        <v>160065</v>
      </c>
      <c r="I3262" s="1">
        <v>6.1066061827956988</v>
      </c>
      <c r="J3262" s="1">
        <v>30890.535689680994</v>
      </c>
      <c r="K3262" s="1">
        <v>7</v>
      </c>
      <c r="L3262" s="1">
        <v>6.5</v>
      </c>
      <c r="M3262" s="1">
        <v>5.1816796447939177</v>
      </c>
      <c r="N3262" s="1">
        <v>174335</v>
      </c>
    </row>
    <row r="3263" spans="1:14" x14ac:dyDescent="0.35">
      <c r="A3263" s="1" t="s">
        <v>122</v>
      </c>
      <c r="B3263" s="1">
        <v>202411</v>
      </c>
      <c r="C3263" s="1" t="str">
        <f>MID(analisis_productividad__4[[#This Row],[Periodo]],1,4)</f>
        <v>2024</v>
      </c>
      <c r="D3263" s="1" t="str">
        <f>MID(analisis_productividad__4[[#This Row],[Periodo]],5,2)</f>
        <v>11</v>
      </c>
      <c r="E3263" s="1" t="s">
        <v>104</v>
      </c>
      <c r="F3263" s="1" t="s">
        <v>104</v>
      </c>
      <c r="G3263" s="1">
        <v>26172</v>
      </c>
      <c r="H3263" s="1">
        <v>917157</v>
      </c>
      <c r="I3263" s="1">
        <v>35.043895833333302</v>
      </c>
      <c r="J3263" s="1">
        <v>0</v>
      </c>
      <c r="K3263" s="1">
        <v>22</v>
      </c>
      <c r="L3263" s="1">
        <v>20</v>
      </c>
      <c r="M3263" s="1"/>
      <c r="N3263" s="1">
        <v>0</v>
      </c>
    </row>
    <row r="3264" spans="1:14" x14ac:dyDescent="0.35">
      <c r="A3264" s="1" t="s">
        <v>130</v>
      </c>
      <c r="B3264" s="1">
        <v>202510</v>
      </c>
      <c r="C3264" s="1" t="str">
        <f>MID(analisis_productividad__4[[#This Row],[Periodo]],1,4)</f>
        <v>2025</v>
      </c>
      <c r="D3264" s="1" t="str">
        <f>MID(analisis_productividad__4[[#This Row],[Periodo]],5,2)</f>
        <v>10</v>
      </c>
      <c r="E3264" s="1" t="s">
        <v>9</v>
      </c>
      <c r="F3264" s="1" t="s">
        <v>9</v>
      </c>
      <c r="G3264" s="1">
        <v>25231</v>
      </c>
      <c r="H3264" s="1">
        <v>137752</v>
      </c>
      <c r="I3264" s="1">
        <v>5.4595766129032262</v>
      </c>
      <c r="J3264" s="1">
        <v>24457.127410796402</v>
      </c>
      <c r="K3264" s="1">
        <v>7</v>
      </c>
      <c r="L3264" s="1">
        <v>6.5</v>
      </c>
      <c r="M3264" s="1">
        <v>5.6323732418056034</v>
      </c>
      <c r="N3264" s="1">
        <v>166838</v>
      </c>
    </row>
    <row r="3265" spans="1:14" x14ac:dyDescent="0.35">
      <c r="A3265" s="1" t="s">
        <v>130</v>
      </c>
      <c r="B3265" s="1">
        <v>202403</v>
      </c>
      <c r="C3265" s="1" t="str">
        <f>MID(analisis_productividad__4[[#This Row],[Periodo]],1,4)</f>
        <v>2024</v>
      </c>
      <c r="D3265" s="1" t="str">
        <f>MID(analisis_productividad__4[[#This Row],[Periodo]],5,2)</f>
        <v>03</v>
      </c>
      <c r="E3265" s="1" t="s">
        <v>9</v>
      </c>
      <c r="F3265" s="1" t="s">
        <v>9</v>
      </c>
      <c r="G3265" s="1">
        <v>25202</v>
      </c>
      <c r="H3265" s="1">
        <v>157353</v>
      </c>
      <c r="I3265" s="1">
        <v>6.24364247311828</v>
      </c>
      <c r="J3265" s="1">
        <v>0</v>
      </c>
      <c r="K3265" s="1">
        <v>7</v>
      </c>
      <c r="L3265" s="1">
        <v>6.5</v>
      </c>
      <c r="M3265" s="1"/>
      <c r="N3265" s="1">
        <v>0</v>
      </c>
    </row>
    <row r="3266" spans="1:14" x14ac:dyDescent="0.35">
      <c r="A3266" s="1" t="s">
        <v>130</v>
      </c>
      <c r="B3266" s="1">
        <v>202406</v>
      </c>
      <c r="C3266" s="1" t="str">
        <f>MID(analisis_productividad__4[[#This Row],[Periodo]],1,4)</f>
        <v>2024</v>
      </c>
      <c r="D3266" s="1" t="str">
        <f>MID(analisis_productividad__4[[#This Row],[Periodo]],5,2)</f>
        <v>06</v>
      </c>
      <c r="E3266" s="1" t="s">
        <v>9</v>
      </c>
      <c r="F3266" s="1" t="s">
        <v>9</v>
      </c>
      <c r="G3266" s="1">
        <v>25199</v>
      </c>
      <c r="H3266" s="1">
        <v>148245</v>
      </c>
      <c r="I3266" s="1">
        <v>5.8829166666666657</v>
      </c>
      <c r="J3266" s="1">
        <v>0</v>
      </c>
      <c r="K3266" s="1">
        <v>7</v>
      </c>
      <c r="L3266" s="1">
        <v>6.5</v>
      </c>
      <c r="M3266" s="1"/>
      <c r="N3266" s="1">
        <v>0</v>
      </c>
    </row>
    <row r="3267" spans="1:14" x14ac:dyDescent="0.35">
      <c r="A3267" s="1" t="s">
        <v>130</v>
      </c>
      <c r="B3267" s="1">
        <v>202504</v>
      </c>
      <c r="C3267" s="1" t="str">
        <f>MID(analisis_productividad__4[[#This Row],[Periodo]],1,4)</f>
        <v>2025</v>
      </c>
      <c r="D3267" s="1" t="str">
        <f>MID(analisis_productividad__4[[#This Row],[Periodo]],5,2)</f>
        <v>04</v>
      </c>
      <c r="E3267" s="1" t="s">
        <v>9</v>
      </c>
      <c r="F3267" s="1" t="s">
        <v>9</v>
      </c>
      <c r="G3267" s="1">
        <v>24854</v>
      </c>
      <c r="H3267" s="1">
        <v>138856</v>
      </c>
      <c r="I3267" s="1">
        <v>5.5867777777777796</v>
      </c>
      <c r="J3267" s="1">
        <v>21636.563398790418</v>
      </c>
      <c r="K3267" s="1">
        <v>7</v>
      </c>
      <c r="L3267" s="1">
        <v>6.5</v>
      </c>
      <c r="M3267" s="1">
        <v>6.4176476384305419</v>
      </c>
      <c r="N3267" s="1">
        <v>143253</v>
      </c>
    </row>
    <row r="3268" spans="1:14" x14ac:dyDescent="0.35">
      <c r="A3268" s="1" t="s">
        <v>130</v>
      </c>
      <c r="B3268" s="1">
        <v>202511</v>
      </c>
      <c r="C3268" s="1" t="str">
        <f>MID(analisis_productividad__4[[#This Row],[Periodo]],1,4)</f>
        <v>2025</v>
      </c>
      <c r="D3268" s="1" t="str">
        <f>MID(analisis_productividad__4[[#This Row],[Periodo]],5,2)</f>
        <v>11</v>
      </c>
      <c r="E3268" s="1" t="s">
        <v>9</v>
      </c>
      <c r="F3268" s="1" t="s">
        <v>9</v>
      </c>
      <c r="G3268" s="1">
        <v>24789</v>
      </c>
      <c r="H3268" s="1">
        <v>151921</v>
      </c>
      <c r="I3268" s="1">
        <v>6.1284513888888883</v>
      </c>
      <c r="J3268" s="1">
        <v>23297.806572574351</v>
      </c>
      <c r="K3268" s="1">
        <v>7</v>
      </c>
      <c r="L3268" s="1">
        <v>6.5</v>
      </c>
      <c r="M3268" s="1">
        <v>6.5208069921413729</v>
      </c>
      <c r="N3268" s="1">
        <v>160193</v>
      </c>
    </row>
    <row r="3269" spans="1:14" x14ac:dyDescent="0.35">
      <c r="A3269" s="1" t="s">
        <v>130</v>
      </c>
      <c r="B3269" s="1">
        <v>202606</v>
      </c>
      <c r="C3269" s="1" t="str">
        <f>MID(analisis_productividad__4[[#This Row],[Periodo]],1,4)</f>
        <v>2026</v>
      </c>
      <c r="D3269" s="1" t="str">
        <f>MID(analisis_productividad__4[[#This Row],[Periodo]],5,2)</f>
        <v>06</v>
      </c>
      <c r="E3269" s="1" t="s">
        <v>9</v>
      </c>
      <c r="F3269" s="1" t="s">
        <v>9</v>
      </c>
      <c r="G3269" s="1">
        <v>24533</v>
      </c>
      <c r="H3269" s="1">
        <v>131548</v>
      </c>
      <c r="I3269" s="1">
        <v>5.3620972222222179</v>
      </c>
      <c r="J3269" s="1">
        <v>20376.016050327267</v>
      </c>
      <c r="K3269" s="1">
        <v>7</v>
      </c>
      <c r="L3269" s="1">
        <v>6.5</v>
      </c>
      <c r="M3269" s="1">
        <v>6.4427386872759902</v>
      </c>
      <c r="N3269" s="1">
        <v>131277</v>
      </c>
    </row>
    <row r="3270" spans="1:14" x14ac:dyDescent="0.35">
      <c r="A3270" s="1" t="s">
        <v>130</v>
      </c>
      <c r="B3270" s="1">
        <v>202604</v>
      </c>
      <c r="C3270" s="1" t="str">
        <f>MID(analisis_productividad__4[[#This Row],[Periodo]],1,4)</f>
        <v>2026</v>
      </c>
      <c r="D3270" s="1" t="str">
        <f>MID(analisis_productividad__4[[#This Row],[Periodo]],5,2)</f>
        <v>04</v>
      </c>
      <c r="E3270" s="1" t="s">
        <v>9</v>
      </c>
      <c r="F3270" s="1" t="s">
        <v>9</v>
      </c>
      <c r="G3270" s="1">
        <v>24250</v>
      </c>
      <c r="H3270" s="1">
        <v>152157</v>
      </c>
      <c r="I3270" s="1">
        <v>6.27438194444444</v>
      </c>
      <c r="J3270" s="1">
        <v>21285.951729012795</v>
      </c>
      <c r="K3270" s="1">
        <v>7</v>
      </c>
      <c r="L3270" s="1">
        <v>6.5</v>
      </c>
      <c r="M3270" s="1">
        <v>6.4427386872759902</v>
      </c>
      <c r="N3270" s="1">
        <v>137140</v>
      </c>
    </row>
    <row r="3271" spans="1:14" x14ac:dyDescent="0.35">
      <c r="A3271" s="1" t="s">
        <v>122</v>
      </c>
      <c r="B3271" s="1">
        <v>202606</v>
      </c>
      <c r="C3271" s="1" t="str">
        <f>MID(analisis_productividad__4[[#This Row],[Periodo]],1,4)</f>
        <v>2026</v>
      </c>
      <c r="D3271" s="1" t="str">
        <f>MID(analisis_productividad__4[[#This Row],[Periodo]],5,2)</f>
        <v>06</v>
      </c>
      <c r="E3271" s="1" t="s">
        <v>104</v>
      </c>
      <c r="F3271" s="1" t="s">
        <v>104</v>
      </c>
      <c r="G3271" s="1">
        <v>24195</v>
      </c>
      <c r="H3271" s="1">
        <v>458564</v>
      </c>
      <c r="I3271" s="1">
        <v>18.952986111111098</v>
      </c>
      <c r="J3271" s="1">
        <v>4568.0532851196676</v>
      </c>
      <c r="K3271" s="1">
        <v>22</v>
      </c>
      <c r="L3271" s="1">
        <v>20</v>
      </c>
      <c r="M3271" s="1">
        <v>96.1</v>
      </c>
      <c r="N3271" s="1">
        <v>438990</v>
      </c>
    </row>
    <row r="3272" spans="1:14" x14ac:dyDescent="0.35">
      <c r="A3272" s="1" t="s">
        <v>127</v>
      </c>
      <c r="B3272" s="1">
        <v>202507</v>
      </c>
      <c r="C3272" s="1" t="str">
        <f>MID(analisis_productividad__4[[#This Row],[Periodo]],1,4)</f>
        <v>2025</v>
      </c>
      <c r="D3272" s="1" t="str">
        <f>MID(analisis_productividad__4[[#This Row],[Periodo]],5,2)</f>
        <v>07</v>
      </c>
      <c r="E3272" s="1" t="s">
        <v>104</v>
      </c>
      <c r="F3272" s="1" t="s">
        <v>104</v>
      </c>
      <c r="G3272" s="1">
        <v>24090</v>
      </c>
      <c r="H3272" s="1">
        <v>1048428</v>
      </c>
      <c r="I3272" s="1">
        <v>43.520571236559121</v>
      </c>
      <c r="J3272" s="1">
        <v>59276.347496433373</v>
      </c>
      <c r="K3272" s="1">
        <v>61.5</v>
      </c>
      <c r="L3272" s="1">
        <v>56</v>
      </c>
      <c r="M3272" s="1">
        <v>17.687120652349293</v>
      </c>
      <c r="N3272" s="1">
        <v>3463797</v>
      </c>
    </row>
    <row r="3273" spans="1:14" x14ac:dyDescent="0.35">
      <c r="A3273" s="1" t="s">
        <v>122</v>
      </c>
      <c r="B3273" s="1">
        <v>202509</v>
      </c>
      <c r="C3273" s="1" t="str">
        <f>MID(analisis_productividad__4[[#This Row],[Periodo]],1,4)</f>
        <v>2025</v>
      </c>
      <c r="D3273" s="1" t="str">
        <f>MID(analisis_productividad__4[[#This Row],[Periodo]],5,2)</f>
        <v>09</v>
      </c>
      <c r="E3273" s="1" t="s">
        <v>104</v>
      </c>
      <c r="F3273" s="1" t="s">
        <v>104</v>
      </c>
      <c r="G3273" s="1">
        <v>23888</v>
      </c>
      <c r="H3273" s="1">
        <v>419456</v>
      </c>
      <c r="I3273" s="1">
        <v>17.55896527777778</v>
      </c>
      <c r="J3273" s="1">
        <v>24587.693443984259</v>
      </c>
      <c r="K3273" s="1">
        <v>22</v>
      </c>
      <c r="L3273" s="1">
        <v>20</v>
      </c>
      <c r="M3273" s="1">
        <v>17.05960630083527</v>
      </c>
      <c r="N3273" s="1">
        <v>544475</v>
      </c>
    </row>
    <row r="3274" spans="1:14" x14ac:dyDescent="0.35">
      <c r="A3274" s="1" t="s">
        <v>130</v>
      </c>
      <c r="B3274" s="1">
        <v>202605</v>
      </c>
      <c r="C3274" s="1" t="str">
        <f>MID(analisis_productividad__4[[#This Row],[Periodo]],1,4)</f>
        <v>2026</v>
      </c>
      <c r="D3274" s="1" t="str">
        <f>MID(analisis_productividad__4[[#This Row],[Periodo]],5,2)</f>
        <v>05</v>
      </c>
      <c r="E3274" s="1" t="s">
        <v>9</v>
      </c>
      <c r="F3274" s="1" t="s">
        <v>9</v>
      </c>
      <c r="G3274" s="1">
        <v>23509</v>
      </c>
      <c r="H3274" s="1">
        <v>155417</v>
      </c>
      <c r="I3274" s="1">
        <v>6.6110954301075369</v>
      </c>
      <c r="J3274" s="1">
        <v>21966.780459295285</v>
      </c>
      <c r="K3274" s="1">
        <v>7</v>
      </c>
      <c r="L3274" s="1">
        <v>6.5</v>
      </c>
      <c r="M3274" s="1">
        <v>6.4427386872759902</v>
      </c>
      <c r="N3274" s="1">
        <v>141526</v>
      </c>
    </row>
    <row r="3275" spans="1:14" x14ac:dyDescent="0.35">
      <c r="A3275" s="1" t="s">
        <v>130</v>
      </c>
      <c r="B3275" s="1">
        <v>202509</v>
      </c>
      <c r="C3275" s="1" t="str">
        <f>MID(analisis_productividad__4[[#This Row],[Periodo]],1,4)</f>
        <v>2025</v>
      </c>
      <c r="D3275" s="1" t="str">
        <f>MID(analisis_productividad__4[[#This Row],[Periodo]],5,2)</f>
        <v>09</v>
      </c>
      <c r="E3275" s="1" t="s">
        <v>9</v>
      </c>
      <c r="F3275" s="1" t="s">
        <v>9</v>
      </c>
      <c r="G3275" s="1">
        <v>23451</v>
      </c>
      <c r="H3275" s="1">
        <v>133939</v>
      </c>
      <c r="I3275" s="1">
        <v>5.7114166666666666</v>
      </c>
      <c r="J3275" s="1">
        <v>23429.179367228855</v>
      </c>
      <c r="K3275" s="1">
        <v>7</v>
      </c>
      <c r="L3275" s="1">
        <v>6.5</v>
      </c>
      <c r="M3275" s="1">
        <v>5.716759767836546</v>
      </c>
      <c r="N3275" s="1">
        <v>159327</v>
      </c>
    </row>
    <row r="3276" spans="1:14" x14ac:dyDescent="0.35">
      <c r="A3276" s="1" t="s">
        <v>122</v>
      </c>
      <c r="B3276" s="1">
        <v>202409</v>
      </c>
      <c r="C3276" s="1" t="str">
        <f>MID(analisis_productividad__4[[#This Row],[Periodo]],1,4)</f>
        <v>2024</v>
      </c>
      <c r="D3276" s="1" t="str">
        <f>MID(analisis_productividad__4[[#This Row],[Periodo]],5,2)</f>
        <v>09</v>
      </c>
      <c r="E3276" s="1" t="s">
        <v>104</v>
      </c>
      <c r="F3276" s="1" t="s">
        <v>104</v>
      </c>
      <c r="G3276" s="1">
        <v>23417</v>
      </c>
      <c r="H3276" s="1">
        <v>441401</v>
      </c>
      <c r="I3276" s="1">
        <v>18.84973611111111</v>
      </c>
      <c r="J3276" s="1">
        <v>0</v>
      </c>
      <c r="K3276" s="1">
        <v>22</v>
      </c>
      <c r="L3276" s="1">
        <v>20</v>
      </c>
      <c r="M3276" s="1"/>
      <c r="N3276" s="1">
        <v>0</v>
      </c>
    </row>
    <row r="3277" spans="1:14" x14ac:dyDescent="0.35">
      <c r="A3277" s="1" t="s">
        <v>130</v>
      </c>
      <c r="B3277" s="1">
        <v>202410</v>
      </c>
      <c r="C3277" s="1" t="str">
        <f>MID(analisis_productividad__4[[#This Row],[Periodo]],1,4)</f>
        <v>2024</v>
      </c>
      <c r="D3277" s="1" t="str">
        <f>MID(analisis_productividad__4[[#This Row],[Periodo]],5,2)</f>
        <v>10</v>
      </c>
      <c r="E3277" s="1" t="s">
        <v>9</v>
      </c>
      <c r="F3277" s="1" t="s">
        <v>9</v>
      </c>
      <c r="G3277" s="1">
        <v>23293</v>
      </c>
      <c r="H3277" s="1">
        <v>139389</v>
      </c>
      <c r="I3277" s="1">
        <v>5.9842943548387115</v>
      </c>
      <c r="J3277" s="1">
        <v>0</v>
      </c>
      <c r="K3277" s="1">
        <v>7</v>
      </c>
      <c r="L3277" s="1">
        <v>6.5</v>
      </c>
      <c r="M3277" s="1"/>
      <c r="N3277" s="1">
        <v>0</v>
      </c>
    </row>
    <row r="3278" spans="1:14" x14ac:dyDescent="0.35">
      <c r="A3278" s="1" t="s">
        <v>130</v>
      </c>
      <c r="B3278" s="1">
        <v>202503</v>
      </c>
      <c r="C3278" s="1" t="str">
        <f>MID(analisis_productividad__4[[#This Row],[Periodo]],1,4)</f>
        <v>2025</v>
      </c>
      <c r="D3278" s="1" t="str">
        <f>MID(analisis_productividad__4[[#This Row],[Periodo]],5,2)</f>
        <v>03</v>
      </c>
      <c r="E3278" s="1" t="s">
        <v>9</v>
      </c>
      <c r="F3278" s="1" t="s">
        <v>9</v>
      </c>
      <c r="G3278" s="1">
        <v>22963</v>
      </c>
      <c r="H3278" s="1">
        <v>142976</v>
      </c>
      <c r="I3278" s="1">
        <v>6.2264717741935494</v>
      </c>
      <c r="J3278" s="1">
        <v>26462.199623272707</v>
      </c>
      <c r="K3278" s="1">
        <v>7</v>
      </c>
      <c r="L3278" s="1">
        <v>6.5</v>
      </c>
      <c r="M3278" s="1">
        <v>5.4030130539207812</v>
      </c>
      <c r="N3278" s="1">
        <v>155591</v>
      </c>
    </row>
    <row r="3279" spans="1:14" x14ac:dyDescent="0.35">
      <c r="A3279" s="1" t="s">
        <v>130</v>
      </c>
      <c r="B3279" s="1">
        <v>202508</v>
      </c>
      <c r="C3279" s="1" t="str">
        <f>MID(analisis_productividad__4[[#This Row],[Periodo]],1,4)</f>
        <v>2025</v>
      </c>
      <c r="D3279" s="1" t="str">
        <f>MID(analisis_productividad__4[[#This Row],[Periodo]],5,2)</f>
        <v>08</v>
      </c>
      <c r="E3279" s="1" t="s">
        <v>9</v>
      </c>
      <c r="F3279" s="1" t="s">
        <v>9</v>
      </c>
      <c r="G3279" s="1">
        <v>22841</v>
      </c>
      <c r="H3279" s="1">
        <v>153313</v>
      </c>
      <c r="I3279" s="1">
        <v>6.7122849462365597</v>
      </c>
      <c r="J3279" s="1">
        <v>31607.770858196818</v>
      </c>
      <c r="K3279" s="1">
        <v>7</v>
      </c>
      <c r="L3279" s="1">
        <v>6.5</v>
      </c>
      <c r="M3279" s="1">
        <v>4.8504945409727123</v>
      </c>
      <c r="N3279" s="1">
        <v>164173</v>
      </c>
    </row>
    <row r="3280" spans="1:14" x14ac:dyDescent="0.35">
      <c r="A3280" s="1" t="s">
        <v>130</v>
      </c>
      <c r="B3280" s="1">
        <v>202602</v>
      </c>
      <c r="C3280" s="1" t="str">
        <f>MID(analisis_productividad__4[[#This Row],[Periodo]],1,4)</f>
        <v>2026</v>
      </c>
      <c r="D3280" s="1" t="str">
        <f>MID(analisis_productividad__4[[#This Row],[Periodo]],5,2)</f>
        <v>02</v>
      </c>
      <c r="E3280" s="1" t="s">
        <v>9</v>
      </c>
      <c r="F3280" s="1" t="s">
        <v>9</v>
      </c>
      <c r="G3280" s="1">
        <v>22783</v>
      </c>
      <c r="H3280" s="1">
        <v>146358</v>
      </c>
      <c r="I3280" s="1">
        <v>6.4238541666666666</v>
      </c>
      <c r="J3280" s="1">
        <v>20405.459848874405</v>
      </c>
      <c r="K3280" s="1">
        <v>7</v>
      </c>
      <c r="L3280" s="1">
        <v>6.5</v>
      </c>
      <c r="M3280" s="1">
        <v>6.4427386872759902</v>
      </c>
      <c r="N3280" s="1">
        <v>131467</v>
      </c>
    </row>
    <row r="3281" spans="1:14" x14ac:dyDescent="0.35">
      <c r="A3281" s="1" t="s">
        <v>130</v>
      </c>
      <c r="B3281" s="1">
        <v>202405</v>
      </c>
      <c r="C3281" s="1" t="str">
        <f>MID(analisis_productividad__4[[#This Row],[Periodo]],1,4)</f>
        <v>2024</v>
      </c>
      <c r="D3281" s="1" t="str">
        <f>MID(analisis_productividad__4[[#This Row],[Periodo]],5,2)</f>
        <v>05</v>
      </c>
      <c r="E3281" s="1" t="s">
        <v>9</v>
      </c>
      <c r="F3281" s="1" t="s">
        <v>9</v>
      </c>
      <c r="G3281" s="1">
        <v>22682</v>
      </c>
      <c r="H3281" s="1">
        <v>139881</v>
      </c>
      <c r="I3281" s="1">
        <v>6.1670094086021514</v>
      </c>
      <c r="J3281" s="1">
        <v>0</v>
      </c>
      <c r="K3281" s="1">
        <v>7</v>
      </c>
      <c r="L3281" s="1">
        <v>6.5</v>
      </c>
      <c r="M3281" s="1"/>
      <c r="N3281" s="1">
        <v>0</v>
      </c>
    </row>
    <row r="3282" spans="1:14" x14ac:dyDescent="0.35">
      <c r="A3282" s="1" t="s">
        <v>130</v>
      </c>
      <c r="B3282" s="1">
        <v>202601</v>
      </c>
      <c r="C3282" s="1" t="str">
        <f>MID(analisis_productividad__4[[#This Row],[Periodo]],1,4)</f>
        <v>2026</v>
      </c>
      <c r="D3282" s="1" t="str">
        <f>MID(analisis_productividad__4[[#This Row],[Periodo]],5,2)</f>
        <v>01</v>
      </c>
      <c r="E3282" s="1" t="s">
        <v>9</v>
      </c>
      <c r="F3282" s="1" t="s">
        <v>9</v>
      </c>
      <c r="G3282" s="1">
        <v>22571</v>
      </c>
      <c r="H3282" s="1">
        <v>151114</v>
      </c>
      <c r="I3282" s="1">
        <v>6.6951142473118281</v>
      </c>
      <c r="J3282" s="1">
        <v>24633.241964854733</v>
      </c>
      <c r="K3282" s="1">
        <v>7</v>
      </c>
      <c r="L3282" s="1">
        <v>6.5</v>
      </c>
      <c r="M3282" s="1">
        <v>6.4427386872759902</v>
      </c>
      <c r="N3282" s="1">
        <v>158706</v>
      </c>
    </row>
    <row r="3283" spans="1:14" x14ac:dyDescent="0.35">
      <c r="A3283" s="1" t="s">
        <v>130</v>
      </c>
      <c r="B3283" s="1">
        <v>202506</v>
      </c>
      <c r="C3283" s="1" t="str">
        <f>MID(analisis_productividad__4[[#This Row],[Periodo]],1,4)</f>
        <v>2025</v>
      </c>
      <c r="D3283" s="1" t="str">
        <f>MID(analisis_productividad__4[[#This Row],[Periodo]],5,2)</f>
        <v>06</v>
      </c>
      <c r="E3283" s="1" t="s">
        <v>9</v>
      </c>
      <c r="F3283" s="1" t="s">
        <v>9</v>
      </c>
      <c r="G3283" s="1">
        <v>22360</v>
      </c>
      <c r="H3283" s="1">
        <v>132268</v>
      </c>
      <c r="I3283" s="1">
        <v>5.9153888888888888</v>
      </c>
      <c r="J3283" s="1">
        <v>26459.230738720882</v>
      </c>
      <c r="K3283" s="1">
        <v>7</v>
      </c>
      <c r="L3283" s="1">
        <v>6.5</v>
      </c>
      <c r="M3283" s="1">
        <v>4.9989355815411818</v>
      </c>
      <c r="N3283" s="1">
        <v>154731</v>
      </c>
    </row>
    <row r="3284" spans="1:14" x14ac:dyDescent="0.35">
      <c r="A3284" s="1" t="s">
        <v>130</v>
      </c>
      <c r="B3284" s="1">
        <v>202409</v>
      </c>
      <c r="C3284" s="1" t="str">
        <f>MID(analisis_productividad__4[[#This Row],[Periodo]],1,4)</f>
        <v>2024</v>
      </c>
      <c r="D3284" s="1" t="str">
        <f>MID(analisis_productividad__4[[#This Row],[Periodo]],5,2)</f>
        <v>09</v>
      </c>
      <c r="E3284" s="1" t="s">
        <v>9</v>
      </c>
      <c r="F3284" s="1" t="s">
        <v>9</v>
      </c>
      <c r="G3284" s="1">
        <v>22314</v>
      </c>
      <c r="H3284" s="1">
        <v>140974</v>
      </c>
      <c r="I3284" s="1">
        <v>6.3178888888888904</v>
      </c>
      <c r="J3284" s="1">
        <v>0</v>
      </c>
      <c r="K3284" s="1">
        <v>7</v>
      </c>
      <c r="L3284" s="1">
        <v>6.5</v>
      </c>
      <c r="M3284" s="1"/>
      <c r="N3284" s="1">
        <v>0</v>
      </c>
    </row>
    <row r="3285" spans="1:14" x14ac:dyDescent="0.35">
      <c r="A3285" s="1" t="s">
        <v>122</v>
      </c>
      <c r="B3285" s="1">
        <v>202506</v>
      </c>
      <c r="C3285" s="1" t="str">
        <f>MID(analisis_productividad__4[[#This Row],[Periodo]],1,4)</f>
        <v>2025</v>
      </c>
      <c r="D3285" s="1" t="str">
        <f>MID(analisis_productividad__4[[#This Row],[Periodo]],5,2)</f>
        <v>06</v>
      </c>
      <c r="E3285" s="1" t="s">
        <v>104</v>
      </c>
      <c r="F3285" s="1" t="s">
        <v>104</v>
      </c>
      <c r="G3285" s="1">
        <v>22277</v>
      </c>
      <c r="H3285" s="1">
        <v>416162</v>
      </c>
      <c r="I3285" s="1">
        <v>18.68149305555556</v>
      </c>
      <c r="J3285" s="1">
        <v>27614.082599356341</v>
      </c>
      <c r="K3285" s="1">
        <v>22</v>
      </c>
      <c r="L3285" s="1">
        <v>20</v>
      </c>
      <c r="M3285" s="1">
        <v>15.070657462641918</v>
      </c>
      <c r="N3285" s="1">
        <v>523236</v>
      </c>
    </row>
    <row r="3286" spans="1:14" x14ac:dyDescent="0.35">
      <c r="A3286" s="1" t="s">
        <v>130</v>
      </c>
      <c r="B3286" s="1">
        <v>202411</v>
      </c>
      <c r="C3286" s="1" t="str">
        <f>MID(analisis_productividad__4[[#This Row],[Periodo]],1,4)</f>
        <v>2024</v>
      </c>
      <c r="D3286" s="1" t="str">
        <f>MID(analisis_productividad__4[[#This Row],[Periodo]],5,2)</f>
        <v>11</v>
      </c>
      <c r="E3286" s="1" t="s">
        <v>9</v>
      </c>
      <c r="F3286" s="1" t="s">
        <v>9</v>
      </c>
      <c r="G3286" s="1">
        <v>22188</v>
      </c>
      <c r="H3286" s="1">
        <v>144972</v>
      </c>
      <c r="I3286" s="1">
        <v>6.5336736111111104</v>
      </c>
      <c r="J3286" s="1">
        <v>0</v>
      </c>
      <c r="K3286" s="1">
        <v>7</v>
      </c>
      <c r="L3286" s="1">
        <v>6.5</v>
      </c>
      <c r="M3286" s="1"/>
      <c r="N3286" s="1">
        <v>0</v>
      </c>
    </row>
    <row r="3287" spans="1:14" x14ac:dyDescent="0.35">
      <c r="A3287" s="1" t="s">
        <v>130</v>
      </c>
      <c r="B3287" s="1">
        <v>202505</v>
      </c>
      <c r="C3287" s="1" t="str">
        <f>MID(analisis_productividad__4[[#This Row],[Periodo]],1,4)</f>
        <v>2025</v>
      </c>
      <c r="D3287" s="1" t="str">
        <f>MID(analisis_productividad__4[[#This Row],[Periodo]],5,2)</f>
        <v>05</v>
      </c>
      <c r="E3287" s="1" t="s">
        <v>9</v>
      </c>
      <c r="F3287" s="1" t="s">
        <v>9</v>
      </c>
      <c r="G3287" s="1">
        <v>21976</v>
      </c>
      <c r="H3287" s="1">
        <v>140259</v>
      </c>
      <c r="I3287" s="1">
        <v>6.3822311827957003</v>
      </c>
      <c r="J3287" s="1">
        <v>23816.314970288258</v>
      </c>
      <c r="K3287" s="1">
        <v>7</v>
      </c>
      <c r="L3287" s="1">
        <v>6.5</v>
      </c>
      <c r="M3287" s="1">
        <v>5.8891965518166129</v>
      </c>
      <c r="N3287" s="1">
        <v>147720</v>
      </c>
    </row>
    <row r="3288" spans="1:14" x14ac:dyDescent="0.35">
      <c r="A3288" s="1" t="s">
        <v>130</v>
      </c>
      <c r="B3288" s="1">
        <v>202501</v>
      </c>
      <c r="C3288" s="1" t="str">
        <f>MID(analisis_productividad__4[[#This Row],[Periodo]],1,4)</f>
        <v>2025</v>
      </c>
      <c r="D3288" s="1" t="str">
        <f>MID(analisis_productividad__4[[#This Row],[Periodo]],5,2)</f>
        <v>01</v>
      </c>
      <c r="E3288" s="1" t="s">
        <v>9</v>
      </c>
      <c r="F3288" s="1" t="s">
        <v>9</v>
      </c>
      <c r="G3288" s="1">
        <v>21588</v>
      </c>
      <c r="H3288" s="1">
        <v>140000</v>
      </c>
      <c r="I3288" s="1">
        <v>6.4851142473118299</v>
      </c>
      <c r="J3288" s="1">
        <v>29388.351096174276</v>
      </c>
      <c r="K3288" s="1">
        <v>7</v>
      </c>
      <c r="L3288" s="1">
        <v>6.5</v>
      </c>
      <c r="M3288" s="1">
        <v>4.7637881942354001</v>
      </c>
      <c r="N3288" s="1">
        <v>155540</v>
      </c>
    </row>
    <row r="3289" spans="1:14" x14ac:dyDescent="0.35">
      <c r="A3289" s="1" t="s">
        <v>122</v>
      </c>
      <c r="B3289" s="1">
        <v>202511</v>
      </c>
      <c r="C3289" s="1" t="str">
        <f>MID(analisis_productividad__4[[#This Row],[Periodo]],1,4)</f>
        <v>2025</v>
      </c>
      <c r="D3289" s="1" t="str">
        <f>MID(analisis_productividad__4[[#This Row],[Periodo]],5,2)</f>
        <v>11</v>
      </c>
      <c r="E3289" s="1" t="s">
        <v>104</v>
      </c>
      <c r="F3289" s="1" t="s">
        <v>104</v>
      </c>
      <c r="G3289" s="1">
        <v>20848</v>
      </c>
      <c r="H3289" s="1">
        <v>648074</v>
      </c>
      <c r="I3289" s="1">
        <v>31.085250000000006</v>
      </c>
      <c r="J3289" s="1">
        <v>27480.241896621344</v>
      </c>
      <c r="K3289" s="1">
        <v>22</v>
      </c>
      <c r="L3289" s="1">
        <v>20</v>
      </c>
      <c r="M3289" s="1">
        <v>23.583256378819563</v>
      </c>
      <c r="N3289" s="1">
        <v>912748</v>
      </c>
    </row>
    <row r="3290" spans="1:14" x14ac:dyDescent="0.35">
      <c r="A3290" s="1" t="s">
        <v>130</v>
      </c>
      <c r="B3290" s="1">
        <v>202404</v>
      </c>
      <c r="C3290" s="1" t="str">
        <f>MID(analisis_productividad__4[[#This Row],[Periodo]],1,4)</f>
        <v>2024</v>
      </c>
      <c r="D3290" s="1" t="str">
        <f>MID(analisis_productividad__4[[#This Row],[Periodo]],5,2)</f>
        <v>04</v>
      </c>
      <c r="E3290" s="1" t="s">
        <v>9</v>
      </c>
      <c r="F3290" s="1" t="s">
        <v>9</v>
      </c>
      <c r="G3290" s="1">
        <v>20606</v>
      </c>
      <c r="H3290" s="1">
        <v>134157</v>
      </c>
      <c r="I3290" s="1">
        <v>6.5104861111111108</v>
      </c>
      <c r="J3290" s="1">
        <v>0</v>
      </c>
      <c r="K3290" s="1">
        <v>7</v>
      </c>
      <c r="L3290" s="1">
        <v>6.5</v>
      </c>
      <c r="M3290" s="1"/>
      <c r="N3290" s="1">
        <v>0</v>
      </c>
    </row>
    <row r="3291" spans="1:14" x14ac:dyDescent="0.35">
      <c r="A3291" s="1" t="s">
        <v>130</v>
      </c>
      <c r="B3291" s="1">
        <v>202502</v>
      </c>
      <c r="C3291" s="1" t="str">
        <f>MID(analisis_productividad__4[[#This Row],[Periodo]],1,4)</f>
        <v>2025</v>
      </c>
      <c r="D3291" s="1" t="str">
        <f>MID(analisis_productividad__4[[#This Row],[Periodo]],5,2)</f>
        <v>02</v>
      </c>
      <c r="E3291" s="1" t="s">
        <v>9</v>
      </c>
      <c r="F3291" s="1" t="s">
        <v>9</v>
      </c>
      <c r="G3291" s="1">
        <v>20334</v>
      </c>
      <c r="H3291" s="1">
        <v>127168</v>
      </c>
      <c r="I3291" s="1">
        <v>6.2539583333333333</v>
      </c>
      <c r="J3291" s="1">
        <v>29760.817364806866</v>
      </c>
      <c r="K3291" s="1">
        <v>7</v>
      </c>
      <c r="L3291" s="1">
        <v>6.5</v>
      </c>
      <c r="M3291" s="1">
        <v>4.2729995766305882</v>
      </c>
      <c r="N3291" s="1">
        <v>128885</v>
      </c>
    </row>
    <row r="3292" spans="1:14" x14ac:dyDescent="0.35">
      <c r="A3292" s="1" t="s">
        <v>127</v>
      </c>
      <c r="B3292" s="1">
        <v>202603</v>
      </c>
      <c r="C3292" s="1" t="str">
        <f>MID(analisis_productividad__4[[#This Row],[Periodo]],1,4)</f>
        <v>2026</v>
      </c>
      <c r="D3292" s="1" t="str">
        <f>MID(analisis_productividad__4[[#This Row],[Periodo]],5,2)</f>
        <v>03</v>
      </c>
      <c r="E3292" s="1" t="s">
        <v>104</v>
      </c>
      <c r="F3292" s="1" t="s">
        <v>104</v>
      </c>
      <c r="G3292" s="1">
        <v>13301</v>
      </c>
      <c r="H3292" s="1">
        <v>772435</v>
      </c>
      <c r="I3292" s="1">
        <v>58.071915322580651</v>
      </c>
      <c r="J3292" s="1"/>
      <c r="K3292" s="1">
        <v>61.5</v>
      </c>
      <c r="L3292" s="1">
        <v>56</v>
      </c>
      <c r="M3292" s="1"/>
      <c r="N3292" s="1">
        <v>3260483</v>
      </c>
    </row>
    <row r="3293" spans="1:14" x14ac:dyDescent="0.35">
      <c r="A3293" s="1" t="s">
        <v>96</v>
      </c>
      <c r="B3293" s="1">
        <v>202510</v>
      </c>
      <c r="C3293" s="1" t="str">
        <f>MID(analisis_productividad__4[[#This Row],[Periodo]],1,4)</f>
        <v>2025</v>
      </c>
      <c r="D3293" s="1" t="str">
        <f>MID(analisis_productividad__4[[#This Row],[Periodo]],5,2)</f>
        <v>10</v>
      </c>
      <c r="E3293" s="1" t="s">
        <v>16</v>
      </c>
      <c r="F3293" s="1" t="s">
        <v>17</v>
      </c>
      <c r="G3293" s="1"/>
      <c r="H3293" s="1">
        <v>295</v>
      </c>
      <c r="I3293" s="1"/>
      <c r="J3293" s="1">
        <v>0</v>
      </c>
      <c r="K3293" s="1">
        <v>84</v>
      </c>
      <c r="L3293" s="1">
        <v>76.5</v>
      </c>
      <c r="M3293" s="1"/>
      <c r="N3293" s="1"/>
    </row>
    <row r="3294" spans="1:14" x14ac:dyDescent="0.35">
      <c r="A3294" s="1" t="s">
        <v>96</v>
      </c>
      <c r="B3294" s="1">
        <v>202511</v>
      </c>
      <c r="C3294" s="1" t="str">
        <f>MID(analisis_productividad__4[[#This Row],[Periodo]],1,4)</f>
        <v>2025</v>
      </c>
      <c r="D3294" s="1" t="str">
        <f>MID(analisis_productividad__4[[#This Row],[Periodo]],5,2)</f>
        <v>11</v>
      </c>
      <c r="E3294" s="1" t="s">
        <v>16</v>
      </c>
      <c r="F3294" s="1" t="s">
        <v>17</v>
      </c>
      <c r="G3294" s="1"/>
      <c r="H3294" s="1">
        <v>5285248</v>
      </c>
      <c r="I3294" s="1"/>
      <c r="J3294" s="1">
        <v>0</v>
      </c>
      <c r="K3294" s="1">
        <v>84</v>
      </c>
      <c r="L3294" s="1">
        <v>76.5</v>
      </c>
      <c r="M3294" s="1"/>
      <c r="N3294" s="1"/>
    </row>
    <row r="3295" spans="1:14" x14ac:dyDescent="0.35">
      <c r="A3295" s="1" t="s">
        <v>131</v>
      </c>
      <c r="B3295" s="1">
        <v>202506</v>
      </c>
      <c r="C3295" s="1" t="str">
        <f>MID(analisis_productividad__4[[#This Row],[Periodo]],1,4)</f>
        <v>2025</v>
      </c>
      <c r="D3295" s="1" t="str">
        <f>MID(analisis_productividad__4[[#This Row],[Periodo]],5,2)</f>
        <v>06</v>
      </c>
      <c r="E3295" s="1" t="s">
        <v>16</v>
      </c>
      <c r="F3295" s="1" t="s">
        <v>21</v>
      </c>
      <c r="G3295" s="1"/>
      <c r="H3295" s="1">
        <v>76</v>
      </c>
      <c r="I3295" s="1"/>
      <c r="J3295" s="1">
        <v>115748.48877235636</v>
      </c>
      <c r="K3295" s="1">
        <v>99</v>
      </c>
      <c r="L3295" s="1">
        <v>32.5</v>
      </c>
      <c r="M3295" s="1">
        <v>6.5823753560915674E-4</v>
      </c>
      <c r="N3295" s="1">
        <v>11493576</v>
      </c>
    </row>
    <row r="3296" spans="1:14" x14ac:dyDescent="0.35">
      <c r="A3296" s="1" t="s">
        <v>131</v>
      </c>
      <c r="B3296" s="1">
        <v>202510</v>
      </c>
      <c r="C3296" s="1" t="str">
        <f>MID(analisis_productividad__4[[#This Row],[Periodo]],1,4)</f>
        <v>2025</v>
      </c>
      <c r="D3296" s="1" t="str">
        <f>MID(analisis_productividad__4[[#This Row],[Periodo]],5,2)</f>
        <v>10</v>
      </c>
      <c r="E3296" s="1" t="s">
        <v>16</v>
      </c>
      <c r="F3296" s="1" t="s">
        <v>21</v>
      </c>
      <c r="G3296" s="1"/>
      <c r="H3296" s="1">
        <v>1368</v>
      </c>
      <c r="I3296" s="1"/>
      <c r="J3296" s="1">
        <v>95627.042118029654</v>
      </c>
      <c r="K3296" s="1">
        <v>99</v>
      </c>
      <c r="L3296" s="1">
        <v>32.5</v>
      </c>
      <c r="M3296" s="1">
        <v>1.4304321975280443E-2</v>
      </c>
      <c r="N3296" s="1">
        <v>12285584</v>
      </c>
    </row>
    <row r="3297" spans="1:14" x14ac:dyDescent="0.35">
      <c r="A3297" s="1" t="s">
        <v>131</v>
      </c>
      <c r="B3297" s="1">
        <v>202511</v>
      </c>
      <c r="C3297" s="1" t="str">
        <f>MID(analisis_productividad__4[[#This Row],[Periodo]],1,4)</f>
        <v>2025</v>
      </c>
      <c r="D3297" s="1" t="str">
        <f>MID(analisis_productividad__4[[#This Row],[Periodo]],5,2)</f>
        <v>11</v>
      </c>
      <c r="E3297" s="1" t="s">
        <v>16</v>
      </c>
      <c r="F3297" s="1" t="s">
        <v>21</v>
      </c>
      <c r="G3297" s="1"/>
      <c r="H3297" s="1">
        <v>1524</v>
      </c>
      <c r="I3297" s="1"/>
      <c r="J3297" s="1">
        <v>99836.397512044452</v>
      </c>
      <c r="K3297" s="1">
        <v>99</v>
      </c>
      <c r="L3297" s="1">
        <v>32.5</v>
      </c>
      <c r="M3297" s="1">
        <v>1.526226945254284E-2</v>
      </c>
      <c r="N3297" s="1">
        <v>11754443</v>
      </c>
    </row>
    <row r="3298" spans="1:14" x14ac:dyDescent="0.35">
      <c r="A3298" s="1" t="s">
        <v>131</v>
      </c>
      <c r="B3298" s="1">
        <v>202602</v>
      </c>
      <c r="C3298" s="1" t="str">
        <f>MID(analisis_productividad__4[[#This Row],[Periodo]],1,4)</f>
        <v>2026</v>
      </c>
      <c r="D3298" s="1" t="str">
        <f>MID(analisis_productividad__4[[#This Row],[Periodo]],5,2)</f>
        <v>02</v>
      </c>
      <c r="E3298" s="1" t="s">
        <v>16</v>
      </c>
      <c r="F3298" s="1" t="s">
        <v>21</v>
      </c>
      <c r="G3298" s="1"/>
      <c r="H3298" s="1">
        <v>482</v>
      </c>
      <c r="I3298" s="1"/>
      <c r="J3298" s="1">
        <v>0</v>
      </c>
      <c r="K3298" s="1">
        <v>99</v>
      </c>
      <c r="L3298" s="1">
        <v>32.5</v>
      </c>
      <c r="M3298" s="1">
        <v>87.909090308325176</v>
      </c>
      <c r="N3298" s="1">
        <v>0</v>
      </c>
    </row>
    <row r="3299" spans="1:14" x14ac:dyDescent="0.35">
      <c r="A3299" s="1" t="s">
        <v>131</v>
      </c>
      <c r="B3299" s="1">
        <v>202604</v>
      </c>
      <c r="C3299" s="1" t="str">
        <f>MID(analisis_productividad__4[[#This Row],[Periodo]],1,4)</f>
        <v>2026</v>
      </c>
      <c r="D3299" s="1" t="str">
        <f>MID(analisis_productividad__4[[#This Row],[Periodo]],5,2)</f>
        <v>04</v>
      </c>
      <c r="E3299" s="1" t="s">
        <v>16</v>
      </c>
      <c r="F3299" s="1" t="s">
        <v>21</v>
      </c>
      <c r="G3299" s="1"/>
      <c r="H3299" s="1">
        <v>109</v>
      </c>
      <c r="I3299" s="1"/>
      <c r="J3299" s="1">
        <v>0</v>
      </c>
      <c r="K3299" s="1">
        <v>99</v>
      </c>
      <c r="L3299" s="1">
        <v>32.5</v>
      </c>
      <c r="M3299" s="1">
        <v>87.909090308325176</v>
      </c>
      <c r="N3299" s="1"/>
    </row>
    <row r="3300" spans="1:14" x14ac:dyDescent="0.35">
      <c r="A3300" s="1" t="s">
        <v>131</v>
      </c>
      <c r="B3300" s="1">
        <v>202606</v>
      </c>
      <c r="C3300" s="1" t="str">
        <f>MID(analisis_productividad__4[[#This Row],[Periodo]],1,4)</f>
        <v>2026</v>
      </c>
      <c r="D3300" s="1" t="str">
        <f>MID(analisis_productividad__4[[#This Row],[Periodo]],5,2)</f>
        <v>06</v>
      </c>
      <c r="E3300" s="1" t="s">
        <v>16</v>
      </c>
      <c r="F3300" s="1" t="s">
        <v>21</v>
      </c>
      <c r="G3300" s="1"/>
      <c r="H3300" s="1">
        <v>631</v>
      </c>
      <c r="I3300" s="1"/>
      <c r="J3300" s="1">
        <v>0</v>
      </c>
      <c r="K3300" s="1">
        <v>99</v>
      </c>
      <c r="L3300" s="1">
        <v>32.5</v>
      </c>
      <c r="M3300" s="1">
        <v>87.909090308325176</v>
      </c>
      <c r="N3300" s="1"/>
    </row>
    <row r="3301" spans="1:14" x14ac:dyDescent="0.35">
      <c r="A3301" s="1" t="s">
        <v>93</v>
      </c>
      <c r="B3301" s="1">
        <v>202510</v>
      </c>
      <c r="C3301" s="1" t="str">
        <f>MID(analisis_productividad__4[[#This Row],[Periodo]],1,4)</f>
        <v>2025</v>
      </c>
      <c r="D3301" s="1" t="str">
        <f>MID(analisis_productividad__4[[#This Row],[Periodo]],5,2)</f>
        <v>10</v>
      </c>
      <c r="E3301" s="1" t="s">
        <v>16</v>
      </c>
      <c r="F3301" s="1" t="s">
        <v>17</v>
      </c>
      <c r="G3301" s="1"/>
      <c r="H3301" s="1">
        <v>238502</v>
      </c>
      <c r="I3301" s="1"/>
      <c r="J3301" s="1">
        <v>0</v>
      </c>
      <c r="K3301" s="1">
        <v>84</v>
      </c>
      <c r="L3301" s="1">
        <v>76</v>
      </c>
      <c r="M3301" s="1"/>
      <c r="N3301" s="1"/>
    </row>
    <row r="3302" spans="1:14" x14ac:dyDescent="0.35">
      <c r="A3302" s="1" t="s">
        <v>93</v>
      </c>
      <c r="B3302" s="1">
        <v>202511</v>
      </c>
      <c r="C3302" s="1" t="str">
        <f>MID(analisis_productividad__4[[#This Row],[Periodo]],1,4)</f>
        <v>2025</v>
      </c>
      <c r="D3302" s="1" t="str">
        <f>MID(analisis_productividad__4[[#This Row],[Periodo]],5,2)</f>
        <v>11</v>
      </c>
      <c r="E3302" s="1" t="s">
        <v>16</v>
      </c>
      <c r="F3302" s="1" t="s">
        <v>17</v>
      </c>
      <c r="G3302" s="1"/>
      <c r="H3302" s="1">
        <v>7542015</v>
      </c>
      <c r="I3302" s="1"/>
      <c r="J3302" s="1">
        <v>0</v>
      </c>
      <c r="K3302" s="1">
        <v>84</v>
      </c>
      <c r="L3302" s="1">
        <v>76</v>
      </c>
      <c r="M3302" s="1"/>
      <c r="N330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E13" sqref="E13"/>
    </sheetView>
  </sheetViews>
  <sheetFormatPr baseColWidth="10" defaultRowHeight="14.5" x14ac:dyDescent="0.35"/>
  <cols>
    <col min="1" max="2" width="11.81640625" bestFit="1" customWidth="1"/>
    <col min="3" max="3" width="7.08984375" bestFit="1" customWidth="1"/>
    <col min="4" max="4" width="11.81640625" bestFit="1" customWidth="1"/>
    <col min="5" max="5" width="10" bestFit="1" customWidth="1"/>
    <col min="6" max="6" width="14.453125" bestFit="1" customWidth="1"/>
    <col min="7" max="7" width="17.08984375" bestFit="1" customWidth="1"/>
    <col min="8" max="8" width="11.81640625" bestFit="1" customWidth="1"/>
    <col min="9" max="9" width="9.453125" bestFit="1" customWidth="1"/>
    <col min="10" max="10" width="12.36328125" bestFit="1" customWidth="1"/>
  </cols>
  <sheetData>
    <row r="1" spans="1:10" x14ac:dyDescent="0.35">
      <c r="A1" s="1" t="s">
        <v>6</v>
      </c>
      <c r="B1" s="1" t="s">
        <v>146</v>
      </c>
      <c r="C1" s="1" t="s">
        <v>4</v>
      </c>
      <c r="D1" s="1" t="s">
        <v>7</v>
      </c>
      <c r="E1" s="1" t="s">
        <v>5</v>
      </c>
      <c r="F1" s="1" t="s">
        <v>145</v>
      </c>
      <c r="G1" s="1" t="s">
        <v>158</v>
      </c>
      <c r="H1" s="1" t="s">
        <v>149</v>
      </c>
      <c r="I1" s="1" t="s">
        <v>147</v>
      </c>
      <c r="J1" s="1" t="s">
        <v>148</v>
      </c>
    </row>
    <row r="2" spans="1:10" x14ac:dyDescent="0.35">
      <c r="A2" s="1">
        <v>5450.8198677195296</v>
      </c>
      <c r="B2" s="1">
        <v>5349.1833096073633</v>
      </c>
      <c r="C2" s="1">
        <v>100894</v>
      </c>
      <c r="D2" s="1">
        <v>101097.07580239847</v>
      </c>
      <c r="E2" s="1">
        <v>549955374</v>
      </c>
      <c r="F2" s="1">
        <v>540786791</v>
      </c>
      <c r="G2" s="1" t="s">
        <v>159</v>
      </c>
      <c r="H2" s="1">
        <v>5193.3547396953318</v>
      </c>
      <c r="I2" s="1">
        <v>92967</v>
      </c>
      <c r="J2" s="1">
        <v>482811337</v>
      </c>
    </row>
    <row r="3" spans="1:10" x14ac:dyDescent="0.35">
      <c r="A3" s="1">
        <v>1615.6433060035827</v>
      </c>
      <c r="B3" s="1">
        <v>1651.8700631748877</v>
      </c>
      <c r="C3" s="1">
        <v>92558</v>
      </c>
      <c r="D3" s="1">
        <v>87470.298362567031</v>
      </c>
      <c r="E3" s="1">
        <v>149540197</v>
      </c>
      <c r="F3" s="1">
        <v>144489567</v>
      </c>
      <c r="G3" s="1" t="s">
        <v>160</v>
      </c>
      <c r="H3" s="1">
        <v>1669.0197200940822</v>
      </c>
      <c r="I3" s="1">
        <v>78111</v>
      </c>
      <c r="J3" s="1">
        <v>130368763</v>
      </c>
    </row>
    <row r="4" spans="1:10" x14ac:dyDescent="0.35">
      <c r="A4" s="1">
        <v>5818.1903073476115</v>
      </c>
      <c r="B4" s="1">
        <v>6459.1281249987333</v>
      </c>
      <c r="C4" s="1">
        <v>92353</v>
      </c>
      <c r="D4" s="1">
        <v>84091.569053277824</v>
      </c>
      <c r="E4" s="1">
        <v>537325330</v>
      </c>
      <c r="F4" s="1">
        <v>543158219</v>
      </c>
      <c r="G4" s="1" t="s">
        <v>161</v>
      </c>
      <c r="H4" s="1">
        <v>6456.2685566756363</v>
      </c>
      <c r="I4" s="1">
        <v>82919</v>
      </c>
      <c r="J4" s="1">
        <v>535349133</v>
      </c>
    </row>
    <row r="5" spans="1:10" x14ac:dyDescent="0.35">
      <c r="A5" s="1">
        <v>5571.6567184138921</v>
      </c>
      <c r="B5" s="1">
        <v>5665.7565752644596</v>
      </c>
      <c r="C5" s="1">
        <v>93783</v>
      </c>
      <c r="D5" s="1">
        <v>89641.236310685155</v>
      </c>
      <c r="E5" s="1">
        <v>522526650</v>
      </c>
      <c r="F5" s="1">
        <v>507885424</v>
      </c>
      <c r="G5" s="1" t="s">
        <v>162</v>
      </c>
      <c r="H5" s="1">
        <v>5074.3191565860125</v>
      </c>
      <c r="I5" s="1">
        <v>89552</v>
      </c>
      <c r="J5" s="1">
        <v>454416209</v>
      </c>
    </row>
    <row r="6" spans="1:10" x14ac:dyDescent="0.35">
      <c r="A6" s="1">
        <v>3445.4188515905003</v>
      </c>
      <c r="B6" s="1">
        <v>3296.7288659558535</v>
      </c>
      <c r="C6" s="1">
        <v>65012</v>
      </c>
      <c r="D6" s="1">
        <v>73507.187861516213</v>
      </c>
      <c r="E6" s="1">
        <v>223992371</v>
      </c>
      <c r="F6" s="1">
        <v>242333268</v>
      </c>
      <c r="G6" s="1" t="s">
        <v>163</v>
      </c>
      <c r="H6" s="1">
        <v>3453.5685197132639</v>
      </c>
      <c r="I6" s="1">
        <v>65743</v>
      </c>
      <c r="J6" s="1">
        <v>227049127</v>
      </c>
    </row>
    <row r="7" spans="1:10" x14ac:dyDescent="0.35">
      <c r="A7" s="1">
        <v>4619.5781108870815</v>
      </c>
      <c r="B7" s="1">
        <v>4680.075768606097</v>
      </c>
      <c r="C7" s="1">
        <v>90081</v>
      </c>
      <c r="D7" s="1">
        <v>85190.680617601844</v>
      </c>
      <c r="E7" s="1">
        <v>416137460</v>
      </c>
      <c r="F7" s="1">
        <v>398698840</v>
      </c>
      <c r="G7" s="1" t="s">
        <v>164</v>
      </c>
      <c r="H7" s="1">
        <v>5008.0806171594777</v>
      </c>
      <c r="I7" s="1">
        <v>78563</v>
      </c>
      <c r="J7" s="1">
        <v>396375804</v>
      </c>
    </row>
    <row r="8" spans="1:10" x14ac:dyDescent="0.35">
      <c r="A8" s="1">
        <v>5041.3477309587379</v>
      </c>
      <c r="B8" s="1">
        <v>4986.9860015159638</v>
      </c>
      <c r="C8" s="1">
        <v>93706</v>
      </c>
      <c r="D8" s="1">
        <v>92064.649201147331</v>
      </c>
      <c r="E8" s="1">
        <v>472406968</v>
      </c>
      <c r="F8" s="1">
        <v>459125117</v>
      </c>
      <c r="G8" s="1" t="s">
        <v>165</v>
      </c>
      <c r="H8" s="1">
        <v>5160.9290704525174</v>
      </c>
      <c r="I8" s="1">
        <v>85514</v>
      </c>
      <c r="J8" s="1">
        <v>441332096</v>
      </c>
    </row>
    <row r="9" spans="1:10" x14ac:dyDescent="0.35">
      <c r="A9" s="1">
        <v>4889.3344288754361</v>
      </c>
      <c r="B9" s="1">
        <v>4828.8941909538835</v>
      </c>
      <c r="C9" s="1">
        <v>99164</v>
      </c>
      <c r="D9" s="1">
        <v>98692.604883574706</v>
      </c>
      <c r="E9" s="1">
        <v>484844153</v>
      </c>
      <c r="F9" s="1">
        <v>476576146</v>
      </c>
      <c r="G9" s="1" t="s">
        <v>166</v>
      </c>
      <c r="H9" s="1">
        <v>4999.3900425627189</v>
      </c>
      <c r="I9" s="1">
        <v>90401</v>
      </c>
      <c r="J9" s="1">
        <v>451950607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C0292F-2E30-47D6-B852-FF9BA7115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graf1</vt:lpstr>
      <vt:lpstr>graf2</vt:lpstr>
      <vt:lpstr>graf3</vt:lpstr>
      <vt:lpstr>graf4</vt:lpstr>
      <vt:lpstr>bd2</vt:lpstr>
      <vt:lpstr>Hoja12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2026-06-22T21:19:29Z</dcterms:created>
  <dcterms:modified xsi:type="dcterms:W3CDTF">2026-06-23T03:20:27Z</dcterms:modified>
</cp:coreProperties>
</file>