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uarios\SP44812227\Documents\00_Analisis\"/>
    </mc:Choice>
  </mc:AlternateContent>
  <bookViews>
    <workbookView xWindow="-110" yWindow="-110" windowWidth="30940" windowHeight="16780"/>
  </bookViews>
  <sheets>
    <sheet name="Productividad" sheetId="1" r:id="rId1"/>
    <sheet name="Velocidad" sheetId="2" r:id="rId2"/>
    <sheet name="P&amp;L" sheetId="5" r:id="rId3"/>
    <sheet name="Dotacion" sheetId="4" r:id="rId4"/>
    <sheet name="Horas Extra" sheetId="3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O13" i="1" l="1"/>
  <c r="O12" i="1"/>
  <c r="O11" i="1"/>
  <c r="O10" i="1"/>
  <c r="O9" i="1"/>
  <c r="O8" i="1"/>
  <c r="O7" i="1"/>
  <c r="O6" i="1"/>
  <c r="O5" i="1"/>
  <c r="O4" i="1"/>
  <c r="O3" i="1"/>
  <c r="O2" i="1"/>
  <c r="K13" i="1"/>
  <c r="K12" i="1"/>
  <c r="K11" i="1"/>
  <c r="K10" i="1"/>
  <c r="K9" i="1"/>
  <c r="K8" i="1"/>
  <c r="K7" i="1"/>
  <c r="K6" i="1"/>
  <c r="K5" i="1"/>
  <c r="K4" i="1"/>
  <c r="K3" i="1"/>
  <c r="K2" i="1"/>
  <c r="N14" i="1"/>
  <c r="M14" i="1"/>
  <c r="O14" i="1" s="1"/>
  <c r="J14" i="1"/>
  <c r="I14" i="1"/>
  <c r="K14" i="1" s="1"/>
  <c r="M13" i="1"/>
  <c r="M12" i="1"/>
  <c r="M11" i="1"/>
  <c r="M10" i="1"/>
  <c r="M9" i="1"/>
  <c r="M8" i="1"/>
  <c r="M7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N13" i="1"/>
  <c r="N12" i="1"/>
  <c r="N11" i="1"/>
  <c r="N10" i="1"/>
  <c r="N9" i="1"/>
  <c r="N8" i="1"/>
  <c r="N7" i="1"/>
  <c r="N6" i="1"/>
  <c r="N5" i="1"/>
  <c r="N4" i="1"/>
  <c r="N3" i="1"/>
  <c r="N2" i="1"/>
  <c r="M6" i="1"/>
  <c r="M5" i="1"/>
  <c r="M4" i="1"/>
  <c r="M3" i="1"/>
  <c r="M2" i="1"/>
  <c r="F14" i="1"/>
  <c r="E14" i="1"/>
</calcChain>
</file>

<file path=xl/sharedStrings.xml><?xml version="1.0" encoding="utf-8"?>
<sst xmlns="http://schemas.openxmlformats.org/spreadsheetml/2006/main" count="186" uniqueCount="106">
  <si>
    <t>Mes</t>
  </si>
  <si>
    <t>Prod AA</t>
  </si>
  <si>
    <t>Prod</t>
  </si>
  <si>
    <t>%</t>
  </si>
  <si>
    <t xml:space="preserve"> Prod </t>
  </si>
  <si>
    <t xml:space="preserve"> Prod AA </t>
  </si>
  <si>
    <t>Vta Ppto</t>
  </si>
  <si>
    <t>ProdMeta</t>
  </si>
  <si>
    <t>KPI_ProdAA</t>
  </si>
  <si>
    <t>KPI_Prod</t>
  </si>
  <si>
    <t>KPI_VtaNeta</t>
  </si>
  <si>
    <t>KPI_VtaNetaVarMeta%</t>
  </si>
  <si>
    <t>KPI_VtaNetaAA</t>
  </si>
  <si>
    <t>VtaNetaVarMeta</t>
  </si>
  <si>
    <t>Ene</t>
  </si>
  <si>
    <t>por jeq</t>
  </si>
  <si>
    <t>210 K</t>
  </si>
  <si>
    <t>177 K</t>
  </si>
  <si>
    <t>4,7 M</t>
  </si>
  <si>
    <t>'-2%</t>
  </si>
  <si>
    <t>4,9 M</t>
  </si>
  <si>
    <t>Feb</t>
  </si>
  <si>
    <t>190 K</t>
  </si>
  <si>
    <t>183 K</t>
  </si>
  <si>
    <t>4,6 M</t>
  </si>
  <si>
    <t>'+2%</t>
  </si>
  <si>
    <t>Mar</t>
  </si>
  <si>
    <t>por venta</t>
  </si>
  <si>
    <t>247 K</t>
  </si>
  <si>
    <t>206 K</t>
  </si>
  <si>
    <t>5,1 M</t>
  </si>
  <si>
    <t>'-13%</t>
  </si>
  <si>
    <t>5,7 M</t>
  </si>
  <si>
    <t>Abr</t>
  </si>
  <si>
    <t>222 K</t>
  </si>
  <si>
    <t>223 K</t>
  </si>
  <si>
    <t>4,8 M</t>
  </si>
  <si>
    <t>'-4%</t>
  </si>
  <si>
    <t>May</t>
  </si>
  <si>
    <t>me falta jeq</t>
  </si>
  <si>
    <t>219 K</t>
  </si>
  <si>
    <t>240 K</t>
  </si>
  <si>
    <t>'-3%</t>
  </si>
  <si>
    <t>Jun</t>
  </si>
  <si>
    <t>Jul</t>
  </si>
  <si>
    <t>205 K</t>
  </si>
  <si>
    <t>Ago</t>
  </si>
  <si>
    <t>218 K</t>
  </si>
  <si>
    <t>Sep</t>
  </si>
  <si>
    <t>4,4 M</t>
  </si>
  <si>
    <t>Oct</t>
  </si>
  <si>
    <t>196 K</t>
  </si>
  <si>
    <t>Nov</t>
  </si>
  <si>
    <t>195 K</t>
  </si>
  <si>
    <t>Dic</t>
  </si>
  <si>
    <t>243 K</t>
  </si>
  <si>
    <t>7,2 M</t>
  </si>
  <si>
    <t>preguntar como amarrar productividad y 6 curvas</t>
  </si>
  <si>
    <t>Vta</t>
  </si>
  <si>
    <t>Vta AA</t>
  </si>
  <si>
    <t>Jeq</t>
  </si>
  <si>
    <t>Jeq AA</t>
  </si>
  <si>
    <t>velocidad</t>
  </si>
  <si>
    <t>predic venta</t>
  </si>
  <si>
    <t>azure</t>
  </si>
  <si>
    <t>gasto/venta P&amp;L</t>
  </si>
  <si>
    <t>horas extra</t>
  </si>
  <si>
    <t>Meta Promedio</t>
  </si>
  <si>
    <t>Unid x Minuto</t>
  </si>
  <si>
    <t>Unid x Minuto AA</t>
  </si>
  <si>
    <t>Año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</si>
  <si>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</si>
  <si>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</si>
  <si>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</si>
  <si>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</si>
  <si>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</si>
  <si>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</si>
  <si>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</si>
  <si>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</si>
  <si>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</si>
  <si>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</si>
  <si>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</si>
  <si>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</si>
  <si>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Delivea</t>
  </si>
  <si>
    <t>Lineal</t>
  </si>
  <si>
    <t>Rapida</t>
  </si>
  <si>
    <t>delivea</t>
  </si>
  <si>
    <t>lineal</t>
  </si>
  <si>
    <t>x</t>
  </si>
  <si>
    <t>TIENDAS</t>
  </si>
  <si>
    <t>HHE DEL PERIODO</t>
  </si>
  <si>
    <t>COMPENSACION DEL PERIODO</t>
  </si>
  <si>
    <t>HORAS A PAGAR EFECTIVO</t>
  </si>
  <si>
    <t>ENERO</t>
  </si>
  <si>
    <t>ALMACÉN</t>
  </si>
  <si>
    <t>ALMACÉN FRESCOS</t>
  </si>
  <si>
    <t>CAJAS</t>
  </si>
  <si>
    <t>CONTROL DE INVENTARIOS</t>
  </si>
  <si>
    <t>ELECTRO</t>
  </si>
  <si>
    <t>RECEPCIÓN</t>
  </si>
  <si>
    <t>RECEPCIÓN E INVENTARIOS</t>
  </si>
  <si>
    <t>SALA</t>
  </si>
  <si>
    <t>SALA FRESCOS</t>
  </si>
  <si>
    <t>FEBRERO</t>
  </si>
  <si>
    <t>MARZO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</si>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</sst>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19" fillId="36" borderId="10" xfId="0" applyFont="1" applyFill="1" applyBorder="1"/>
    <xf numFmtId="0" fontId="19" fillId="36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/>
    </xf>
    <xf numFmtId="2" fontId="19" fillId="0" borderId="10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0" fontId="19" fillId="36" borderId="11" xfId="0" applyFont="1" applyFill="1" applyBorder="1" applyAlignment="1">
      <alignment horizontal="left"/>
    </xf>
    <xf numFmtId="2" fontId="19" fillId="36" borderId="11" xfId="0" applyNumberFormat="1" applyFont="1" applyFill="1" applyBorder="1" applyAlignment="1">
      <alignment horizontal="center" vertical="center"/>
    </xf>
    <xf numFmtId="0" fontId="20" fillId="33" borderId="0" xfId="0" applyFont="1" applyFill="1" applyAlignment="1">
      <alignment horizontal="left" indent="1"/>
    </xf>
    <xf numFmtId="2" fontId="20" fillId="33" borderId="0" xfId="0" applyNumberFormat="1" applyFont="1" applyFill="1" applyAlignment="1">
      <alignment horizontal="center" vertical="center"/>
    </xf>
    <xf numFmtId="0" fontId="0" fillId="33" borderId="0" xfId="0" applyFill="1" applyAlignment="1">
      <alignment horizontal="left" indent="1"/>
    </xf>
    <xf numFmtId="2" fontId="0" fillId="33" borderId="0" xfId="0" applyNumberFormat="1" applyFill="1" applyAlignment="1">
      <alignment horizontal="center" vertical="center"/>
    </xf>
    <xf numFmtId="0" fontId="0" fillId="0" borderId="12" xfId="0" applyBorder="1"/>
    <xf numFmtId="0" fontId="16" fillId="33" borderId="12" xfId="0" applyFont="1" applyFill="1" applyBorder="1" applyAlignment="1">
      <alignment horizontal="center" vertical="center"/>
    </xf>
    <xf numFmtId="3" fontId="0" fillId="0" borderId="12" xfId="0" applyNumberFormat="1" applyBorder="1"/>
    <xf numFmtId="10" fontId="0" fillId="0" borderId="12" xfId="0" applyNumberFormat="1" applyBorder="1"/>
    <xf numFmtId="10" fontId="18" fillId="0" borderId="12" xfId="0" applyNumberFormat="1" applyFont="1" applyBorder="1"/>
    <xf numFmtId="3" fontId="0" fillId="35" borderId="12" xfId="0" applyNumberFormat="1" applyFill="1" applyBorder="1"/>
    <xf numFmtId="10" fontId="0" fillId="35" borderId="12" xfId="0" applyNumberFormat="1" applyFill="1" applyBorder="1"/>
    <xf numFmtId="164" fontId="16" fillId="0" borderId="12" xfId="0" applyNumberFormat="1" applyFont="1" applyBorder="1" applyAlignment="1">
      <alignment horizontal="center" vertical="center"/>
    </xf>
    <xf numFmtId="10" fontId="16" fillId="34" borderId="12" xfId="43" applyNumberFormat="1" applyFont="1" applyFill="1" applyBorder="1" applyAlignment="1">
      <alignment horizontal="center" vertical="center"/>
    </xf>
    <xf numFmtId="43" fontId="0" fillId="0" borderId="12" xfId="42" applyFont="1" applyBorder="1"/>
    <xf numFmtId="43" fontId="18" fillId="0" borderId="12" xfId="42" applyFont="1" applyBorder="1"/>
    <xf numFmtId="43" fontId="0" fillId="35" borderId="12" xfId="42" applyFont="1" applyFill="1" applyBorder="1"/>
    <xf numFmtId="43" fontId="16" fillId="0" borderId="12" xfId="42" applyFont="1" applyBorder="1" applyAlignment="1">
      <alignment horizontal="center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Velocidad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minut'!$B$2:$B$13</c:f>
              <c:numCache>
                <c:formatCode>General</c:formatCode>
                <c:ptCount val="12"/>
                <c:pt idx="0">
                  <c:v>9.65</c:v>
                </c:pt>
                <c:pt idx="1">
                  <c:v>10.24</c:v>
                </c:pt>
                <c:pt idx="2">
                  <c:v>11.55</c:v>
                </c:pt>
                <c:pt idx="3">
                  <c:v>11.95</c:v>
                </c:pt>
                <c:pt idx="4">
                  <c:v>11.94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6D-4629-9BD8-B91880A442D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minut'!$C$2:$C$13</c:f>
              <c:numCache>
                <c:formatCode>General</c:formatCode>
                <c:ptCount val="12"/>
                <c:pt idx="0">
                  <c:v>11.86</c:v>
                </c:pt>
                <c:pt idx="1">
                  <c:v>11.87</c:v>
                </c:pt>
                <c:pt idx="2">
                  <c:v>12.41</c:v>
                </c:pt>
                <c:pt idx="3">
                  <c:v>11.78</c:v>
                </c:pt>
                <c:pt idx="4">
                  <c:v>11.66</c:v>
                </c:pt>
                <c:pt idx="5">
                  <c:v>11.01</c:v>
                </c:pt>
                <c:pt idx="6">
                  <c:v>10.74</c:v>
                </c:pt>
                <c:pt idx="7">
                  <c:v>10.53</c:v>
                </c:pt>
                <c:pt idx="8">
                  <c:v>9.98</c:v>
                </c:pt>
                <c:pt idx="9">
                  <c:v>10.39</c:v>
                </c:pt>
                <c:pt idx="10">
                  <c:v>10.210000000000001</c:v>
                </c:pt>
                <c:pt idx="11">
                  <c:v>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6D-4629-9BD8-B91880A44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91264"/>
        <c:axId val="553387104"/>
      </c:lineChart>
      <c:catAx>
        <c:axId val="5533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87104"/>
        <c:crosses val="autoZero"/>
        <c:auto val="1"/>
        <c:lblAlgn val="ctr"/>
        <c:lblOffset val="100"/>
        <c:noMultiLvlLbl val="0"/>
      </c:catAx>
      <c:valAx>
        <c:axId val="5533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Velocidad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minut'!$B$20:$B$31</c:f>
              <c:numCache>
                <c:formatCode>General</c:formatCode>
                <c:ptCount val="12"/>
                <c:pt idx="0">
                  <c:v>6.77</c:v>
                </c:pt>
                <c:pt idx="1">
                  <c:v>7.11</c:v>
                </c:pt>
                <c:pt idx="2">
                  <c:v>9.3000000000000007</c:v>
                </c:pt>
                <c:pt idx="3">
                  <c:v>9</c:v>
                </c:pt>
                <c:pt idx="4">
                  <c:v>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3-490C-9C81-559121B5D6F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minut'!$C$20:$C$31</c:f>
              <c:numCache>
                <c:formatCode>General</c:formatCode>
                <c:ptCount val="12"/>
                <c:pt idx="0">
                  <c:v>11.35</c:v>
                </c:pt>
                <c:pt idx="1">
                  <c:v>9.75</c:v>
                </c:pt>
                <c:pt idx="2">
                  <c:v>10.64</c:v>
                </c:pt>
                <c:pt idx="3">
                  <c:v>9.9499999999999993</c:v>
                </c:pt>
                <c:pt idx="4">
                  <c:v>9.67</c:v>
                </c:pt>
                <c:pt idx="5">
                  <c:v>8.66</c:v>
                </c:pt>
                <c:pt idx="6">
                  <c:v>8.35</c:v>
                </c:pt>
                <c:pt idx="7">
                  <c:v>7.68</c:v>
                </c:pt>
                <c:pt idx="8">
                  <c:v>6.78</c:v>
                </c:pt>
                <c:pt idx="9">
                  <c:v>7.09</c:v>
                </c:pt>
                <c:pt idx="10">
                  <c:v>7.46</c:v>
                </c:pt>
                <c:pt idx="11">
                  <c:v>7.39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3-490C-9C81-559121B5D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91264"/>
        <c:axId val="553387104"/>
      </c:lineChart>
      <c:catAx>
        <c:axId val="5533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87104"/>
        <c:crosses val="autoZero"/>
        <c:auto val="1"/>
        <c:lblAlgn val="ctr"/>
        <c:lblOffset val="100"/>
        <c:noMultiLvlLbl val="0"/>
      </c:catAx>
      <c:valAx>
        <c:axId val="5533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Velocidad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minut'!$B$37:$B$48</c:f>
              <c:numCache>
                <c:formatCode>General</c:formatCode>
                <c:ptCount val="12"/>
                <c:pt idx="0">
                  <c:v>10.23</c:v>
                </c:pt>
                <c:pt idx="1">
                  <c:v>10.85</c:v>
                </c:pt>
                <c:pt idx="2">
                  <c:v>11.89</c:v>
                </c:pt>
                <c:pt idx="3">
                  <c:v>12.26</c:v>
                </c:pt>
                <c:pt idx="4">
                  <c:v>12.31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9B-4237-85A2-E884D1ACD4E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'[1]Evolutivo de unidades por minut'!$C$37:$C$48</c:f>
              <c:numCache>
                <c:formatCode>General</c:formatCode>
                <c:ptCount val="12"/>
                <c:pt idx="0">
                  <c:v>11.79</c:v>
                </c:pt>
                <c:pt idx="1">
                  <c:v>11.94</c:v>
                </c:pt>
                <c:pt idx="2">
                  <c:v>12.45</c:v>
                </c:pt>
                <c:pt idx="3">
                  <c:v>11.76</c:v>
                </c:pt>
                <c:pt idx="4">
                  <c:v>11.78</c:v>
                </c:pt>
                <c:pt idx="5">
                  <c:v>11.09</c:v>
                </c:pt>
                <c:pt idx="6">
                  <c:v>10.96</c:v>
                </c:pt>
                <c:pt idx="7">
                  <c:v>10.85</c:v>
                </c:pt>
                <c:pt idx="8">
                  <c:v>10.28</c:v>
                </c:pt>
                <c:pt idx="9">
                  <c:v>10.89</c:v>
                </c:pt>
                <c:pt idx="10">
                  <c:v>10.58</c:v>
                </c:pt>
                <c:pt idx="11">
                  <c:v>10.01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9B-4237-85A2-E884D1ACD4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3391264"/>
        <c:axId val="553387104"/>
      </c:lineChart>
      <c:catAx>
        <c:axId val="5533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87104"/>
        <c:crosses val="autoZero"/>
        <c:auto val="1"/>
        <c:lblAlgn val="ctr"/>
        <c:lblOffset val="100"/>
        <c:noMultiLvlLbl val="0"/>
      </c:catAx>
      <c:valAx>
        <c:axId val="55338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5533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22225</xdr:colOff>
      <xdr:row>0</xdr:row>
      <xdr:rowOff>66675</xdr:rowOff>
    </xdr:from>
    <xdr:to>
      <xdr:col>11</xdr:col>
      <xdr:colOff>22225</xdr:colOff>
      <xdr:row>15</xdr:row>
      <xdr:rowOff>47625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17</xdr:row>
      <xdr:rowOff>12700</xdr:rowOff>
    </xdr:from>
    <xdr:to>
      <xdr:col>11</xdr:col>
      <xdr:colOff>25400</xdr:colOff>
      <xdr:row>31</xdr:row>
      <xdr:rowOff>177800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31750</xdr:colOff>
      <xdr:row>34</xdr:row>
      <xdr:rowOff>25400</xdr:rowOff>
    </xdr:from>
    <xdr:to>
      <xdr:col>11</xdr:col>
      <xdr:colOff>31750</xdr:colOff>
      <xdr:row>49</xdr:row>
      <xdr:rowOff>6350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uarios/SP44812227/Desktop/Evolutivo%20de%20unidades%20por%20minuto%20-%20Me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volutivo de unidades por minut"/>
    </sheetNames>
    <sheetDataSet>
      <sheetData sheetId="0">
        <row r="2">
          <cell r="B2">
            <v>9.65</v>
          </cell>
          <cell r="C2">
            <v>11.86</v>
          </cell>
        </row>
        <row r="3">
          <cell r="B3">
            <v>10.24</v>
          </cell>
          <cell r="C3">
            <v>11.87</v>
          </cell>
        </row>
        <row r="4">
          <cell r="B4">
            <v>11.55</v>
          </cell>
          <cell r="C4">
            <v>12.41</v>
          </cell>
        </row>
        <row r="5">
          <cell r="B5">
            <v>11.95</v>
          </cell>
          <cell r="C5">
            <v>11.78</v>
          </cell>
        </row>
        <row r="6">
          <cell r="B6">
            <v>11.94</v>
          </cell>
          <cell r="C6">
            <v>11.66</v>
          </cell>
        </row>
        <row r="7">
          <cell r="C7">
            <v>11.01</v>
          </cell>
        </row>
        <row r="8">
          <cell r="C8">
            <v>10.74</v>
          </cell>
        </row>
        <row r="9">
          <cell r="C9">
            <v>10.53</v>
          </cell>
        </row>
        <row r="10">
          <cell r="C10">
            <v>9.98</v>
          </cell>
        </row>
        <row r="11">
          <cell r="C11">
            <v>10.39</v>
          </cell>
        </row>
        <row r="12">
          <cell r="C12">
            <v>10.210000000000001</v>
          </cell>
        </row>
        <row r="13">
          <cell r="C13">
            <v>9.75</v>
          </cell>
        </row>
        <row r="20">
          <cell r="B20">
            <v>6.77</v>
          </cell>
          <cell r="C20">
            <v>11.35</v>
          </cell>
        </row>
        <row r="21">
          <cell r="B21">
            <v>7.11</v>
          </cell>
          <cell r="C21">
            <v>9.75</v>
          </cell>
        </row>
        <row r="22">
          <cell r="B22">
            <v>9.3000000000000007</v>
          </cell>
          <cell r="C22">
            <v>10.64</v>
          </cell>
        </row>
        <row r="23">
          <cell r="B23">
            <v>9</v>
          </cell>
          <cell r="C23">
            <v>9.9499999999999993</v>
          </cell>
        </row>
        <row r="24">
          <cell r="B24">
            <v>9.99</v>
          </cell>
          <cell r="C24">
            <v>9.67</v>
          </cell>
        </row>
        <row r="25">
          <cell r="C25">
            <v>8.66</v>
          </cell>
        </row>
        <row r="26">
          <cell r="C26">
            <v>8.35</v>
          </cell>
        </row>
        <row r="27">
          <cell r="C27">
            <v>7.68</v>
          </cell>
        </row>
        <row r="28">
          <cell r="C28">
            <v>6.78</v>
          </cell>
        </row>
        <row r="29">
          <cell r="C29">
            <v>7.09</v>
          </cell>
        </row>
        <row r="30">
          <cell r="C30">
            <v>7.46</v>
          </cell>
        </row>
        <row r="31">
          <cell r="C31">
            <v>7.39</v>
          </cell>
        </row>
        <row r="37">
          <cell r="B37">
            <v>10.23</v>
          </cell>
          <cell r="C37">
            <v>11.79</v>
          </cell>
        </row>
        <row r="38">
          <cell r="B38">
            <v>10.85</v>
          </cell>
          <cell r="C38">
            <v>11.94</v>
          </cell>
        </row>
        <row r="39">
          <cell r="B39">
            <v>11.89</v>
          </cell>
          <cell r="C39">
            <v>12.45</v>
          </cell>
        </row>
        <row r="40">
          <cell r="B40">
            <v>12.26</v>
          </cell>
          <cell r="C40">
            <v>11.76</v>
          </cell>
        </row>
        <row r="41">
          <cell r="B41">
            <v>12.31</v>
          </cell>
          <cell r="C41">
            <v>11.78</v>
          </cell>
        </row>
        <row r="42">
          <cell r="C42">
            <v>11.09</v>
          </cell>
        </row>
        <row r="43">
          <cell r="C43">
            <v>10.96</v>
          </cell>
        </row>
        <row r="44">
          <cell r="C44">
            <v>10.85</v>
          </cell>
        </row>
        <row r="45">
          <cell r="C45">
            <v>10.28</v>
          </cell>
        </row>
        <row r="46">
          <cell r="C46">
            <v>10.89</v>
          </cell>
        </row>
        <row r="47">
          <cell r="C47">
            <v>10.58</v>
          </cell>
        </row>
        <row r="48">
          <cell r="C48">
            <v>10.01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"/>
  <sheetViews>
    <sheetView tabSelected="1" topLeftCell="C1" workbookViewId="0">
      <selection activeCell="M18" sqref="M18"/>
    </sheetView>
  </sheetViews>
  <sheetFormatPr baseColWidth="10" defaultRowHeight="14.5" x14ac:dyDescent="0.35"/>
  <cols>
    <col min="5" max="6" width="11.1796875" bestFit="1" customWidth="1"/>
    <col min="7" max="7" width="9.26953125" customWidth="1"/>
  </cols>
  <sheetData>
    <row r="1" spans="1:25" x14ac:dyDescent="0.35">
      <c r="A1" t="s">
        <v>0</v>
      </c>
      <c r="B1" t="s">
        <v>1</v>
      </c>
      <c r="C1" t="s">
        <v>2</v>
      </c>
      <c r="E1" s="15" t="s">
        <v>58</v>
      </c>
      <c r="F1" s="15" t="s">
        <v>59</v>
      </c>
      <c r="G1" s="15" t="s">
        <v>3</v>
      </c>
      <c r="I1" s="15" t="s">
        <v>60</v>
      </c>
      <c r="J1" s="15" t="s">
        <v>61</v>
      </c>
      <c r="K1" s="15" t="s">
        <v>3</v>
      </c>
      <c r="M1" s="15" t="s">
        <v>4</v>
      </c>
      <c r="N1" s="15" t="s">
        <v>5</v>
      </c>
      <c r="O1" s="15" t="s">
        <v>3</v>
      </c>
      <c r="R1" s="14" t="s">
        <v>6</v>
      </c>
      <c r="S1" s="14" t="s">
        <v>7</v>
      </c>
      <c r="T1" s="14" t="s">
        <v>8</v>
      </c>
      <c r="U1" t="s">
        <v>9</v>
      </c>
      <c r="V1" t="s">
        <v>10</v>
      </c>
      <c r="W1" t="s">
        <v>11</v>
      </c>
      <c r="X1" t="s">
        <v>12</v>
      </c>
      <c r="Y1" t="s">
        <v>13</v>
      </c>
    </row>
    <row r="2" spans="1:25" x14ac:dyDescent="0.35">
      <c r="A2" t="s">
        <v>14</v>
      </c>
      <c r="B2">
        <v>209782</v>
      </c>
      <c r="C2">
        <v>176665</v>
      </c>
      <c r="D2" t="s">
        <v>14</v>
      </c>
      <c r="E2" s="16">
        <v>4650464</v>
      </c>
      <c r="F2" s="16">
        <v>4897588</v>
      </c>
      <c r="G2" s="17">
        <f>+E2/F2-1</f>
        <v>-5.0458307232049693E-2</v>
      </c>
      <c r="I2" s="23">
        <v>26.3</v>
      </c>
      <c r="J2" s="23">
        <v>23.4</v>
      </c>
      <c r="K2" s="17">
        <f>+I2/J2-1</f>
        <v>0.12393162393162394</v>
      </c>
      <c r="M2" s="16">
        <f>+E2/I2</f>
        <v>176823.72623574143</v>
      </c>
      <c r="N2" s="16">
        <f>+F2/J2</f>
        <v>209298.6324786325</v>
      </c>
      <c r="O2" s="17">
        <f>+M2/N2-1</f>
        <v>-0.15516062316463752</v>
      </c>
      <c r="P2" t="s">
        <v>15</v>
      </c>
      <c r="R2" s="14">
        <v>4768784</v>
      </c>
      <c r="S2" s="14">
        <v>205063.6428</v>
      </c>
      <c r="T2" s="14" t="s">
        <v>16</v>
      </c>
      <c r="U2" t="s">
        <v>17</v>
      </c>
      <c r="V2" t="s">
        <v>18</v>
      </c>
      <c r="W2" t="s">
        <v>19</v>
      </c>
      <c r="X2" t="s">
        <v>20</v>
      </c>
      <c r="Y2">
        <v>-118319.765</v>
      </c>
    </row>
    <row r="3" spans="1:25" x14ac:dyDescent="0.35">
      <c r="A3" t="s">
        <v>21</v>
      </c>
      <c r="B3">
        <v>190228</v>
      </c>
      <c r="C3">
        <v>182761</v>
      </c>
      <c r="D3" t="s">
        <v>21</v>
      </c>
      <c r="E3" s="16">
        <v>4642034</v>
      </c>
      <c r="F3" s="16">
        <v>4649018</v>
      </c>
      <c r="G3" s="17">
        <f t="shared" ref="G3:G14" si="0">+E3/F3-1</f>
        <v>-1.5022527338031111E-3</v>
      </c>
      <c r="I3" s="23">
        <v>25.4</v>
      </c>
      <c r="J3" s="23">
        <v>24.4</v>
      </c>
      <c r="K3" s="17">
        <f t="shared" ref="K3:K13" si="1">+I3/J3-1</f>
        <v>4.0983606557376984E-2</v>
      </c>
      <c r="M3" s="16">
        <f t="shared" ref="M3:N13" si="2">+E3/I3</f>
        <v>182757.24409448821</v>
      </c>
      <c r="N3" s="16">
        <f t="shared" si="2"/>
        <v>190533.52459016396</v>
      </c>
      <c r="O3" s="17">
        <f t="shared" ref="O3:O13" si="3">+M3/N3-1</f>
        <v>-4.0813187665543205E-2</v>
      </c>
      <c r="P3" t="s">
        <v>15</v>
      </c>
      <c r="R3" s="14">
        <v>4535561</v>
      </c>
      <c r="S3" s="14">
        <v>195034.77710000001</v>
      </c>
      <c r="T3" s="14" t="s">
        <v>22</v>
      </c>
      <c r="U3" t="s">
        <v>23</v>
      </c>
      <c r="V3" t="s">
        <v>24</v>
      </c>
      <c r="W3" t="s">
        <v>25</v>
      </c>
      <c r="X3" t="s">
        <v>24</v>
      </c>
      <c r="Y3">
        <v>106472.71030000001</v>
      </c>
    </row>
    <row r="4" spans="1:25" x14ac:dyDescent="0.35">
      <c r="A4" t="s">
        <v>26</v>
      </c>
      <c r="B4">
        <v>247480</v>
      </c>
      <c r="C4">
        <v>205656</v>
      </c>
      <c r="D4" t="s">
        <v>26</v>
      </c>
      <c r="E4" s="16">
        <v>5140864</v>
      </c>
      <c r="F4" s="16">
        <v>5722544</v>
      </c>
      <c r="G4" s="18">
        <f t="shared" si="0"/>
        <v>-0.1016470996116412</v>
      </c>
      <c r="I4" s="23">
        <v>25</v>
      </c>
      <c r="J4" s="23">
        <v>23.1</v>
      </c>
      <c r="K4" s="17">
        <f t="shared" si="1"/>
        <v>8.2251082251082241E-2</v>
      </c>
      <c r="M4" s="16">
        <f t="shared" si="2"/>
        <v>205634.56</v>
      </c>
      <c r="N4" s="16">
        <f t="shared" si="2"/>
        <v>247729.17748917747</v>
      </c>
      <c r="O4" s="17">
        <f t="shared" si="3"/>
        <v>-0.16992192004115647</v>
      </c>
      <c r="P4" t="s">
        <v>27</v>
      </c>
      <c r="R4" s="14">
        <v>5884601</v>
      </c>
      <c r="S4" s="14">
        <v>253045.17050000001</v>
      </c>
      <c r="T4" s="14" t="s">
        <v>28</v>
      </c>
      <c r="U4" t="s">
        <v>29</v>
      </c>
      <c r="V4" t="s">
        <v>30</v>
      </c>
      <c r="W4" t="s">
        <v>31</v>
      </c>
      <c r="X4" t="s">
        <v>32</v>
      </c>
      <c r="Y4">
        <v>-743736.89780000004</v>
      </c>
    </row>
    <row r="5" spans="1:25" x14ac:dyDescent="0.35">
      <c r="A5" t="s">
        <v>33</v>
      </c>
      <c r="B5">
        <v>221937</v>
      </c>
      <c r="C5">
        <v>222979</v>
      </c>
      <c r="D5" t="s">
        <v>33</v>
      </c>
      <c r="E5" s="16">
        <v>4771432</v>
      </c>
      <c r="F5" s="16">
        <v>4815149</v>
      </c>
      <c r="G5" s="17">
        <f t="shared" si="0"/>
        <v>-9.0790544591662359E-3</v>
      </c>
      <c r="I5" s="24">
        <v>21.4</v>
      </c>
      <c r="J5" s="23">
        <v>21.7</v>
      </c>
      <c r="K5" s="17">
        <f t="shared" si="1"/>
        <v>-1.3824884792626779E-2</v>
      </c>
      <c r="M5" s="16">
        <f t="shared" si="2"/>
        <v>222964.11214953274</v>
      </c>
      <c r="N5" s="16">
        <f t="shared" si="2"/>
        <v>221896.267281106</v>
      </c>
      <c r="O5" s="17">
        <f t="shared" si="3"/>
        <v>4.8123606652379358E-3</v>
      </c>
      <c r="P5" t="s">
        <v>27</v>
      </c>
      <c r="R5" s="14">
        <v>4985433</v>
      </c>
      <c r="S5" s="14">
        <v>214379.79870000001</v>
      </c>
      <c r="T5" s="14" t="s">
        <v>34</v>
      </c>
      <c r="U5" t="s">
        <v>35</v>
      </c>
      <c r="V5" t="s">
        <v>36</v>
      </c>
      <c r="W5" t="s">
        <v>37</v>
      </c>
      <c r="X5" t="s">
        <v>36</v>
      </c>
      <c r="Y5">
        <v>-214000.31270000001</v>
      </c>
    </row>
    <row r="6" spans="1:25" x14ac:dyDescent="0.35">
      <c r="A6" t="s">
        <v>38</v>
      </c>
      <c r="B6">
        <v>219436</v>
      </c>
      <c r="C6">
        <v>240159</v>
      </c>
      <c r="D6" t="s">
        <v>38</v>
      </c>
      <c r="E6" s="16">
        <v>5098630</v>
      </c>
      <c r="F6" s="16">
        <v>5087648</v>
      </c>
      <c r="G6" s="17">
        <f t="shared" si="0"/>
        <v>2.1585612841139579E-3</v>
      </c>
      <c r="I6" s="24">
        <v>21.2</v>
      </c>
      <c r="J6" s="23">
        <v>23.2</v>
      </c>
      <c r="K6" s="17">
        <f t="shared" si="1"/>
        <v>-8.6206896551724088E-2</v>
      </c>
      <c r="M6" s="16">
        <f t="shared" si="2"/>
        <v>240501.41509433964</v>
      </c>
      <c r="N6" s="16">
        <f t="shared" si="2"/>
        <v>219295.1724137931</v>
      </c>
      <c r="O6" s="17">
        <f t="shared" si="3"/>
        <v>9.6701821782615438E-2</v>
      </c>
      <c r="P6" t="s">
        <v>39</v>
      </c>
      <c r="R6" s="14">
        <v>5255854</v>
      </c>
      <c r="S6" s="14">
        <v>226008.23250000001</v>
      </c>
      <c r="T6" s="14" t="s">
        <v>40</v>
      </c>
      <c r="U6" t="s">
        <v>41</v>
      </c>
      <c r="V6" t="s">
        <v>30</v>
      </c>
      <c r="W6" t="s">
        <v>42</v>
      </c>
      <c r="X6" t="s">
        <v>30</v>
      </c>
      <c r="Y6">
        <v>-157223.9038</v>
      </c>
    </row>
    <row r="7" spans="1:25" x14ac:dyDescent="0.35">
      <c r="A7" t="s">
        <v>43</v>
      </c>
      <c r="B7">
        <v>206054</v>
      </c>
      <c r="D7" t="s">
        <v>43</v>
      </c>
      <c r="E7" s="19">
        <v>4959493</v>
      </c>
      <c r="F7" s="16">
        <v>4776174</v>
      </c>
      <c r="G7" s="20">
        <f t="shared" si="0"/>
        <v>3.8381976871026957E-2</v>
      </c>
      <c r="I7" s="25">
        <v>24.1</v>
      </c>
      <c r="J7" s="23">
        <v>23.2</v>
      </c>
      <c r="K7" s="20">
        <f t="shared" si="1"/>
        <v>3.8793103448276023E-2</v>
      </c>
      <c r="M7" s="19">
        <f>+N7</f>
        <v>205869.56896551725</v>
      </c>
      <c r="N7" s="16">
        <f t="shared" si="2"/>
        <v>205869.56896551725</v>
      </c>
      <c r="O7" s="20">
        <f t="shared" si="3"/>
        <v>0</v>
      </c>
      <c r="R7" s="14">
        <v>4959493</v>
      </c>
      <c r="S7" s="14">
        <v>213264.36600000001</v>
      </c>
      <c r="T7" s="14" t="s">
        <v>29</v>
      </c>
      <c r="X7" t="s">
        <v>36</v>
      </c>
      <c r="Y7">
        <v>-4959493.0870000003</v>
      </c>
    </row>
    <row r="8" spans="1:25" x14ac:dyDescent="0.35">
      <c r="A8" t="s">
        <v>44</v>
      </c>
      <c r="B8">
        <v>204658</v>
      </c>
      <c r="D8" t="s">
        <v>44</v>
      </c>
      <c r="E8" s="19">
        <v>4906031</v>
      </c>
      <c r="F8" s="16">
        <v>4761073</v>
      </c>
      <c r="G8" s="20">
        <f t="shared" si="0"/>
        <v>3.0446498089821361E-2</v>
      </c>
      <c r="I8" s="25">
        <v>24</v>
      </c>
      <c r="J8" s="23">
        <v>23.3</v>
      </c>
      <c r="K8" s="20">
        <f t="shared" si="1"/>
        <v>3.0042918454935563E-2</v>
      </c>
      <c r="M8" s="19">
        <f t="shared" ref="M8:M13" si="4">+N8</f>
        <v>204337.89699570814</v>
      </c>
      <c r="N8" s="16">
        <f t="shared" si="2"/>
        <v>204337.89699570814</v>
      </c>
      <c r="O8" s="20">
        <f t="shared" si="3"/>
        <v>0</v>
      </c>
      <c r="R8" s="14">
        <v>4906031</v>
      </c>
      <c r="S8" s="14">
        <v>210965.4235</v>
      </c>
      <c r="T8" s="14" t="s">
        <v>45</v>
      </c>
      <c r="X8" t="s">
        <v>36</v>
      </c>
      <c r="Y8">
        <v>-4906030.852</v>
      </c>
    </row>
    <row r="9" spans="1:25" x14ac:dyDescent="0.35">
      <c r="A9" t="s">
        <v>46</v>
      </c>
      <c r="B9">
        <v>217708</v>
      </c>
      <c r="D9" t="s">
        <v>46</v>
      </c>
      <c r="E9" s="19">
        <v>4950561</v>
      </c>
      <c r="F9" s="16">
        <v>4795344</v>
      </c>
      <c r="G9" s="20">
        <f t="shared" si="0"/>
        <v>3.2368272224057248E-2</v>
      </c>
      <c r="I9" s="25">
        <v>22.7</v>
      </c>
      <c r="J9" s="23">
        <v>22</v>
      </c>
      <c r="K9" s="20">
        <f t="shared" si="1"/>
        <v>3.1818181818181746E-2</v>
      </c>
      <c r="M9" s="19">
        <f t="shared" si="4"/>
        <v>217970.18181818182</v>
      </c>
      <c r="N9" s="16">
        <f t="shared" si="2"/>
        <v>217970.18181818182</v>
      </c>
      <c r="O9" s="20">
        <f t="shared" si="3"/>
        <v>0</v>
      </c>
      <c r="R9" s="14">
        <v>4950561</v>
      </c>
      <c r="S9" s="14">
        <v>212880.25570000001</v>
      </c>
      <c r="T9" s="14" t="s">
        <v>47</v>
      </c>
      <c r="X9" t="s">
        <v>36</v>
      </c>
      <c r="Y9">
        <v>-4950560.5470000003</v>
      </c>
    </row>
    <row r="10" spans="1:25" x14ac:dyDescent="0.35">
      <c r="A10" t="s">
        <v>48</v>
      </c>
      <c r="B10">
        <v>189586</v>
      </c>
      <c r="D10" t="s">
        <v>48</v>
      </c>
      <c r="E10" s="19">
        <v>4592727</v>
      </c>
      <c r="F10" s="16">
        <v>4351276</v>
      </c>
      <c r="G10" s="20">
        <f t="shared" si="0"/>
        <v>5.5489700032818057E-2</v>
      </c>
      <c r="I10" s="25">
        <v>24.2</v>
      </c>
      <c r="J10" s="23">
        <v>23</v>
      </c>
      <c r="K10" s="20">
        <f t="shared" si="1"/>
        <v>5.2173913043478182E-2</v>
      </c>
      <c r="M10" s="19">
        <f t="shared" si="4"/>
        <v>189185.91304347827</v>
      </c>
      <c r="N10" s="16">
        <f t="shared" si="2"/>
        <v>189185.91304347827</v>
      </c>
      <c r="O10" s="20">
        <f t="shared" si="3"/>
        <v>0</v>
      </c>
      <c r="R10" s="14">
        <v>4592727</v>
      </c>
      <c r="S10" s="14">
        <v>197492.98850000001</v>
      </c>
      <c r="T10" s="14" t="s">
        <v>22</v>
      </c>
      <c r="X10" t="s">
        <v>49</v>
      </c>
      <c r="Y10">
        <v>-4592727.4649999999</v>
      </c>
    </row>
    <row r="11" spans="1:25" x14ac:dyDescent="0.35">
      <c r="A11" t="s">
        <v>50</v>
      </c>
      <c r="B11">
        <v>196429</v>
      </c>
      <c r="D11" t="s">
        <v>50</v>
      </c>
      <c r="E11" s="19">
        <v>4684317</v>
      </c>
      <c r="F11" s="16">
        <v>4440124</v>
      </c>
      <c r="G11" s="20">
        <f t="shared" si="0"/>
        <v>5.499688747431386E-2</v>
      </c>
      <c r="I11" s="25">
        <v>23.9</v>
      </c>
      <c r="J11" s="23">
        <v>22.6</v>
      </c>
      <c r="K11" s="20">
        <f t="shared" si="1"/>
        <v>5.7522123893805288E-2</v>
      </c>
      <c r="M11" s="19">
        <f t="shared" si="4"/>
        <v>196465.66371681416</v>
      </c>
      <c r="N11" s="16">
        <f t="shared" si="2"/>
        <v>196465.66371681416</v>
      </c>
      <c r="O11" s="20">
        <f t="shared" si="3"/>
        <v>0</v>
      </c>
      <c r="R11" s="14">
        <v>4684317</v>
      </c>
      <c r="S11" s="14">
        <v>201431.4406</v>
      </c>
      <c r="T11" s="14" t="s">
        <v>51</v>
      </c>
      <c r="X11" t="s">
        <v>49</v>
      </c>
      <c r="Y11">
        <v>-4684316.727</v>
      </c>
    </row>
    <row r="12" spans="1:25" x14ac:dyDescent="0.35">
      <c r="A12" t="s">
        <v>52</v>
      </c>
      <c r="B12">
        <v>194585</v>
      </c>
      <c r="D12" t="s">
        <v>52</v>
      </c>
      <c r="E12" s="19">
        <v>4878777</v>
      </c>
      <c r="F12" s="16">
        <v>4884966</v>
      </c>
      <c r="G12" s="20">
        <f t="shared" si="0"/>
        <v>-1.2669484291190081E-3</v>
      </c>
      <c r="I12" s="25">
        <v>25.1</v>
      </c>
      <c r="J12" s="23">
        <v>25.1</v>
      </c>
      <c r="K12" s="20">
        <f t="shared" si="1"/>
        <v>0</v>
      </c>
      <c r="M12" s="19">
        <f t="shared" si="4"/>
        <v>194620.15936254978</v>
      </c>
      <c r="N12" s="16">
        <f t="shared" si="2"/>
        <v>194620.15936254978</v>
      </c>
      <c r="O12" s="20">
        <f t="shared" si="3"/>
        <v>0</v>
      </c>
      <c r="R12" s="14">
        <v>4878777</v>
      </c>
      <c r="S12" s="14">
        <v>209793.47029999999</v>
      </c>
      <c r="T12" s="14" t="s">
        <v>53</v>
      </c>
      <c r="X12" t="s">
        <v>20</v>
      </c>
      <c r="Y12">
        <v>-4878776.915</v>
      </c>
    </row>
    <row r="13" spans="1:25" x14ac:dyDescent="0.35">
      <c r="A13" t="s">
        <v>54</v>
      </c>
      <c r="B13">
        <v>242755</v>
      </c>
      <c r="D13" t="s">
        <v>54</v>
      </c>
      <c r="E13" s="19">
        <v>7340846</v>
      </c>
      <c r="F13" s="16">
        <v>7203511</v>
      </c>
      <c r="G13" s="20">
        <f t="shared" si="0"/>
        <v>1.9065008715888787E-2</v>
      </c>
      <c r="I13" s="25">
        <v>30.2</v>
      </c>
      <c r="J13" s="23">
        <v>29.7</v>
      </c>
      <c r="K13" s="20">
        <f t="shared" si="1"/>
        <v>1.6835016835016869E-2</v>
      </c>
      <c r="M13" s="19">
        <f t="shared" si="4"/>
        <v>242542.45791245793</v>
      </c>
      <c r="N13" s="16">
        <f t="shared" si="2"/>
        <v>242542.45791245793</v>
      </c>
      <c r="O13" s="20">
        <f t="shared" si="3"/>
        <v>0</v>
      </c>
      <c r="R13" s="14">
        <v>7340846</v>
      </c>
      <c r="S13" s="14">
        <v>315665.50579999998</v>
      </c>
      <c r="T13" s="14" t="s">
        <v>55</v>
      </c>
      <c r="X13" t="s">
        <v>56</v>
      </c>
      <c r="Y13">
        <v>-7340846.1189999999</v>
      </c>
    </row>
    <row r="14" spans="1:25" x14ac:dyDescent="0.35">
      <c r="E14" s="21">
        <f>SUM(E2:E13)</f>
        <v>60616176</v>
      </c>
      <c r="F14" s="21">
        <f>SUM(F2:F13)</f>
        <v>60384415</v>
      </c>
      <c r="G14" s="22">
        <f t="shared" si="0"/>
        <v>3.8380929913786055E-3</v>
      </c>
      <c r="I14" s="26">
        <f>SUM(I2:I13)</f>
        <v>293.5</v>
      </c>
      <c r="J14" s="26">
        <f>SUM(J2:J13)</f>
        <v>284.7</v>
      </c>
      <c r="K14" s="22">
        <f>+I14/J14-1</f>
        <v>3.0909729539866593E-2</v>
      </c>
      <c r="M14" s="21">
        <f>SUM(M2:M13)</f>
        <v>2479672.8993888097</v>
      </c>
      <c r="N14" s="21">
        <f>SUM(N2:N13)</f>
        <v>2539744.6160675804</v>
      </c>
      <c r="O14" s="22">
        <f t="shared" ref="O14" si="5">+M14/N14-1</f>
        <v>-2.365266031030433E-2</v>
      </c>
    </row>
    <row r="16" spans="1:25" x14ac:dyDescent="0.35">
      <c r="I16">
        <v>2.8</v>
      </c>
    </row>
    <row r="17" spans="9:10" x14ac:dyDescent="0.35">
      <c r="I17" t="s">
        <v>57</v>
      </c>
    </row>
    <row r="19" spans="9:10" x14ac:dyDescent="0.35">
      <c r="I19" t="s">
        <v>62</v>
      </c>
      <c r="J19" t="s">
        <v>88</v>
      </c>
    </row>
    <row r="20" spans="9:10" x14ac:dyDescent="0.35">
      <c r="I20" t="s">
        <v>63</v>
      </c>
      <c r="J20" t="s">
        <v>64</v>
      </c>
    </row>
    <row r="21" spans="9:10" x14ac:dyDescent="0.35">
      <c r="I21" t="s">
        <v>65</v>
      </c>
    </row>
    <row r="22" spans="9:10" x14ac:dyDescent="0.35">
      <c r="I22" t="s">
        <v>66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workbookViewId="0">
      <selection activeCell="N16" sqref="N16"/>
    </sheetView>
  </sheetViews>
  <sheetFormatPr baseColWidth="10" defaultRowHeight="14.5" x14ac:dyDescent="0.35"/>
  <sheetData>
    <row r="1" spans="1:5" x14ac:dyDescent="0.35">
      <c r="A1" t="s">
        <v>67</v>
      </c>
      <c r="B1" t="s">
        <v>68</v>
      </c>
      <c r="C1" t="s">
        <v>69</v>
      </c>
      <c r="D1" t="s">
        <v>70</v>
      </c>
      <c r="E1" t="s">
        <v>0</v>
      </c>
    </row>
    <row r="2" spans="1:5" x14ac:dyDescent="0.35">
      <c r="A2">
        <v>13</v>
      </c>
      <c r="B2">
        <v>9.65</v>
      </c>
      <c r="C2">
        <v>11.86</v>
      </c>
      <c r="D2">
        <v>2026</v>
      </c>
      <c r="E2" t="s">
        <v>71</v>
      </c>
    </row>
    <row r="3" spans="1:5" x14ac:dyDescent="0.35">
      <c r="A3">
        <v>13</v>
      </c>
      <c r="B3">
        <v>10.24</v>
      </c>
      <c r="C3">
        <v>11.87</v>
      </c>
      <c r="D3">
        <v>2026</v>
      </c>
      <c r="E3" t="s">
        <v>72</v>
      </c>
    </row>
    <row r="4" spans="1:5" x14ac:dyDescent="0.35">
      <c r="A4">
        <v>13</v>
      </c>
      <c r="B4">
        <v>11.55</v>
      </c>
      <c r="C4">
        <v>12.41</v>
      </c>
      <c r="D4">
        <v>2026</v>
      </c>
      <c r="E4" t="s">
        <v>73</v>
      </c>
    </row>
    <row r="5" spans="1:5" x14ac:dyDescent="0.35">
      <c r="A5">
        <v>13</v>
      </c>
      <c r="B5">
        <v>11.95</v>
      </c>
      <c r="C5">
        <v>11.78</v>
      </c>
      <c r="D5">
        <v>2026</v>
      </c>
      <c r="E5" t="s">
        <v>74</v>
      </c>
    </row>
    <row r="6" spans="1:5" x14ac:dyDescent="0.35">
      <c r="A6">
        <v>13</v>
      </c>
      <c r="B6">
        <v>11.94</v>
      </c>
      <c r="C6">
        <v>11.66</v>
      </c>
      <c r="D6">
        <v>2026</v>
      </c>
      <c r="E6" t="s">
        <v>75</v>
      </c>
    </row>
    <row r="7" spans="1:5" x14ac:dyDescent="0.35">
      <c r="A7">
        <v>13</v>
      </c>
      <c r="C7">
        <v>11.01</v>
      </c>
      <c r="D7">
        <v>2026</v>
      </c>
      <c r="E7" t="s">
        <v>76</v>
      </c>
    </row>
    <row r="8" spans="1:5" x14ac:dyDescent="0.35">
      <c r="A8">
        <v>13</v>
      </c>
      <c r="C8">
        <v>10.74</v>
      </c>
      <c r="D8">
        <v>2026</v>
      </c>
      <c r="E8" t="s">
        <v>77</v>
      </c>
    </row>
    <row r="9" spans="1:5" x14ac:dyDescent="0.35">
      <c r="A9">
        <v>13</v>
      </c>
      <c r="C9">
        <v>10.53</v>
      </c>
      <c r="D9">
        <v>2026</v>
      </c>
      <c r="E9" t="s">
        <v>78</v>
      </c>
    </row>
    <row r="10" spans="1:5" x14ac:dyDescent="0.35">
      <c r="A10">
        <v>13</v>
      </c>
      <c r="C10">
        <v>9.98</v>
      </c>
      <c r="D10">
        <v>2026</v>
      </c>
      <c r="E10" t="s">
        <v>79</v>
      </c>
    </row>
    <row r="11" spans="1:5" x14ac:dyDescent="0.35">
      <c r="A11">
        <v>13</v>
      </c>
      <c r="C11">
        <v>10.39</v>
      </c>
      <c r="D11">
        <v>2026</v>
      </c>
      <c r="E11" t="s">
        <v>80</v>
      </c>
    </row>
    <row r="12" spans="1:5" x14ac:dyDescent="0.35">
      <c r="A12">
        <v>13</v>
      </c>
      <c r="C12">
        <v>10.210000000000001</v>
      </c>
      <c r="D12">
        <v>2026</v>
      </c>
      <c r="E12" t="s">
        <v>81</v>
      </c>
    </row>
    <row r="13" spans="1:5" x14ac:dyDescent="0.35">
      <c r="A13">
        <v>13</v>
      </c>
      <c r="C13">
        <v>9.75</v>
      </c>
      <c r="D13">
        <v>2026</v>
      </c>
      <c r="E13" t="s">
        <v>82</v>
      </c>
    </row>
    <row r="15" spans="1:5" x14ac:dyDescent="0.35">
      <c r="B15" t="s">
        <v>83</v>
      </c>
    </row>
    <row r="16" spans="1:5" x14ac:dyDescent="0.35">
      <c r="B16" t="s">
        <v>84</v>
      </c>
    </row>
    <row r="17" spans="1:5" x14ac:dyDescent="0.35">
      <c r="B17" t="s">
        <v>85</v>
      </c>
    </row>
    <row r="18" spans="1:5" x14ac:dyDescent="0.35">
      <c r="A18" t="s">
        <v>86</v>
      </c>
    </row>
    <row r="19" spans="1:5" x14ac:dyDescent="0.35">
      <c r="A19" s="14" t="s">
        <v>67</v>
      </c>
      <c r="B19" s="14" t="s">
        <v>68</v>
      </c>
      <c r="C19" s="14" t="s">
        <v>69</v>
      </c>
      <c r="D19" s="14" t="s">
        <v>70</v>
      </c>
      <c r="E19" s="14" t="s">
        <v>0</v>
      </c>
    </row>
    <row r="20" spans="1:5" x14ac:dyDescent="0.35">
      <c r="A20" s="14">
        <v>13</v>
      </c>
      <c r="B20" s="14">
        <v>6.77</v>
      </c>
      <c r="C20" s="14">
        <v>11.35</v>
      </c>
      <c r="D20" s="14">
        <v>2026</v>
      </c>
      <c r="E20" s="14" t="s">
        <v>71</v>
      </c>
    </row>
    <row r="21" spans="1:5" x14ac:dyDescent="0.35">
      <c r="A21" s="14">
        <v>13</v>
      </c>
      <c r="B21" s="14">
        <v>7.11</v>
      </c>
      <c r="C21" s="14">
        <v>9.75</v>
      </c>
      <c r="D21" s="14">
        <v>2026</v>
      </c>
      <c r="E21" s="14" t="s">
        <v>72</v>
      </c>
    </row>
    <row r="22" spans="1:5" x14ac:dyDescent="0.35">
      <c r="A22" s="14">
        <v>13</v>
      </c>
      <c r="B22" s="14">
        <v>9.3000000000000007</v>
      </c>
      <c r="C22" s="14">
        <v>10.64</v>
      </c>
      <c r="D22" s="14">
        <v>2026</v>
      </c>
      <c r="E22" s="14" t="s">
        <v>73</v>
      </c>
    </row>
    <row r="23" spans="1:5" x14ac:dyDescent="0.35">
      <c r="A23" s="14">
        <v>13</v>
      </c>
      <c r="B23" s="14">
        <v>9</v>
      </c>
      <c r="C23" s="14">
        <v>9.9499999999999993</v>
      </c>
      <c r="D23" s="14">
        <v>2026</v>
      </c>
      <c r="E23" s="14" t="s">
        <v>74</v>
      </c>
    </row>
    <row r="24" spans="1:5" x14ac:dyDescent="0.35">
      <c r="A24" s="14">
        <v>13</v>
      </c>
      <c r="B24" s="14">
        <v>9.99</v>
      </c>
      <c r="C24" s="14">
        <v>9.67</v>
      </c>
      <c r="D24" s="14">
        <v>2026</v>
      </c>
      <c r="E24" s="14" t="s">
        <v>75</v>
      </c>
    </row>
    <row r="25" spans="1:5" x14ac:dyDescent="0.35">
      <c r="A25" s="14">
        <v>13</v>
      </c>
      <c r="B25" s="14"/>
      <c r="C25" s="14">
        <v>8.66</v>
      </c>
      <c r="D25" s="14">
        <v>2026</v>
      </c>
      <c r="E25" s="14" t="s">
        <v>76</v>
      </c>
    </row>
    <row r="26" spans="1:5" x14ac:dyDescent="0.35">
      <c r="A26" s="14">
        <v>13</v>
      </c>
      <c r="B26" s="14"/>
      <c r="C26" s="14">
        <v>8.35</v>
      </c>
      <c r="D26" s="14">
        <v>2026</v>
      </c>
      <c r="E26" s="14" t="s">
        <v>77</v>
      </c>
    </row>
    <row r="27" spans="1:5" x14ac:dyDescent="0.35">
      <c r="A27" s="14">
        <v>13</v>
      </c>
      <c r="B27" s="14"/>
      <c r="C27" s="14">
        <v>7.68</v>
      </c>
      <c r="D27" s="14">
        <v>2026</v>
      </c>
      <c r="E27" s="14" t="s">
        <v>78</v>
      </c>
    </row>
    <row r="28" spans="1:5" x14ac:dyDescent="0.35">
      <c r="A28" s="14">
        <v>13</v>
      </c>
      <c r="B28" s="14"/>
      <c r="C28" s="14">
        <v>6.78</v>
      </c>
      <c r="D28" s="14">
        <v>2026</v>
      </c>
      <c r="E28" s="14" t="s">
        <v>79</v>
      </c>
    </row>
    <row r="29" spans="1:5" x14ac:dyDescent="0.35">
      <c r="A29" s="14">
        <v>13</v>
      </c>
      <c r="B29" s="14"/>
      <c r="C29" s="14">
        <v>7.09</v>
      </c>
      <c r="D29" s="14">
        <v>2026</v>
      </c>
      <c r="E29" s="14" t="s">
        <v>80</v>
      </c>
    </row>
    <row r="30" spans="1:5" x14ac:dyDescent="0.35">
      <c r="A30" s="14">
        <v>13</v>
      </c>
      <c r="B30" s="14"/>
      <c r="C30" s="14">
        <v>7.46</v>
      </c>
      <c r="D30" s="14">
        <v>2026</v>
      </c>
      <c r="E30" s="14" t="s">
        <v>81</v>
      </c>
    </row>
    <row r="31" spans="1:5" x14ac:dyDescent="0.35">
      <c r="A31" s="14">
        <v>13</v>
      </c>
      <c r="B31" s="14"/>
      <c r="C31" s="14">
        <v>7.39</v>
      </c>
      <c r="D31" s="14">
        <v>2026</v>
      </c>
      <c r="E31" s="14" t="s">
        <v>82</v>
      </c>
    </row>
    <row r="35" spans="1:5" x14ac:dyDescent="0.35">
      <c r="A35" t="s">
        <v>87</v>
      </c>
    </row>
    <row r="36" spans="1:5" x14ac:dyDescent="0.35">
      <c r="A36" s="14" t="s">
        <v>67</v>
      </c>
      <c r="B36" s="14" t="s">
        <v>68</v>
      </c>
      <c r="C36" s="14" t="s">
        <v>69</v>
      </c>
      <c r="D36" s="14" t="s">
        <v>70</v>
      </c>
      <c r="E36" s="14" t="s">
        <v>0</v>
      </c>
    </row>
    <row r="37" spans="1:5" x14ac:dyDescent="0.35">
      <c r="A37" s="14">
        <v>13</v>
      </c>
      <c r="B37" s="14">
        <v>10.23</v>
      </c>
      <c r="C37" s="14">
        <v>11.79</v>
      </c>
      <c r="D37" s="14">
        <v>2026</v>
      </c>
      <c r="E37" s="14" t="s">
        <v>71</v>
      </c>
    </row>
    <row r="38" spans="1:5" x14ac:dyDescent="0.35">
      <c r="A38" s="14">
        <v>13</v>
      </c>
      <c r="B38" s="14">
        <v>10.85</v>
      </c>
      <c r="C38" s="14">
        <v>11.94</v>
      </c>
      <c r="D38" s="14">
        <v>2026</v>
      </c>
      <c r="E38" s="14" t="s">
        <v>72</v>
      </c>
    </row>
    <row r="39" spans="1:5" x14ac:dyDescent="0.35">
      <c r="A39" s="14">
        <v>13</v>
      </c>
      <c r="B39" s="14">
        <v>11.89</v>
      </c>
      <c r="C39" s="14">
        <v>12.45</v>
      </c>
      <c r="D39" s="14">
        <v>2026</v>
      </c>
      <c r="E39" s="14" t="s">
        <v>73</v>
      </c>
    </row>
    <row r="40" spans="1:5" x14ac:dyDescent="0.35">
      <c r="A40" s="14">
        <v>13</v>
      </c>
      <c r="B40" s="14">
        <v>12.26</v>
      </c>
      <c r="C40" s="14">
        <v>11.76</v>
      </c>
      <c r="D40" s="14">
        <v>2026</v>
      </c>
      <c r="E40" s="14" t="s">
        <v>74</v>
      </c>
    </row>
    <row r="41" spans="1:5" x14ac:dyDescent="0.35">
      <c r="A41" s="14">
        <v>13</v>
      </c>
      <c r="B41" s="14">
        <v>12.31</v>
      </c>
      <c r="C41" s="14">
        <v>11.78</v>
      </c>
      <c r="D41" s="14">
        <v>2026</v>
      </c>
      <c r="E41" s="14" t="s">
        <v>75</v>
      </c>
    </row>
    <row r="42" spans="1:5" x14ac:dyDescent="0.35">
      <c r="A42" s="14">
        <v>13</v>
      </c>
      <c r="B42" s="14"/>
      <c r="C42" s="14">
        <v>11.09</v>
      </c>
      <c r="D42" s="14">
        <v>2026</v>
      </c>
      <c r="E42" s="14" t="s">
        <v>76</v>
      </c>
    </row>
    <row r="43" spans="1:5" x14ac:dyDescent="0.35">
      <c r="A43" s="14">
        <v>13</v>
      </c>
      <c r="B43" s="14"/>
      <c r="C43" s="14">
        <v>10.96</v>
      </c>
      <c r="D43" s="14">
        <v>2026</v>
      </c>
      <c r="E43" s="14" t="s">
        <v>77</v>
      </c>
    </row>
    <row r="44" spans="1:5" x14ac:dyDescent="0.35">
      <c r="A44" s="14">
        <v>13</v>
      </c>
      <c r="B44" s="14"/>
      <c r="C44" s="14">
        <v>10.85</v>
      </c>
      <c r="D44" s="14">
        <v>2026</v>
      </c>
      <c r="E44" s="14" t="s">
        <v>78</v>
      </c>
    </row>
    <row r="45" spans="1:5" x14ac:dyDescent="0.35">
      <c r="A45" s="14">
        <v>13</v>
      </c>
      <c r="B45" s="14"/>
      <c r="C45" s="14">
        <v>10.28</v>
      </c>
      <c r="D45" s="14">
        <v>2026</v>
      </c>
      <c r="E45" s="14" t="s">
        <v>79</v>
      </c>
    </row>
    <row r="46" spans="1:5" x14ac:dyDescent="0.35">
      <c r="A46" s="14">
        <v>13</v>
      </c>
      <c r="B46" s="14"/>
      <c r="C46" s="14">
        <v>10.89</v>
      </c>
      <c r="D46" s="14">
        <v>2026</v>
      </c>
      <c r="E46" s="14" t="s">
        <v>80</v>
      </c>
    </row>
    <row r="47" spans="1:5" x14ac:dyDescent="0.35">
      <c r="A47" s="14">
        <v>13</v>
      </c>
      <c r="B47" s="14"/>
      <c r="C47" s="14">
        <v>10.58</v>
      </c>
      <c r="D47" s="14">
        <v>2026</v>
      </c>
      <c r="E47" s="14" t="s">
        <v>81</v>
      </c>
    </row>
    <row r="48" spans="1:5" x14ac:dyDescent="0.35">
      <c r="A48" s="14">
        <v>13</v>
      </c>
      <c r="B48" s="14"/>
      <c r="C48" s="14">
        <v>10.01</v>
      </c>
      <c r="D48" s="14">
        <v>2026</v>
      </c>
      <c r="E48" s="14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4" sqref="C4"/>
    </sheetView>
  </sheetViews>
  <sheetFormatPr baseColWidth="10"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F36"/>
  <sheetViews>
    <sheetView workbookViewId="0">
      <selection activeCell="E3" sqref="E3:E12"/>
    </sheetView>
  </sheetViews>
  <sheetFormatPr baseColWidth="10" defaultRowHeight="14.5" x14ac:dyDescent="0.35"/>
  <cols>
    <col min="3" max="3" width="25" bestFit="1" customWidth="1"/>
  </cols>
  <sheetData>
    <row r="2" spans="3:6" ht="39" x14ac:dyDescent="0.35">
      <c r="C2" s="1" t="s">
        <v>89</v>
      </c>
      <c r="D2" s="2" t="s">
        <v>90</v>
      </c>
      <c r="E2" s="2" t="s">
        <v>91</v>
      </c>
      <c r="F2" s="2" t="s">
        <v>92</v>
      </c>
    </row>
    <row r="3" spans="3:6" x14ac:dyDescent="0.35">
      <c r="C3" s="3" t="s">
        <v>93</v>
      </c>
      <c r="D3" s="4">
        <v>128.06666666666666</v>
      </c>
      <c r="E3" s="4">
        <v>96.533333333333346</v>
      </c>
      <c r="F3" s="4">
        <v>106.14999999999999</v>
      </c>
    </row>
    <row r="4" spans="3:6" x14ac:dyDescent="0.35">
      <c r="C4" s="5" t="s">
        <v>94</v>
      </c>
      <c r="D4" s="6">
        <v>31.366666666666667</v>
      </c>
      <c r="E4" s="6">
        <v>0</v>
      </c>
      <c r="F4" s="6">
        <v>14.166666666666664</v>
      </c>
    </row>
    <row r="5" spans="3:6" x14ac:dyDescent="0.35">
      <c r="C5" s="5" t="s">
        <v>95</v>
      </c>
      <c r="D5" s="6">
        <v>0.48333333333333339</v>
      </c>
      <c r="E5" s="6">
        <v>0</v>
      </c>
      <c r="F5" s="6">
        <v>0.73333333333333328</v>
      </c>
    </row>
    <row r="6" spans="3:6" x14ac:dyDescent="0.35">
      <c r="C6" s="10" t="s">
        <v>96</v>
      </c>
      <c r="D6" s="11">
        <v>0.9</v>
      </c>
      <c r="E6" s="11">
        <v>42.083333333333336</v>
      </c>
      <c r="F6" s="11">
        <v>4.9333333333333336</v>
      </c>
    </row>
    <row r="7" spans="3:6" x14ac:dyDescent="0.35">
      <c r="C7" s="5" t="s">
        <v>97</v>
      </c>
      <c r="D7" s="6">
        <v>1.1000000000000001</v>
      </c>
      <c r="E7" s="6">
        <v>0</v>
      </c>
      <c r="F7" s="6">
        <v>0</v>
      </c>
    </row>
    <row r="8" spans="3:6" x14ac:dyDescent="0.35">
      <c r="C8" s="5" t="s">
        <v>98</v>
      </c>
      <c r="D8" s="6">
        <v>16.783333333333331</v>
      </c>
      <c r="E8" s="6">
        <v>0</v>
      </c>
      <c r="F8" s="6">
        <v>3</v>
      </c>
    </row>
    <row r="9" spans="3:6" x14ac:dyDescent="0.35">
      <c r="C9" s="5" t="s">
        <v>99</v>
      </c>
      <c r="D9" s="6">
        <v>1.5333333333333332</v>
      </c>
      <c r="E9" s="6">
        <v>0</v>
      </c>
      <c r="F9" s="6">
        <v>0.25</v>
      </c>
    </row>
    <row r="10" spans="3:6" x14ac:dyDescent="0.35">
      <c r="C10" s="5" t="s">
        <v>100</v>
      </c>
      <c r="D10" s="6">
        <v>0</v>
      </c>
      <c r="E10" s="6">
        <v>0</v>
      </c>
      <c r="F10" s="6">
        <v>0</v>
      </c>
    </row>
    <row r="11" spans="3:6" x14ac:dyDescent="0.35">
      <c r="C11" s="5" t="s">
        <v>101</v>
      </c>
      <c r="D11" s="6">
        <v>40.916666666666671</v>
      </c>
      <c r="E11" s="6">
        <v>52</v>
      </c>
      <c r="F11" s="6">
        <v>61.816666666666663</v>
      </c>
    </row>
    <row r="12" spans="3:6" x14ac:dyDescent="0.35">
      <c r="C12" s="5" t="s">
        <v>102</v>
      </c>
      <c r="D12" s="6">
        <v>34.983333333333334</v>
      </c>
      <c r="E12" s="6">
        <v>2.4500000000000002</v>
      </c>
      <c r="F12" s="6">
        <v>21.25</v>
      </c>
    </row>
    <row r="13" spans="3:6" x14ac:dyDescent="0.35">
      <c r="C13" s="7"/>
      <c r="D13" s="6"/>
      <c r="E13" s="6"/>
      <c r="F13" s="6"/>
    </row>
    <row r="14" spans="3:6" x14ac:dyDescent="0.35">
      <c r="C14" s="3" t="s">
        <v>103</v>
      </c>
      <c r="D14" s="4">
        <v>144.61666666666667</v>
      </c>
      <c r="E14" s="4">
        <v>54.716666666666669</v>
      </c>
      <c r="F14" s="4">
        <v>56.133333333333326</v>
      </c>
    </row>
    <row r="15" spans="3:6" x14ac:dyDescent="0.35">
      <c r="C15" s="5" t="s">
        <v>94</v>
      </c>
      <c r="D15" s="6">
        <v>23.383333333333333</v>
      </c>
      <c r="E15" s="6">
        <v>0</v>
      </c>
      <c r="F15" s="6">
        <v>31.366666666666667</v>
      </c>
    </row>
    <row r="16" spans="3:6" x14ac:dyDescent="0.35">
      <c r="C16" s="5" t="s">
        <v>95</v>
      </c>
      <c r="D16" s="6">
        <v>0</v>
      </c>
      <c r="E16" s="6">
        <v>0</v>
      </c>
      <c r="F16" s="6">
        <v>0.48333333333333339</v>
      </c>
    </row>
    <row r="17" spans="3:6" x14ac:dyDescent="0.35">
      <c r="C17" s="12" t="s">
        <v>96</v>
      </c>
      <c r="D17" s="13">
        <v>3.2833333333333332</v>
      </c>
      <c r="E17" s="13">
        <v>3.3666666666666671</v>
      </c>
      <c r="F17" s="13">
        <v>0.18333333333333332</v>
      </c>
    </row>
    <row r="18" spans="3:6" x14ac:dyDescent="0.35">
      <c r="C18" s="5" t="s">
        <v>97</v>
      </c>
      <c r="D18" s="6">
        <v>0.15</v>
      </c>
      <c r="E18" s="6">
        <v>0</v>
      </c>
      <c r="F18" s="6">
        <v>1.1000000000000001</v>
      </c>
    </row>
    <row r="19" spans="3:6" x14ac:dyDescent="0.35">
      <c r="C19" s="5" t="s">
        <v>98</v>
      </c>
      <c r="D19" s="6">
        <v>8.1499999999999986</v>
      </c>
      <c r="E19" s="6">
        <v>0.5</v>
      </c>
      <c r="F19" s="6">
        <v>4.5999999999999996</v>
      </c>
    </row>
    <row r="20" spans="3:6" x14ac:dyDescent="0.35">
      <c r="C20" s="5" t="s">
        <v>99</v>
      </c>
      <c r="D20" s="6">
        <v>3.4666666666666668</v>
      </c>
      <c r="E20" s="6">
        <v>0</v>
      </c>
      <c r="F20" s="6">
        <v>1.5333333333333332</v>
      </c>
    </row>
    <row r="21" spans="3:6" x14ac:dyDescent="0.35">
      <c r="C21" s="5" t="s">
        <v>100</v>
      </c>
      <c r="D21" s="6">
        <v>0.11666666666666667</v>
      </c>
      <c r="E21" s="6">
        <v>0</v>
      </c>
      <c r="F21" s="6">
        <v>0</v>
      </c>
    </row>
    <row r="22" spans="3:6" x14ac:dyDescent="0.35">
      <c r="C22" s="5" t="s">
        <v>101</v>
      </c>
      <c r="D22" s="6">
        <v>72.099999999999994</v>
      </c>
      <c r="E22" s="6">
        <v>14</v>
      </c>
      <c r="F22" s="6">
        <v>9.5833333333333321</v>
      </c>
    </row>
    <row r="23" spans="3:6" x14ac:dyDescent="0.35">
      <c r="C23" s="5" t="s">
        <v>102</v>
      </c>
      <c r="D23" s="6">
        <v>33.966666666666669</v>
      </c>
      <c r="E23" s="6">
        <v>36.85</v>
      </c>
      <c r="F23" s="6">
        <v>7.2833333333333332</v>
      </c>
    </row>
    <row r="24" spans="3:6" x14ac:dyDescent="0.35">
      <c r="C24" s="7"/>
      <c r="D24" s="6"/>
      <c r="E24" s="6"/>
      <c r="F24" s="6"/>
    </row>
    <row r="25" spans="3:6" x14ac:dyDescent="0.35">
      <c r="C25" s="3" t="s">
        <v>104</v>
      </c>
      <c r="D25" s="4">
        <v>154.6</v>
      </c>
      <c r="E25" s="4">
        <v>39.483333333333334</v>
      </c>
      <c r="F25" s="4">
        <v>61.416666666666671</v>
      </c>
    </row>
    <row r="26" spans="3:6" x14ac:dyDescent="0.35">
      <c r="C26" s="5" t="s">
        <v>94</v>
      </c>
      <c r="D26" s="6">
        <v>22.433333333333337</v>
      </c>
      <c r="E26" s="6">
        <v>0</v>
      </c>
      <c r="F26" s="6">
        <v>23.383333333333333</v>
      </c>
    </row>
    <row r="27" spans="3:6" x14ac:dyDescent="0.35">
      <c r="C27" s="5" t="s">
        <v>95</v>
      </c>
      <c r="D27" s="6">
        <v>0</v>
      </c>
      <c r="E27" s="6">
        <v>0</v>
      </c>
      <c r="F27" s="6">
        <v>0</v>
      </c>
    </row>
    <row r="28" spans="3:6" x14ac:dyDescent="0.35">
      <c r="C28" s="12" t="s">
        <v>96</v>
      </c>
      <c r="D28" s="13">
        <v>9.1333333333333329</v>
      </c>
      <c r="E28" s="13">
        <v>4.9833333333333334</v>
      </c>
      <c r="F28" s="13">
        <v>0.28333333333333333</v>
      </c>
    </row>
    <row r="29" spans="3:6" x14ac:dyDescent="0.35">
      <c r="C29" s="5" t="s">
        <v>97</v>
      </c>
      <c r="D29" s="6">
        <v>0</v>
      </c>
      <c r="E29" s="6">
        <v>0</v>
      </c>
      <c r="F29" s="6">
        <v>0.15</v>
      </c>
    </row>
    <row r="30" spans="3:6" x14ac:dyDescent="0.35">
      <c r="C30" s="5" t="s">
        <v>98</v>
      </c>
      <c r="D30" s="6">
        <v>17.516666666666666</v>
      </c>
      <c r="E30" s="6">
        <v>0</v>
      </c>
      <c r="F30" s="6">
        <v>0</v>
      </c>
    </row>
    <row r="31" spans="3:6" x14ac:dyDescent="0.35">
      <c r="C31" s="5" t="s">
        <v>99</v>
      </c>
      <c r="D31" s="6">
        <v>2.5999999999999996</v>
      </c>
      <c r="E31" s="6">
        <v>0</v>
      </c>
      <c r="F31" s="6">
        <v>3.4666666666666668</v>
      </c>
    </row>
    <row r="32" spans="3:6" x14ac:dyDescent="0.35">
      <c r="C32" s="5" t="s">
        <v>100</v>
      </c>
      <c r="D32" s="6">
        <v>0</v>
      </c>
      <c r="E32" s="6">
        <v>0</v>
      </c>
      <c r="F32" s="6">
        <v>0.11666666666666667</v>
      </c>
    </row>
    <row r="33" spans="3:6" x14ac:dyDescent="0.35">
      <c r="C33" s="5" t="s">
        <v>101</v>
      </c>
      <c r="D33" s="6">
        <v>53.733333333333334</v>
      </c>
      <c r="E33" s="6">
        <v>25</v>
      </c>
      <c r="F33" s="6">
        <v>25.833333333333336</v>
      </c>
    </row>
    <row r="34" spans="3:6" x14ac:dyDescent="0.35">
      <c r="C34" s="5" t="s">
        <v>102</v>
      </c>
      <c r="D34" s="6">
        <v>49.18333333333333</v>
      </c>
      <c r="E34" s="6">
        <v>9.5</v>
      </c>
      <c r="F34" s="6">
        <v>8.1833333333333336</v>
      </c>
    </row>
    <row r="35" spans="3:6" x14ac:dyDescent="0.35">
      <c r="C35" s="7"/>
      <c r="D35" s="6"/>
      <c r="E35" s="6"/>
      <c r="F35" s="6"/>
    </row>
    <row r="36" spans="3:6" x14ac:dyDescent="0.35">
      <c r="C36" s="8" t="s">
        <v>105</v>
      </c>
      <c r="D36" s="9">
        <v>427.28333333333336</v>
      </c>
      <c r="E36" s="9">
        <v>190.73333333333332</v>
      </c>
      <c r="F36" s="9">
        <v>223.7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Productividad</vt:lpstr>
      <vt:lpstr>Velocidad</vt:lpstr>
      <vt:lpstr>P&amp;L</vt:lpstr>
      <vt:lpstr>Dotacion</vt:lpstr>
      <vt:lpstr>Horas Extra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eparedes</dc:creator>
  <cp:lastModifiedBy>Enrique Paredes</cp:lastModifiedBy>
  <dcterms:created xsi:type="dcterms:W3CDTF">2026-06-01T03:58:44Z</dcterms:created>
  <dcterms:modified xsi:type="dcterms:W3CDTF">2026-06-03T13:12:15Z</dcterms:modified>
</cp:coreProperties>
</file>